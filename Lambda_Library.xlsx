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ml.chartshapes+xml"/>
  <Override PartName="/xl/charts/chart3.xml" ContentType="application/vnd.openxmlformats-officedocument.drawingml.chart+xml"/>
  <Override PartName="/xl/drawings/drawing3.xml" ContentType="application/vnd.openxmlformats-officedocument.drawingml.chartshapes+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drawings/drawing4.xml" ContentType="application/vnd.openxmlformats-officedocument.drawing+xml"/>
  <Override PartName="/xl/charts/chart8.xml" ContentType="application/vnd.openxmlformats-officedocument.drawingml.chart+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
    </mc:Choice>
  </mc:AlternateContent>
  <xr:revisionPtr revIDLastSave="0" documentId="8_{9135991A-A641-4CC7-B09D-8A764CABDBFC}" xr6:coauthVersionLast="47" xr6:coauthVersionMax="47" xr10:uidLastSave="{00000000-0000-0000-0000-000000000000}"/>
  <bookViews>
    <workbookView xWindow="-120" yWindow="-120" windowWidth="29040" windowHeight="15720" activeTab="5" xr2:uid="{6E270D5A-9342-43B6-8DE2-0FA8D0D2AAB6}"/>
  </bookViews>
  <sheets>
    <sheet name="LAMBDA_functions" sheetId="1" r:id="rId1"/>
    <sheet name="Life Expectancy Data" sheetId="2" r:id="rId2"/>
    <sheet name="Regression Instructions" sheetId="3" r:id="rId3"/>
    <sheet name="Diagnostic Guide" sheetId="4" r:id="rId4"/>
    <sheet name="Version History" sheetId="5" r:id="rId5"/>
    <sheet name="Regression" sheetId="6" r:id="rId6"/>
    <sheet name="Univariate" sheetId="8" r:id="rId7"/>
  </sheets>
  <definedNames>
    <definedName name="ActualY" localSheetId="5">OFFSET(Regression!$X$2,1,0,Regression!$M$8,1)</definedName>
    <definedName name="All_Xs" localSheetId="5">LifeExpectancyData[[Adult Mortality]:[Schooling]]</definedName>
    <definedName name="Allow_Intercept" localSheetId="5">Regression!$B$2</definedName>
    <definedName name="alpha" localSheetId="5">Regression!$M$12</definedName>
    <definedName name="Coefficient_Name_Col" localSheetId="5">_xlfn.LAMBDA(_xlpm.All_Xs,_xlop.Include,_xlfn.LET(_xlpm.n,COLUMNS(_xlpm.All_Xs),_xlpm.headers,TRANSPOSE(OFFSET(_xlpm.All_Xs,-1,0,1,_xlpm.n)),IF(_xlfn.ISOMITTED(_xlpm.Include),_xlpm.headers,IFERROR(_xlfn._xlws.FILTER(_xlpm.headers,_xlfn.TAKE(_xlpm.Include,_xlpm.n)),_xlfn.TAKE(_xlpm.headers,1)))))</definedName>
    <definedName name="CooksDistData" localSheetId="5">OFFSET(Regression!$AD$2,1,0,Regression!$M$8,1)</definedName>
    <definedName name="FittedY" localSheetId="5">OFFSET(Regression!$Y$2,1,0,Regression!$M$8,1)</definedName>
    <definedName name="Ind_Var_Include" localSheetId="5">Regression!$B$3:$B$16000</definedName>
    <definedName name="LeverageData" localSheetId="5">OFFSET(Regression!$AB$2,1,0,Regression!$M$8,1)</definedName>
    <definedName name="pred_input" localSheetId="5">Regression!$V$12:OFFSET(Regression!$V$12,1,0,COLUMNS(Regression!x_s))</definedName>
    <definedName name="PRESSResidData" localSheetId="5">OFFSET(Regression!$AH$2,1,0,Regression!$M$8,1)</definedName>
    <definedName name="QQPlotX" localSheetId="5">OFFSET(Regression!$AE$2,1,0,Regression!$M$8,1)</definedName>
    <definedName name="QQPlotY" localSheetId="5">OFFSET(Regression!$AF$2,1,0,Regression!$M$8,1)</definedName>
    <definedName name="RegChartActY" localSheetId="5">OFFSET(Regression!$X$2,1,0,Regression!$M$8,1)</definedName>
    <definedName name="RegChartCookDist" localSheetId="5">OFFSET(Regression!$AD$2,1,0,Regression!$M$8,1)</definedName>
    <definedName name="RegChartFitY" localSheetId="5">OFFSET(Regression!$Y$2,1,0,Regression!$M$8,1)</definedName>
    <definedName name="RegChartLeverage" localSheetId="5">OFFSET(Regression!$AB$2,1,0,Regression!$M$8,1)</definedName>
    <definedName name="RegChartPRESSResid" localSheetId="5">OFFSET(Regression!$AH$2,1,0,Regression!$M$8,1)</definedName>
    <definedName name="RegChartQQX" localSheetId="5">OFFSET(Regression!$AE$2,1,0,Regression!$M$8,1)</definedName>
    <definedName name="RegChartQQY" localSheetId="5">OFFSET(Regression!$AF$2,1,0,Regression!$M$8,1)</definedName>
    <definedName name="RegChartResid" localSheetId="5">OFFSET(Regression!$Z$2,1,0,Regression!$M$8,1)</definedName>
    <definedName name="RegChartScaleLoc" localSheetId="5">OFFSET(Regression!$AG$2,1,0,Regression!$M$8,1)</definedName>
    <definedName name="RegChartStudResid" localSheetId="5">OFFSET(Regression!$AC$2,1,0,Regression!$M$8,1)</definedName>
    <definedName name="Regression_Sample_Include" localSheetId="5">LifeExpectancyData[Full_Data]</definedName>
    <definedName name="ResidData" localSheetId="5">OFFSET(Regression!$Z$2,1,0,Regression!$M$8,1)</definedName>
    <definedName name="ScaleLocData" localSheetId="5">OFFSET(Regression!$AG$2,1,0,Regression!$M$8,1)</definedName>
    <definedName name="StudResidData" localSheetId="5">OFFSET(Regression!$AC$2,1,0,Regression!$M$8,1)</definedName>
    <definedName name="UV_Data" localSheetId="6">_xlfn.ANCHORARRAY(Univariate!$A$4)</definedName>
    <definedName name="UV_Data">_xlfn.ANCHORARRAY(#REF!)</definedName>
    <definedName name="UV_FD_Counts" localSheetId="6">OFFSET(Univariate!$M$5,0,0,n_histogram_bins(Univariate!UV_Data),1)</definedName>
    <definedName name="UV_FD_Edges" localSheetId="6">OFFSET(Univariate!$L$5,0,0,n_histogram_bins(Univariate!UV_Data),1)</definedName>
    <definedName name="UV_n" localSheetId="6">IFERROR(COUNT(_xlfn.ANCHORARRAY(Univariate!$A$4)),0)</definedName>
    <definedName name="UV_Scott_Counts" localSheetId="6">OFFSET(Univariate!$J$5,0,0,n_histogram_bins(Univariate!UV_Data,"Scott"),1)</definedName>
    <definedName name="UV_Scott_Edges" localSheetId="6">OFFSET(Univariate!$I$5,0,0,n_histogram_bins(Univariate!UV_Data,"Scott"),1)</definedName>
    <definedName name="UV_Sturges_Counts" localSheetId="6">OFFSET(Univariate!$G$5,0,0,n_histogram_bins(Univariate!UV_Data,"Sturges"),1)</definedName>
    <definedName name="UV_Sturges_Edges" localSheetId="6">OFFSET(Univariate!$F$5,0,0,n_histogram_bins(Univariate!UV_Data,"Sturges"),1)</definedName>
    <definedName name="UV_WB_S1" localSheetId="6">Univariate!$AC$10:$AV$29</definedName>
    <definedName name="UV_WB_S2" localSheetId="6">Univariate!$AY$10:$BR$29</definedName>
    <definedName name="x_s" localSheetId="5">_xlfn.LET(_xlpm.n,COLUMNS(Regression!All_Xs),_xlpm.sel,IFERROR(_xlfn._xlws.FILTER(_xlfn.SEQUENCE(_xlpm.n),_xlfn.TAKE(Ind_Var_Include,_xlpm.n)),1),_xlfn.CHOOSECOLS(Regression!All_Xs,_xlpm.sel))</definedName>
    <definedName name="y" localSheetId="5">LifeExpectancyData[Life expectancy]</definedName>
    <definedName name="Observations">_xlfn.LAMBDA(_xlpm.Y,_xlop.Include,_xlfn.LET(_xlpm.filt_arg,IF(_xlfn.ISOMITTED(_xlpm.Include),TRUE,_xlpm.Include),ROWS(_xlfn._xlws.FILTER(_xlpm.Y,_xlpm.filt_arg))))</definedName>
    <definedName name="DF_Regression">_xlfn.LAMBDA(_xlpm.X_s,COLUMNS(_xlpm.X_s))</definedName>
    <definedName name="DF_Total">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R_squared">_xlfn.LAMBDA(_xlpm.X_s,_xlpm.Y,_xlop.Allow_Intercept,_xlop.Include,_xlfn.LET(_xlpm.allow_arg,IF(_xlfn.ISOMITTED(_xlpm.Allow_Intercept),TRUE,_xlpm.Allow_Intercept),_xlpm.filt_arg,IF(_xlfn.ISOMITTED(_xlpm.Include),TRUE,_xlpm.Include),INDEX(LINEST(_xlfn._xlws.FILTER(_xlpm.Y,_xlpm.filt_arg),_xlfn._xlws.FILTER(_xlpm.X_s,_xlpm.filt_arg),_xlpm.allow_arg,TRUE),3,1)))</definedName>
    <definedName name="DF_Residual">_xlfn.LAMBDA(_xlpm.X_s,_xlpm.Y,_xlop.Allow_Intercept,_xlop.Include,_xlfn.LET(_xlpm.allow_arg,IF(_xlfn.ISOMITTED(_xlpm.Allow_Intercept),TRUE,_xlpm.Allow_Intercept),_xlpm.filt_arg,IF(_xlfn.ISOMITTED(_xlpm.Include),TRUE,_xlpm.Include),DF_Total(_xlpm.Y,_xlpm.allow_arg,_xlpm.filt_arg)-DF_Regression(_xlpm.X_s)))</definedName>
    <definedName name="Multiple_R">_xlfn.LAMBDA(_xlpm.X_s,_xlpm.Y,_xlop.Allow_Intercept,_xlop.Include,_xlfn.LET(_xlpm.allow_arg,IF(_xlfn.ISOMITTED(_xlpm.Allow_Intercept),TRUE,_xlpm.Allow_Intercept),_xlpm.filt_arg,IF(_xlfn.ISOMITTED(_xlpm.Include),TRUE,_xlpm.Include),SQRT(R_squared(_xlpm.X_s,_xlpm.Y,_xlpm.allow_arg,_xlpm.filt_arg))))</definedName>
    <definedName name="Adjusted_R2">_xlfn.LAMBDA(_xlpm.X_s,_xlpm.Y,_xlop.Allow_Intercept,_xlop.Include,_xlfn.LET(_xlpm.allow_arg,IF(_xlfn.ISOMITTED(_xlpm.Allow_Intercept),TRUE,_xlpm.Allow_Intercept),_xlpm.filt_arg,IF(_xlfn.ISOMITTED(_xlpm.Include),TRUE,_xlpm.Include),1-(1-R_squared(_xlpm.X_s,_xlpm.Y,_xlpm.allow_arg,_xlpm.filt_arg))*DF_Total(_xlpm.Y,_xlpm.allow_arg,_xlpm.filt_arg)/DF_Residual(_xlpm.X_s,_xlpm.Y,_xlpm.allow_arg,_xlpm.filt_arg)))</definedName>
    <definedName name="SS_Total">_xlfn.LAMBDA(_xlpm.Y,_xlop.Allow_Intercept,_xlop.Include,_xlfn.LET(_xlpm.allow_arg,IF(_xlfn.ISOMITTED(_xlpm.Allow_Intercept),TRUE,_xlpm.Allow_Intercept),_xlpm.filt_arg,IF(_xlfn.ISOMITTED(_xlpm.Include),TRUE,_xlpm.Include),_xlpm.y_filt,_xlfn._xlws.FILTER(_xlpm.Y,_xlpm.filt_arg),IF(_xlpm.allow_arg,DEVSQ(_xlpm.y_filt),SUMSQ(_xlpm.y_filt))))</definedName>
    <definedName name="SS_Residual">_xlfn.LAMBDA(_xlpm.X_s,_xlpm.Y,_xlop.Allow_Intercept,_xlop.Include,_xlfn.LET(_xlpm.allow_arg,IF(_xlfn.ISOMITTED(_xlpm.Allow_Intercept),TRUE,_xlpm.Allow_Intercept),_xlpm.filt_arg,IF(_xlfn.ISOMITTED(_xlpm.Include),TRUE,_xlpm.Include),SS_Total(_xlpm.Y,_xlpm.allow_arg,_xlpm.filt_arg)*(1-R_squared(_xlpm.X_s,_xlpm.Y,_xlpm.allow_arg,_xlpm.filt_arg))))</definedName>
    <definedName name="SS_Regression">_xlfn.LAMBDA(_xlpm.X_s,_xlpm.Y,_xlop.Allow_Intercept,_xlop.Include,_xlfn.LET(_xlpm.allow_arg,IF(_xlfn.ISOMITTED(_xlpm.Allow_Intercept),TRUE,_xlpm.Allow_Intercept),_xlpm.filt_arg,IF(_xlfn.ISOMITTED(_xlpm.Include),TRUE,_xlpm.Include),SS_Total(_xlpm.Y,_xlpm.allow_arg,_xlpm.filt_arg)*R_squared(_xlpm.X_s,_xlpm.Y,_xlpm.allow_arg,_xlpm.filt_arg)))</definedName>
    <definedName name="MS_Regression">_xlfn.LAMBDA(_xlpm.X_s,_xlpm.Y,_xlop.Allow_Intercept,_xlop.Include,_xlfn.LET(_xlpm.allow_arg,IF(_xlfn.ISOMITTED(_xlpm.Allow_Intercept),TRUE,_xlpm.Allow_Intercept),_xlpm.filt_arg,IF(_xlfn.ISOMITTED(_xlpm.Include),TRUE,_xlpm.Include),SS_Regression(_xlpm.X_s,_xlpm.Y,_xlpm.allow_arg,_xlpm.filt_arg)/DF_Regression(_xlpm.X_s)))</definedName>
    <definedName name="MS_Residual">_xlfn.LAMBDA(_xlpm.X_s,_xlpm.Y,_xlop.Allow_Intercept,_xlop.Include,_xlfn.LET(_xlpm.allow_arg,IF(_xlfn.ISOMITTED(_xlpm.Allow_Intercept),TRUE,_xlpm.Allow_Intercept),_xlpm.filt_arg,IF(_xlfn.ISOMITTED(_xlpm.Include),TRUE,_xlpm.Include),SS_Residual(_xlpm.X_s,_xlpm.Y,_xlpm.allow_arg,_xlpm.filt_arg)/DF_Residual(_xlpm.X_s,_xlpm.Y,_xlpm.allow_arg,_xlpm.filt_arg)))</definedName>
    <definedName name="SE_Regression">_xlfn.LAMBDA(_xlpm.X_s,_xlpm.Y,_xlop.Allow_Intercept,_xlop.Include,_xlfn.LET(_xlpm.allow_arg,IF(_xlfn.ISOMITTED(_xlpm.Allow_Intercept),TRUE,_xlpm.Allow_Intercept),_xlpm.filt_arg,IF(_xlfn.ISOMITTED(_xlpm.Include),TRUE,_xlpm.Include),SQRT(SS_Residual(_xlpm.X_s,_xlpm.Y,_xlpm.allow_arg,_xlpm.filt_arg)/DF_Residual(_xlpm.X_s,_xlpm.Y,_xlpm.allow_arg,_xlpm.filt_arg))))</definedName>
    <definedName name="PRESS">_xlfn.LAMBDA(_xlpm.X_s,_xlpm.Y,_xlop.Allow_Intercept,_xlop.Include,_xlfn.LET(_xlpm.allow_arg,IF(_xlfn.ISOMITTED(_xlpm.Allow_Intercept),TRUE,_xlpm.Allow_Intercept),_xlpm.filt_arg,IF(_xlfn.ISOMITTED(_xlpm.Include),TRUE,_xlpm.Include),_xlpm.e,Residuals(_xlpm.X_s,_xlpm.Y,_xlpm.allow_arg,_xlpm.filt_arg),_xlpm.h,Hat_diagonal(_xlpm.X_s,_xlpm.allow_arg,_xlpm.filt_arg),SUMSQ(_xlpm.e/(1-_xlpm.h))))</definedName>
    <definedName name="AIC">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DF_Regression(_xlpm.X_s)+IF(_xlpm.allow_arg,1,0),_xlpm.n*LN(_xlpm.ssr/_xlpm.n)+2*_xlpm.p))</definedName>
    <definedName name="BIC">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DF_Regression(_xlpm.X_s)+IF(_xlpm.allow_arg,1,0),_xlpm.n*LN(_xlpm.ssr/_xlpm.n)+_xlpm.p*LN(_xlpm.n)))</definedName>
    <definedName name="AICc">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DF_Regression(_xlpm.X_s)+IF(_xlpm.allow_arg,1,0),_xlpm.aic,_xlpm.n*LN(_xlpm.ssr/_xlpm.n)+2*_xlpm.p,_xlpm.aic+2*_xlpm.p*(_xlpm.p+1)/(_xlpm.n-_xlpm.p-1)))</definedName>
    <definedName name="Durbin_Watson">_xlfn.LAMBDA(_xlpm.X_s,_xlpm.Y,_xlop.Allow_Intercept,_xlop.Include,_xlfn.LET(_xlpm.allow_arg,IF(_xlfn.ISOMITTED(_xlpm.Allow_Intercept),TRUE,_xlpm.Allow_Intercept),_xlpm.filt_arg,IF(_xlfn.ISOMITTED(_xlpm.Include),TRUE,_xlpm.Include),_xlpm.e,Residuals(_xlpm.X_s,_xlpm.Y,_xlpm.allow_arg,_xlpm.filt_arg),SUM((_xlfn.DROP(_xlpm.e,1)-_xlfn.DROP(_xlpm.e,-1))^2)/SUM(_xlpm.e^2)))</definedName>
    <definedName name="QQ_Correlation">_xlfn.LAMBDA(_xlpm.X_s,_xlpm.Y,_xlop.Allow_Intercept,_xlop.Include,_xlfn.LET(_xlpm.allow_arg,IF(_xlfn.ISOMITTED(_xlpm.Allow_Intercept),TRUE,_xlpm.Allow_Intercept),_xlpm.filt_arg,IF(_xlfn.ISOMITTED(_xlpm.Include),TRUE,_xlpm.Include),_xlpm.sr,Scaled_Residuals_Ranked(_xlpm.X_s,_xlpm.Y,_xlpm.allow_arg,_xlpm.filt_arg),_xlpm.n,ROWS(_xlpm.sr),_xlpm.ns,_xlfn.NORM.S.INV((_xlfn.SEQUENCE(_xlpm.n)-0.5)/_xlpm.n),CORREL(_xlpm.sr,_xlpm.ns)))</definedName>
    <definedName name="Coefficients">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FALSE),_xlpm.k,COLUMNS(_xlpm.X_s),TRANSPOSE(IF(_xlpm.allow_arg,_xlfn.HSTACK(INDEX(_xlpm.ls,1,_xlpm.k+1),_xlfn.CHOOSECOLS(_xlpm.ls,_xlfn.SEQUENCE(1,_xlpm.k,_xlpm.k,-1))),_xlfn.CHOOSECOLS(_xlpm.ls,_xlfn.SEQUENCE(1,_xlpm.k,_xlpm.k,-1))))))</definedName>
    <definedName name="SE_Coefficients">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TRUE),_xlpm.ses,INDEX(_xlpm.ls,2),_xlpm.k,COLUMNS(_xlpm.X_s),TRANSPOSE(IF(_xlpm.allow_arg,_xlfn.HSTACK(INDEX(_xlpm.ses,1,_xlpm.k+1),_xlfn.CHOOSECOLS(_xlpm.ses,_xlfn.SEQUENCE(1,_xlpm.k,_xlpm.k,-1))),_xlfn.CHOOSECOLS(_xlpm.ses,_xlfn.SEQUENCE(1,_xlpm.k,_xlpm.k,-1))))))</definedName>
    <definedName name="T_Stats">_xlfn.LAMBDA(_xlpm.X_s,_xlpm.Y,_xlop.Allow_Intercept,_xlop.Include,_xlfn.LET(_xlpm.allow_arg,IF(_xlfn.ISOMITTED(_xlpm.Allow_Intercept),TRUE,_xlpm.Allow_Intercept),_xlpm.filt_arg,IF(_xlfn.ISOMITTED(_xlpm.Include),TRUE,_xlpm.Include),Coefficients(_xlpm.X_s,_xlpm.Y,_xlpm.allow_arg,_xlpm.filt_arg)/SE_Coefficients(_xlpm.X_s,_xlpm.Y,_xlpm.allow_arg,_xlpm.filt_arg)))</definedName>
    <definedName name="P_Values">_xlfn.LAMBDA(_xlpm.X_s,_xlpm.Y,_xlop.Allow_Intercept,_xlop.Include,_xlfn.LET(_xlpm.allow_arg,IF(_xlfn.ISOMITTED(_xlpm.Allow_Intercept),TRUE,_xlpm.Allow_Intercept),_xlpm.filt_arg,IF(_xlfn.ISOMITTED(_xlpm.Include),TRUE,_xlpm.Include),_xlfn.T.DIST.2T(ABS(T_Stats(_xlpm.X_s,_xlpm.Y,_xlpm.allow_arg,_xlpm.filt_arg)),DF_Residual(_xlpm.X_s,_xlpm.Y,_xlpm.allow_arg,_xlpm.filt_arg))))</definedName>
    <definedName name="CI_Lower">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I_Upper">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Partial_R2">_xlfn.LAMBDA(_xlpm.X_s,_xlpm.Y,_xlop.Allow_Intercept,_xlop.Include,_xlfn.LET(_xlpm.allow_arg,IF(_xlfn.ISOMITTED(_xlpm.Allow_Intercept),TRUE,_xlpm.Allow_Intercept),_xlpm.filt_arg,IF(_xlfn.ISOMITTED(_xlpm.Include),TRUE,_xlpm.Include),_xlpm.t,T_Stats(_xlpm.X_s,_xlpm.Y,_xlpm.allow_arg,_xlpm.filt_arg),_xlpm.df,DF_Residual(_xlpm.X_s,_xlpm.Y,_xlpm.allow_arg,_xlpm.filt_arg),_xlpm.t^2/(_xlpm.t^2+_xlpm.df)))</definedName>
    <definedName name="Partial_Correlation">_xlfn.LAMBDA(_xlpm.X_s,_xlpm.Y,_xlop.Allow_Intercept,_xlop.Include,_xlfn.LET(_xlpm.allow_arg,IF(_xlfn.ISOMITTED(_xlpm.Allow_Intercept),TRUE,_xlpm.Allow_Intercept),_xlpm.filt_arg,IF(_xlfn.ISOMITTED(_xlpm.Include),TRUE,_xlpm.Include),_xlpm.t,T_Stats(_xlpm.X_s,_xlpm.Y,_xlpm.allow_arg,_xlpm.filt_arg),_xlpm.df,DF_Residual(_xlpm.X_s,_xlpm.Y,_xlpm.allow_arg,_xlpm.filt_arg),_xlpm.t/SQRT(_xlpm.t^2+_xlpm.df)))</definedName>
    <definedName name="Beta_Weights">_xlfn.LAMBDA(_xlpm.X_s,_xlpm.Y,_xlop.Allow_Intercept,_xlop.Include,_xlfn.LET(_xlpm.allow_arg,IF(_xlfn.ISOMITTED(_xlpm.Allow_Intercept),TRUE,_xlpm.Allow_Intercept),_xlpm.filt_arg,IF(_xlfn.ISOMITTED(_xlpm.Include),TRUE,_xlpm.Include),_xlpm.coefs,Coefficients(_xlpm.X_s,_xlpm.Y,_xlpm.allow_arg,_xlpm.filt_arg),_xlpm.pred_coefs,IF(_xlpm.allow_arg,_xlfn.DROP(_xlpm.coefs,1),_xlpm.coefs),_xlpm.sd_y,STDEV(_xlfn._xlws.FILTER(_xlpm.Y,_xlpm.filt_arg)),_xlpm.k,COLUMNS(_xlpm.X_s),_xlpm.sd_x,_xlfn.MAKEARRAY(_xlpm.k,1,_xlfn.LAMBDA(_xlpm.j,_xlpm._,STDEV(_xlfn._xlws.FILTER(_xlfn.CHOOSECOLS(_xlpm.X_s,_xlpm.j),_xlpm.filt_arg)))),_xlpm.pred_coefs*_xlpm.sd_x/_xlpm.sd_y))</definedName>
    <definedName name="VIF">_xlfn.LAMBDA(_xlpm.X_s,_xlop.Allow_Intercept,_xlop.Include,_xlfn.LET(_xlpm.filt_arg,IF(_xlfn.ISOMITTED(_xlpm.Include),TRUE,_xlpm.Include),_xlpm.k,COLUMNS(_xlpm.X_s),IF(_xlpm.k=1,1,_xlfn.LET(_xlpm.col_idx,_xlfn.SEQUENCE(1,_xlpm.k),_xlpm.R2_vec,_xlfn.MAKEARRAY(_xlpm.k,1,_xlfn.LAMBDA(_xlpm.j,_xlpm._,R_squared(_xlfn.CHOOSECOLS(_xlpm.X_s,_xlfn._xlws.FILTER(_xlpm.col_idx,_xlpm.col_idx&lt;&gt;_xlpm.j)),_xlfn.CHOOSECOLS(_xlpm.X_s,_xlpm.j),TRUE,_xlpm.filt_arg))),1/(1-_xlpm.R2_vec)))))</definedName>
    <definedName name="Tolerance">_xlfn.LAMBDA(_xlpm.X_s,_xlop.Allow_Intercept,_xlop.Include,1/VIF(_xlpm.X_s,_xlpm.Allow_Intercept,_xlpm.Include))</definedName>
    <definedName name="Prediction_Interval">_xlfn.LAMBDA(_xlpm.X_s,_xlpm.Y,_xlpm.X_new,_xlop.Allow_Intercept,_xlop.Include,_xlop.alpha,_xlfn.LET(_xlpm.allow_arg,IF(_xlfn.ISOMITTED(_xlpm.Allow_Intercept),TRUE,_xlpm.Allow_Intercept),_xlpm.filt_arg,IF(_xlfn.ISOMITTED(_xlpm.Include),TRUE,_xlpm.Include),_xlpm.alpha_arg,IF(_xlfn.ISOMITTED(_xlpm.alpha),0.05,_xlpm.alpha),_xlpm.X_design,Design_Matrix(_xlpm.X_s,_xlpm.allow_arg,_xlpm.filt_arg),_xlpm.beta,Coefficients(_xlpm.X_s,_xlpm.Y,_xlpm.allow_arg,_xlpm.filt_arg),_xlpm.s,SE_Regression(_xlpm.X_s,_xlpm.Y,_xlpm.allow_arg,_xlpm.filt_arg),_xlpm.df,DF_Residual(_xlpm.X_s,_xlpm.Y,_xlpm.allow_arg,_xlpm.filt_arg),_xlpm.t_crit,_xlfn.T.INV.2T(_xlpm.alpha_arg,_xlpm.df),_xlpm.x_new_aligned,IF(_xlpm.allow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Observation_Num">_xlfn.LAMBDA(_xlpm.Y,_xlop.Include,_xlfn.SEQUENCE(ROWS(_xlfn._xlws.FILTER(_xlpm.Y,IF(_xlfn.ISOMITTED(_xlpm.Include),TRUE,_xlpm.Include)))))</definedName>
    <definedName name="Rank_Fraction">_xlfn.LAMBDA(_xlpm.Y,_xlop.Include,_xlfn.LET(_xlpm.filtered,_xlfn._xlws.FILTER(_xlpm.Y,IF(_xlfn.ISOMITTED(_xlpm.Include),TRUE,_xlpm.Include)),_xlpm.n,ROWS(_xlpm.filtered),_xlfn.BYROW(_xlpm.filtered,_xlfn.LAMBDA(_xlpm.v,SUMPRODUCT((_xlpm.filtered&lt;=_xlpm.v)*1)))/_xlpm.n))</definedName>
    <definedName name="Y_Ranked">_xlfn.LAMBDA(_xlpm.Y,_xlop.Include,_xlfn._xlws.SORT(_xlfn._xlws.FILTER(_xlpm.Y,IF(_xlfn.ISOMITTED(_xlpm.Include),TRUE,_xlpm.Include))))</definedName>
    <definedName name="Dependent_Var">_xlfn.LAMBDA(_xlpm.Y,_xlop.Include,_xlfn._xlws.FILTER(_xlpm.Y,IF(_xlfn.ISOMITTED(_xlpm.Include),TRUE,_xlpm.Include)))</definedName>
    <definedName name="Normal_Scores">_xlfn.LAMBDA(_xlpm.Y,_xlop.Include,_xlfn.LET(_xlpm.filtered,_xlfn._xlws.FILTER(_xlpm.Y,IF(_xlfn.ISOMITTED(_xlpm.Include),TRUE,_xlpm.Include)),_xlpm.n,ROWS(_xlpm.filtered),_xlfn.NORM.S.INV((_xlfn.BYROW(_xlpm.filtered,_xlfn.LAMBDA(_xlpm.v,SUMPRODUCT((_xlpm.filtered&lt;_xlpm.v)*1)))+0.5)/_xlpm.n)))</definedName>
    <definedName name="Design_Matrix">_xlfn.LAMBDA(_xlpm.X_s,_xlop.Allow_Intercept,_xlop.Include,_xlfn.LET(_xlpm.allow_arg,IF(_xlfn.ISOMITTED(_xlpm.Allow_Intercept),TRUE,_xlpm.Allow_Intercept),_xlpm.filt_arg,IF(_xlfn.ISOMITTED(_xlpm.Include),TRUE,_xlpm.Include),_xlpm.x_filt,_xlfn._xlws.FILTER(_xlpm.X_s,_xlpm.filt_arg),IF(_xlpm.allow_arg,_xlfn.HSTACK(_xlfn.SEQUENCE(ROWS(_xlpm.x_filt),,1,0),_xlpm.x_filt),_xlpm.x_filt)))</definedName>
    <definedName name="Gram_Inverse">_xlfn.LAMBDA(_xlpm.X,MINVERSE(MMULT(TRANSPOSE(_xlpm.X),_xlpm.X)))</definedName>
    <definedName name="Predictions">_xlfn.LAMBDA(_xlpm.X_s,_xlpm.Y,_xlop.Allow_Intercept,_xlop.Include,_xlfn.LET(_xlpm.allow_arg,IF(_xlfn.ISOMITTED(_xlpm.Allow_Intercept),TRUE,_xlpm.Allow_Intercept),_xlpm.filt_arg,IF(_xlfn.ISOMITTED(_xlpm.Include),TRUE,_xlpm.Include),MMULT(Design_Matrix(_xlpm.X_s,_xlpm.allow_arg,_xlpm.filt_arg),Coefficients(_xlpm.X_s,_xlpm.Y,_xlpm.allow_arg,_xlpm.filt_arg))))</definedName>
    <definedName name="Residuals">_xlfn.LAMBDA(_xlpm.X_s,_xlpm.Y,_xlop.Allow_Intercept,_xlop.Include,_xlfn.LET(_xlpm.allow_arg,IF(_xlfn.ISOMITTED(_xlpm.Allow_Intercept),TRUE,_xlpm.Allow_Intercept),_xlpm.filt_arg,IF(_xlfn.ISOMITTED(_xlpm.Include),TRUE,_xlpm.Include),_xlfn._xlws.FILTER(_xlpm.Y,_xlpm.filt_arg)-Predictions(_xlpm.X_s,_xlpm.Y,_xlpm.allow_arg,_xlpm.filt_arg)))</definedName>
    <definedName name="Scaled_Residuals">_xlfn.LAMBDA(_xlpm.X_s,_xlpm.Y,_xlop.Allow_Intercept,_xlop.Include,_xlfn.LET(_xlpm.allow_arg,IF(_xlfn.ISOMITTED(_xlpm.Allow_Intercept),TRUE,_xlpm.Allow_Intercept),_xlpm.filt_arg,IF(_xlfn.ISOMITTED(_xlpm.Include),TRUE,_xlpm.Include),Residuals(_xlpm.X_s,_xlpm.Y,_xlpm.allow_arg,_xlpm.filt_arg)/SE_Regression(_xlpm.X_s,_xlpm.Y,_xlpm.allow_arg,_xlpm.filt_arg)))</definedName>
    <definedName name="This_row">_xlfn.LAMBDA(_xlpm.array,_xlfn.SEQUENCE(ROWS(_xlpm.array)))</definedName>
    <definedName name="Exclude_row_n">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LOO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CV_prediction">_xlfn.LAMBDA(_xlpm.X_s,_xlpm.Y,_xlop.Allow_Intercept,_xlop.Include,_xlfn.LET(_xlpm.allow_arg,IF(_xlfn.ISOMITTED(_xlpm.Allow_Intercept),TRUE,_xlpm.Allow_Intercept),_xlpm.filt_arg,IF(_xlfn.ISOMITTED(_xlpm.Include),TRUE,_xlpm.Include),_xlpm.yhat,Predictions(_xlpm.X_s,_xlpm.Y,_xlpm.allow_arg,_xlpm.filt_arg),_xlpm.e,_xlfn._xlws.FILTER(_xlpm.Y,_xlpm.filt_arg)-_xlpm.yhat,_xlpm.h,Hat_diagonal(_xlpm.X_s,_xlpm.allow_arg,_xlpm.filt_arg),_xlpm.yhat-_xlpm.h*_xlpm.e/(1-_xlpm.h)))</definedName>
    <definedName name="Hat_diagonal">_xlfn.LAMBDA(_xlpm.X_s,_xlop.Allow_Intercept,_xlop.Include,_xlfn.LET(_xlpm.allow_arg,IF(_xlfn.ISOMITTED(_xlpm.Allow_Intercept),TRUE,_xlpm.Allow_Intercept),_xlpm.filt_arg,IF(_xlfn.ISOMITTED(_xlpm.Include),TRUE,_xlpm.Include),_xlpm.X_design,Design_Matrix(_xlpm.X_s,_xlpm.allow_arg,_xlpm.filt_arg),_xlpm.p,COLUMNS(_xlpm.X_design),_xlpm.XtX_inv,Gram_Inverse(_xlpm.X_design),_xlpm.Z,MMULT(_xlpm.X_design,_xlpm.XtX_inv),MMULT(_xlpm.Z*_xlpm.X_design,_xlfn.SEQUENCE(_xlpm.p,1,1,0))))</definedName>
    <definedName name="Studentized_Residuals">_xlfn.LAMBDA(_xlpm.X_s,_xlpm.Y,_xlop.Allow_Intercept,_xlop.Include,_xlfn.LET(_xlpm.allow_arg,IF(_xlfn.ISOMITTED(_xlpm.Allow_Intercept),TRUE,_xlpm.Allow_Intercept),_xlpm.filt_arg,IF(_xlfn.ISOMITTED(_xlpm.Include),TRUE,_xlpm.Include),_xlpm.e,Residuals(_xlpm.X_s,_xlpm.Y,_xlpm.allow_arg,_xlpm.filt_arg),_xlpm.se,SE_Regression(_xlpm.X_s,_xlpm.Y,_xlpm.allow_arg,_xlpm.filt_arg),_xlpm.h,Hat_diagonal(_xlpm.X_s,_xlpm.allow_arg,_xlpm.filt_arg),_xlpm.e/(_xlpm.se*SQRT(1-_xlpm.h))))</definedName>
    <definedName name="Studentized_Residuals_Ranked">_xlfn.LAMBDA(_xlpm.X_s,_xlpm.Y,_xlop.Allow_Intercept,_xlop.Include,_xlfn.LET(_xlpm.allow_arg,IF(_xlfn.ISOMITTED(_xlpm.Allow_Intercept),TRUE,_xlpm.Allow_Intercept),_xlpm.filt_arg,IF(_xlfn.ISOMITTED(_xlpm.Include),TRUE,_xlpm.Include),_xlfn._xlws.SORT(Studentized_Residuals(_xlpm.X_s,_xlpm.Y,_xlpm.allow_arg,_xlpm.filt_arg))))</definedName>
    <definedName name="Cooks_Distance">_xlfn.LAMBDA(_xlpm.X_s,_xlpm.Y,_xlop.Allow_Intercept,_xlop.Include,_xlfn.LET(_xlpm.allow_arg,IF(_xlfn.ISOMITTED(_xlpm.Allow_Intercept),TRUE,_xlpm.Allow_Intercept),_xlpm.filt_arg,IF(_xlfn.ISOMITTED(_xlpm.Include),TRUE,_xlpm.Include),_xlpm.r,Studentized_Residuals(_xlpm.X_s,_xlpm.Y,_xlpm.allow_arg,_xlpm.filt_arg),_xlpm.h,Hat_diagonal(_xlpm.X_s,_xlpm.allow_arg,_xlpm.filt_arg),_xlpm.p,COLUMNS(Design_Matrix(_xlpm.X_s,_xlpm.allow_arg,_xlpm.filt_arg)),_xlpm.r^2*_xlpm.h/((1-_xlpm.h)*_xlpm.p)))</definedName>
    <definedName name="Scaled_Residuals_Ranked">_xlfn.LAMBDA(_xlpm.X_s,_xlpm.Y,_xlop.Allow_Intercept,_xlop.Include,_xlfn.LET(_xlpm.allow_arg,IF(_xlfn.ISOMITTED(_xlpm.Allow_Intercept),TRUE,_xlpm.Allow_Intercept),_xlpm.filt_arg,IF(_xlfn.ISOMITTED(_xlpm.Include),TRUE,_xlpm.Include),_xlfn._xlws.SORT(Scaled_Residuals(_xlpm.X_s,_xlpm.Y,_xlpm.allow_arg,_xlpm.filt_arg))))</definedName>
    <definedName name="Col_Select">_xlfn.LAMBDA(_xlpm.table,_xlpm.col_nums,_xlfn.CHOOSECOLS(_xlpm.table,_xlpm.col_nums))</definedName>
    <definedName name="Complete_Cases_Filter">_xlfn.LAMBDA(_xlpm.X_s,_xlop.Y,_xlfn.LET(_xlpm.combined,IF(_xlfn.ISOMITTED(_xlpm.Y),_xlpm.X_s,_xlfn.HSTACK(_xlpm.X_s,_xlpm.Y)),MMULT((ISNUMBER(_xlpm.combined))*1,_xlfn.SEQUENCE(COLUMNS(_xlpm.combined),1,1,0))=COLUMNS(_xlpm.combined)))</definedName>
    <definedName name="Pearson_R">_xlfn.LAMBDA(_xlpm.X_s,_xlpm.Y,_xlop.Include,_xlfn.LET(_xlpm.filt_arg,IF(_xlfn.ISOMITTED(_xlpm.Include),TRUE,_xlpm.Include),_xlpm.xf,_xlfn._xlws.FILTER(_xlpm.X_s,_xlpm.filt_arg),_xlpm.yf,_xlfn._xlws.FILTER(_xlpm.Y,_xlpm.filt_arg),_xlfn.MAKEARRAY(COLUMNS(_xlpm.X_s),1,_xlfn.LAMBDA(_xlpm.r,_xlpm.c,CORREL(_xlfn.CHOOSECOLS(_xlpm.xf,_xlpm.r),_xlpm.yf)))))</definedName>
    <definedName name="Spearman_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kewness">_xlfn.LAMBDA(_xlpm.X_s,_xlop.Include,_xlfn.LET(_xlpm.filt_arg,IF(_xlfn.ISOMITTED(_xlpm.Include),TRUE,_xlpm.Include),_xlpm.xf,_xlfn._xlws.FILTER(_xlpm.X_s,_xlpm.filt_arg),_xlfn.MAKEARRAY(COLUMNS(_xlpm.X_s),1,_xlfn.LAMBDA(_xlpm.r,_xlpm.c,SKEW(_xlfn.CHOOSECOLS(_xlpm.xf,_xlpm.r))))))</definedName>
    <definedName name="Kurtosis">_xlfn.LAMBDA(_xlpm.X_s,_xlop.Include,_xlfn.LET(_xlpm.filt_arg,IF(_xlfn.ISOMITTED(_xlpm.Include),TRUE,_xlpm.Include),_xlpm.xf,_xlfn._xlws.FILTER(_xlpm.X_s,_xlpm.filt_arg),_xlfn.MAKEARRAY(COLUMNS(_xlpm.X_s),1,_xlfn.LAMBDA(_xlpm.r,_xlpm.c,KURT(_xlfn.CHOOSECOLS(_xlpm.xf,_xlpm.r))))))</definedName>
    <definedName name="F_Stat">_xlfn.LAMBDA(_xlpm.X_s,_xlpm.Y,_xlop.Allow_Intercept,_xlop.Include,_xlfn.LET(_xlpm.allow_arg,IF(_xlfn.ISOMITTED(_xlpm.Allow_Intercept),TRUE,_xlpm.Allow_Intercept),_xlpm.filt_arg,IF(_xlfn.ISOMITTED(_xlpm.Include),TRUE,_xlpm.Include),SS_Regression(_xlpm.X_s,_xlpm.Y,_xlpm.allow_arg,_xlpm.filt_arg)/DF_Regression(_xlpm.X_s)/(SS_Residual(_xlpm.X_s,_xlpm.Y,_xlpm.allow_arg,_xlpm.filt_arg)/DF_Residual(_xlpm.X_s,_xlpm.Y,_xlpm.allow_arg,_xlpm.filt_arg))))</definedName>
    <definedName name="P_Value_F">_xlfn.LAMBDA(_xlpm.X_s,_xlpm.Y,_xlop.Allow_Intercept,_xlop.Include,_xlfn.LET(_xlpm.allow_arg,IF(_xlfn.ISOMITTED(_xlpm.Allow_Intercept),TRUE,_xlpm.Allow_Intercept),_xlpm.filt_arg,IF(_xlfn.ISOMITTED(_xlpm.Include),TRUE,_xlpm.Include),_xlfn.F.DIST.RT(F_Stat(_xlpm.X_s,_xlpm.Y,_xlpm.allow_arg,_xlpm.filt_arg),DF_Regression(_xlpm.X_s),DF_Residual(_xlpm.X_s,_xlpm.Y,_xlpm.allow_arg,_xlpm.filt_arg))))</definedName>
    <definedName name="Correlation_Matrix">_xlfn.LAMBDA(_xlpm.X_s,_xlop.Include,_xlfn.LET(_xlpm.filt_arg,IF(_xlfn.ISOMITTED(_xlpm.Include),TRUE,_xlpm.Include),_xlpm.xf,_xlfn._xlws.FILTER(_xlpm.X_s,_xlpm.filt_arg),_xlpm.k,COLUMNS(_xlpm.X_s),_xlfn.MAKEARRAY(_xlpm.k,_xlpm.k,_xlfn.LAMBDA(_xlpm.r,_xlpm.c,CORREL(_xlfn.CHOOSECOLS(_xlpm.xf,_xlpm.r),_xlfn.CHOOSECOLS(_xlpm.xf,_xlpm.c))))))</definedName>
    <definedName name="Missing_Count">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Descriptive_Stats">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MODE.SNGL(_xlpm.x),NA()),STDEV.S(_xlpm.x),VAR.S(_xlpm.x),MIN(_xlpm.x),MAX(_xlpm.x),MAX(_xlpm.x)-MIN(_xlpm.x),_xlpm.skew_val,_xlpm.kurt_val,_xlpm.n,Missing_Count(_xlpm.data,IF(_xlfn.ISOMITTED(_xlpm.filter),TRUE,_xlpm.filter)))))</definedName>
    <definedName name="Sturges_Bins">_xlfn.LAMBDA(_xlpm.data,_xlop.filter,_xlfn.LET(_xlpm.filt_arg,IF(_xlfn.ISOMITTED(_xlpm.filter),ISNUMBER(_xlpm.data),_xlpm.filter),_xlpm.x,_xlfn._xlws.FILTER(_xlpm.data,_xlpm.filt_arg),_xlpm.n,COUNT(_xlpm.x),CEILING(LOG(_xlpm.n,2)+1,1)))</definedName>
    <definedName name="Scott_Bins">_xlfn.LAMBDA(_xlpm.data,_xlop.filter,_xlfn.LET(_xlpm.filt_arg,IF(_xlfn.ISOMITTED(_xlpm.filter),ISNUMBER(_xlpm.data),_xlpm.filter),_xlpm.x,_xlfn._xlws.FILTER(_xlpm.data,_xlpm.filt_arg),_xlpm.n,COUNT(_xlpm.x),_xlpm.sd,STDEV.S(_xlpm.x),_xlpm.width,3.49*_xlpm.sd*_xlpm.n^(-1/3),_xlpm.range_,MAX(_xlpm.x)-MIN(_xlpm.x),IF(_xlpm.sd=0,1,CEILING(_xlpm.range_/_xlpm.width,1))))</definedName>
    <definedName name="FD_Bins">_xlfn.LAMBDA(_xlpm.data,_xlop.filter,_xlfn.LET(_xlpm.filt_arg,IF(_xlfn.ISOMITTED(_xlpm.filter),ISNUMBER(_xlpm.data),_xlpm.filter),_xlpm.x,_xlfn._xlws.FILTER(_xlpm.data,_xlpm.filt_arg),_xlpm.n,COUNT(_xlpm.x),_xlpm.iqr,QUARTILE.EXC(_xlpm.x,3)-QUARTILE.EXC(_xlpm.x,1),_xlpm.width,2*_xlpm.iqr*_xlpm.n^(-1/3),_xlpm.range_,MAX(_xlpm.x)-MIN(_xlpm.x),IF(_xlpm.iqr=0,Sturges_Bins(_xlpm.data,_xlpm.filt_arg),CEILING(_xlpm.range_/_xlpm.width,1))))</definedName>
    <definedName name="n_histogram_bins">_xlfn.LAMBDA(_xlpm.data,_xlop.method,_xlop.filter,_xlfn.LET(_xlpm.filt_arg,IF(_xlfn.ISOMITTED(_xlpm.filter),ISNUMBER(_xlpm.data),_xlpm.filter),_xlpm.x,_xlfn._xlws.FILTER(_xlpm.data,_xlpm.filt_arg),_xlpm.n,COUNT(_xlpm.x),_xlpm.m,IF(_xlfn.ISOMITTED(_xlpm.method),"FD",_xlpm.method),SWITCH(_xlpm.m,"Sturges",CEILING(LOG(_xlpm.n,2)+1,1),"Scott",_xlfn.LET(_xlpm.sd,STDEV.S(_xlpm.x),_xlpm.range_,MAX(_xlpm.x)-MIN(_xlpm.x),IF(_xlpm.sd=0,1,CEILING(_xlpm.range_/(3.49*_xlpm.sd*_xlpm.n^(-1/3)),1))),_xlfn.LET(_xlpm.iqr,QUARTILE.EXC(_xlpm.x,3)-QUARTILE.EXC(_xlpm.x,1),_xlpm.range_,MAX(_xlpm.x)-MIN(_xlpm.x),IF(_xlpm.iqr=0,CEILING(LOG(_xlpm.n,2)+1,1),CEILING(_xlpm.range_/(2*_xlpm.iqr*_xlpm.n^(-1/3)),1))))))</definedName>
    <definedName name="Bin_Edges">_xlfn.LAMBDA(_xlpm.data,_xlop.method,_xlop.filter,_xlfn.LET(_xlpm.filt_arg,IF(_xlfn.ISOMITTED(_xlpm.filter),ISNUMBER(_xlpm.data),_xlpm.filter),_xlpm.x,_xlfn._xlws.FILTER(_xlpm.data,_xlpm.filt_arg),_xlpm.min_x,MIN(_xlpm.x),_xlpm.max_x,MAX(_xlpm.x),_xlpm.k,n_histogram_bins(_xlpm.data,IF(_xlfn.ISOMITTED(_xlpm.method),"FD",_xlpm.method),_xlpm.filt_arg),_xlpm.width,(_xlpm.max_x-_xlpm.min_x)/_xlpm.k,_xlfn.SEQUENCE(_xlpm.k,1,_xlpm.min_x+_xlpm.width,_xlpm.width)))</definedName>
    <definedName name="Bin_Counts">_xlfn.LAMBDA(_xlpm.data,_xlpm.edges,_xlop.filter,_xlfn.LET(_xlpm.filt_arg,IF(_xlfn.ISOMITTED(_xlpm.filter),ISNUMBER(_xlpm.data),_xlpm.filter),_xlpm.x,_xlfn._xlws.FILTER(_xlpm.data,_xlpm.filt_arg),_xlfn.TAKE(FREQUENCY(_xlpm.x,_xlpm.edges),ROWS(_xlpm.edges))))</definedName>
    <definedName name="NLL_Normal">_xlfn.LAMBDA(_xlpm.data,_xlpm.mean,_xlpm.sd,_xlop.filter,_xlfn.LET(_xlpm.filt_arg,IF(_xlfn.ISOMITTED(_xlpm.filter),ISNUMBER(_xlpm.data),_xlpm.filter),_xlpm.x,_xlfn._xlws.FILTER(_xlpm.data,_xlpm.filt_arg),-SUMPRODUCT(LN(NORM.DIST(_xlpm.x,_xlpm.mean,_xlpm.sd,FALSE)))))</definedName>
    <definedName name="NLL_Lognormal">_xlfn.LAMBDA(_xlpm.data,_xlpm.meanlog,_xlpm.sdlog,_xlop.filter,_xlfn.LET(_xlpm.filt_arg,IF(_xlfn.ISOMITTED(_xlpm.filter),ISNUMBER(_xlpm.data),_xlpm.filter),_xlpm.x,_xlfn._xlws.FILTER(_xlpm.data,_xlpm.filt_arg),-SUMPRODUCT(LN(LOGNORM.DIST(_xlpm.x,_xlpm.meanlog,_xlpm.sdlog,FALSE)))))</definedName>
    <definedName name="NLL_Exponential">_xlfn.LAMBDA(_xlpm.data,_xlpm.rate,_xlop.filter,_xlfn.LET(_xlpm.filt_arg,IF(_xlfn.ISOMITTED(_xlpm.filter),ISNUMBER(_xlpm.data),_xlpm.filter),_xlpm.x,_xlfn._xlws.FILTER(_xlpm.data,_xlpm.filt_arg),-SUMPRODUCT(LN(EXPON.DIST(_xlpm.x,_xlpm.rate,FALSE)))))</definedName>
    <definedName name="NLL_Weibull">_xlfn.LAMBDA(_xlpm.data,_xlpm.shape,_xlpm.scale,_xlop.filter,_xlfn.LET(_xlpm.filt_arg,IF(_xlfn.ISOMITTED(_xlpm.filter),ISNUMBER(_xlpm.data),_xlpm.filter),_xlpm.x,_xlfn._xlws.FILTER(_xlpm.data,_xlpm.filt_arg),IFERROR(-SUMPRODUCT(LN(WEIBULL.DIST(_xlpm.x,_xlpm.shape,_xlpm.scale,FALSE))),1E+15)))</definedName>
    <definedName name="NLL_Gamma">_xlfn.LAMBDA(_xlpm.data,_xlpm.shape,_xlpm.rate,_xlop.filter,_xlfn.LET(_xlpm.filt_arg,IF(_xlfn.ISOMITTED(_xlpm.filter),ISNUMBER(_xlpm.data),_xlpm.filter),_xlpm.x,_xlfn._xlws.FILTER(_xlpm.data,_xlpm.filt_arg),_xlpm.scale,1/_xlpm.rate,IFERROR(-SUMPRODUCT(LN(GAMMA.DIST(_xlpm.x,_xlpm.shape,_xlpm.scale,FALSE))),1E+15)))</definedName>
    <definedName name="NLL_Triangular">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E+15)))</definedName>
    <definedName name="NLL_Beta">_xlfn.LAMBDA(_xlpm.data,_xlpm.alpha_param,_xlpm.beta_param,_xlop.filter,_xlfn.LET(_xlpm.filt_arg,IF(_xlfn.ISOMITTED(_xlpm.filter),ISNUMBER(_xlpm.data),_xlpm.filter),_xlpm.x,_xlfn._xlws.FILTER(_xlpm.data,_xlpm.filt_arg),IFERROR(-SUMPRODUCT(LN(BETA.DIST(_xlpm.x,_xlpm.alpha_param,_xlpm.beta_param,FALSE))),1E+15)))</definedName>
    <definedName name="NLL_BetaPERT">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BETA.DIST(_xlpm.z,_xlpm.alpha_p,_xlpm.beta_p,FALSE),_xlpm.pdf_x,_xlpm.pdf_z/_xlpm.range_,IFERROR(-SUMPRODUCT(LN(_xlpm.pdf_x)),1E+15)))</definedName>
    <definedName name="GoF_AIC">_xlfn.LAMBDA(_xlpm.nll,_xlpm.k,2*_xlpm.k+2*_xlpm.nll)</definedName>
    <definedName name="GoF_BIC">_xlfn.LAMBDA(_xlpm.nll,_xlpm.k,_xlpm.n,_xlpm.k*LN(_xlpm.n)+2*_xlpm.nll)</definedName>
  </definedNames>
  <calcPr calcId="191029" calcMode="manual"/>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E2" authorId="0" shapeId="0" xr:uid="{F6402CA6-183C-4290-BB94-5B328A6F5F9D}">
      <text>
        <r>
          <rPr>
            <b/>
            <sz val="9"/>
            <color indexed="81"/>
            <rFont val="Tahoma"/>
            <family val="2"/>
          </rPr>
          <t>Measures the straight-line relationship between a predictor and Y. Values near 1 or -1 mean a strong linear relationship; values near 0 mean little linear pattern.</t>
        </r>
      </text>
    </comment>
    <comment ref="F2" authorId="0" shapeId="0" xr:uid="{B37B7DFE-1D11-4CD9-BD94-D3AFA4628C6A}">
      <text>
        <r>
          <rPr>
            <b/>
            <sz val="9"/>
            <color indexed="81"/>
            <rFont val="Tahoma"/>
            <family val="2"/>
          </rPr>
          <t>Measures whether higher X tends to go with higher or lower Y after converting both to ranks. It is useful when the relationship is ordered but curved instead of perfectly linear.</t>
        </r>
      </text>
    </comment>
    <comment ref="G2" authorId="0" shapeId="0" xr:uid="{EAD226AD-E3FF-4735-8E2E-62720825C414}">
      <text>
        <r>
          <rPr>
            <b/>
            <sz val="9"/>
            <color indexed="81"/>
            <rFont val="Tahoma"/>
            <family val="2"/>
          </rPr>
          <t>Shows whether the data have a longer tail on one side. Positive means a longer right tail; negative means a longer left tail.</t>
        </r>
      </text>
    </comment>
    <comment ref="H2" authorId="0" shapeId="0" xr:uid="{21135591-AD4C-4FD9-8374-D21D76B78F13}">
      <text>
        <r>
          <rPr>
            <b/>
            <sz val="9"/>
            <color indexed="81"/>
            <rFont val="Tahoma"/>
            <family val="2"/>
          </rPr>
          <t>Shows how heavy the tails are relative to a normal bell curve. Positive values mean heavier tails with more frequent extremes; values near 0 match a normal distribution.</t>
        </r>
      </text>
    </comment>
    <comment ref="I2" authorId="0" shapeId="0" xr:uid="{052F57E4-F59A-4B52-9A76-D39427EFC2EA}">
      <text>
        <r>
          <rPr>
            <b/>
            <sz val="9"/>
            <color indexed="81"/>
            <rFont val="Tahoma"/>
            <family val="2"/>
          </rPr>
          <t>A measure of collinearity with the other predictors. A value of 1 means no overlap; above 5 warrants review, above 10 indicates a problem.</t>
        </r>
      </text>
    </comment>
    <comment ref="J2" authorId="0" shapeId="0" xr:uid="{177D269B-9EFF-4A3F-9C59-E2AB7622A8B2}">
      <text>
        <r>
          <rPr>
            <b/>
            <sz val="9"/>
            <color indexed="81"/>
            <rFont val="Tahoma"/>
            <family val="2"/>
          </rPr>
          <t>The fraction of a predictor's variation not explained by the other predictors. Values below 0.2 warrant review; below 0.1 indicate strong collinearity.</t>
        </r>
      </text>
    </comment>
    <comment ref="X2" authorId="0" shapeId="0" xr:uid="{BA8F8F05-1E4C-4FFE-9DD6-25392152EB0A}">
      <text>
        <r>
          <rPr>
            <b/>
            <sz val="9"/>
            <color indexed="81"/>
            <rFont val="Tahoma"/>
            <family val="2"/>
          </rPr>
          <t>The actual observed outcome values.</t>
        </r>
      </text>
    </comment>
    <comment ref="Y2" authorId="0" shapeId="0" xr:uid="{93CF5FB1-F5E5-4A30-AB20-B09F48C45755}">
      <text>
        <r>
          <rPr>
            <b/>
            <sz val="9"/>
            <color indexed="81"/>
            <rFont val="Tahoma"/>
            <family val="2"/>
          </rPr>
          <t>The fitted outcome values produced by the model.</t>
        </r>
      </text>
    </comment>
    <comment ref="Z2" authorId="0" shapeId="0" xr:uid="{55990D5C-795B-4EA1-A43F-69416C94E1C2}">
      <text>
        <r>
          <rPr>
            <b/>
            <sz val="9"/>
            <color indexed="81"/>
            <rFont val="Tahoma"/>
            <family val="2"/>
          </rPr>
          <t>Actual Y minus predicted Y. Positive means the row came in above the model's prediction; negative means below.</t>
        </r>
      </text>
    </comment>
    <comment ref="AA2" authorId="0" shapeId="0" xr:uid="{43360585-26E3-4DAB-AF40-D64882B8932E}">
      <text>
        <r>
          <rPr>
            <b/>
            <sz val="9"/>
            <color indexed="81"/>
            <rFont val="Tahoma"/>
            <family val="2"/>
          </rPr>
          <t>The prediction error for a row when that row is left out of the fitting step.</t>
        </r>
      </text>
    </comment>
    <comment ref="AB2" authorId="0" shapeId="0" xr:uid="{8A51C4A5-C333-4C33-83E6-617F5B2956D4}">
      <text>
        <r>
          <rPr>
            <b/>
            <sz val="9"/>
            <color indexed="81"/>
            <rFont val="Tahoma"/>
            <family val="2"/>
          </rPr>
          <t>Leverage. It shows how unusual a row's predictor values are relative to the rest of the data.</t>
        </r>
      </text>
    </comment>
    <comment ref="AC2" authorId="0" shapeId="0" xr:uid="{D5CF88EE-2F17-4E57-9ACC-0C5CD9334240}">
      <text>
        <r>
          <rPr>
            <b/>
            <sz val="9"/>
            <color indexed="81"/>
            <rFont val="Tahoma"/>
            <family val="2"/>
          </rPr>
          <t>Residuals scaled to account for overall error size and leverage, making outliers easier to compare fairly.</t>
        </r>
      </text>
    </comment>
    <comment ref="AD2" authorId="0" shapeId="0" xr:uid="{9DA7391E-B403-45D5-889D-56A52DA2E4F2}">
      <text>
        <r>
          <rPr>
            <b/>
            <sz val="9"/>
            <color indexed="81"/>
            <rFont val="Tahoma"/>
            <family val="2"/>
          </rPr>
          <t>How much a single row can pull the fitted coefficients and predictions around.</t>
        </r>
      </text>
    </comment>
    <comment ref="AE2" authorId="0" shapeId="0" xr:uid="{74B1B83A-CFE1-4031-8239-CA0E620E6F43}">
      <text>
        <r>
          <rPr>
            <b/>
            <sz val="9"/>
            <color indexed="81"/>
            <rFont val="Tahoma"/>
            <family val="2"/>
          </rPr>
          <t>Expected bell-curve quantiles used for the Q-Q comparison.</t>
        </r>
      </text>
    </comment>
    <comment ref="AF2" authorId="0" shapeId="0" xr:uid="{15C2BF5B-56A0-4B18-A466-08FBF9239AA4}">
      <text>
        <r>
          <rPr>
            <b/>
            <sz val="9"/>
            <color indexed="81"/>
            <rFont val="Tahoma"/>
            <family val="2"/>
          </rPr>
          <t>Studentized residuals sorted from smallest to largest for the Q-Q plot.</t>
        </r>
      </text>
    </comment>
    <comment ref="AG2" authorId="0" shapeId="0" xr:uid="{865124FF-2F4C-42F4-9C7A-66D56B164A2C}">
      <text>
        <r>
          <rPr>
            <b/>
            <sz val="9"/>
            <color indexed="81"/>
            <rFont val="Tahoma"/>
            <family val="2"/>
          </rPr>
          <t>The square root of the absolute studentized residual. A flat pattern suggests stable error spread.</t>
        </r>
      </text>
    </comment>
    <comment ref="AH2" authorId="0" shapeId="0" xr:uid="{D5DA1602-B6DB-4DF2-B291-048B14ADB4F3}">
      <text>
        <r>
          <rPr>
            <b/>
            <sz val="9"/>
            <color indexed="81"/>
            <rFont val="Tahoma"/>
            <family val="2"/>
          </rPr>
          <t>A leverage-adjusted residual used to show how much a row affects out-of-sample prediction error.</t>
        </r>
      </text>
    </comment>
    <comment ref="U3" authorId="0" shapeId="0" xr:uid="{F6E11AAB-D5B6-437E-B1B2-84B21464A6D6}">
      <text>
        <r>
          <rPr>
            <b/>
            <sz val="9"/>
            <color indexed="81"/>
            <rFont val="Tahoma"/>
            <family val="2"/>
          </rPr>
          <t>The model's single best predicted Y value for the inputs you entered.</t>
        </r>
      </text>
    </comment>
    <comment ref="L4" authorId="0" shapeId="0" xr:uid="{BE514C5E-71E6-450D-A7AD-7B5E3F1B4D41}">
      <text>
        <r>
          <rPr>
            <b/>
            <sz val="9"/>
            <color indexed="81"/>
            <rFont val="Tahoma"/>
            <family val="2"/>
          </rPr>
          <t>How closely the model's predicted Y values track the actual Y values overall.</t>
        </r>
      </text>
    </comment>
    <comment ref="O4" authorId="0" shapeId="0" xr:uid="{9F775E77-B1C2-4E59-921B-AE0BD2F36C38}">
      <text>
        <r>
          <rPr>
            <b/>
            <sz val="9"/>
            <color indexed="81"/>
            <rFont val="Tahoma"/>
            <family val="2"/>
          </rPr>
          <t>A leave-one-out prediction error score. Lower is better because it means the model predicts unseen rows more accurately.</t>
        </r>
      </text>
    </comment>
    <comment ref="U4" authorId="0" shapeId="0" xr:uid="{AB6BF78F-24B5-4A69-96DD-AACE94991375}">
      <text>
        <r>
          <rPr>
            <b/>
            <sz val="9"/>
            <color indexed="81"/>
            <rFont val="Tahoma"/>
            <family val="2"/>
          </rPr>
          <t>The standard error for a new prediction. It reflects both model uncertainty and ordinary row-to-row noise.</t>
        </r>
      </text>
    </comment>
    <comment ref="L5" authorId="0" shapeId="0" xr:uid="{A49C07D0-52DC-47EC-A5DD-7DE703D5F92F}">
      <text>
        <r>
          <rPr>
            <b/>
            <sz val="9"/>
            <color indexed="81"/>
            <rFont val="Tahoma"/>
            <family val="2"/>
          </rPr>
          <t>The share of the outcome's variation explained by the model.</t>
        </r>
      </text>
    </comment>
    <comment ref="O5" authorId="0" shapeId="0" xr:uid="{B05BBCD6-D7DE-44B0-AD7D-2819D4BC6295}">
      <text>
        <r>
          <rPr>
            <b/>
            <sz val="9"/>
            <color indexed="81"/>
            <rFont val="Tahoma"/>
            <family val="2"/>
          </rPr>
          <t>An out-of-sample version of R Square based on leave-one-out prediction. Negative values mean the model predicts worse than just using the average Y.</t>
        </r>
      </text>
    </comment>
    <comment ref="U5" authorId="0" shapeId="0" xr:uid="{DA7C4953-EA43-4BB2-82CC-9BA01D7BDBD5}">
      <text>
        <r>
          <rPr>
            <b/>
            <sz val="9"/>
            <color indexed="81"/>
            <rFont val="Tahoma"/>
            <family val="2"/>
          </rPr>
          <t>The t-distribution cutoff at the chosen confidence level. Multiply by SE Prediction to get the prediction interval half-width.</t>
        </r>
      </text>
    </comment>
    <comment ref="L6" authorId="0" shapeId="0" xr:uid="{29DF8AF1-44F7-43FB-B7AD-F76983ECDCF9}">
      <text>
        <r>
          <rPr>
            <b/>
            <sz val="9"/>
            <color indexed="81"/>
            <rFont val="Tahoma"/>
            <family val="2"/>
          </rPr>
          <t>R Square with a penalty for adding predictors that do not help enough.</t>
        </r>
      </text>
    </comment>
    <comment ref="O6" authorId="0" shapeId="0" xr:uid="{6FBB2BB1-EB3B-497E-883A-4E2729CB786C}">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U6" authorId="0" shapeId="0" xr:uid="{17E1929E-4541-4B83-84BD-5958F4F0AF16}">
      <text>
        <r>
          <rPr>
            <b/>
            <sz val="9"/>
            <color indexed="81"/>
            <rFont val="Tahoma"/>
            <family val="2"/>
          </rPr>
          <t>The lower bound of the 95% confidence interval.</t>
        </r>
      </text>
    </comment>
    <comment ref="L7" authorId="0" shapeId="0" xr:uid="{72912922-C19C-4FBA-82E3-3863B2A224ED}">
      <text>
        <r>
          <rPr>
            <b/>
            <sz val="9"/>
            <color indexed="81"/>
            <rFont val="Tahoma"/>
            <family val="2"/>
          </rPr>
          <t>The typical size of the model's prediction errors, measured in the same units as Y.</t>
        </r>
      </text>
    </comment>
    <comment ref="O7" authorId="0" shapeId="0" xr:uid="{67455A50-4CEA-444C-BAA0-DFF5A93971F5}">
      <text>
        <r>
          <rPr>
            <b/>
            <sz val="9"/>
            <color indexed="81"/>
            <rFont val="Tahoma"/>
            <family val="2"/>
          </rPr>
          <t>A model-comparison score that balances fit against complexity. Lower is better when comparing models on the same data.</t>
        </r>
      </text>
    </comment>
    <comment ref="U7" authorId="0" shapeId="0" xr:uid="{F9DB9A65-80CE-4D14-A4DF-7687D8E7B63D}">
      <text>
        <r>
          <rPr>
            <b/>
            <sz val="9"/>
            <color indexed="81"/>
            <rFont val="Tahoma"/>
            <family val="2"/>
          </rPr>
          <t>The upper bound of the 95% confidence interval.</t>
        </r>
      </text>
    </comment>
    <comment ref="L8" authorId="0" shapeId="0" xr:uid="{11ABAD93-2036-4E42-8538-2FC3BF3EE992}">
      <text>
        <r>
          <rPr>
            <b/>
            <sz val="9"/>
            <color indexed="81"/>
            <rFont val="Tahoma"/>
            <family val="2"/>
          </rPr>
          <t>The number of rows actually used in the regression after filtering.</t>
        </r>
      </text>
    </comment>
    <comment ref="O8" authorId="0" shapeId="0" xr:uid="{243129AB-0D2F-49C7-AE83-27242858A376}">
      <text>
        <r>
          <rPr>
            <b/>
            <sz val="9"/>
            <color indexed="81"/>
            <rFont val="Tahoma"/>
            <family val="2"/>
          </rPr>
          <t>Another model-comparison score like AIC, but it penalizes extra predictors more strongly.</t>
        </r>
      </text>
    </comment>
    <comment ref="U8" authorId="0" shapeId="0" xr:uid="{5A1A186C-7513-43F6-85EF-4B3F97AF3E89}">
      <text>
        <r>
          <rPr>
            <b/>
            <sz val="9"/>
            <color indexed="81"/>
            <rFont val="Tahoma"/>
            <family val="2"/>
          </rPr>
          <t>The probability level associated with the interval. With alpha 0.05, this is 95%.</t>
        </r>
      </text>
    </comment>
    <comment ref="O9" authorId="0" shapeId="0" xr:uid="{B4DBFEBE-7046-4421-A669-58E7A2FA7340}">
      <text>
        <r>
          <rPr>
            <b/>
            <sz val="9"/>
            <color indexed="81"/>
            <rFont val="Tahoma"/>
            <family val="2"/>
          </rPr>
          <t>AIC with an extra correction for small samples.</t>
        </r>
      </text>
    </comment>
    <comment ref="O10" authorId="0" shapeId="0" xr:uid="{18284D27-A768-4BD7-8B24-43FC7BF2C209}">
      <text>
        <r>
          <rPr>
            <b/>
            <sz val="9"/>
            <color indexed="81"/>
            <rFont val="Tahoma"/>
            <family val="2"/>
          </rPr>
          <t>A numeric check of how close the residuals are to a normal bell shape. Values closer to 1 are better.</t>
        </r>
      </text>
    </comment>
    <comment ref="L12" authorId="0" shapeId="0" xr:uid="{EF4F511C-0A74-4298-B2C6-F6ACF2A867B2}">
      <text>
        <r>
          <rPr>
            <b/>
            <sz val="9"/>
            <color indexed="81"/>
            <rFont val="Tahoma"/>
            <family val="2"/>
          </rPr>
          <t>The cutoff for statistical significance. At 0.05, results with p-values below 0.05 are treated as statistically significant.</t>
        </r>
      </text>
    </comment>
    <comment ref="M14" authorId="0" shapeId="0" xr:uid="{C23C04B5-C8C6-4238-8CA6-08B8152DEEBF}">
      <text>
        <r>
          <rPr>
            <b/>
            <sz val="9"/>
            <color indexed="81"/>
            <rFont val="Tahoma"/>
            <family val="2"/>
          </rPr>
          <t>The number of independent data points available to estimate each part of the model — total rows minus one for each estimated parameter.</t>
        </r>
      </text>
    </comment>
    <comment ref="N14" authorId="0" shapeId="0" xr:uid="{46B81BA5-544A-4F10-A326-2F1FABAAF90C}">
      <text>
        <r>
          <rPr>
            <b/>
            <sz val="9"/>
            <color indexed="81"/>
            <rFont val="Tahoma"/>
            <family val="2"/>
          </rPr>
          <t>The total variation attributed to that source — regression, residual, or total. The raw material from which MS and F are calculated.</t>
        </r>
      </text>
    </comment>
    <comment ref="O14" authorId="0" shapeId="0" xr:uid="{E3BD685D-18B2-4B5F-B17E-CF9CE9EEF393}">
      <text>
        <r>
          <rPr>
            <b/>
            <sz val="9"/>
            <color indexed="81"/>
            <rFont val="Tahoma"/>
            <family val="2"/>
          </rPr>
          <t>Sum of squares averaged over its degrees of freedom — a per-unit measure of variation for that source.</t>
        </r>
      </text>
    </comment>
    <comment ref="P14" authorId="0" shapeId="0" xr:uid="{4514F352-2E41-4C78-92DC-2E54F9A58E07}">
      <text>
        <r>
          <rPr>
            <b/>
            <sz val="9"/>
            <color indexed="81"/>
            <rFont val="Tahoma"/>
            <family val="2"/>
          </rPr>
          <t>The model-vs-noise ratio used in the overall regression significance test.</t>
        </r>
      </text>
    </comment>
    <comment ref="Q14" authorId="0" shapeId="0" xr:uid="{4E190B07-A98B-4459-9A8F-FD2AD3B0E0B5}">
      <text>
        <r>
          <rPr>
            <b/>
            <sz val="9"/>
            <color indexed="81"/>
            <rFont val="Tahoma"/>
            <family val="2"/>
          </rPr>
          <t>The p-value for the overall F test. Small values mean the model as a whole is unlikely to be pure noise.</t>
        </r>
      </text>
    </comment>
    <comment ref="L15" authorId="0" shapeId="0" xr:uid="{417D2E90-17AC-4F0C-AB35-2226D8B37C4E}">
      <text>
        <r>
          <rPr>
            <b/>
            <sz val="9"/>
            <color indexed="81"/>
            <rFont val="Tahoma"/>
            <family val="2"/>
          </rPr>
          <t>The variation explained by the predictors taken together.</t>
        </r>
      </text>
    </comment>
    <comment ref="L16" authorId="0" shapeId="0" xr:uid="{3EB902D4-6A59-4582-A75C-A3DDB78C1922}">
      <text>
        <r>
          <rPr>
            <b/>
            <sz val="9"/>
            <color indexed="81"/>
            <rFont val="Tahoma"/>
            <family val="2"/>
          </rPr>
          <t>The variation the model does not explain.</t>
        </r>
      </text>
    </comment>
    <comment ref="L17" authorId="0" shapeId="0" xr:uid="{A2E8322E-5A00-452D-BA9D-E3C2922C5870}">
      <text>
        <r>
          <rPr>
            <b/>
            <sz val="9"/>
            <color indexed="81"/>
            <rFont val="Tahoma"/>
            <family val="2"/>
          </rPr>
          <t>All variation in the outcome before splitting it into explained and unexplained parts.</t>
        </r>
      </text>
    </comment>
    <comment ref="M20" authorId="0" shapeId="0" xr:uid="{0E61FB34-7443-4F4D-8484-876464492134}">
      <text>
        <r>
          <rPr>
            <b/>
            <sz val="9"/>
            <color indexed="81"/>
            <rFont val="Tahoma"/>
            <family val="2"/>
          </rPr>
          <t>The fitted weights used to turn predictor values into predictions.</t>
        </r>
      </text>
    </comment>
    <comment ref="N20" authorId="0" shapeId="0" xr:uid="{B618BC2E-FD37-4EE5-9F7B-B04002C8C550}">
      <text>
        <r>
          <rPr>
            <b/>
            <sz val="9"/>
            <color indexed="81"/>
            <rFont val="Tahoma"/>
            <family val="2"/>
          </rPr>
          <t>How uncertain each coefficient estimate is.</t>
        </r>
      </text>
    </comment>
    <comment ref="O20" authorId="0" shapeId="0" xr:uid="{04551952-8F7F-40CD-B894-C3329302BCD5}">
      <text>
        <r>
          <rPr>
            <b/>
            <sz val="9"/>
            <color indexed="81"/>
            <rFont val="Tahoma"/>
            <family val="2"/>
          </rPr>
          <t>How many standard errors the coefficient is away from zero.</t>
        </r>
      </text>
    </comment>
    <comment ref="P20" authorId="0" shapeId="0" xr:uid="{CF31CE35-7060-4129-86D9-3730AF631457}">
      <text>
        <r>
          <rPr>
            <b/>
            <sz val="9"/>
            <color indexed="81"/>
            <rFont val="Tahoma"/>
            <family val="2"/>
          </rPr>
          <t>How surprising this coefficient would be if its true effect were zero. Smaller values mean stronger evidence of a real effect.</t>
        </r>
      </text>
    </comment>
    <comment ref="Q20" authorId="0" shapeId="0" xr:uid="{6208D7A6-E797-47BE-A9F0-373DD72C9119}">
      <text>
        <r>
          <rPr>
            <b/>
            <sz val="9"/>
            <color indexed="81"/>
            <rFont val="Tahoma"/>
            <family val="2"/>
          </rPr>
          <t>The lower bound of the 95% confidence interval.</t>
        </r>
      </text>
    </comment>
    <comment ref="R20" authorId="0" shapeId="0" xr:uid="{D152CBEE-C276-4141-AED2-14183FFE6EFE}">
      <text>
        <r>
          <rPr>
            <b/>
            <sz val="9"/>
            <color indexed="81"/>
            <rFont val="Tahoma"/>
            <family val="2"/>
          </rPr>
          <t>The upper bound of the 95% confidence interval.</t>
        </r>
      </text>
    </comment>
    <comment ref="S20" authorId="0" shapeId="0" xr:uid="{25B1E7B0-1B83-4AC8-A411-97EE58FB7951}">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<sst xmlns="http://schemas.openxmlformats.org/spreadsheetml/2006/main" count="6627" uniqueCount="839">
  <si>
    <t>Function Name</t>
  </si>
  <si>
    <t>Definition</t>
  </si>
  <si>
    <t>Arguments</t>
  </si>
  <si>
    <t>Yields</t>
  </si>
  <si>
    <t>Plain-Language Summary</t>
  </si>
  <si>
    <t>Description</t>
  </si>
  <si>
    <t>Observations</t>
  </si>
  <si>
    <t>n — count of rows used in the regression as a scalar integer</t>
  </si>
  <si>
    <t>How many rows of data the model is using.</t>
  </si>
  <si>
    <t>n (number of observations) is the count of data points available to the model after any filtering is applied. It is the fundamental sample size that drives all degrees-of-freedom calculations.
Returns ROWS(FILTER(Y, filt_arg)). X_s is not required because row count is fully determined by Y.</t>
  </si>
  <si>
    <t>DF_Regression</t>
  </si>
  <si>
    <t>=LAMBDA(X_s,
  COLUMNS(X_s))</t>
  </si>
  <si>
    <t>X_s: column range of predictors (single or multi-column)</t>
  </si>
  <si>
    <t>df_regression (k, number of predictors) as a scalar integer</t>
  </si>
  <si>
    <t>How many predictor slots the model is trying to fit.</t>
  </si>
  <si>
    <t>DF_Total</t>
  </si>
  <si>
    <t>df_total (n-1 with intercept, n without) as a scalar integer</t>
  </si>
  <si>
    <t>The total amount of independent information in the outcome column.</t>
  </si>
  <si>
    <t>df_total is the total degrees of freedom for the sum of squares. When an intercept is fit (default), one df is spent estimating the grand mean, giving n - 1. When the model is forced through the origin (Allow_Intercept = FALSE), no df is spent on the mean, giving n. df_total partitions into df_regression + df_residual.
Calls Observations() for n, then returns IF(allow_arg, n-1, n).</t>
  </si>
  <si>
    <t>R_squared</t>
  </si>
  <si>
    <t>R² (coefficient of determination) as a scalar in [0, 1]</t>
  </si>
  <si>
    <t>How much of the outcome's movement the model explains.</t>
  </si>
  <si>
    <t>R² (coefficient of determination) is the proportion of variance in Y explained by the regression model. It equals SS_regression / SS_total, ranges from 0 (no explanatory power) to 1 (perfect fit), and is the square of Multiple R.
Returns INDEX(LINEST(...), 3, 1) directly. R_squared is the base statistic from which Multiple_R and Adjusted_R2 are derived.</t>
  </si>
  <si>
    <t>DF_Residual</t>
  </si>
  <si>
    <t>df_residual (n-k-1 with intercept, n-k without) as a scalar integer</t>
  </si>
  <si>
    <t>How much data is left to estimate random error after fitting the model.</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</si>
  <si>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DF_Total(...) - DF_Regression(...), inheriting the Allow_Intercept correction from DF_Total.</t>
  </si>
  <si>
    <t>Multiple_R</t>
  </si>
  <si>
    <t>Multiple R (correlation coefficient) as a scalar in [0, 1]</t>
  </si>
  <si>
    <t>How closely the model's predictions track the real outcome values.</t>
  </si>
  <si>
    <t>Multiple R is the Pearson correlation between the observed values of Y and the values predicted by the regression model. It ranges from 0 (no linear relationship) to 1 (perfect linear fit) and is the square root of R².
Computed as SQRT(R_squared(...)).</t>
  </si>
  <si>
    <t>Adjusted_R2</t>
  </si>
  <si>
    <t>Adjusted R² as a scalar, typically in [0, 1] but can be negative</t>
  </si>
  <si>
    <t>R-squared adjusted so extra predictors do not get free credit.</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</si>
  <si>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DF_Total(...) / DF_Residual(...), inheriting the Allow_Intercept correction from both df functions.</t>
  </si>
  <si>
    <t>SS_Total</t>
  </si>
  <si>
    <t>SS_total (total sum of squares) as a scalar</t>
  </si>
  <si>
    <t>All of the variation in Y before the model explains any of it.</t>
  </si>
  <si>
    <t>SS_total is the total variation in Y before any predictors are added. With an intercept it equals the sum of squared deviations from the mean — DEVSQ(Y). Without an intercept it equals the raw sum of squares — SUMSQ(Y). It is the denominator in the R² formula and partitions into SS_regression + SS_residual.
Returns DEVSQ(filtered_Y) when Allow_Intercept is TRUE, SUMSQ(filtered_Y) when FALSE. Does not require X_s.</t>
  </si>
  <si>
    <t>SS_Residual</t>
  </si>
  <si>
    <t>SS_residual (residual/error sum of squares) as a scalar</t>
  </si>
  <si>
    <t>The part of Y's variation the model still misses.</t>
  </si>
  <si>
    <t>SS_residual (also called SS_error) is the variation in Y left unexplained by the regression model — the sum of squared differences between observed and fitted values. It equals SS_total × (1 - R²) and shrinks as the model improves.
Computed as SS_Total(...) * (1 - R_squared(...)).</t>
  </si>
  <si>
    <t>SS_Regression</t>
  </si>
  <si>
    <t>SS_regression (explained/model sum of squares) as a scalar</t>
  </si>
  <si>
    <t>The part of Y's variation the model successfully explains.</t>
  </si>
  <si>
    <t>SS_regression (also called SS_model or SS_explained) is the variation in Y explained by the regression model — the reduction in total variation achieved by adding the predictors. It equals SS_total × R² and grows as the model explains more.
Computed as SS_Total(...) * R_squared(...).</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</si>
  <si>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</si>
  <si>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</si>
  <si>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</si>
  <si>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</si>
  <si>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</si>
  <si>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</si>
  <si>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</si>
  <si>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MS_Residual is the mean square for residual error: SS_Residual divided by df_Residual. It equals SE_Regression² and is the denominator of the overall F-statistic. It represents the average unexplained variation per residual degree of freedom.</t>
  </si>
  <si>
    <t>SE_Regression</t>
  </si>
  <si>
    <t>SE_regression (standard error of the regression) as a scalar</t>
  </si>
  <si>
    <t>The typical size of the model's prediction mistakes, in Y units.</t>
  </si>
  <si>
    <t>SE_regression (also called the root mean square error or S) measures the typical distance between observed Y values and the regression line, in the same units as Y. It equals √(SS_residual / df_residual) = √MSE. Smaller values indicate a tighter fit.
Computed as SQRT(SS_Residual(...) / DF_Residual(...)).</t>
  </si>
  <si>
    <t>PRESS</t>
  </si>
  <si>
    <t>PRESS (Prediction Residual Error Sum of Squares) as a scalar</t>
  </si>
  <si>
    <t>How well the model predicts rows it did not get to train on.</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</si>
  <si>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Leverage is obtained from Hat_diagonal, which delegates the matrix inversion to Gram_Inverse. Then SUMSQ(e / (1 − h)) gives PRESS as a scalar.</t>
  </si>
  <si>
    <t>AIC</t>
  </si>
  <si>
    <t>Akaike Information Criterion (AIC) scalar</t>
  </si>
  <si>
    <t>A score for comparing models that rewards fit but penalizes extra complexity.</t>
  </si>
  <si>
    <t>AIC = n·ln(SSR/n) + 2p, where p = number of regression parameters (predictors + intercept when Allow_Intercept is TRUE). Smaller values indicate better-fitting models; compare across models on the same dataset.</t>
  </si>
  <si>
    <t>BIC</t>
  </si>
  <si>
    <t>Bayesian Information Criterion (BIC) scalar</t>
  </si>
  <si>
    <t>A model-comparison score that penalizes extra complexity more strongly than AIC.</t>
  </si>
  <si>
    <t>BIC = n·ln(SSR/n) + p·ln(n), where p = number of regression parameters. Applies a heavier penalty than AIC for additional parameters, favouring sparser models in large samples.</t>
  </si>
  <si>
    <t>AICc</t>
  </si>
  <si>
    <t>Corrected Akaike Information Criterion (AICc) scalar</t>
  </si>
  <si>
    <t>AIC with an extra small-sample penalty.</t>
  </si>
  <si>
    <t>AICc = AIC + 2p(p+1)/(n−p−1). The small-sample correction reduces upward bias in AIC when n/p &lt; 40. Converges to AIC as n → ∞.</t>
  </si>
  <si>
    <t>Durbin_Watson</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</si>
  <si>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</si>
  <si>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</si>
  <si>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</si>
  <si>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</si>
  <si>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</si>
  <si>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</si>
  <si>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</si>
  <si>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</si>
  <si>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vertical array of fitted OLS coefficients — intercept first (when included), then predictors in input order</t>
  </si>
  <si>
    <t>The fitted intercept and predictor weights used to make predictions.</t>
  </si>
  <si>
    <t>Returns a vertical spill array of the fitted OLS regression coefficients. When Allow_Intercept is TRUE the intercept is the first element, followed by the coefficients for each column of X_s in input order. When Allow_Intercept is FALSE the output contains only the k predictor coefficients.
Uses LINEST with stats=FALSE (row 1 only), then reverses and optionally prepends the intercept to match X_s column order.</t>
  </si>
  <si>
    <t>SE_Coefficients</t>
  </si>
  <si>
    <t>vertical array of standard errors of the OLS coefficients — same order as Coefficients</t>
  </si>
  <si>
    <t>How uncertain each fitted coefficient is.</t>
  </si>
  <si>
    <t>Returns a vertical spill array of the standard errors of the fitted OLS coefficients, in the same order as Coefficients (intercept first when included).
Uses LINEST with stats=TRUE and extracts row 2 (the standard error row), then applies the same reversal as Coefficients.</t>
  </si>
  <si>
    <t>T_Stats</t>
  </si>
  <si>
    <t>vertical array of t-statistics for each coefficient (coefficient / standard error)</t>
  </si>
  <si>
    <t>Each coefficient measured in standard-error units.</t>
  </si>
  <si>
    <t>Returns a vertical spill array of t-statistics for each OLS coefficient. Each element equals the corresponding Coefficients value divided by its SE_Coefficients value.
Computed as Coefficients(...) / SE_Coefficients(...).</t>
  </si>
  <si>
    <t>P_Values</t>
  </si>
  <si>
    <t>vertical array of two-tailed p-values for each coefficient</t>
  </si>
  <si>
    <t>How surprising each coefficient would be if its true effect were zero.</t>
  </si>
  <si>
    <t>Returns a vertical spill array of two-tailed p-values for each OLS coefficient, testing the null hypothesis that the true coefficient equals zero.
Computed as T.DIST.2T(ABS(T_Stats(...)), DF_Residual(...)).</t>
  </si>
  <si>
    <t>CI_Lower</t>
  </si>
  <si>
    <t>vertical array of lower confidence interval bounds for each coefficient</t>
  </si>
  <si>
    <t>The low end of the likely range for each coefficient.</t>
  </si>
  <si>
    <t>Returns a vertical spill array of the lower bounds of the confidence intervals for each OLS coefficient. Uses a two-tailed t critical value at significance level Alpha (default 0.05, yielding 95% CIs).
Computed as Coefficients(...) - T.INV.2T(Alpha, DF_Residual(...)) * SE_Coefficients(...).</t>
  </si>
  <si>
    <t>CI_Upper</t>
  </si>
  <si>
    <t>vertical array of upper confidence interval bounds for each coefficient</t>
  </si>
  <si>
    <t>The high end of the likely range for each coefficient.</t>
  </si>
  <si>
    <t>Returns a vertical spill array of the upper bounds of the confidence intervals for each OLS coefficient. Uses a two-tailed t critical value at significance level Alpha (default 0.05, yielding 95% CIs).
Computed as Coefficients(...) + T.INV.2T(Alpha, DF_Residual(...)) * SE_Coefficients(...).</t>
  </si>
  <si>
    <t>Partial_R2</t>
  </si>
  <si>
    <t>vertical array of partial R² values — same order as Coefficients (intercept first when included)</t>
  </si>
  <si>
    <t>How much unique explanatory value each predictor adds after controlling for the rest.</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</si>
  <si>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T_Stats² / (T_Stats² + DF_Residual), element-wise. The intercept row is included (row 1) for consistency with T_Stats and P_Values.</t>
  </si>
  <si>
    <t>Partial_Correlation</t>
  </si>
  <si>
    <t>vertical array of partial correlation coefficients — same order as Coefficients (intercept first when included)</t>
  </si>
  <si>
    <t>The predictor-outcome relationship left over after accounting for the other predictors.</t>
  </si>
  <si>
    <t>Partial correlation for coefficient j = tⱼ / √(t²ⱼ + df_residual), the sign-preserving linear correlation between Y and Xⱼ after partialling out all other predictors from both Y and Xⱼ. Equals √(Partial_R2) × sign(t).
Computed as T_Stats / SQRT(T_Stats² + DF_Residual), element-wise. Ranges from −1 to +1.</t>
  </si>
  <si>
    <t>Beta_Weights</t>
  </si>
  <si>
    <t>k×1 column vector of standardized coefficients (Beta weights), one per predictor — intercept row excluded</t>
  </si>
  <si>
    <t>Coefficients rescaled so predictors on different units can be compared fairly.</t>
  </si>
  <si>
    <t>Standardized (Beta) coefficient for predictor j = b_j × std(X_j) / std(Y). Expresses each coefficient in standard-deviation units, making predictors with different scales directly comparable in magnitude. Always returns k values (one per predictor); the intercept has no meaningful standardized counterpart and is excluded.
Computed as Coefficients × column-wise STDEV(X) / STDEV(Y), using filtered rows. Mirrors the output of VIF and Tolerance in returning k rows without an intercept entry.</t>
  </si>
  <si>
    <t>VIF</t>
  </si>
  <si>
    <t>k×1 column vector of VIF values, one per predictor (does not include an intercept row)</t>
  </si>
  <si>
    <t>How much overlap with other predictors is inflating each coefficient's instability.</t>
  </si>
  <si>
    <t>Variance Inflation Factor for each predictor Xⱼ = 1 / (1 − R²ⱼ), where R²ⱼ is the R² from regressing Xⱼ on all other predictors. VIF measures how much the variance of coefficient j is inflated by multicollinearity. VIF = 1 means no collinearity; VIF &gt; 10 (or &gt; 5 by stricter convention) signals a problem.
Auxiliary regressions always include an intercept regardless of the main model's Allow_Intercept setting (standard convention). When k = 1 the function returns 1 (no collinearity possible with a single predictor). Uses MAKEARRAY + FILTER to iterate over column indices without VBA or helper columns.</t>
  </si>
  <si>
    <t>Tolerance</t>
  </si>
  <si>
    <t>k×1 column vector of Tolerance values (= 1/VIF), one per predictor</t>
  </si>
  <si>
    <t>How much unique information a predictor still has after overlap with the others.</t>
  </si>
  <si>
    <t>Tolerance = 1 − R²ⱼ = 1 / VIF, where R²ⱼ is the coefficient of determination from regressing Xⱼ on all other predictors. Values below 0.1 (VIF &gt; 10) conventionally flag severe multicollinearity; values below 0.2 (VIF &gt; 5) flag moderate concern.
Computed as 1 / VIF(...), forwarding all arguments.</t>
  </si>
  <si>
    <t>Prediction_Interval</t>
  </si>
  <si>
    <t>6-element vertical array: [Point Estimate, SE Prediction, t Critical, Lower bound, Upper bound, Confidence Level]</t>
  </si>
  <si>
    <t>A predicted outcome plus the range a new real-world observation is likely to fall in.</t>
  </si>
  <si>
    <t>Returns a 6-element VSTACK: (1) point estimate = x_new · beta, (2) SE of prediction = s √(1 + x_new'(X'X)⁻¹x_new), (3) t critical value at alpha, (4) lower prediction bound, (5) upper prediction bound, (6) confidence level = 1 − alpha.
When Allow_Intercept is FALSE the first element of X_new (the intercept placeholder) is dropped before the dot product and leverage calculation to align dimensions with the k-column design matrix. Leverage h_new is computed as x_new'(X'X)⁻¹x_new using Gram_Inverse(X_design) and MMULT.</t>
  </si>
  <si>
    <t>Observation_Num</t>
  </si>
  <si>
    <t>1..n observation index as a spilled vector</t>
  </si>
  <si>
    <t>A simple 1-to-n row counter for the filtered data.</t>
  </si>
  <si>
    <t>Spills 1..n, where n is the number of filtered observations.</t>
  </si>
  <si>
    <t>Rank_Fraction</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</si>
  <si>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</si>
  <si>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</si>
  <si>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</si>
  <si>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</si>
  <si>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sorted filtered Y values as a spilled vector</t>
  </si>
  <si>
    <t>The filtered outcome values sorted from low to high.</t>
  </si>
  <si>
    <t>Useful for empirical distribution/probability plots of the response variable.</t>
  </si>
  <si>
    <t>Dependent_Var</t>
  </si>
  <si>
    <t>The filtered outcome column in the order the model uses it.</t>
  </si>
  <si>
    <t>Returns the dependent-variable vector used by residual and diagnostic outputs.</t>
  </si>
  <si>
    <t>Normal_Scores</t>
  </si>
  <si>
    <t>theoretical standard-normal scores as a spilled vector</t>
  </si>
  <si>
    <t>The bell-curve quantiles used to build a Q-Q plot.</t>
  </si>
  <si>
    <t>Intended for normal probability plot x-values.</t>
  </si>
  <si>
    <t>Design_Matrix</t>
  </si>
  <si>
    <t>filtered numeric design matrix as spilled array</t>
  </si>
  <si>
    <t>The cleaned predictor matrix the regression actually fits.</t>
  </si>
  <si>
    <t>Returns the matrix used for prediction: with intercept, a leading column of 1s followed by filtered X columns; without intercept, filtered X columns only. Factor encoding is intentionally deferred.</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</si>
  <si>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</si>
  <si>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</si>
  <si>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</si>
  <si>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</si>
  <si>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</si>
  <si>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</si>
  <si>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Predictions</t>
  </si>
  <si>
    <t>fitted Y values as a spilled vector</t>
  </si>
  <si>
    <t>The model's fitted Y values for each row.</t>
  </si>
  <si>
    <t>Computes X_design * beta using MMULT.</t>
  </si>
  <si>
    <t>Residuals</t>
  </si>
  <si>
    <t>raw residuals as a spilled vector</t>
  </si>
  <si>
    <t>How far each actual Y value is above or below its fitted value.</t>
  </si>
  <si>
    <t>Residuals are Y - fitted Y.</t>
  </si>
  <si>
    <t>Scaled_Residuals</t>
  </si>
  <si>
    <t>residual divided by SE_Regression as a spilled vector</t>
  </si>
  <si>
    <t>Residuals converted to a common error scale.</t>
  </si>
  <si>
    <t>Residual divided by SE_Regression. This is not Excel Analysis ToolPak 'Standard Residuals' and is not leverage-adjusted/studentized.</t>
  </si>
  <si>
    <t>This_row</t>
  </si>
  <si>
    <t>=LAMBDA(array,
  SEQUENCE(ROWS(array))
)</t>
  </si>
  <si>
    <t>array: any contiguous array (including one that has already been filtered)</t>
  </si>
  <si>
    <t>1..n column vector of relative row numbers</t>
  </si>
  <si>
    <t>Relative row numbers for the current spilled array.</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</si>
  <si>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</si>
  <si>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</si>
  <si>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</si>
  <si>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</si>
  <si>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</si>
  <si>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</si>
  <si>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</si>
  <si>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LOO_prediction</t>
  </si>
  <si>
    <t>scalar LOO prediction for observation n — the fitted value from a model trained on all rows except n, evaluated at row n of X_s</t>
  </si>
  <si>
    <t>One leave-one-out prediction for the requested row.</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</si>
  <si>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</si>
  <si>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</si>
  <si>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n-element spill vector of LOO predictions for every filtered observation</t>
  </si>
  <si>
    <t>Each row's prediction from a model refit without that row.</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</si>
  <si>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so SUMSQ(LOOCV_residuals) = PRESS.</t>
  </si>
  <si>
    <t>Hat_diagonal</t>
  </si>
  <si>
    <t>n-element hat-matrix diagonal (leverage values) as spilled vector</t>
  </si>
  <si>
    <t>Each row's leverage, meaning how unusual its predictor values are.</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</si>
  <si>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</si>
  <si>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Studentized_Residuals</t>
  </si>
  <si>
    <t>n-element vector of internally studentized residuals</t>
  </si>
  <si>
    <t>Residuals adjusted for both model error and leverage.</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</si>
  <si>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t>
  </si>
  <si>
    <t>Studentized_Residuals_Ranked</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</si>
  <si>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</si>
  <si>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</si>
  <si>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</si>
  <si>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</si>
  <si>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</si>
  <si>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</si>
  <si>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</si>
  <si>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</si>
  <si>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sorted scaled residuals as spilled vector</t>
  </si>
  <si>
    <t>Scaled residuals sorted from smallest to largest.</t>
  </si>
  <si>
    <t>Sorted Scaled_Residuals, intended for plotting against Normal_Scores.</t>
  </si>
  <si>
    <t>Col_Select</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</si>
  <si>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</si>
  <si>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</si>
  <si>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</si>
  <si>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</si>
  <si>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Wraps CHOOSECOLS to give column selection a named, self-documenting form. The output is a calculated array with the same row count as the source table, valid as X_s in any library function.
Primary use: define a named range — e.g. X_Predictors = Col_Select(LifeData, {3,7,9}) — then pass that name as X_s. Non-contiguous column sets are fully supported. Combine with Complete_Cases_Filter to drop rows that have missing or non-numeric values in the chosen columns.</t>
  </si>
  <si>
    <t>Complete_Cases_Filter</t>
  </si>
  <si>
    <t>=LAMBDA(X_s, [Y],
  LET(
    combined, IF(ISOMITTED(Y), X_s, HSTACK(X_s, Y)),
    MMULT((ISNUMBER(combined)) * 1, SEQUENCE(COLUMNS(combined), 1, 1, 0)) = COLUMNS(combined)
  )
)</t>
  </si>
  <si>
    <t>X_s: column range of predictors (single or multi-column), or a Col_Select result
[Y]: single-column outcome range; when supplied, rows where Y is also non-numeric are excluded</t>
  </si>
  <si>
    <t>boolean column vector — TRUE for rows where every included column is numeric</t>
  </si>
  <si>
    <t>A TRUE/FALSE mask that keeps only rows with usable numeric data.</t>
  </si>
  <si>
    <t>Pearson_R</t>
  </si>
  <si>
    <t>k×1 column vector of Pearson correlations between each predictor and Y</t>
  </si>
  <si>
    <t>The straight-line relationship between each predictor and the outcome.</t>
  </si>
  <si>
    <t>Spearman_R</t>
  </si>
  <si>
    <t>k×1 column vector of Spearman rank correlations between each predictor and Y</t>
  </si>
  <si>
    <t>The rank-order relationship between each predictor and the outcome.</t>
  </si>
  <si>
    <t>Skewness</t>
  </si>
  <si>
    <t>k×1 column vector of sample skewness values (one per column of X_s)</t>
  </si>
  <si>
    <t>Whether a variable has a longer tail on one side than the other.</t>
  </si>
  <si>
    <t>Skewness returns the sample skewness (Fisher-Pearson standardized third moment) for each column of X_s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</si>
  <si>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Kurtosis</t>
  </si>
  <si>
    <t>k×1 column vector of excess kurtosis values (one per column of X_s)</t>
  </si>
  <si>
    <t>Whether a variable has unusually heavy tails or outliers.</t>
  </si>
  <si>
    <t>Kurtosis returns the excess kurtosis for each filtered column of X_s.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</si>
  <si>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F_Stat</t>
  </si>
  <si>
    <t>F-statistic for the overall regression model as a scalar</t>
  </si>
  <si>
    <t>Whether the model, taken as a whole, explains more than random noise would.</t>
  </si>
  <si>
    <t>F_Stat returns the F-statistic for the omnibus test of the null hypothesis that all regression coefficients are simultaneously zero. It equals (MS_Regression / MS_Residual) = (SS_Regression / df_regression) / (SS_Residual / df_residual).
A large F-statistic (and correspondingly small P_Value_F) means the model explains significantly more variance than would be expected by chance. Note that a significant F does not guarantee that every individual predictor is significant — individual t-statistics (T_Stats) address that question. F_Stat appears in the ANOVA table on the Regression sheet; this function exposes it as a named reference for use in other formulas.</t>
  </si>
  <si>
    <t>P_Value_F</t>
  </si>
  <si>
    <t>p-value for the overall F-test (right-tail probability of the F distribution)</t>
  </si>
  <si>
    <t>How surprising the overall F-statistic would be if the model had no real signal.</t>
  </si>
  <si>
    <t>P_Value_F returns the p-value for the overall model F-test: the probability of observing an F-statistic at least as large as F_Stat under the null hypothesis that all coefficients are zero. Computed as F.DIST.RT(F_Stat, df_regression, df_residual).
Conventionally, P_Value_F &lt; 0.05 indicates that the model as a whole fits the data significantly better than a null model. This p-value appears in the Significance F column of the Regression sheet ANOVA table; this function exposes it for programmatic use.</t>
  </si>
  <si>
    <t>Correlation_Matrix</t>
  </si>
  <si>
    <t>k×k symmetric matrix of pairwise Pearson correlations (diagonal = 1)</t>
  </si>
  <si>
    <t>The pairwise correlations among all predictor columns.</t>
  </si>
  <si>
    <t>Correlation_Matrix returns the k×k Pearson correlation matrix for all columns of X_s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</si>
  <si>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</si>
  <si>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</si>
  <si>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</si>
  <si>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</si>
  <si>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</si>
  <si>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</si>
  <si>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Descriptive_Stats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</si>
  <si>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</si>
  <si>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</si>
  <si>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</si>
  <si>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</si>
  <si>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Descriptive_Stats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INDEX(Descriptive_Stats(data), 1) = mean, INDEX(..., 4) = SD, etc. Or enter as a single spill formula to populate all 12 rows at once.</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</si>
  <si>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</si>
  <si>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</si>
  <si>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</si>
  <si>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</si>
  <si>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</si>
  <si>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</si>
  <si>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</si>
  <si>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</si>
  <si>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</si>
  <si>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</si>
  <si>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</si>
  <si>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FD_Bins</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</si>
  <si>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</si>
  <si>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</si>
  <si>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</si>
  <si>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FD_Bins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</si>
  <si>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n_histogram_bins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</si>
  <si>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</si>
  <si>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</si>
  <si>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</si>
  <si>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</si>
  <si>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n_histogram_bins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</si>
  <si>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Bin_Edges</t>
  </si>
  <si>
    <t>=LAMBDA(data, [method], [filter],
  LET(
    filt_arg, IF(ISOMITTED(filter), ISNUMBER(data), filter),
    x, FILTER(data, filt_arg),
    min_x, MIN(x),
    max_x, MAX(x),
    k, n_histogram_bins(data, IF(ISOMITTED(method), "FD", method), filt_arg),
    width, (max_x - min_x) / k,
    SEQUENCE(k, 1, min_x + width, width)
  ))</t>
  </si>
  <si>
    <t>k×1 column vector of upper bin edges (evenly spaced from min to max)</t>
  </si>
  <si>
    <t>The upper edge of each histogram bin for a chosen binning method (default: Freedman-Diaconis).</t>
  </si>
  <si>
    <t>Bin_Edges returns a column vector of upper bin edges using the specified bin-count rule, defaulting to Freedman-Diaconis when method is omitted. Edges are evenly spaced from min+width to max (half-open (lower, upper] intervals matching Excel's FREQUENCY and histogram-chart convention). The vector length equals the bin count from the chosen method.
Pass the output directly to Bin_Counts. Use the spill range (e.g. F4#) as the chart category axis. The bin width equals (max − min) / k regardless of the rule — the rule determines only k.</t>
  </si>
  <si>
    <t>Bin_Counts</t>
  </si>
  <si>
    <t>=LAMBDA(data, edges, [filter],
  LET(
    filt_arg, IF(ISOMITTED(filter), ISNUMBER(data), filter),
    x, FILTER(data, filt_arg),
    TAKE(FREQUENCY(x, edges), ROWS(edges))
  ))</t>
  </si>
  <si>
    <t>data: single-column numeric data range
edges: column vector of upper bin edges (from Bin_Edges or custom)
[filter]: optional boolean array</t>
  </si>
  <si>
    <t>k×1 column vector of bin frequencies</t>
  </si>
  <si>
    <t>How many data values fall into each histogram bin.</t>
  </si>
  <si>
    <t>Bin_Counts uses Excel's FREQUENCY to count observations in each bin defined by the upper edges vector. TAKE trims the overflow element that FREQUENCY always appends, so the output length matches the edges length exactly.
Matches Excel's half-open (lower, upper] convention: the first bin counts all values ≤ edges[1]; subsequent bins count values where edges[i-1] &lt; x ≤ edges[i]. Enter as a spill formula in the column next to the edges output.</t>
  </si>
  <si>
    <t>NLL_Normal</t>
  </si>
  <si>
    <t>data: single-column data range
mean: distribution mean parameter μ
sd: distribution standard deviation σ (must be &gt; 0)
[filter]: optional boolean array; defaults to ISNUMBER(data)</t>
  </si>
  <si>
    <t>How unlikely the Normal distribution is to have generated this data at the given parameters.</t>
  </si>
  <si>
    <t>NLL_Lognormal</t>
  </si>
  <si>
    <t>data: single-column data range (all values must be &gt; 0)
meanlog: mean of ln(data), μ_ln
sdlog: standard deviation of ln(data), σ_ln (must be &gt; 0)
[filter]: optional boolean array; defaults to ISNUMBER(data)</t>
  </si>
  <si>
    <t>How unlikely the Lognormal distribution is to have generated this data at the given parameters.</t>
  </si>
  <si>
    <t>NLL_Exponential</t>
  </si>
  <si>
    <t>data: single-column data range (all values must be ≥ 0)
rate: rate parameter λ = 1/mean (must be &gt; 0)
[filter]: optional boolean array; defaults to ISNUMBER(data)</t>
  </si>
  <si>
    <t>How unlikely the Exponential distribution is to have generated this data at the given rate.</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</si>
  <si>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</si>
  <si>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</si>
  <si>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</si>
  <si>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</si>
  <si>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</si>
  <si>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</si>
  <si>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</si>
  <si>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</si>
  <si>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</si>
  <si>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</si>
  <si>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</si>
  <si>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</si>
  <si>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</si>
  <si>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</si>
  <si>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</si>
  <si>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</si>
  <si>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</si>
  <si>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</si>
  <si>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</si>
  <si>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</si>
  <si>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</si>
  <si>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</si>
  <si>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</si>
  <si>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</si>
  <si>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</si>
  <si>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</si>
  <si>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</si>
  <si>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</si>
  <si>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</si>
  <si>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</si>
  <si>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</si>
  <si>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</si>
  <si>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</si>
  <si>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</si>
  <si>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</si>
  <si>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</si>
  <si>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</si>
  <si>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</si>
  <si>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</si>
  <si>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</si>
  <si>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</si>
  <si>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</si>
  <si>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</si>
  <si>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</si>
  <si>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</si>
  <si>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</si>
  <si>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</si>
  <si>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</si>
  <si>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</si>
  <si>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</si>
  <si>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</si>
  <si>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</si>
  <si>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</si>
  <si>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</si>
  <si>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</si>
  <si>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</si>
  <si>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</si>
  <si>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</si>
  <si>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</si>
  <si>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</si>
  <si>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</si>
  <si>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</si>
  <si>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</si>
  <si>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</si>
  <si>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</si>
  <si>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</si>
  <si>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</si>
  <si>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</si>
  <si>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</si>
  <si>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</si>
  <si>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</si>
  <si>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</si>
  <si>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</si>
  <si>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</si>
  <si>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</si>
  <si>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</si>
  <si>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</si>
  <si>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</si>
  <si>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</si>
  <si>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</si>
  <si>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</si>
  <si>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</si>
  <si>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</si>
  <si>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</si>
  <si>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</si>
  <si>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</si>
  <si>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</si>
  <si>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</si>
  <si>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</si>
  <si>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</si>
  <si>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</si>
  <si>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</si>
  <si>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</si>
  <si>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</si>
  <si>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</si>
  <si>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</si>
  <si>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</si>
  <si>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</si>
  <si>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</si>
  <si>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</si>
  <si>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</si>
  <si>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</si>
  <si>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</si>
  <si>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</si>
  <si>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</si>
  <si>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</si>
  <si>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</si>
  <si>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</si>
  <si>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</si>
  <si>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</si>
  <si>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</si>
  <si>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</si>
  <si>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</si>
  <si>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</si>
  <si>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</si>
  <si>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</si>
  <si>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</si>
  <si>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</si>
  <si>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</si>
  <si>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</si>
  <si>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</si>
  <si>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</si>
  <si>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</si>
  <si>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</si>
  <si>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</si>
  <si>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</si>
  <si>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</si>
  <si>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</si>
  <si>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</si>
  <si>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</si>
  <si>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</si>
  <si>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</si>
  <si>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</si>
  <si>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</si>
  <si>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</si>
  <si>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</si>
  <si>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</si>
  <si>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</si>
  <si>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</si>
  <si>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</si>
  <si>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</si>
  <si>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</si>
  <si>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</si>
  <si>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</si>
  <si>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</si>
  <si>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</si>
  <si>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</si>
  <si>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</si>
  <si>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</si>
  <si>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</si>
  <si>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</si>
  <si>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</si>
  <si>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</si>
  <si>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</si>
  <si>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</si>
  <si>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</si>
  <si>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</si>
  <si>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</si>
  <si>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</si>
  <si>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</si>
  <si>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</si>
  <si>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</si>
  <si>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</si>
  <si>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</si>
  <si>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</si>
  <si>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</si>
  <si>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</si>
  <si>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</si>
  <si>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</si>
  <si>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</si>
  <si>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</si>
  <si>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</si>
  <si>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</si>
  <si>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</si>
  <si>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</si>
  <si>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</si>
  <si>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</si>
  <si>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</si>
  <si>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</si>
  <si>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</si>
  <si>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</si>
  <si>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</si>
  <si>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</si>
  <si>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</si>
  <si>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</si>
  <si>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</si>
  <si>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</si>
  <si>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</si>
  <si>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</si>
  <si>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</si>
  <si>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</si>
  <si>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</si>
  <si>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</si>
  <si>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</si>
  <si>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</si>
  <si>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</si>
  <si>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</si>
  <si>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</si>
  <si>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</si>
  <si>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</si>
  <si>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</si>
  <si>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</si>
  <si>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</si>
  <si>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</si>
  <si>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</si>
  <si>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</si>
  <si>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</si>
  <si>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</si>
  <si>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</si>
  <si>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</si>
  <si>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</si>
  <si>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</si>
  <si>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</si>
  <si>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</si>
  <si>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</si>
  <si>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</si>
  <si>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</si>
  <si>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</si>
  <si>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</si>
  <si>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</si>
  <si>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</si>
  <si>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</si>
  <si>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</si>
  <si>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</si>
  <si>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</si>
  <si>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</si>
  <si>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</si>
  <si>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</si>
  <si>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</si>
  <si>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</si>
  <si>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</si>
  <si>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</si>
  <si>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</si>
  <si>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</si>
  <si>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</si>
  <si>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</si>
  <si>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</si>
  <si>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</si>
  <si>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</si>
  <si>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</si>
  <si>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</si>
  <si>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</si>
  <si>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</si>
  <si>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</si>
  <si>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</si>
  <si>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</si>
  <si>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</si>
  <si>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</si>
  <si>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</si>
  <si>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</si>
  <si>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</si>
  <si>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</si>
  <si>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</si>
  <si>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</si>
  <si>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</si>
  <si>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</si>
  <si>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</si>
  <si>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</si>
  <si>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</si>
  <si>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</si>
  <si>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How to use the Regression sheet for Multilinear Regression (MLR)</t>
  </si>
  <si>
    <t>To analyze your own dataset, copy the Regression sheet into your workbook (right-click the tab → Move or Copy). This carries over all workbook-scoped LAMBDA functions as well as the sheet-scoped named ranges used by the Regression sheet.</t>
  </si>
  <si>
    <t>Ensure your data is organized as a structured Excel table. Select the range including column headers and press Ctrl+T, or go to Home → Format as Table.</t>
  </si>
  <si>
    <t>Next, update the named ranges that point to your data. Open the Name Manager from Formulas → Name Manager. You will see the named ranges and the workbook-scoped LAMBDA functions listed there.</t>
  </si>
  <si>
    <t>Required Name Range Updates:</t>
  </si>
  <si>
    <t>In the Name Manager, update All_Xs (the “Refers To” field) to span all potential independent variable columns in your dataset.</t>
  </si>
  <si>
    <t>Update y to refer to your dependent variable column. It must span exactly the same rows as All_Xs.</t>
  </si>
  <si>
    <t>Optional — point prediction:</t>
  </si>
  <si>
    <t>To generate a point prediction and prediction interval, enter a value for each independent variable in the orange cells in column V under the PREDICTION INPUTS heading. Results appear automatically in the PREDICTION OUTPUTS box above. By default, these inputs are set to the mean of each independent variable in the data, so the SE prediction equals the SE of the regression.
If you are making a prediction using the regression, overwrite these defaults with the values of the independent variables for your scenario.</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</si>
  <si>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</si>
  <si>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</si>
  <si>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</si>
  <si>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</si>
  <si>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</si>
  <si>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</si>
  <si>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</si>
  <si>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</si>
  <si>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</si>
  <si>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</si>
  <si>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</si>
  <si>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</si>
  <si>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</si>
  <si>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</si>
  <si>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</si>
  <si>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</si>
  <si>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</si>
  <si>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</si>
  <si>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</si>
  <si>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</si>
  <si>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</si>
  <si>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</si>
  <si>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</si>
  <si>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</si>
  <si>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</si>
  <si>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</si>
  <si>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</si>
  <si>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</si>
  <si>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</si>
  <si>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</si>
  <si>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</si>
  <si>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</si>
  <si>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</si>
  <si>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</si>
  <si>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</si>
  <si>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</si>
  <si>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VIF (Variance Inflation Factor)</t>
  </si>
  <si>
    <t>Col I, Predictor Summary</t>
  </si>
  <si>
    <t>VIF &gt; 5  (possible collinearity)</t>
  </si>
  <si>
    <t>VIF &gt; 10  (strong collinearity)</t>
  </si>
  <si>
    <t>Col J, Predictor Summary</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</si>
  <si>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</si>
  <si>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</si>
  <si>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</si>
  <si>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</si>
  <si>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</si>
  <si>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</si>
  <si>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</si>
  <si>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</si>
  <si>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</si>
  <si>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</si>
  <si>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</si>
  <si>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</si>
  <si>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</si>
  <si>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</si>
  <si>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</si>
  <si>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</si>
  <si>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</si>
  <si>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</si>
  <si>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</si>
  <si>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</si>
  <si>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</si>
  <si>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</si>
  <si>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</si>
  <si>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</si>
  <si>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</si>
  <si>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</si>
  <si>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</si>
  <si>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</si>
  <si>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</si>
  <si>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</si>
  <si>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</si>
  <si>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</si>
  <si>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</si>
  <si>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</si>
  <si>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</si>
  <si>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</si>
  <si>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</si>
  <si>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</si>
  <si>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</si>
  <si>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</si>
  <si>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</si>
  <si>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</si>
  <si>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</si>
  <si>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</si>
  <si>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</si>
  <si>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</si>
  <si>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</si>
  <si>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Multicollinearity
(high VIF)</t>
  </si>
  <si>
    <t>VIF &gt; 10 for one or more predictors.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</si>
  <si>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</si>
  <si>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</si>
  <si>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</si>
  <si>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</si>
  <si>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</si>
  <si>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</si>
  <si>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</si>
  <si>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MODEL SELECTION</t>
  </si>
  <si>
    <t>In linear model?</t>
  </si>
  <si>
    <t>Allow Intercept</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</si>
  <si>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</si>
  <si>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</si>
  <si>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</si>
  <si>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</si>
  <si>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</si>
  <si>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</si>
  <si>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</si>
  <si>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</si>
  <si>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</si>
  <si>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</si>
  <si>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</si>
  <si>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</si>
  <si>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</si>
  <si>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</si>
  <si>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</si>
  <si>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</si>
  <si>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</si>
  <si>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</si>
  <si>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</si>
  <si>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</si>
  <si>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</si>
  <si>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</si>
  <si>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</si>
  <si>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</si>
  <si>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</si>
  <si>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</si>
  <si>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</si>
  <si>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</si>
  <si>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</si>
  <si>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</si>
  <si>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SE Prediction</t>
  </si>
  <si>
    <t>t Critical</t>
  </si>
  <si>
    <t>Confidence Level</t>
  </si>
  <si>
    <t>PREDICTION INPUTS</t>
  </si>
  <si>
    <t>Predictor</t>
  </si>
  <si>
    <t>Prediction Value</t>
  </si>
  <si>
    <t>Intercept</t>
  </si>
  <si>
    <t>RESIDUAL OUTPUT</t>
  </si>
  <si>
    <t>LOOCV Residual</t>
  </si>
  <si>
    <t>Hat Diagonal</t>
  </si>
  <si>
    <t>Normal Scores Ranked</t>
  </si>
  <si>
    <t>Univariate Analysis</t>
  </si>
  <si>
    <t>Data</t>
  </si>
  <si>
    <t>Descriptive Statistics</t>
  </si>
  <si>
    <t>Value</t>
  </si>
  <si>
    <t>Mean</t>
  </si>
  <si>
    <t>Median</t>
  </si>
  <si>
    <t>Mode</t>
  </si>
  <si>
    <t>Std Dev</t>
  </si>
  <si>
    <t>Variance</t>
  </si>
  <si>
    <t>Min</t>
  </si>
  <si>
    <t>Max</t>
  </si>
  <si>
    <t>Range</t>
  </si>
  <si>
    <t>Count</t>
  </si>
  <si>
    <t>Missing</t>
  </si>
  <si>
    <t>Histograms</t>
  </si>
  <si>
    <t>Sturges Method</t>
  </si>
  <si>
    <t>Upper Edge</t>
  </si>
  <si>
    <t>Scott Method</t>
  </si>
  <si>
    <t>Freedman-Diaconis Method</t>
  </si>
  <si>
    <t>Distribution Fitting/Comparison</t>
  </si>
  <si>
    <t>Distribution</t>
  </si>
  <si>
    <t>θ₁</t>
  </si>
  <si>
    <t>θ₂</t>
  </si>
  <si>
    <t>θ₃</t>
  </si>
  <si>
    <t>NLL</t>
  </si>
  <si>
    <t>k</t>
  </si>
  <si>
    <t>Normal</t>
  </si>
  <si>
    <t>Lognormal</t>
  </si>
  <si>
    <t>μ_ln</t>
  </si>
  <si>
    <t>σ_ln</t>
  </si>
  <si>
    <t>Exponential</t>
  </si>
  <si>
    <t>Rate</t>
  </si>
  <si>
    <t>Triangular</t>
  </si>
  <si>
    <t>BetaPERT</t>
  </si>
  <si>
    <t>Weibull</t>
  </si>
  <si>
    <t>shape</t>
  </si>
  <si>
    <t>scale</t>
  </si>
  <si>
    <t>Weibull Grid-Search MLE  —  Stage 1  (shape × scale)</t>
  </si>
  <si>
    <t>shape (k) range:</t>
  </si>
  <si>
    <t>scale (λ) range:</t>
  </si>
  <si>
    <t>Min NLL:</t>
  </si>
  <si>
    <t>Best shape:</t>
  </si>
  <si>
    <t>Best scale:</t>
  </si>
  <si>
    <t>Weibull Grid-Search MLE  —  Stage 2  (refined)</t>
  </si>
  <si>
    <t>=LAMBDA(Y, [Include],
  LET(
    filt_arg, IF(ISOMITTED(Include), TRUE, Include),
    ROWS(FILTER(Y, filt_arg))
  ))</t>
  </si>
  <si>
    <t>Y: single-column outcome range
[Include]: boolean array — TRUE includes the row, FALSE excludes it</t>
  </si>
  <si>
    <t>df_regression is the number of degrees of freedom attributable to the regression model — equal to k, the number of predictor columns. The intercept term (if any) is not counted here; it is accounted for implicitly in df_total.
Returns COLUMNS(X_s). Include and Allow_Intercept do not affect this value.</t>
  </si>
  <si>
    <t>=LAMBDA(Y, [Allow_Intercept], [Include],
  LET(
    allow_arg, IF(ISOMITTED(Allow_Intercept), TRUE, Allow_Intercept),
    filt_arg,  IF(ISOMITTED(Include),          TRUE, Include),
    n,         Observations(Y, filt_arg),
    IF(allow_arg, n - 1, n)
  ))</t>
  </si>
  <si>
    <t>Y: single-column outcome range
[Allow_Intercept]: TRUE/FALSE — fit intercept? Default TRUE
[Include]: boolean array — TRUE includes the row, FALSE excludes it</t>
  </si>
  <si>
    <t>=LAMBDA(X_s, Y, [Allow_Intercept], [Include],
  LET(
    allow_arg, IF(ISOMITTED(Allow_Intercept), TRUE, Allow_Intercept),
    filt_arg,  IF(ISOMITTED(Include),          TRUE, Include),
    INDEX(LINEST(FILTER(Y, filt_arg), FILTER(X_s, filt_arg), allow_arg, TRUE), 3, 1)
  ))</t>
  </si>
  <si>
    <t>X_s: column range of predictors (single or multi-column)
Y: single-column outcome range
[Allow_Intercept]: TRUE/FALSE — fit intercept? Default TRUE
[Include]: boolean array — TRUE includes the row, FALSE excludes it</t>
  </si>
  <si>
    <t>=LAMBDA(X_s, Y, [Allow_Intercept], [Include],
  LET(
    allow_arg, IF(ISOMITTED(Allow_Intercept), TRUE, Allow_Intercept),
    filt_arg,  IF(ISOMITTED(Include),          TRUE, Include),
    DF_Total(Y, allow_arg, filt_arg) - DF_Regression(X_s)
  ))</t>
  </si>
  <si>
    <t>=LAMBDA(X_s, Y, [Allow_Intercept], [Include],
  LET(
    allow_arg, IF(ISOMITTED(Allow_Intercept), TRUE, Allow_Intercept),
    filt_arg,  IF(ISOMITTED(Include),          TRUE, Include),
    SQRT(R_squared(X_s, Y, allow_arg, filt_arg))
  ))</t>
  </si>
  <si>
    <t>=LAMBDA(X_s, Y, [Allow_Intercept], [Include],
  LET(
    allow_arg, IF(ISOMITTED(Allow_Intercept), TRUE, Allow_Intercept),
    filt_arg,  IF(ISOMITTED(Include),          TRUE, Include),
    1 - (1 - R_squared(X_s, Y, allow_arg, filt_arg))
      * DF_Total(Y, allow_arg, filt_arg)
      / DF_Residual(X_s, Y, allow_arg, filt_arg)
  ))</t>
  </si>
  <si>
    <t>=LAMBDA(Y, [Allow_Intercept], [Include],
  LET(
    allow_arg, IF(ISOMITTED(Allow_Intercept), TRUE, Allow_Intercept),
    filt_arg,  IF(ISOMITTED(Include),          TRUE, Include),
    y_filt, FILTER(Y, filt_arg),
    IF(allow_arg, DEVSQ(y_filt), SUMSQ(y_filt))
  ))</t>
  </si>
  <si>
    <t>=LAMBDA(X_s, Y, [Allow_Intercept], [Include],
  LET(
    allow_arg, IF(ISOMITTED(Allow_Intercept), TRUE, Allow_Intercept),
    filt_arg,  IF(ISOMITTED(Include),          TRUE, Include),
    SS_Total(Y, allow_arg, filt_arg) * (1 - R_squared(X_s, Y, allow_arg, filt_arg))
  ))</t>
  </si>
  <si>
    <t>=LAMBDA(X_s, Y, [Allow_Intercept], [Include],
  LET(
    allow_arg, IF(ISOMITTED(Allow_Intercept), TRUE, Allow_Intercept),
    filt_arg,  IF(ISOMITTED(Include),          TRUE, Include),
    SS_Total(Y, allow_arg, filt_arg) * R_squared(X_s, Y, allow_arg, filt_arg)
  ))</t>
  </si>
  <si>
    <t>=LAMBDA(X_s, Y, [Allow_Intercept], [Include],
  LET(
    allow_arg, IF(ISOMITTED(Allow_Intercept), TRUE, Allow_Intercept),
    filt_arg,  IF(ISOMITTED(Include),          TRUE, Include),
    SS_Regression(X_s, Y, allow_arg, filt_arg) / DF_Regression(X_s)
  ))</t>
  </si>
  <si>
    <t>=LAMBDA(X_s, Y, [Allow_Intercept], [Include],
  LET(
    allow_arg, IF(ISOMITTED(Allow_Intercept), TRUE, Allow_Intercept),
    filt_arg,  IF(ISOMITTED(Include),          TRUE, Include),
    SS_Residual(X_s, Y, allow_arg, filt_arg) / DF_Residual(X_s, Y, allow_arg, filt_arg)
  ))</t>
  </si>
  <si>
    <t>=LAMBDA(X_s, Y, [Allow_Intercept], [Include],
  LET(
    allow_arg, IF(ISOMITTED(Allow_Intercept), TRUE, Allow_Intercept),
    filt_arg,  IF(ISOMITTED(Include),          TRUE, Include),
    SQRT(SS_Residual(X_s, Y, allow_arg, filt_arg) / DF_Residual(X_s, Y, allow_arg, filt_arg))
  ))</t>
  </si>
  <si>
    <t>=LAMBDA(X_s, Y, [Allow_Intercept], [Include],
  LET(
    allow_arg, IF(ISOMITTED(Allow_Intercept), TRUE, Allow_Intercept),
    filt_arg,  IF(ISOMITTED(Include),          TRUE, Include),
    e,         Residuals(X_s, Y, allow_arg, filt_arg),
    h,         Hat_diagonal(X_s, allow_arg, filt_arg),
    SUMSQ(e / (1 - h))
  ))</t>
  </si>
  <si>
    <t>=LAMBDA(X_s, Y, [Allow_Intercept], [Include],
  LET(
    allow_arg, IF(ISOMITTED(Allow_Intercept), TRUE, Allow_Intercept),
    filt_arg,  IF(ISOMITTED(Include), TRUE, Include),
    n,   Observations(Y, filt_arg),
    ssr, SS_Residual(X_s, Y, allow_arg, filt_arg),
    p,   DF_Regression(X_s) + IF(allow_arg, 1, 0),
    n * LN(ssr / n) + 2 * p
  ))</t>
  </si>
  <si>
    <t>=LAMBDA(X_s, Y, [Allow_Intercept], [Include],
  LET(
    allow_arg, IF(ISOMITTED(Allow_Intercept), TRUE, Allow_Intercept),
    filt_arg,  IF(ISOMITTED(Include), TRUE, Include),
    n,   Observations(Y, filt_arg),
    ssr, SS_Residual(X_s, Y, allow_arg, filt_arg),
    p,   DF_Regression(X_s) + IF(allow_arg, 1, 0),
    n * LN(ssr / n) + p * LN(n)
  ))</t>
  </si>
  <si>
    <t>=LAMBDA(X_s, Y, [Allow_Intercept], [Include],
  LET(
    allow_arg, IF(ISOMITTED(Allow_Intercept), TRUE, Allow_Intercept),
    filt_arg,  IF(ISOMITTED(Include), TRUE, Include),
    n,   Observations(Y, filt_arg),
    ssr, SS_Residual(X_s, Y, allow_arg, filt_arg),
    p,   DF_Regression(X_s) + IF(allow_arg, 1, 0),
    aic, n * LN(ssr / n) + 2 * p,
    aic + 2 * p * (p + 1) / (n - p - 1)
  ))</t>
  </si>
  <si>
    <t>=LAMBDA(X_s, Y, [Allow_Intercept], [Include],
  LET(
    allow_arg, IF(ISOMITTED(Allow_Intercept), TRUE, Allow_Intercept),
    filt_arg,  IF(ISOMITTED(Include),          TRUE, Include),
    e,         Residuals(X_s, Y, allow_arg, filt_arg),
    SUM((DROP(e, 1) - DROP(e, -1))^2) / SUM(e^2)
  ))</t>
  </si>
  <si>
    <t>=LAMBDA(X_s, Y, [Allow_Intercept], [Include],
  LET(
    allow_arg, IF(ISOMITTED(Allow_Intercept), TRUE, Allow_Intercept),
    filt_arg,  IF(ISOMITTED(Include), TRUE, Include),
    sr,        Scaled_Residuals_Ranked(X_s, Y, allow_arg, filt_arg),
    n,         ROWS(sr),
    ns,        NORM.S.INV((SEQUENCE(n) - 0.5) / n),
    CORREL(sr, ns)
  ))</t>
  </si>
  <si>
    <t>=LAMBDA(X_s, Y, [Allow_Intercept], [Include],
  LET(
    allow_arg, IF(ISOMITTED(Allow_Intercept), TRUE, Allow_Intercept),
    filt_arg,  IF(ISOMITTED(Include),          TRUE, Include),
    ls,        LINEST(FILTER(Y, filt_arg), FILTER(X_s, filt_arg), allow_arg, FALSE),
    k,         COLUMNS(X_s),
    TRANSPOSE(IF(allow_arg,
      HSTACK(INDEX(ls, 1, k + 1), CHOOSECOLS(ls, SEQUENCE(1, k, k, -1))),
      CHOOSECOLS(ls, SEQUENCE(1, k, k, -1))
    ))
  ))</t>
  </si>
  <si>
    <t>=LAMBDA(X_s, Y, [Allow_Intercept], [Include],
  LET(
    allow_arg, IF(ISOMITTED(Allow_Intercept), TRUE, Allow_Intercept),
    filt_arg,  IF(ISOMITTED(Include),          TRUE, Include),
    ls,        LINEST(FILTER(Y, filt_arg), FILTER(X_s, filt_arg), allow_arg, TRUE),
    ses,       INDEX(ls, 2),
    k,         COLUMNS(X_s),
    TRANSPOSE(IF(allow_arg,
      HSTACK(INDEX(ses, 1, k + 1), CHOOSECOLS(ses, SEQUENCE(1, k, k, -1))),
      CHOOSECOLS(ses, SEQUENCE(1, k, k, -1))
    ))
  ))</t>
  </si>
  <si>
    <t>=LAMBDA(X_s, Y, [Allow_Intercept], [Include],
  LET(
    allow_arg, IF(ISOMITTED(Allow_Intercept), TRUE, Allow_Intercept),
    filt_arg,  IF(ISOMITTED(Include),          TRUE, Include),
    Coefficients(X_s, Y, allow_arg, filt_arg) / SE_Coefficients(X_s, Y, allow_arg, filt_arg)
  ))</t>
  </si>
  <si>
    <t>=LAMBDA(X_s, Y, [Allow_Intercept], [Include],
  LET(
    allow_arg, IF(ISOMITTED(Allow_Intercept), TRUE, Allow_Intercept),
    filt_arg,  IF(ISOMITTED(Include),          TRUE, Include),
    T.DIST.2T(ABS(T_Stats(X_s, Y, allow_arg, filt_arg)), DF_Residual(X_s, Y, allow_arg, filt_arg))
  ))</t>
  </si>
  <si>
    <t>=LAMBDA(X_s, Y, [Allow_Intercept], [Include], [Alpha],
  LET(
    allow_arg,   IF(ISOMITTED(Allow_Intercept), TRUE, Allow_Intercept),
    filt_arg,    IF(ISOMITTED(Include),          TRUE, Include),
    alpha_arg,   IF(ISOMITTED(Alpha),           0.05, Alpha),
    Coefficients(X_s, Y, allow_arg, filt_arg)
      - T.INV.2T(alpha_arg, DF_Residual(X_s, Y, allow_arg, filt_arg))
        * SE_Coefficients(X_s, Y, allow_arg, filt_arg)
  ))</t>
  </si>
  <si>
    <t>X_s: column range of predictors (single or multi-column)
Y: single-column outcome range
[Allow_Intercept]: TRUE/FALSE — fit intercept? Default TRUE
[Include]: boolean array — TRUE includes the row, FALSE excludes it
[Alpha]: significance level (0–1); default 0.05 yields 95% CIs.</t>
  </si>
  <si>
    <t>=LAMBDA(X_s, Y, [Allow_Intercept], [Include], [Alpha],
  LET(
    allow_arg,   IF(ISOMITTED(Allow_Intercept), TRUE, Allow_Intercept),
    filt_arg,    IF(ISOMITTED(Include),          TRUE, Include),
    alpha_arg,   IF(ISOMITTED(Alpha),           0.05, Alpha),
    Coefficients(X_s, Y, allow_arg, filt_arg)
      + T.INV.2T(alpha_arg, DF_Residual(X_s, Y, allow_arg, filt_arg))
        * SE_Coefficients(X_s, Y, allow_arg, filt_arg)
  ))</t>
  </si>
  <si>
    <t>=LAMBDA(X_s, Y, [Allow_Intercept], [Include],
  LET(
    allow_arg, IF(ISOMITTED(Allow_Intercept), TRUE, Allow_Intercept),
    filt_arg,  IF(ISOMITTED(Include),          TRUE, Include),
    t,         T_Stats(X_s, Y, allow_arg, filt_arg),
    df,        DF_Residual(X_s, Y, allow_arg, filt_arg),
    t^2 / (t^2 + df)
  ))</t>
  </si>
  <si>
    <t>=LAMBDA(X_s, Y, [Allow_Intercept], [Include],
  LET(
    allow_arg, IF(ISOMITTED(Allow_Intercept), TRUE, Allow_Intercept),
    filt_arg,  IF(ISOMITTED(Include),          TRUE, Include),
    t,         T_Stats(X_s, Y, allow_arg, filt_arg),
    df,        DF_Residual(X_s, Y, allow_arg, filt_arg),
    t / SQRT(t^2 + df)
  ))</t>
  </si>
  <si>
    <t>=LAMBDA(X_s, Y, [Allow_Intercept], [Include],
  LET(
    allow_arg,  IF(ISOMITTED(Allow_Intercept), TRUE, Allow_Intercept),
    filt_arg,   IF(ISOMITTED(Include),          TRUE, Include),
    coefs,      Coefficients(X_s, Y, allow_arg, filt_arg),
    pred_coefs, IF(allow_arg, DROP(coefs, 1), coefs),
    sd_y,       STDEV(FILTER(Y, filt_arg)),
    k,          COLUMNS(X_s),
    sd_x,       MAKEARRAY(k, 1, LAMBDA(j, _, STDEV(FILTER(CHOOSECOLS(X_s, j), filt_arg)))),
    pred_coefs * sd_x / sd_y
  ))</t>
  </si>
  <si>
    <t>=LAMBDA(X_s, [Allow_Intercept], [Include],
  LET(
    filt_arg, IF(ISOMITTED(Include), TRUE, Include),
    k,        COLUMNS(X_s),
    IF(k = 1,
      1,
      LET(
        col_idx, SEQUENCE(1, k),
        R2_vec,  MAKEARRAY(k, 1, LAMBDA(j, _,
          R_squared(
            CHOOSECOLS(X_s, FILTER(col_idx, col_idx &lt;&gt; j)),
            CHOOSECOLS(X_s, j),
            TRUE,
            filt_arg
          )
        )),
        1 / (1 - R2_vec)
      )
    )
  ))</t>
  </si>
  <si>
    <t>X_s: column range of predictors (single or multi-column)
[Allow_Intercept]: TRUE/FALSE — included for interface consistency; VIF always fits intercept in auxiliary regressions
[Include]: boolean array — TRUE includes the row, FALSE excludes it</t>
  </si>
  <si>
    <t>=LAMBDA(X_s, [Allow_Intercept], [Include],
  1 / VIF(X_s, Allow_Intercept, Include)
)</t>
  </si>
  <si>
    <t>X_s: column range of predictors (single or multi-column)
[Allow_Intercept]: TRUE/FALSE — passed through to VIF; included for interface consistency
[Include]: boolean array — TRUE includes the row, FALSE excludes it</t>
  </si>
  <si>
    <t>=LAMBDA(X_s, Y, X_new, [Allow_Intercept], [Include], [alpha],
  LET(
    allow_arg,     IF(ISOMITTED(Allow_Intercept), TRUE, Allow_Intercept),
    filt_arg,      IF(ISOMITTED(Include),          TRUE, Include),
    alpha_arg,     IF(ISOMITTED(alpha),           0.05, alpha),
    X_design,      Design_Matrix(X_s, allow_arg, filt_arg),
    beta,          Coefficients(X_s, Y, allow_arg, filt_arg),
    s,             SE_Regression(X_s, Y, allow_arg, filt_arg),
    df,            DF_Residual(X_s, Y, allow_arg, filt_arg),
    t_crit,        T.INV.2T(alpha_arg, df),
    x_new_aligned, IF(allow_arg,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</si>
  <si>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X_s: column range of predictors (single or multi-column)
Y: single-column outcome range
X_new: column vector of predictor values for the new observation — intercept term first (=1 or 0) when Allow_Intercept is TRUE, matching the layout of pred_input on the Regression sheet
[Allow_Intercept]: TRUE/FALSE — fit intercept? Default TRUE
[Include]: boolean array — TRUE includes the row, FALSE excludes it
[alpha]: significance level (0–1); default 0.05 yields 95% prediction intervals</t>
  </si>
  <si>
    <t>=LAMBDA(Y, [Include],
  SEQUENCE(ROWS(FILTER(Y, IF(ISOMITTED(Include), TRUE, Include))))
)</t>
  </si>
  <si>
    <t>=LAMBDA(Y, [Include],
  LET(
    filtered, FILTER(Y, IF(ISOMITTED(Include), TRUE, Include)),
    n,        ROWS(filtered),
    BYROW(filtered, LAMBDA(v, SUMPRODUCT((filtered &lt;= v) * 1))) / n
  ))</t>
  </si>
  <si>
    <t>=LAMBDA(Y, [Include],
  SORT(FILTER(Y, IF(ISOMITTED(Include), TRUE, Include)))
)</t>
  </si>
  <si>
    <t>=LAMBDA(Y, [Include],
  FILTER(Y, IF(ISOMITTED(Include), TRUE, Include))
)</t>
  </si>
  <si>
    <t>filtered dependent variable vector (all rows when Include is omitted)</t>
  </si>
  <si>
    <t>=LAMBDA(Y, [Include],
  LET(
    filtered, FILTER(Y, IF(ISOMITTED(Include), TRUE, Include)),
    n,        ROWS(filtered),
    NORM.S.INV(
      (BYROW(filtered, LAMBDA(v, SUMPRODUCT((filtered &lt; v) * 1))) + 0.5) / n
    )
  ))</t>
  </si>
  <si>
    <t>=LAMBDA(X_s, [Allow_Intercept], [Include],
  LET(
    allow_arg, IF(ISOMITTED(Allow_Intercept), TRUE, Allow_Intercept),
    filt_arg,  IF(ISOMITTED(Include), TRUE, Include),
    x_filt,    FILTER(X_s, filt_arg),
    IF(
      allow_arg,
      HSTACK(SEQUENCE(ROWS(x_filt), , 1, 0), x_filt),
      x_filt
    )
  ))</t>
  </si>
  <si>
    <t>X_s: column range of predictors (single or multi-column)
[Allow_Intercept]: TRUE/FALSE — fit intercept? Default TRUE
[Include]: boolean array — TRUE includes the row, FALSE excludes it</t>
  </si>
  <si>
    <t>=LAMBDA(X_s, Y, [Allow_Intercept], [Include],
  LET(
    allow_arg, IF(ISOMITTED(Allow_Intercept), TRUE, Allow_Intercept),
    filt_arg,  IF(ISOMITTED(Include), TRUE, Include),
    MMULT(
      Design_Matrix(X_s, allow_arg, filt_arg),
      Coefficients(X_s, Y, allow_arg, filt_arg)
    )
  ))</t>
  </si>
  <si>
    <t>=LAMBDA(X_s, Y, [Allow_Intercept], [Include],
  LET(
    allow_arg, IF(ISOMITTED(Allow_Intercept), TRUE, Allow_Intercept),
    filt_arg,  IF(ISOMITTED(Include), TRUE, Include),
    FILTER(Y, filt_arg) - Predictions(X_s, Y, allow_arg, filt_arg)
  ))</t>
  </si>
  <si>
    <t>=LAMBDA(X_s, Y, [Allow_Intercept], [Include],
  LET(
    allow_arg, IF(ISOMITTED(Allow_Intercept), TRUE, Allow_Intercept),
    filt_arg,  IF(ISOMITTED(Include), TRUE, Include),
    Residuals(X_s, Y, allow_arg, filt_arg)
      / SE_Regression(X_s, Y, allow_arg, filt_arg)
  ))</t>
  </si>
  <si>
    <t>=LAMBDA(X_s, Y, n, [Allow_Intercept], [Include],
  LET(
    allow_arg, IF(ISOMITTED(Allow_Intercept), TRUE, Allow_Intercept),
    filt_arg,  IF(ISOMITTED(Include),          TRUE, Include),
    X_filt,    FILTER(X_s, filt_arg),
    Y_filt,    FILTER(Y, filt_arg),
    X_loo,     Exclude_row_n(X_filt, n),
    Y_loo,     Exclude_row_n(Y_filt, n),
    x_n,       Design_Matrix(CHOOSEROWS(X_filt, n), allow_arg),
    beta_loo,  Coefficients(X_loo, Y_loo, allow_arg),
    MMULT(x_n, beta_loo)
  )
)</t>
  </si>
  <si>
    <t>X_s: column range of predictors (single or multi-column)
Y: single-column outcome range
n: relative row index of the observation to predict (1-based within the filtered dataset; negative values count from the end)
[Allow_Intercept]: TRUE/FALSE — fit intercept? Default TRUE
[Include]: boolean array — TRUE includes the row, FALSE excludes it</t>
  </si>
  <si>
    <t>=LAMBDA(X_s, Y, [Allow_Intercept], [Include],
  LET(
    allow_arg, IF(ISOMITTED(Allow_Intercept), TRUE, Allow_Intercept),
    filt_arg,  IF(ISOMITTED(Include),          TRUE, Include),
    yhat,      Predictions(X_s, Y, allow_arg, filt_arg),
    e,         FILTER(Y, filt_arg) - yhat,
    h,         Hat_diagonal(X_s, allow_arg, filt_arg),
    yhat - h * e / (1 - h)
  )
)</t>
  </si>
  <si>
    <t>=LAMBDA(X_s, [Allow_Intercept], [Include],
  LET(
    allow_arg, IF(ISOMITTED(Allow_Intercept), TRUE, Allow_Intercept),
    filt_arg,  IF(ISOMITTED(Include), TRUE, Include),
    X_design,  Design_Matrix(X_s, allow_arg, filt_arg),
    p,         COLUMNS(X_design),
    XtX_inv,   Gram_Inverse(X_design),
    Z,         MMULT(X_design, XtX_inv),
    MMULT(Z * X_design, SEQUENCE(p, 1, 1, 0))
  ))</t>
  </si>
  <si>
    <t>=LAMBDA(X_s, Y, [Allow_Intercept], [Include],
  LET(
    allow_arg, IF(ISOMITTED(Allow_Intercept), TRUE, Allow_Intercept),
    filt_arg,  IF(ISOMITTED(Include), TRUE, Include),
    e,         Residuals(X_s, Y, allow_arg, filt_arg),
    se,        SE_Regression(X_s, Y, allow_arg, filt_arg),
    h,         Hat_diagonal(X_s, allow_arg, filt_arg),
    e / (se * SQRT(1 - h))
  ))</t>
  </si>
  <si>
    <t>=LAMBDA(X_s, Y, [Allow_Intercept], [Include],
  LET(
    allow_arg, IF(ISOMITTED(Allow_Intercept), TRUE, Allow_Intercept),
    filt_arg,  IF(ISOMITTED(Include), TRUE, Include),
    SORT(Studentized_Residuals(X_s, Y, allow_arg, filt_arg))
  ))</t>
  </si>
  <si>
    <t>=LAMBDA(X_s, Y, [Allow_Intercept], [Include],
  LET(
    allow_arg, IF(ISOMITTED(Allow_Intercept), TRUE, Allow_Intercept),
    filt_arg,  IF(ISOMITTED(Include), TRUE, Include),
    r,         Studentized_Residuals(X_s, Y, allow_arg, filt_arg),
    h,         Hat_diagonal(X_s, allow_arg, filt_arg),
    p,         COLUMNS(Design_Matrix(X_s, allow_arg, filt_arg)),
    r ^ 2 * h / ((1 - h) * p)
  ))</t>
  </si>
  <si>
    <t>=LAMBDA(X_s, Y, [Allow_Intercept], [Include],
  LET(
    allow_arg, IF(ISOMITTED(Allow_Intercept), TRUE, Allow_Intercept),
    filt_arg,  IF(ISOMITTED(Include), TRUE, Include),
    SORT(Scaled_Residuals(X_s, Y, allow_arg, filt_arg))
  ))</t>
  </si>
  <si>
    <t>Produces a ready-made Include argument for any library function. TRUE rows have no blanks, text, or errors in any of the supplied columns.
When Y is omitted, only X_s columns are checked. When Y is provided, it is HSTACKed onto X_s so that a single MMULT row-sum determines completeness across all regression inputs at once. ISNUMBER returns FALSE for errors and blanks, so error cells are safely treated as incomplete without propagating into the MMULT result.
Typical usage: R_squared(X_s, Y, , Complete_Cases_Filter(X_s, Y))</t>
  </si>
  <si>
    <t>=LAMBDA(X_s, Y, [Include],
  LET(
    filt_arg, IF(ISOMITTED(Include), TRUE, Include),
    xf, FILTER(X_s, filt_arg),
    yf, FILTER(Y,   filt_arg),
    MAKEARRAY(COLUMNS(X_s), 1, LAMBDA(r, c, CORREL(CHOOSECOLS(xf, r), yf)))
  ))</t>
  </si>
  <si>
    <t>X_s: predictor column range (single or multi-column); returns one correlation per column
Y: single-column outcome range
[Include]: boolean array — TRUE includes the row, FALSE excludes it</t>
  </si>
  <si>
    <t>Pearson_R computes the linear (Pearson product-moment) correlation between each column of X_s and Y after applying the optional Include argument. When X_s has a single column the result is a scalar; when X_s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</si>
  <si>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</si>
  <si>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</si>
  <si>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</si>
  <si>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=LAMBDA(X_s, [Include],
  LET(
    filt_arg, IF(ISOMITTED(Include), TRUE, Include),
    xf, FILTER(X_s, filt_arg),
    MAKEARRAY(COLUMNS(X_s), 1, LAMBDA(r, c, SKEW(CHOOSECOLS(xf, r))))
  ))</t>
  </si>
  <si>
    <t>X_s: column range to summarize (single or multi-column); returns one value per column
[Include]: boolean array — TRUE includes the row, FALSE excludes it</t>
  </si>
  <si>
    <t>=LAMBDA(X_s, [Include],
  LET(
    filt_arg, IF(ISOMITTED(Include), TRUE, Include),
    xf, FILTER(X_s, filt_arg),
    MAKEARRAY(COLUMNS(X_s), 1, LAMBDA(r, c, KURT(CHOOSECOLS(xf, r))))
  ))</t>
  </si>
  <si>
    <t>=LAMBDA(X_s, Y, [Allow_Intercept], [Include],
  LET(
    allow_arg, IF(ISOMITTED(Allow_Intercept), TRUE, Allow_Intercept),
    filt_arg,  IF(ISOMITTED(Include),          TRUE, Include),
    SS_Regression(X_s, Y, allow_arg, filt_arg) / DF_Regression(X_s) /
    (SS_Residual(X_s, Y, allow_arg, filt_arg) / DF_Residual(X_s, Y, allow_arg, filt_arg))
  ))</t>
  </si>
  <si>
    <t>=LAMBDA(X_s, Y, [Allow_Intercept], [Include],
  LET(
    allow_arg, IF(ISOMITTED(Allow_Intercept), TRUE, Allow_Intercept),
    filt_arg,  IF(ISOMITTED(Include),          TRUE, Include),
    F.DIST.RT(
      F_Stat(X_s, Y, allow_arg, filt_arg),
      DF_Regression(X_s),
      DF_Residual(X_s, Y, allow_arg, filt_arg)
    )
  ))</t>
  </si>
  <si>
    <t>=LAMBDA(X_s, [Include],
  LET(
    filt_arg, IF(ISOMITTED(Include), TRUE, Include),
    xf, FILTER(X_s, filt_arg),
    k,  COLUMNS(X_s),
    MAKEARRAY(k, k, LAMBDA(r, c, CORREL(CHOOSECOLS(xf, r), CHOOSECOLS(xf, c))))
  ))</t>
  </si>
  <si>
    <t>X_s: column range of variables (single or multi-column); returns a k×k symmetric matrix
[Include]: boolean array — TRUE includes the row, FALSE excludes it</t>
  </si>
  <si>
    <t>=LAMBDA(data, mean, sd, [filter],
  LET(
    filt_arg, IF(ISOMITTED(filter), ISNUMBER(data), filter),
    x, FILTER(data, filt_arg),
    -SUMPRODUCT(LN(NORM.DIST(x, mean, sd, FALSE)))
  ))</t>
  </si>
  <si>
    <t>negative log-likelihood (positive scalar) for Normal(mean, sd) given data</t>
  </si>
  <si>
    <t>NLL_Normal computes −Σ ln f(xᵢ | μ, σ) where f is the Normal PDF evaluated via NORM.DIST.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</si>
  <si>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=LAMBDA(data, meanlog, sdlog, [filter],
  LET(
    filt_arg, IF(ISOMITTED(filter), ISNUMBER(data), filter),
    x, FILTER(data, filt_arg),
    -SUMPRODUCT(LN(LOGNORM.DIST(x, meanlog, sdlog, FALSE)))
  ))</t>
  </si>
  <si>
    <t>negative log-likelihood for Lognormal(meanlog, sdlog) given data</t>
  </si>
  <si>
    <t>NLL_Lognormal evaluates −Σ ln f(xᵢ | μ_ln, σ_ln) using Excel's LOGNORM.DIST PDF. The MLE closed form is: μ_ln = AVERAGE(LN(data)), σ_ln = STDEV.S(LN(data)).
Lognormal fits well when data is right-skewed and multiplicative (incomes, sizes, concentrations). Pass to GoF_AIC and GoF_BIC with k = 2.</t>
  </si>
  <si>
    <t>=LAMBDA(data, rate, [filter],
  LET(
    filt_arg, IF(ISOMITTED(filter), ISNUMBER(data), filter),
    x, FILTER(data, filt_arg),
    -SUMPRODUCT(LN(EXPON.DIST(x, rate, FALSE)))
  ))</t>
  </si>
  <si>
    <t>negative log-likelihood for Exponential(rate) given data</t>
  </si>
  <si>
    <t>NLL_Exponential evaluates −Σ ln f(xᵢ | λ) = −n·ln(λ) + λ·Σxᵢ via EXPON.DIST. The MLE closed form is: rate = 1/AVERAGE(data).
Exponential fits well for memoryless waiting times, inter-arrival times, and time-to-failure data. Pass to GoF_AIC and GoF_BIC with k = 1.</t>
  </si>
  <si>
    <t>Optional — sample include mask:</t>
  </si>
  <si>
    <t>Update Regression_Sample_Include (the “Refers To” field) to a column in the same table containing TRUE or FALSE for each row. A recommended completeness check — if your table has k predictor columns — is to add a filter column with:
=COUNT(YourTable[@[First_Predictor]:[Last_Predictor]])=k
Replace First_Predictor, Last_Predictor, and k with your first predictor column name, last predictor column name, and the total number of predictors. This returns TRUE only when every predictor value in the row is numeric. This avoids including rows with blanks or non-numeric predictor values in the regression.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</si>
</sst>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E+00"/>
  </numFmts>
  <fonts count="4" x14ac:knownFonts="1">
    <font>
      <sz val="11"/>
      <color theme="1"/>
      <name val="Aptos Narrow"/>
      <family val="2"/>
      <scheme val="minor"/>
    </font>
    <font>
      <b/>
      <sz val="11"/>
      <color theme="1"/>
      <name val="Aptos Narrow"/>
      <family val="2"/>
      <scheme val="minor"/>
    </font>
    <font>
      <b/>
      <sz val="9"/>
      <color indexed="81"/>
      <name val="Tahoma"/>
      <family val="2"/>
    </font>
    <font>
      <b/>
      <sz val="14"/>
      <color theme="1"/>
      <name val="Aptos Narrow"/>
      <family val="2"/>
      <scheme val="minor"/>
    </font>
  </fonts>
  <fills count="7">
    <fill>
      <patternFill patternType="none"/>
    </fill>
    <fill>
      <patternFill patternType="gray125"/>
    </fill>
    <fill>
      <patternFill patternType="solid">
        <fgColor rgb="FFCAEDFB"/>
        <bgColor indexed="64"/>
      </patternFill>
    </fill>
    <fill>
      <patternFill patternType="solid">
        <fgColor rgb="FFE2EFDA"/>
        <bgColor indexed="64"/>
      </patternFill>
    </fill>
    <fill>
      <patternFill patternType="solid">
        <fgColor rgb="FFD9E1F2"/>
        <bgColor indexed="64"/>
      </patternFill>
    </fill>
    <fill>
      <patternFill patternType="solid">
        <fgColor rgb="FFFBE2D5"/>
        <bgColor indexed="64"/>
      </patternFill>
    </fill>
    <fill>
      <patternFill patternType="solid">
        <fgColor rgb="FFDCE6F1"/>
        <bgColor indexed="64"/>
      </patternFill>
    </fill>
  </fills>
  <borders count="9">
    <border>
      <left/>
      <right/>
      <top/>
      <bottom/>
      <diagonal/>
    </border>
    <border>
      <left style="thin">
        <color indexed="64"/>
      </left>
      <right/>
      <top/>
      <bottom/>
      <diagonal/>
    </border>
    <border>
      <left style="thin">
        <color indexed="64"/>
      </left>
      <right/>
      <top style="thin">
        <color indexed="64"/>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s>
  <cellStyleXfs count="1">
    <xf numFmtId="0" fontId="0" fillId="0" borderId="0"/>
  </cellStyleXfs>
  <cellXfs count="59">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1" fillId="2" borderId="0" xfId="0" applyFont="1" applyFill="1"/>
    <xf numFmtId="0" fontId="0" fillId="2" borderId="0" xfId="0" applyFill="1"/>
    <xf numFmtId="0" fontId="1" fillId="3" borderId="0" xfId="0" applyFont="1" applyFill="1"/>
    <xf numFmtId="0" fontId="0" fillId="3" borderId="0" xfId="0" applyFill="1"/>
    <xf numFmtId="0" fontId="1" fillId="4" borderId="0" xfId="0" applyFont="1" applyFill="1"/>
    <xf numFmtId="14" fontId="0" fillId="0" borderId="0" xfId="0" applyNumberFormat="1"/>
    <xf numFmtId="0" fontId="0" fillId="5" borderId="0" xfId="0" applyFill="1"/>
    <xf numFmtId="2" fontId="0" fillId="0" borderId="0" xfId="0" applyNumberFormat="1"/>
    <xf numFmtId="164" fontId="0" fillId="0" borderId="0" xfId="0" applyNumberFormat="1"/>
    <xf numFmtId="0" fontId="0" fillId="0" borderId="1" xfId="0" applyBorder="1"/>
    <xf numFmtId="0" fontId="1" fillId="2" borderId="2" xfId="0" applyFont="1" applyFill="1" applyBorder="1"/>
    <xf numFmtId="0" fontId="0" fillId="0" borderId="3" xfId="0" applyBorder="1"/>
    <xf numFmtId="0" fontId="0" fillId="0" borderId="4" xfId="0" applyBorder="1"/>
    <xf numFmtId="1" fontId="0" fillId="0" borderId="5" xfId="0" applyNumberFormat="1" applyBorder="1"/>
    <xf numFmtId="0" fontId="0" fillId="0" borderId="6" xfId="0" applyBorder="1"/>
    <xf numFmtId="164" fontId="0" fillId="0" borderId="7" xfId="0" applyNumberFormat="1" applyBorder="1"/>
    <xf numFmtId="1" fontId="0" fillId="0" borderId="8" xfId="0" applyNumberFormat="1" applyBorder="1"/>
    <xf numFmtId="164" fontId="0" fillId="0" borderId="8" xfId="0" applyNumberFormat="1" applyBorder="1"/>
    <xf numFmtId="166" fontId="0" fillId="0" borderId="0" xfId="0" applyNumberFormat="1"/>
    <xf numFmtId="0" fontId="1" fillId="0" borderId="1" xfId="0" applyFont="1" applyBorder="1"/>
    <xf numFmtId="165" fontId="0" fillId="0" borderId="5" xfId="0" applyNumberFormat="1" applyBorder="1"/>
    <xf numFmtId="0" fontId="0" fillId="0" borderId="5" xfId="0" applyBorder="1"/>
    <xf numFmtId="0" fontId="1" fillId="0" borderId="7" xfId="0" applyFont="1" applyBorder="1"/>
    <xf numFmtId="166" fontId="0" fillId="0" borderId="7" xfId="0" applyNumberFormat="1" applyBorder="1"/>
    <xf numFmtId="0" fontId="0" fillId="0" borderId="7" xfId="0" applyBorder="1"/>
    <xf numFmtId="0" fontId="0" fillId="0" borderId="8" xfId="0" applyBorder="1"/>
    <xf numFmtId="164" fontId="0" fillId="5" borderId="0" xfId="0" applyNumberFormat="1" applyFill="1"/>
    <xf numFmtId="0" fontId="0" fillId="5" borderId="0" xfId="0" applyFill="1" applyAlignment="1">
      <alignment wrapText="1"/>
    </xf>
    <xf numFmtId="0" fontId="1" fillId="0" borderId="0" xfId="0" applyFont="1" applyAlignment="1">
      <alignment wrapText="1"/>
    </xf>
    <xf numFmtId="0" fontId="1" fillId="0" borderId="1" xfId="0" applyFont="1" applyBorder="1" applyAlignment="1">
      <alignment wrapText="1"/>
    </xf>
    <xf numFmtId="0" fontId="0" fillId="0" borderId="7" xfId="0" applyBorder="1" applyAlignment="1">
      <alignment wrapText="1"/>
    </xf>
    <xf numFmtId="164" fontId="1" fillId="0" borderId="0" xfId="0" applyNumberFormat="1" applyFont="1" applyAlignment="1">
      <alignment wrapText="1"/>
    </xf>
    <xf numFmtId="1" fontId="0" fillId="0" borderId="0" xfId="0" applyNumberFormat="1"/>
    <xf numFmtId="0" fontId="3" fillId="0" borderId="0" xfId="0" applyFont="1"/>
    <xf numFmtId="0" fontId="1" fillId="6" borderId="0" xfId="0" applyFont="1" applyFill="1"/>
    <xf numFmtId="0" fontId="1" fillId="6" borderId="1" xfId="0" applyFont="1" applyFill="1" applyBorder="1"/>
    <xf numFmtId="164" fontId="1" fillId="6" borderId="7" xfId="0" applyNumberFormat="1" applyFont="1" applyFill="1" applyBorder="1"/>
    <xf numFmtId="1" fontId="0" fillId="0" borderId="7" xfId="0" applyNumberFormat="1" applyBorder="1"/>
    <xf numFmtId="0" fontId="1" fillId="6" borderId="2" xfId="0" applyFont="1" applyFill="1" applyBorder="1"/>
    <xf numFmtId="0" fontId="1" fillId="6" borderId="3" xfId="0" applyFont="1" applyFill="1" applyBorder="1"/>
    <xf numFmtId="164" fontId="0" fillId="0" borderId="5" xfId="0" applyNumberFormat="1" applyBorder="1"/>
    <xf numFmtId="2" fontId="0" fillId="0" borderId="5" xfId="0" applyNumberFormat="1" applyBorder="1"/>
    <xf numFmtId="0" fontId="1" fillId="6" borderId="6" xfId="0" applyFont="1" applyFill="1" applyBorder="1"/>
    <xf numFmtId="2" fontId="0" fillId="0" borderId="7" xfId="0" applyNumberFormat="1" applyBorder="1"/>
    <xf numFmtId="2" fontId="0" fillId="0" borderId="8" xfId="0" applyNumberFormat="1" applyBorder="1"/>
    <xf numFmtId="2" fontId="0" fillId="0" borderId="1" xfId="0" applyNumberFormat="1" applyBorder="1"/>
    <xf numFmtId="164" fontId="0" fillId="0" borderId="1" xfId="0" applyNumberFormat="1" applyBorder="1"/>
    <xf numFmtId="0" fontId="1" fillId="2" borderId="2" xfId="0" applyFont="1" applyFill="1" applyBorder="1"/>
    <xf numFmtId="0" fontId="0" fillId="0" borderId="3" xfId="0" applyBorder="1"/>
    <xf numFmtId="0" fontId="0" fillId="0" borderId="6" xfId="0" applyBorder="1"/>
    <xf numFmtId="0" fontId="1" fillId="2" borderId="0" xfId="0" applyFont="1" applyFill="1"/>
    <xf numFmtId="0" fontId="0" fillId="0" borderId="0" xfId="0" applyBorder="1"/>
    <xf numFmtId="1" fontId="0" fillId="0" borderId="0" xfId="0" applyNumberFormat="1" applyBorder="1"/>
    <xf numFmtId="0" fontId="1" fillId="0" borderId="0" xfId="0" applyFont="1" applyBorder="1"/>
    <xf numFmtId="165" fontId="0" fillId="0" borderId="0" xfId="0" applyNumberFormat="1" applyBorder="1"/>
  </cellXfs>
  <cellStyles count="1">
    <cellStyle name="Normal" xfId="0" builtinId="0"/>
  </cellStyles>
  <dxfs count="53">
    <dxf>
      <font>
        <strike/>
      </font>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286227"/>
      </font>
      <fill>
        <patternFill>
          <bgColor rgb="FFCEEFC6"/>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strike/>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8" Type="http://schemas.openxmlformats.org/officeDocument/2006/relationships/theme" Target="theme/theme1.xml"/><Relationship Id="rId13" Type="http://schemas.microsoft.com/office/2017/06/relationships/rdRichValueStructure" Target="richData/rdrichvaluestructure.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06/relationships/rdRichValue" Target="richData/rdrichvalu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microsoft.com/office/2017/06/relationships/rdRichValueTypes" Target="richData/rdRichValueTypes.xml"/></Relationships>
</file>

<file path=xl/charts/_rels/chart2.xml.rels><?xml version="1.0" encoding="UTF-8" standalone="yes"?>
<Relationships xmlns="http://schemas.openxmlformats.org/package/2006/relationships"><Relationship Id="rId1" Type="http://schemas.openxmlformats.org/officeDocument/2006/relationships/chartUserShapes" Target="../drawings/drawing2.xml"/></Relationships>
</file>

<file path=xl/charts/_rels/chart3.xml.rels><?xml version="1.0" encoding="UTF-8" standalone="yes"?>
<Relationships xmlns="http://schemas.openxmlformats.org/package/2006/relationships"><Relationship Id="rId1" Type="http://schemas.openxmlformats.org/officeDocument/2006/relationships/chartUserShapes" Target="../drawings/drawing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Residuals vs. Fitted</a:t>
            </a:r>
          </a:p>
        </c:rich>
      </c:tx>
      <c:overlay val="0"/>
      <c:spPr>
        <a:solidFill>
          <a:srgbClr val="CAEDFB"/>
        </a:solidFill>
      </c:sp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1649"/>
                <c:pt idx="0">
                  <c:v>64.627772433049671</c:v>
                </c:pt>
                <c:pt idx="1">
                  <c:v>64.23323355868493</c:v>
                </c:pt>
                <c:pt idx="2">
                  <c:v>64.381185636571701</c:v>
                </c:pt>
                <c:pt idx="3">
                  <c:v>64.18391619938933</c:v>
                </c:pt>
                <c:pt idx="4">
                  <c:v>64.035964121502559</c:v>
                </c:pt>
                <c:pt idx="5">
                  <c:v>63.838694684320188</c:v>
                </c:pt>
                <c:pt idx="6">
                  <c:v>63.740059965729003</c:v>
                </c:pt>
                <c:pt idx="7">
                  <c:v>63.444155809955447</c:v>
                </c:pt>
                <c:pt idx="8">
                  <c:v>63.049616935590706</c:v>
                </c:pt>
                <c:pt idx="9">
                  <c:v>63.049616935590706</c:v>
                </c:pt>
                <c:pt idx="10">
                  <c:v>63.246886372773076</c:v>
                </c:pt>
                <c:pt idx="11">
                  <c:v>63.148251654181891</c:v>
                </c:pt>
                <c:pt idx="12">
                  <c:v>63.049616935590706</c:v>
                </c:pt>
                <c:pt idx="13">
                  <c:v>77.45028584990375</c:v>
                </c:pt>
                <c:pt idx="14">
                  <c:v>62.013952390383267</c:v>
                </c:pt>
                <c:pt idx="15">
                  <c:v>61.767365593905296</c:v>
                </c:pt>
                <c:pt idx="16">
                  <c:v>73.948753339916664</c:v>
                </c:pt>
                <c:pt idx="17">
                  <c:v>77.20369905342578</c:v>
                </c:pt>
                <c:pt idx="18">
                  <c:v>73.455579746960737</c:v>
                </c:pt>
                <c:pt idx="19">
                  <c:v>73.356945028369552</c:v>
                </c:pt>
                <c:pt idx="20">
                  <c:v>73.258310309778381</c:v>
                </c:pt>
                <c:pt idx="21">
                  <c:v>73.110358231891595</c:v>
                </c:pt>
                <c:pt idx="22">
                  <c:v>73.110358231891595</c:v>
                </c:pt>
                <c:pt idx="23">
                  <c:v>77.548920568494935</c:v>
                </c:pt>
                <c:pt idx="24">
                  <c:v>77.154381694130194</c:v>
                </c:pt>
                <c:pt idx="25">
                  <c:v>72.715819357526854</c:v>
                </c:pt>
                <c:pt idx="26">
                  <c:v>76.858477538356638</c:v>
                </c:pt>
                <c:pt idx="27">
                  <c:v>76.759842819765453</c:v>
                </c:pt>
                <c:pt idx="28">
                  <c:v>76.710525460469853</c:v>
                </c:pt>
                <c:pt idx="29">
                  <c:v>76.858477538356638</c:v>
                </c:pt>
                <c:pt idx="30">
                  <c:v>76.907794897652224</c:v>
                </c:pt>
                <c:pt idx="31">
                  <c:v>77.055746975539009</c:v>
                </c:pt>
                <c:pt idx="32">
                  <c:v>77.055746975539009</c:v>
                </c:pt>
                <c:pt idx="33">
                  <c:v>72.074693686684157</c:v>
                </c:pt>
                <c:pt idx="34">
                  <c:v>72.025376327388557</c:v>
                </c:pt>
                <c:pt idx="35">
                  <c:v>71.877424249501786</c:v>
                </c:pt>
                <c:pt idx="36">
                  <c:v>71.729472171615001</c:v>
                </c:pt>
                <c:pt idx="37">
                  <c:v>71.53220273443263</c:v>
                </c:pt>
                <c:pt idx="38">
                  <c:v>71.384250656545859</c:v>
                </c:pt>
                <c:pt idx="39">
                  <c:v>71.236298578659074</c:v>
                </c:pt>
                <c:pt idx="40">
                  <c:v>71.088346500772303</c:v>
                </c:pt>
                <c:pt idx="41">
                  <c:v>70.891077063589933</c:v>
                </c:pt>
                <c:pt idx="42">
                  <c:v>76.907794897652224</c:v>
                </c:pt>
                <c:pt idx="43">
                  <c:v>60.435796892924301</c:v>
                </c:pt>
                <c:pt idx="44">
                  <c:v>60.090575377855153</c:v>
                </c:pt>
                <c:pt idx="45">
                  <c:v>59.942623299968375</c:v>
                </c:pt>
                <c:pt idx="46">
                  <c:v>59.794671222081597</c:v>
                </c:pt>
                <c:pt idx="47">
                  <c:v>59.597401784899226</c:v>
                </c:pt>
                <c:pt idx="48">
                  <c:v>59.400132347716855</c:v>
                </c:pt>
                <c:pt idx="49">
                  <c:v>59.30149762912567</c:v>
                </c:pt>
                <c:pt idx="50">
                  <c:v>59.104228191943299</c:v>
                </c:pt>
                <c:pt idx="51">
                  <c:v>71.778789530910601</c:v>
                </c:pt>
                <c:pt idx="52">
                  <c:v>71.729472171615001</c:v>
                </c:pt>
                <c:pt idx="53">
                  <c:v>77.006429616243409</c:v>
                </c:pt>
                <c:pt idx="54">
                  <c:v>77.006429616243409</c:v>
                </c:pt>
                <c:pt idx="55">
                  <c:v>71.630837453023815</c:v>
                </c:pt>
                <c:pt idx="56">
                  <c:v>71.384250656545859</c:v>
                </c:pt>
                <c:pt idx="57">
                  <c:v>71.384250656545859</c:v>
                </c:pt>
                <c:pt idx="58">
                  <c:v>71.236298578659074</c:v>
                </c:pt>
                <c:pt idx="59">
                  <c:v>71.334933297250259</c:v>
                </c:pt>
                <c:pt idx="60">
                  <c:v>71.334933297250259</c:v>
                </c:pt>
                <c:pt idx="61">
                  <c:v>76.957112256947823</c:v>
                </c:pt>
                <c:pt idx="62">
                  <c:v>70.841759704294333</c:v>
                </c:pt>
                <c:pt idx="63">
                  <c:v>70.792442344998747</c:v>
                </c:pt>
                <c:pt idx="64">
                  <c:v>77.006429616243409</c:v>
                </c:pt>
                <c:pt idx="65">
                  <c:v>71.53220273443263</c:v>
                </c:pt>
                <c:pt idx="66">
                  <c:v>71.630837453023815</c:v>
                </c:pt>
                <c:pt idx="67">
                  <c:v>71.285615937954674</c:v>
                </c:pt>
                <c:pt idx="68">
                  <c:v>71.088346500772303</c:v>
                </c:pt>
                <c:pt idx="69">
                  <c:v>70.841759704294333</c:v>
                </c:pt>
                <c:pt idx="70">
                  <c:v>76.907794897652224</c:v>
                </c:pt>
                <c:pt idx="71">
                  <c:v>71.088346500772303</c:v>
                </c:pt>
                <c:pt idx="72">
                  <c:v>70.644490267111962</c:v>
                </c:pt>
                <c:pt idx="73">
                  <c:v>70.841759704294333</c:v>
                </c:pt>
                <c:pt idx="74">
                  <c:v>71.088346500772303</c:v>
                </c:pt>
                <c:pt idx="75">
                  <c:v>70.989711782181118</c:v>
                </c:pt>
                <c:pt idx="76">
                  <c:v>70.989711782181118</c:v>
                </c:pt>
                <c:pt idx="77">
                  <c:v>70.644490267111962</c:v>
                </c:pt>
                <c:pt idx="78">
                  <c:v>70.595172907816377</c:v>
                </c:pt>
                <c:pt idx="79">
                  <c:v>77.302333772016965</c:v>
                </c:pt>
                <c:pt idx="80">
                  <c:v>74.589879010759375</c:v>
                </c:pt>
                <c:pt idx="81">
                  <c:v>74.589879010759375</c:v>
                </c:pt>
                <c:pt idx="82">
                  <c:v>74.49124429216819</c:v>
                </c:pt>
                <c:pt idx="83">
                  <c:v>74.44192693287259</c:v>
                </c:pt>
                <c:pt idx="84">
                  <c:v>74.343292214281405</c:v>
                </c:pt>
                <c:pt idx="85">
                  <c:v>74.343292214281405</c:v>
                </c:pt>
                <c:pt idx="86">
                  <c:v>74.343292214281405</c:v>
                </c:pt>
                <c:pt idx="87">
                  <c:v>74.343292214281405</c:v>
                </c:pt>
                <c:pt idx="88">
                  <c:v>74.293974854985819</c:v>
                </c:pt>
                <c:pt idx="89">
                  <c:v>74.195340136394634</c:v>
                </c:pt>
                <c:pt idx="90">
                  <c:v>74.096705417803449</c:v>
                </c:pt>
                <c:pt idx="91">
                  <c:v>73.998070699212263</c:v>
                </c:pt>
                <c:pt idx="92">
                  <c:v>73.899435980621078</c:v>
                </c:pt>
                <c:pt idx="93">
                  <c:v>74.343292214281405</c:v>
                </c:pt>
                <c:pt idx="94">
                  <c:v>74.24465749569022</c:v>
                </c:pt>
                <c:pt idx="95">
                  <c:v>77.253016412721379</c:v>
                </c:pt>
                <c:pt idx="96">
                  <c:v>73.998070699212263</c:v>
                </c:pt>
                <c:pt idx="97">
                  <c:v>73.899435980621078</c:v>
                </c:pt>
                <c:pt idx="98">
                  <c:v>73.800801262029893</c:v>
                </c:pt>
                <c:pt idx="99">
                  <c:v>73.850118621325478</c:v>
                </c:pt>
                <c:pt idx="100">
                  <c:v>77.20369905342578</c:v>
                </c:pt>
                <c:pt idx="101">
                  <c:v>73.603531824847522</c:v>
                </c:pt>
                <c:pt idx="102">
                  <c:v>73.406262387665151</c:v>
                </c:pt>
                <c:pt idx="103">
                  <c:v>73.356945028369552</c:v>
                </c:pt>
                <c:pt idx="104">
                  <c:v>73.258310309778381</c:v>
                </c:pt>
                <c:pt idx="105">
                  <c:v>77.154381694130194</c:v>
                </c:pt>
                <c:pt idx="106">
                  <c:v>73.06104087259601</c:v>
                </c:pt>
                <c:pt idx="107">
                  <c:v>72.863771435413639</c:v>
                </c:pt>
                <c:pt idx="108">
                  <c:v>71.729472171615001</c:v>
                </c:pt>
                <c:pt idx="109">
                  <c:v>71.630837453023815</c:v>
                </c:pt>
                <c:pt idx="110">
                  <c:v>71.53220273443263</c:v>
                </c:pt>
                <c:pt idx="111">
                  <c:v>71.433568015841445</c:v>
                </c:pt>
                <c:pt idx="112">
                  <c:v>76.957112256947823</c:v>
                </c:pt>
                <c:pt idx="113">
                  <c:v>71.088346500772303</c:v>
                </c:pt>
                <c:pt idx="114">
                  <c:v>70.644490267111962</c:v>
                </c:pt>
                <c:pt idx="115">
                  <c:v>76.907794897652224</c:v>
                </c:pt>
                <c:pt idx="116">
                  <c:v>70.003364596269265</c:v>
                </c:pt>
                <c:pt idx="117">
                  <c:v>69.608825721904523</c:v>
                </c:pt>
                <c:pt idx="118">
                  <c:v>70.003364596269265</c:v>
                </c:pt>
                <c:pt idx="119">
                  <c:v>70.003364596269265</c:v>
                </c:pt>
                <c:pt idx="120">
                  <c:v>70.397903470634006</c:v>
                </c:pt>
                <c:pt idx="121">
                  <c:v>71.088346500772303</c:v>
                </c:pt>
                <c:pt idx="122">
                  <c:v>70.940394422885518</c:v>
                </c:pt>
                <c:pt idx="123">
                  <c:v>70.841759704294333</c:v>
                </c:pt>
                <c:pt idx="124">
                  <c:v>76.907794897652224</c:v>
                </c:pt>
                <c:pt idx="125">
                  <c:v>70.595172907816377</c:v>
                </c:pt>
                <c:pt idx="126">
                  <c:v>70.496538189225191</c:v>
                </c:pt>
                <c:pt idx="127">
                  <c:v>70.348586111338406</c:v>
                </c:pt>
                <c:pt idx="128">
                  <c:v>70.151316674156035</c:v>
                </c:pt>
                <c:pt idx="129">
                  <c:v>70.10199931486045</c:v>
                </c:pt>
                <c:pt idx="130">
                  <c:v>69.954047236973665</c:v>
                </c:pt>
                <c:pt idx="131">
                  <c:v>69.806095159086894</c:v>
                </c:pt>
                <c:pt idx="132">
                  <c:v>69.658143081200109</c:v>
                </c:pt>
                <c:pt idx="133">
                  <c:v>67.784083427967602</c:v>
                </c:pt>
                <c:pt idx="134">
                  <c:v>76.463938663991897</c:v>
                </c:pt>
                <c:pt idx="135">
                  <c:v>68.030670224445558</c:v>
                </c:pt>
                <c:pt idx="136">
                  <c:v>66.156610571213037</c:v>
                </c:pt>
                <c:pt idx="137">
                  <c:v>66.649784164168963</c:v>
                </c:pt>
                <c:pt idx="138">
                  <c:v>66.452514726986593</c:v>
                </c:pt>
                <c:pt idx="139">
                  <c:v>66.551149445577778</c:v>
                </c:pt>
                <c:pt idx="140">
                  <c:v>66.452514726986593</c:v>
                </c:pt>
                <c:pt idx="141">
                  <c:v>65.614119618961524</c:v>
                </c:pt>
                <c:pt idx="142">
                  <c:v>65.170263385301183</c:v>
                </c:pt>
                <c:pt idx="143">
                  <c:v>65.416850181779154</c:v>
                </c:pt>
                <c:pt idx="144">
                  <c:v>65.120946026005598</c:v>
                </c:pt>
                <c:pt idx="145">
                  <c:v>64.677089792345257</c:v>
                </c:pt>
                <c:pt idx="146">
                  <c:v>65.071628666709998</c:v>
                </c:pt>
                <c:pt idx="147">
                  <c:v>65.416850181779154</c:v>
                </c:pt>
                <c:pt idx="148">
                  <c:v>73.850118621325478</c:v>
                </c:pt>
                <c:pt idx="149">
                  <c:v>73.800801262029893</c:v>
                </c:pt>
                <c:pt idx="150">
                  <c:v>73.751483902734293</c:v>
                </c:pt>
                <c:pt idx="151">
                  <c:v>77.20369905342578</c:v>
                </c:pt>
                <c:pt idx="152">
                  <c:v>73.603531824847522</c:v>
                </c:pt>
                <c:pt idx="153">
                  <c:v>73.406262387665151</c:v>
                </c:pt>
                <c:pt idx="154">
                  <c:v>73.307627669073966</c:v>
                </c:pt>
                <c:pt idx="155">
                  <c:v>73.356945028369552</c:v>
                </c:pt>
                <c:pt idx="156">
                  <c:v>73.406262387665151</c:v>
                </c:pt>
                <c:pt idx="157">
                  <c:v>73.208992950482781</c:v>
                </c:pt>
                <c:pt idx="158">
                  <c:v>73.110358231891595</c:v>
                </c:pt>
                <c:pt idx="159">
                  <c:v>72.913088794709225</c:v>
                </c:pt>
                <c:pt idx="160">
                  <c:v>72.715819357526854</c:v>
                </c:pt>
                <c:pt idx="161">
                  <c:v>77.548920568494935</c:v>
                </c:pt>
                <c:pt idx="162">
                  <c:v>77.055746975539009</c:v>
                </c:pt>
                <c:pt idx="163">
                  <c:v>68.869065332470626</c:v>
                </c:pt>
                <c:pt idx="164">
                  <c:v>76.710525460469853</c:v>
                </c:pt>
                <c:pt idx="165">
                  <c:v>68.277257020923514</c:v>
                </c:pt>
                <c:pt idx="166">
                  <c:v>68.326574380219114</c:v>
                </c:pt>
                <c:pt idx="167">
                  <c:v>68.425209098810299</c:v>
                </c:pt>
                <c:pt idx="168">
                  <c:v>68.523843817401485</c:v>
                </c:pt>
                <c:pt idx="169">
                  <c:v>68.671795895288255</c:v>
                </c:pt>
                <c:pt idx="170">
                  <c:v>68.671795895288255</c:v>
                </c:pt>
                <c:pt idx="171">
                  <c:v>68.523843817401485</c:v>
                </c:pt>
                <c:pt idx="172">
                  <c:v>68.178622302332343</c:v>
                </c:pt>
                <c:pt idx="173">
                  <c:v>67.882718146558773</c:v>
                </c:pt>
                <c:pt idx="174">
                  <c:v>76.562573382583082</c:v>
                </c:pt>
                <c:pt idx="175">
                  <c:v>67.784083427967602</c:v>
                </c:pt>
                <c:pt idx="176">
                  <c:v>76.562573382583082</c:v>
                </c:pt>
                <c:pt idx="177">
                  <c:v>67.932035505854373</c:v>
                </c:pt>
                <c:pt idx="178">
                  <c:v>65.170263385301183</c:v>
                </c:pt>
                <c:pt idx="179">
                  <c:v>65.219580744596783</c:v>
                </c:pt>
                <c:pt idx="180">
                  <c:v>65.219580744596783</c:v>
                </c:pt>
                <c:pt idx="181">
                  <c:v>65.219580744596783</c:v>
                </c:pt>
                <c:pt idx="182">
                  <c:v>65.071628666709998</c:v>
                </c:pt>
                <c:pt idx="183">
                  <c:v>64.825041870232042</c:v>
                </c:pt>
                <c:pt idx="184">
                  <c:v>63.888012043615781</c:v>
                </c:pt>
                <c:pt idx="185">
                  <c:v>63.641425247137818</c:v>
                </c:pt>
                <c:pt idx="186">
                  <c:v>63.592107887842225</c:v>
                </c:pt>
                <c:pt idx="187">
                  <c:v>63.542790528546632</c:v>
                </c:pt>
                <c:pt idx="188">
                  <c:v>63.542790528546632</c:v>
                </c:pt>
                <c:pt idx="189">
                  <c:v>63.542790528546632</c:v>
                </c:pt>
                <c:pt idx="190">
                  <c:v>63.641425247137818</c:v>
                </c:pt>
                <c:pt idx="191">
                  <c:v>66.945688319942519</c:v>
                </c:pt>
                <c:pt idx="192">
                  <c:v>66.797736242055748</c:v>
                </c:pt>
                <c:pt idx="193">
                  <c:v>66.600466804873378</c:v>
                </c:pt>
                <c:pt idx="194">
                  <c:v>66.501832086282192</c:v>
                </c:pt>
                <c:pt idx="195">
                  <c:v>66.353880008395407</c:v>
                </c:pt>
                <c:pt idx="196">
                  <c:v>66.156610571213037</c:v>
                </c:pt>
                <c:pt idx="197">
                  <c:v>66.057975852621851</c:v>
                </c:pt>
                <c:pt idx="198">
                  <c:v>65.860706415439481</c:v>
                </c:pt>
                <c:pt idx="199">
                  <c:v>65.515484900370339</c:v>
                </c:pt>
                <c:pt idx="200">
                  <c:v>65.071628666709998</c:v>
                </c:pt>
                <c:pt idx="201">
                  <c:v>64.627772433049671</c:v>
                </c:pt>
                <c:pt idx="202">
                  <c:v>64.134598840093744</c:v>
                </c:pt>
                <c:pt idx="203">
                  <c:v>63.69074260643341</c:v>
                </c:pt>
                <c:pt idx="204">
                  <c:v>76.168034508218341</c:v>
                </c:pt>
                <c:pt idx="205">
                  <c:v>62.21122182756563</c:v>
                </c:pt>
                <c:pt idx="206">
                  <c:v>73.208992950482781</c:v>
                </c:pt>
                <c:pt idx="207">
                  <c:v>77.154381694130194</c:v>
                </c:pt>
                <c:pt idx="208">
                  <c:v>73.06104087259601</c:v>
                </c:pt>
                <c:pt idx="209">
                  <c:v>73.06104087259601</c:v>
                </c:pt>
                <c:pt idx="210">
                  <c:v>72.96240615400481</c:v>
                </c:pt>
                <c:pt idx="211">
                  <c:v>72.814454076118039</c:v>
                </c:pt>
                <c:pt idx="212">
                  <c:v>72.76513671682244</c:v>
                </c:pt>
                <c:pt idx="213">
                  <c:v>76.809160179061038</c:v>
                </c:pt>
                <c:pt idx="214">
                  <c:v>77.548920568494935</c:v>
                </c:pt>
                <c:pt idx="215">
                  <c:v>77.006429616243409</c:v>
                </c:pt>
                <c:pt idx="216">
                  <c:v>72.715819357526854</c:v>
                </c:pt>
                <c:pt idx="217">
                  <c:v>64.381185636571701</c:v>
                </c:pt>
                <c:pt idx="218">
                  <c:v>63.49347316925104</c:v>
                </c:pt>
                <c:pt idx="219">
                  <c:v>77.45028584990375</c:v>
                </c:pt>
                <c:pt idx="220">
                  <c:v>61.570096156722926</c:v>
                </c:pt>
                <c:pt idx="221">
                  <c:v>60.386479533628702</c:v>
                </c:pt>
                <c:pt idx="222">
                  <c:v>58.216515724622631</c:v>
                </c:pt>
                <c:pt idx="223">
                  <c:v>56.539725508572488</c:v>
                </c:pt>
                <c:pt idx="224">
                  <c:v>56.095869274912147</c:v>
                </c:pt>
                <c:pt idx="225">
                  <c:v>53.383414513654557</c:v>
                </c:pt>
                <c:pt idx="226">
                  <c:v>49.684612566485114</c:v>
                </c:pt>
                <c:pt idx="227">
                  <c:v>45.443319667064152</c:v>
                </c:pt>
                <c:pt idx="228">
                  <c:v>43.421307935944853</c:v>
                </c:pt>
                <c:pt idx="229">
                  <c:v>43.125403780171304</c:v>
                </c:pt>
                <c:pt idx="230">
                  <c:v>44.11175096608315</c:v>
                </c:pt>
                <c:pt idx="231">
                  <c:v>45.689906463542115</c:v>
                </c:pt>
                <c:pt idx="232">
                  <c:v>70.496538189225191</c:v>
                </c:pt>
                <c:pt idx="233">
                  <c:v>70.397903470634006</c:v>
                </c:pt>
                <c:pt idx="234">
                  <c:v>70.299268752042821</c:v>
                </c:pt>
                <c:pt idx="235">
                  <c:v>70.10199931486045</c:v>
                </c:pt>
                <c:pt idx="236">
                  <c:v>70.003364596269265</c:v>
                </c:pt>
                <c:pt idx="237">
                  <c:v>69.855412518382479</c:v>
                </c:pt>
                <c:pt idx="238">
                  <c:v>69.806095159086894</c:v>
                </c:pt>
                <c:pt idx="239">
                  <c:v>69.756777799791294</c:v>
                </c:pt>
                <c:pt idx="240">
                  <c:v>69.658143081200109</c:v>
                </c:pt>
                <c:pt idx="241">
                  <c:v>69.559508362608923</c:v>
                </c:pt>
                <c:pt idx="242">
                  <c:v>76.759842819765453</c:v>
                </c:pt>
                <c:pt idx="243">
                  <c:v>69.115652128948597</c:v>
                </c:pt>
                <c:pt idx="244">
                  <c:v>68.918382691766226</c:v>
                </c:pt>
                <c:pt idx="245">
                  <c:v>68.770430613879455</c:v>
                </c:pt>
                <c:pt idx="246">
                  <c:v>68.573161176697084</c:v>
                </c:pt>
                <c:pt idx="247">
                  <c:v>70.792442344998747</c:v>
                </c:pt>
                <c:pt idx="248">
                  <c:v>76.907794897652224</c:v>
                </c:pt>
                <c:pt idx="249">
                  <c:v>70.743124985703147</c:v>
                </c:pt>
                <c:pt idx="250">
                  <c:v>70.496538189225191</c:v>
                </c:pt>
                <c:pt idx="251">
                  <c:v>70.348586111338406</c:v>
                </c:pt>
                <c:pt idx="252">
                  <c:v>70.10199931486045</c:v>
                </c:pt>
                <c:pt idx="253">
                  <c:v>69.954047236973665</c:v>
                </c:pt>
                <c:pt idx="254">
                  <c:v>69.855412518382479</c:v>
                </c:pt>
                <c:pt idx="255">
                  <c:v>69.658143081200109</c:v>
                </c:pt>
                <c:pt idx="256">
                  <c:v>76.809160179061038</c:v>
                </c:pt>
                <c:pt idx="257">
                  <c:v>69.855412518382479</c:v>
                </c:pt>
                <c:pt idx="258">
                  <c:v>69.954047236973665</c:v>
                </c:pt>
                <c:pt idx="259">
                  <c:v>69.855412518382479</c:v>
                </c:pt>
                <c:pt idx="260">
                  <c:v>76.809160179061038</c:v>
                </c:pt>
                <c:pt idx="261">
                  <c:v>69.559508362608923</c:v>
                </c:pt>
                <c:pt idx="262">
                  <c:v>64.381185636571701</c:v>
                </c:pt>
                <c:pt idx="263">
                  <c:v>76.266669226809526</c:v>
                </c:pt>
                <c:pt idx="264">
                  <c:v>64.23323355868493</c:v>
                </c:pt>
                <c:pt idx="265">
                  <c:v>64.035964121502559</c:v>
                </c:pt>
                <c:pt idx="266">
                  <c:v>63.838694684320188</c:v>
                </c:pt>
                <c:pt idx="267">
                  <c:v>63.641425247137818</c:v>
                </c:pt>
                <c:pt idx="268">
                  <c:v>63.394838450659854</c:v>
                </c:pt>
                <c:pt idx="269">
                  <c:v>63.148251654181891</c:v>
                </c:pt>
                <c:pt idx="270">
                  <c:v>76.020082430331556</c:v>
                </c:pt>
                <c:pt idx="271">
                  <c:v>62.95098221699952</c:v>
                </c:pt>
                <c:pt idx="272">
                  <c:v>75.97076507103597</c:v>
                </c:pt>
                <c:pt idx="273">
                  <c:v>62.21122182756563</c:v>
                </c:pt>
                <c:pt idx="274">
                  <c:v>61.767365593905296</c:v>
                </c:pt>
                <c:pt idx="275">
                  <c:v>75.97076507103597</c:v>
                </c:pt>
                <c:pt idx="276">
                  <c:v>60.928970485880228</c:v>
                </c:pt>
                <c:pt idx="277">
                  <c:v>75.872130352444785</c:v>
                </c:pt>
                <c:pt idx="278">
                  <c:v>60.090575377855153</c:v>
                </c:pt>
                <c:pt idx="279">
                  <c:v>59.794671222081597</c:v>
                </c:pt>
                <c:pt idx="280">
                  <c:v>59.400132347716855</c:v>
                </c:pt>
                <c:pt idx="281">
                  <c:v>58.956276114056521</c:v>
                </c:pt>
                <c:pt idx="282">
                  <c:v>71.828106890206186</c:v>
                </c:pt>
                <c:pt idx="283">
                  <c:v>77.006429616243409</c:v>
                </c:pt>
                <c:pt idx="284">
                  <c:v>71.630837453023815</c:v>
                </c:pt>
                <c:pt idx="285">
                  <c:v>71.58152009372823</c:v>
                </c:pt>
                <c:pt idx="286">
                  <c:v>71.53220273443263</c:v>
                </c:pt>
                <c:pt idx="287">
                  <c:v>71.482885375137045</c:v>
                </c:pt>
                <c:pt idx="288">
                  <c:v>71.482885375137045</c:v>
                </c:pt>
                <c:pt idx="289">
                  <c:v>71.384250656545859</c:v>
                </c:pt>
                <c:pt idx="290">
                  <c:v>71.236298578659074</c:v>
                </c:pt>
                <c:pt idx="291">
                  <c:v>70.989711782181118</c:v>
                </c:pt>
                <c:pt idx="292">
                  <c:v>76.907794897652224</c:v>
                </c:pt>
                <c:pt idx="293">
                  <c:v>70.496538189225191</c:v>
                </c:pt>
                <c:pt idx="294">
                  <c:v>70.299268752042821</c:v>
                </c:pt>
                <c:pt idx="295">
                  <c:v>68.770430613879455</c:v>
                </c:pt>
                <c:pt idx="296">
                  <c:v>68.573161176697084</c:v>
                </c:pt>
                <c:pt idx="297">
                  <c:v>68.425209098810299</c:v>
                </c:pt>
                <c:pt idx="298">
                  <c:v>76.661208101174267</c:v>
                </c:pt>
                <c:pt idx="299">
                  <c:v>68.129304943036743</c:v>
                </c:pt>
                <c:pt idx="300">
                  <c:v>67.981352865149972</c:v>
                </c:pt>
                <c:pt idx="301">
                  <c:v>67.784083427967602</c:v>
                </c:pt>
                <c:pt idx="302">
                  <c:v>76.414621304696297</c:v>
                </c:pt>
                <c:pt idx="303">
                  <c:v>66.945688319942519</c:v>
                </c:pt>
                <c:pt idx="304">
                  <c:v>59.548084425603633</c:v>
                </c:pt>
                <c:pt idx="305">
                  <c:v>59.646719144194819</c:v>
                </c:pt>
                <c:pt idx="306">
                  <c:v>59.400132347716855</c:v>
                </c:pt>
                <c:pt idx="307">
                  <c:v>59.30149762912567</c:v>
                </c:pt>
                <c:pt idx="308">
                  <c:v>75.773495633853599</c:v>
                </c:pt>
                <c:pt idx="309">
                  <c:v>59.202862910534485</c:v>
                </c:pt>
                <c:pt idx="310">
                  <c:v>58.759006676874151</c:v>
                </c:pt>
                <c:pt idx="311">
                  <c:v>58.117881006031446</c:v>
                </c:pt>
                <c:pt idx="312">
                  <c:v>58.167198365327039</c:v>
                </c:pt>
                <c:pt idx="313">
                  <c:v>77.40096849060815</c:v>
                </c:pt>
                <c:pt idx="314">
                  <c:v>74.392609573577005</c:v>
                </c:pt>
                <c:pt idx="315">
                  <c:v>74.293974854985819</c:v>
                </c:pt>
                <c:pt idx="316">
                  <c:v>74.24465749569022</c:v>
                </c:pt>
                <c:pt idx="317">
                  <c:v>74.24465749569022</c:v>
                </c:pt>
                <c:pt idx="318">
                  <c:v>77.253016412721379</c:v>
                </c:pt>
                <c:pt idx="319">
                  <c:v>74.047388058507849</c:v>
                </c:pt>
                <c:pt idx="320">
                  <c:v>73.948753339916664</c:v>
                </c:pt>
                <c:pt idx="321">
                  <c:v>73.948753339916664</c:v>
                </c:pt>
                <c:pt idx="322">
                  <c:v>73.899435980621078</c:v>
                </c:pt>
                <c:pt idx="323">
                  <c:v>73.850118621325478</c:v>
                </c:pt>
                <c:pt idx="324">
                  <c:v>73.800801262029893</c:v>
                </c:pt>
                <c:pt idx="325">
                  <c:v>73.751483902734293</c:v>
                </c:pt>
                <c:pt idx="326">
                  <c:v>56.046551915616561</c:v>
                </c:pt>
                <c:pt idx="327">
                  <c:v>55.356108885478264</c:v>
                </c:pt>
                <c:pt idx="328">
                  <c:v>55.947917197025376</c:v>
                </c:pt>
                <c:pt idx="329">
                  <c:v>55.750647759843005</c:v>
                </c:pt>
                <c:pt idx="330">
                  <c:v>55.602695681956227</c:v>
                </c:pt>
                <c:pt idx="331">
                  <c:v>55.257474166887079</c:v>
                </c:pt>
                <c:pt idx="332">
                  <c:v>59.745353862786004</c:v>
                </c:pt>
                <c:pt idx="333">
                  <c:v>59.548084425603633</c:v>
                </c:pt>
                <c:pt idx="334">
                  <c:v>59.498767066308041</c:v>
                </c:pt>
                <c:pt idx="335">
                  <c:v>59.597401784899226</c:v>
                </c:pt>
                <c:pt idx="336">
                  <c:v>59.646719144194819</c:v>
                </c:pt>
                <c:pt idx="337">
                  <c:v>75.773495633853599</c:v>
                </c:pt>
                <c:pt idx="338">
                  <c:v>58.167198365327039</c:v>
                </c:pt>
                <c:pt idx="339">
                  <c:v>73.504897106256337</c:v>
                </c:pt>
                <c:pt idx="340">
                  <c:v>73.455579746960737</c:v>
                </c:pt>
                <c:pt idx="341">
                  <c:v>73.455579746960737</c:v>
                </c:pt>
                <c:pt idx="342">
                  <c:v>73.356945028369552</c:v>
                </c:pt>
                <c:pt idx="343">
                  <c:v>73.208992950482781</c:v>
                </c:pt>
                <c:pt idx="344">
                  <c:v>73.110358231891595</c:v>
                </c:pt>
                <c:pt idx="345">
                  <c:v>73.258310309778381</c:v>
                </c:pt>
                <c:pt idx="346">
                  <c:v>77.154381694130194</c:v>
                </c:pt>
                <c:pt idx="347">
                  <c:v>73.110358231891595</c:v>
                </c:pt>
                <c:pt idx="348">
                  <c:v>73.356945028369552</c:v>
                </c:pt>
                <c:pt idx="349">
                  <c:v>73.258310309778381</c:v>
                </c:pt>
                <c:pt idx="350">
                  <c:v>73.208992950482781</c:v>
                </c:pt>
                <c:pt idx="351">
                  <c:v>73.110358231891595</c:v>
                </c:pt>
                <c:pt idx="352">
                  <c:v>73.06104087259601</c:v>
                </c:pt>
                <c:pt idx="353">
                  <c:v>73.01172351330041</c:v>
                </c:pt>
                <c:pt idx="354">
                  <c:v>72.814454076118039</c:v>
                </c:pt>
                <c:pt idx="355">
                  <c:v>72.863771435413639</c:v>
                </c:pt>
                <c:pt idx="356">
                  <c:v>72.76513671682244</c:v>
                </c:pt>
                <c:pt idx="357">
                  <c:v>72.715819357526854</c:v>
                </c:pt>
                <c:pt idx="358">
                  <c:v>77.055746975539009</c:v>
                </c:pt>
                <c:pt idx="359">
                  <c:v>76.957112256947823</c:v>
                </c:pt>
                <c:pt idx="360">
                  <c:v>76.809160179061038</c:v>
                </c:pt>
                <c:pt idx="361">
                  <c:v>77.055746975539009</c:v>
                </c:pt>
                <c:pt idx="362">
                  <c:v>71.926741608797371</c:v>
                </c:pt>
                <c:pt idx="363">
                  <c:v>70.496538189225191</c:v>
                </c:pt>
                <c:pt idx="364">
                  <c:v>70.447220829929591</c:v>
                </c:pt>
                <c:pt idx="365">
                  <c:v>70.545855548520777</c:v>
                </c:pt>
                <c:pt idx="366">
                  <c:v>70.496538189225191</c:v>
                </c:pt>
                <c:pt idx="367">
                  <c:v>76.858477538356638</c:v>
                </c:pt>
                <c:pt idx="368">
                  <c:v>76.858477538356638</c:v>
                </c:pt>
                <c:pt idx="369">
                  <c:v>70.397903470634006</c:v>
                </c:pt>
                <c:pt idx="370">
                  <c:v>70.496538189225191</c:v>
                </c:pt>
                <c:pt idx="371">
                  <c:v>70.348586111338406</c:v>
                </c:pt>
                <c:pt idx="372">
                  <c:v>70.496538189225191</c:v>
                </c:pt>
                <c:pt idx="373">
                  <c:v>70.299268752042821</c:v>
                </c:pt>
                <c:pt idx="374">
                  <c:v>76.858477538356638</c:v>
                </c:pt>
                <c:pt idx="375">
                  <c:v>69.559508362608923</c:v>
                </c:pt>
                <c:pt idx="376">
                  <c:v>69.460873644017738</c:v>
                </c:pt>
                <c:pt idx="377">
                  <c:v>69.362238925426553</c:v>
                </c:pt>
                <c:pt idx="378">
                  <c:v>76.463938663991897</c:v>
                </c:pt>
                <c:pt idx="379">
                  <c:v>66.107293211917451</c:v>
                </c:pt>
                <c:pt idx="380">
                  <c:v>65.91002377473508</c:v>
                </c:pt>
                <c:pt idx="381">
                  <c:v>65.71275433755271</c:v>
                </c:pt>
                <c:pt idx="382">
                  <c:v>65.466167541074739</c:v>
                </c:pt>
                <c:pt idx="383">
                  <c:v>65.219580744596783</c:v>
                </c:pt>
                <c:pt idx="384">
                  <c:v>65.022311307414412</c:v>
                </c:pt>
                <c:pt idx="385">
                  <c:v>64.825041870232042</c:v>
                </c:pt>
                <c:pt idx="386">
                  <c:v>64.677089792345257</c:v>
                </c:pt>
                <c:pt idx="387">
                  <c:v>64.479820355162886</c:v>
                </c:pt>
                <c:pt idx="388">
                  <c:v>64.331868277276115</c:v>
                </c:pt>
                <c:pt idx="389">
                  <c:v>64.23323355868493</c:v>
                </c:pt>
                <c:pt idx="390">
                  <c:v>72.863771435413639</c:v>
                </c:pt>
                <c:pt idx="391">
                  <c:v>72.863771435413639</c:v>
                </c:pt>
                <c:pt idx="392">
                  <c:v>72.814454076118039</c:v>
                </c:pt>
                <c:pt idx="393">
                  <c:v>72.76513671682244</c:v>
                </c:pt>
                <c:pt idx="394">
                  <c:v>76.809160179061038</c:v>
                </c:pt>
                <c:pt idx="395">
                  <c:v>72.863771435413639</c:v>
                </c:pt>
                <c:pt idx="396">
                  <c:v>72.715819357526854</c:v>
                </c:pt>
                <c:pt idx="397">
                  <c:v>73.01172351330041</c:v>
                </c:pt>
                <c:pt idx="398">
                  <c:v>76.809160179061038</c:v>
                </c:pt>
                <c:pt idx="399">
                  <c:v>72.814454076118039</c:v>
                </c:pt>
                <c:pt idx="400">
                  <c:v>77.006429616243409</c:v>
                </c:pt>
                <c:pt idx="401">
                  <c:v>77.548920568494935</c:v>
                </c:pt>
                <c:pt idx="402">
                  <c:v>72.715819357526854</c:v>
                </c:pt>
                <c:pt idx="403">
                  <c:v>77.548920568494935</c:v>
                </c:pt>
                <c:pt idx="404">
                  <c:v>72.76513671682244</c:v>
                </c:pt>
                <c:pt idx="405">
                  <c:v>72.814454076118039</c:v>
                </c:pt>
                <c:pt idx="406">
                  <c:v>72.814454076118039</c:v>
                </c:pt>
                <c:pt idx="407">
                  <c:v>76.907794897652224</c:v>
                </c:pt>
                <c:pt idx="408">
                  <c:v>76.907794897652224</c:v>
                </c:pt>
                <c:pt idx="409">
                  <c:v>76.809160179061038</c:v>
                </c:pt>
                <c:pt idx="410">
                  <c:v>76.661208101174267</c:v>
                </c:pt>
                <c:pt idx="411">
                  <c:v>71.877424249501786</c:v>
                </c:pt>
                <c:pt idx="412">
                  <c:v>71.976058968092971</c:v>
                </c:pt>
                <c:pt idx="413">
                  <c:v>74.984417885124117</c:v>
                </c:pt>
                <c:pt idx="414">
                  <c:v>74.935100525828517</c:v>
                </c:pt>
                <c:pt idx="415">
                  <c:v>74.836465807237332</c:v>
                </c:pt>
                <c:pt idx="416">
                  <c:v>74.787148447941746</c:v>
                </c:pt>
                <c:pt idx="417">
                  <c:v>74.688513729350561</c:v>
                </c:pt>
                <c:pt idx="418">
                  <c:v>77.302333772016965</c:v>
                </c:pt>
                <c:pt idx="419">
                  <c:v>74.540561651463776</c:v>
                </c:pt>
                <c:pt idx="420">
                  <c:v>74.49124429216819</c:v>
                </c:pt>
                <c:pt idx="421">
                  <c:v>74.44192693287259</c:v>
                </c:pt>
                <c:pt idx="422">
                  <c:v>74.392609573577005</c:v>
                </c:pt>
                <c:pt idx="423">
                  <c:v>74.392609573577005</c:v>
                </c:pt>
                <c:pt idx="424">
                  <c:v>74.343292214281405</c:v>
                </c:pt>
                <c:pt idx="425">
                  <c:v>74.24465749569022</c:v>
                </c:pt>
                <c:pt idx="426">
                  <c:v>74.195340136394634</c:v>
                </c:pt>
                <c:pt idx="427">
                  <c:v>77.253016412721379</c:v>
                </c:pt>
                <c:pt idx="428">
                  <c:v>65.170263385301183</c:v>
                </c:pt>
                <c:pt idx="429">
                  <c:v>64.972993948118813</c:v>
                </c:pt>
                <c:pt idx="430">
                  <c:v>64.627772433049671</c:v>
                </c:pt>
                <c:pt idx="431">
                  <c:v>64.381185636571701</c:v>
                </c:pt>
                <c:pt idx="432">
                  <c:v>64.134598840093744</c:v>
                </c:pt>
                <c:pt idx="433">
                  <c:v>63.838694684320188</c:v>
                </c:pt>
                <c:pt idx="434">
                  <c:v>63.345521091364262</c:v>
                </c:pt>
                <c:pt idx="435">
                  <c:v>63.000299576295113</c:v>
                </c:pt>
                <c:pt idx="436">
                  <c:v>70.003364596269265</c:v>
                </c:pt>
                <c:pt idx="437">
                  <c:v>69.855412518382479</c:v>
                </c:pt>
                <c:pt idx="438">
                  <c:v>69.017017410357411</c:v>
                </c:pt>
                <c:pt idx="439">
                  <c:v>76.809160179061038</c:v>
                </c:pt>
                <c:pt idx="440">
                  <c:v>69.411556284722153</c:v>
                </c:pt>
                <c:pt idx="441">
                  <c:v>69.855412518382479</c:v>
                </c:pt>
                <c:pt idx="442">
                  <c:v>69.658143081200109</c:v>
                </c:pt>
                <c:pt idx="443">
                  <c:v>69.510191003313338</c:v>
                </c:pt>
                <c:pt idx="444">
                  <c:v>68.819747973175041</c:v>
                </c:pt>
                <c:pt idx="445">
                  <c:v>76.217351867513926</c:v>
                </c:pt>
                <c:pt idx="446">
                  <c:v>67.044323038533705</c:v>
                </c:pt>
                <c:pt idx="447">
                  <c:v>76.513256023287482</c:v>
                </c:pt>
                <c:pt idx="448">
                  <c:v>68.277257020923514</c:v>
                </c:pt>
                <c:pt idx="449">
                  <c:v>68.326574380219114</c:v>
                </c:pt>
                <c:pt idx="450">
                  <c:v>68.918382691766226</c:v>
                </c:pt>
                <c:pt idx="451">
                  <c:v>71.630837453023815</c:v>
                </c:pt>
                <c:pt idx="452">
                  <c:v>71.630837453023815</c:v>
                </c:pt>
                <c:pt idx="453">
                  <c:v>71.334933297250259</c:v>
                </c:pt>
                <c:pt idx="454">
                  <c:v>71.137663860067889</c:v>
                </c:pt>
                <c:pt idx="455">
                  <c:v>70.989711782181118</c:v>
                </c:pt>
                <c:pt idx="456">
                  <c:v>70.841759704294333</c:v>
                </c:pt>
                <c:pt idx="457">
                  <c:v>70.743124985703147</c:v>
                </c:pt>
                <c:pt idx="458">
                  <c:v>76.907794897652224</c:v>
                </c:pt>
                <c:pt idx="459">
                  <c:v>70.496538189225191</c:v>
                </c:pt>
                <c:pt idx="460">
                  <c:v>70.151316674156035</c:v>
                </c:pt>
                <c:pt idx="461">
                  <c:v>70.299268752042821</c:v>
                </c:pt>
                <c:pt idx="462">
                  <c:v>70.151316674156035</c:v>
                </c:pt>
                <c:pt idx="463">
                  <c:v>69.855412518382479</c:v>
                </c:pt>
                <c:pt idx="464">
                  <c:v>69.806095159086894</c:v>
                </c:pt>
                <c:pt idx="465">
                  <c:v>69.559508362608923</c:v>
                </c:pt>
                <c:pt idx="466">
                  <c:v>68.671795895288255</c:v>
                </c:pt>
                <c:pt idx="467">
                  <c:v>68.523843817401485</c:v>
                </c:pt>
                <c:pt idx="468">
                  <c:v>68.671795895288255</c:v>
                </c:pt>
                <c:pt idx="469">
                  <c:v>67.882718146558773</c:v>
                </c:pt>
                <c:pt idx="470">
                  <c:v>68.178622302332343</c:v>
                </c:pt>
                <c:pt idx="471">
                  <c:v>76.463938663991897</c:v>
                </c:pt>
                <c:pt idx="472">
                  <c:v>68.030670224445558</c:v>
                </c:pt>
                <c:pt idx="473">
                  <c:v>76.463938663991897</c:v>
                </c:pt>
                <c:pt idx="474">
                  <c:v>67.19227511642049</c:v>
                </c:pt>
                <c:pt idx="475">
                  <c:v>67.093640397829304</c:v>
                </c:pt>
                <c:pt idx="476">
                  <c:v>66.995005679238119</c:v>
                </c:pt>
                <c:pt idx="477">
                  <c:v>76.168034508218341</c:v>
                </c:pt>
                <c:pt idx="478">
                  <c:v>76.414621304696297</c:v>
                </c:pt>
                <c:pt idx="479">
                  <c:v>66.797736242055748</c:v>
                </c:pt>
                <c:pt idx="480">
                  <c:v>66.847053601351334</c:v>
                </c:pt>
                <c:pt idx="481">
                  <c:v>76.020082430331556</c:v>
                </c:pt>
                <c:pt idx="482">
                  <c:v>63.49347316925104</c:v>
                </c:pt>
                <c:pt idx="483">
                  <c:v>62.901664857703928</c:v>
                </c:pt>
                <c:pt idx="484">
                  <c:v>62.260539186861223</c:v>
                </c:pt>
                <c:pt idx="485">
                  <c:v>61.718048234609711</c:v>
                </c:pt>
                <c:pt idx="486">
                  <c:v>61.372826719540555</c:v>
                </c:pt>
                <c:pt idx="487">
                  <c:v>61.027605204471413</c:v>
                </c:pt>
                <c:pt idx="488">
                  <c:v>75.92144771174037</c:v>
                </c:pt>
                <c:pt idx="489">
                  <c:v>60.731701048697857</c:v>
                </c:pt>
                <c:pt idx="490">
                  <c:v>60.682383689402258</c:v>
                </c:pt>
                <c:pt idx="491">
                  <c:v>60.682383689402258</c:v>
                </c:pt>
                <c:pt idx="492">
                  <c:v>71.58152009372823</c:v>
                </c:pt>
                <c:pt idx="493">
                  <c:v>71.334933297250259</c:v>
                </c:pt>
                <c:pt idx="494">
                  <c:v>70.940394422885518</c:v>
                </c:pt>
                <c:pt idx="495">
                  <c:v>70.792442344998747</c:v>
                </c:pt>
                <c:pt idx="496">
                  <c:v>70.841759704294333</c:v>
                </c:pt>
                <c:pt idx="497">
                  <c:v>69.904729877678079</c:v>
                </c:pt>
                <c:pt idx="498">
                  <c:v>69.362238925426553</c:v>
                </c:pt>
                <c:pt idx="499">
                  <c:v>68.277257020923514</c:v>
                </c:pt>
                <c:pt idx="500">
                  <c:v>68.326574380219114</c:v>
                </c:pt>
                <c:pt idx="501">
                  <c:v>68.277257020923514</c:v>
                </c:pt>
                <c:pt idx="502">
                  <c:v>67.981352865149972</c:v>
                </c:pt>
                <c:pt idx="503">
                  <c:v>66.057975852621851</c:v>
                </c:pt>
                <c:pt idx="504">
                  <c:v>65.91002377473508</c:v>
                </c:pt>
                <c:pt idx="505">
                  <c:v>65.71275433755271</c:v>
                </c:pt>
                <c:pt idx="506">
                  <c:v>65.318215463187968</c:v>
                </c:pt>
                <c:pt idx="507">
                  <c:v>64.726407151640856</c:v>
                </c:pt>
                <c:pt idx="508">
                  <c:v>64.085281480798159</c:v>
                </c:pt>
                <c:pt idx="509">
                  <c:v>63.345521091364262</c:v>
                </c:pt>
                <c:pt idx="510">
                  <c:v>75.674860915262414</c:v>
                </c:pt>
                <c:pt idx="511">
                  <c:v>76.661208101174267</c:v>
                </c:pt>
                <c:pt idx="512">
                  <c:v>68.129304943036743</c:v>
                </c:pt>
                <c:pt idx="513">
                  <c:v>67.981352865149972</c:v>
                </c:pt>
                <c:pt idx="514">
                  <c:v>67.882718146558773</c:v>
                </c:pt>
                <c:pt idx="515">
                  <c:v>77.499603209199336</c:v>
                </c:pt>
                <c:pt idx="516">
                  <c:v>76.463938663991897</c:v>
                </c:pt>
                <c:pt idx="517">
                  <c:v>76.315986586105112</c:v>
                </c:pt>
                <c:pt idx="518">
                  <c:v>76.168034508218341</c:v>
                </c:pt>
                <c:pt idx="519">
                  <c:v>67.19227511642049</c:v>
                </c:pt>
                <c:pt idx="520">
                  <c:v>67.044323038533705</c:v>
                </c:pt>
                <c:pt idx="521">
                  <c:v>66.847053601351334</c:v>
                </c:pt>
                <c:pt idx="522">
                  <c:v>76.513256023287482</c:v>
                </c:pt>
                <c:pt idx="523">
                  <c:v>76.513256023287482</c:v>
                </c:pt>
                <c:pt idx="524">
                  <c:v>66.699101523464563</c:v>
                </c:pt>
                <c:pt idx="525">
                  <c:v>66.699101523464563</c:v>
                </c:pt>
                <c:pt idx="526">
                  <c:v>73.702166543438707</c:v>
                </c:pt>
                <c:pt idx="527">
                  <c:v>73.603531824847522</c:v>
                </c:pt>
                <c:pt idx="528">
                  <c:v>73.504897106256337</c:v>
                </c:pt>
                <c:pt idx="529">
                  <c:v>73.504897106256337</c:v>
                </c:pt>
                <c:pt idx="530">
                  <c:v>73.356945028369552</c:v>
                </c:pt>
                <c:pt idx="531">
                  <c:v>73.258310309778381</c:v>
                </c:pt>
                <c:pt idx="532">
                  <c:v>73.258310309778381</c:v>
                </c:pt>
                <c:pt idx="533">
                  <c:v>73.208992950482781</c:v>
                </c:pt>
                <c:pt idx="534">
                  <c:v>73.06104087259601</c:v>
                </c:pt>
                <c:pt idx="535">
                  <c:v>73.01172351330041</c:v>
                </c:pt>
                <c:pt idx="536">
                  <c:v>72.96240615400481</c:v>
                </c:pt>
                <c:pt idx="537">
                  <c:v>72.715819357526854</c:v>
                </c:pt>
                <c:pt idx="538">
                  <c:v>77.055746975539009</c:v>
                </c:pt>
                <c:pt idx="539">
                  <c:v>76.957112256947823</c:v>
                </c:pt>
                <c:pt idx="540">
                  <c:v>76.957112256947823</c:v>
                </c:pt>
                <c:pt idx="541">
                  <c:v>65.91002377473508</c:v>
                </c:pt>
                <c:pt idx="542">
                  <c:v>65.022311307414412</c:v>
                </c:pt>
                <c:pt idx="543">
                  <c:v>63.986646762206966</c:v>
                </c:pt>
                <c:pt idx="544">
                  <c:v>63.345521091364262</c:v>
                </c:pt>
                <c:pt idx="545">
                  <c:v>63.098934294886298</c:v>
                </c:pt>
                <c:pt idx="546">
                  <c:v>76.069399789627155</c:v>
                </c:pt>
                <c:pt idx="547">
                  <c:v>62.901664857703928</c:v>
                </c:pt>
                <c:pt idx="548">
                  <c:v>63.246886372773076</c:v>
                </c:pt>
                <c:pt idx="549">
                  <c:v>63.394838450659854</c:v>
                </c:pt>
                <c:pt idx="550">
                  <c:v>75.773495633853599</c:v>
                </c:pt>
                <c:pt idx="551">
                  <c:v>71.433568015841445</c:v>
                </c:pt>
                <c:pt idx="552">
                  <c:v>71.285615937954674</c:v>
                </c:pt>
                <c:pt idx="553">
                  <c:v>76.957112256947823</c:v>
                </c:pt>
                <c:pt idx="554">
                  <c:v>71.334933297250259</c:v>
                </c:pt>
                <c:pt idx="555">
                  <c:v>71.088346500772303</c:v>
                </c:pt>
                <c:pt idx="556">
                  <c:v>71.039029141476703</c:v>
                </c:pt>
                <c:pt idx="557">
                  <c:v>71.285615937954674</c:v>
                </c:pt>
                <c:pt idx="558">
                  <c:v>77.006429616243409</c:v>
                </c:pt>
                <c:pt idx="559">
                  <c:v>71.384250656545859</c:v>
                </c:pt>
                <c:pt idx="560">
                  <c:v>71.285615937954674</c:v>
                </c:pt>
                <c:pt idx="561">
                  <c:v>70.989711782181118</c:v>
                </c:pt>
                <c:pt idx="562">
                  <c:v>71.088346500772303</c:v>
                </c:pt>
                <c:pt idx="563">
                  <c:v>70.595172907816377</c:v>
                </c:pt>
                <c:pt idx="564">
                  <c:v>71.630837453023815</c:v>
                </c:pt>
                <c:pt idx="565">
                  <c:v>71.236298578659074</c:v>
                </c:pt>
                <c:pt idx="566">
                  <c:v>74.195340136394634</c:v>
                </c:pt>
                <c:pt idx="567">
                  <c:v>74.096705417803449</c:v>
                </c:pt>
                <c:pt idx="568">
                  <c:v>74.096705417803449</c:v>
                </c:pt>
                <c:pt idx="569">
                  <c:v>73.948753339916664</c:v>
                </c:pt>
                <c:pt idx="570">
                  <c:v>73.850118621325478</c:v>
                </c:pt>
                <c:pt idx="571">
                  <c:v>73.702166543438707</c:v>
                </c:pt>
                <c:pt idx="572">
                  <c:v>77.20369905342578</c:v>
                </c:pt>
                <c:pt idx="573">
                  <c:v>73.554214465551922</c:v>
                </c:pt>
                <c:pt idx="574">
                  <c:v>73.455579746960737</c:v>
                </c:pt>
                <c:pt idx="575">
                  <c:v>73.406262387665151</c:v>
                </c:pt>
                <c:pt idx="576">
                  <c:v>73.356945028369552</c:v>
                </c:pt>
                <c:pt idx="577">
                  <c:v>77.154381694130194</c:v>
                </c:pt>
                <c:pt idx="578">
                  <c:v>73.110358231891595</c:v>
                </c:pt>
                <c:pt idx="579">
                  <c:v>73.06104087259601</c:v>
                </c:pt>
                <c:pt idx="580">
                  <c:v>72.913088794709225</c:v>
                </c:pt>
                <c:pt idx="581">
                  <c:v>65.120946026005598</c:v>
                </c:pt>
                <c:pt idx="582">
                  <c:v>65.071628666709998</c:v>
                </c:pt>
                <c:pt idx="583">
                  <c:v>64.923676588823227</c:v>
                </c:pt>
                <c:pt idx="584">
                  <c:v>64.627772433049671</c:v>
                </c:pt>
                <c:pt idx="585">
                  <c:v>64.4305029958673</c:v>
                </c:pt>
                <c:pt idx="586">
                  <c:v>64.23323355868493</c:v>
                </c:pt>
                <c:pt idx="587">
                  <c:v>64.035964121502559</c:v>
                </c:pt>
                <c:pt idx="588">
                  <c:v>76.217351867513926</c:v>
                </c:pt>
                <c:pt idx="589">
                  <c:v>63.394838450659854</c:v>
                </c:pt>
                <c:pt idx="590">
                  <c:v>63.000299576295113</c:v>
                </c:pt>
                <c:pt idx="591">
                  <c:v>75.92144771174037</c:v>
                </c:pt>
                <c:pt idx="592">
                  <c:v>75.724178274558</c:v>
                </c:pt>
                <c:pt idx="593">
                  <c:v>76.069399789627155</c:v>
                </c:pt>
                <c:pt idx="594">
                  <c:v>73.998070699212263</c:v>
                </c:pt>
                <c:pt idx="595">
                  <c:v>73.948753339916664</c:v>
                </c:pt>
                <c:pt idx="596">
                  <c:v>73.850118621325478</c:v>
                </c:pt>
                <c:pt idx="597">
                  <c:v>73.850118621325478</c:v>
                </c:pt>
                <c:pt idx="598">
                  <c:v>73.850118621325478</c:v>
                </c:pt>
                <c:pt idx="599">
                  <c:v>73.751483902734293</c:v>
                </c:pt>
                <c:pt idx="600">
                  <c:v>73.800801262029893</c:v>
                </c:pt>
                <c:pt idx="601">
                  <c:v>77.20369905342578</c:v>
                </c:pt>
                <c:pt idx="602">
                  <c:v>73.800801262029893</c:v>
                </c:pt>
                <c:pt idx="603">
                  <c:v>73.603531824847522</c:v>
                </c:pt>
                <c:pt idx="604">
                  <c:v>73.603531824847522</c:v>
                </c:pt>
                <c:pt idx="605">
                  <c:v>73.603531824847522</c:v>
                </c:pt>
                <c:pt idx="606">
                  <c:v>73.603531824847522</c:v>
                </c:pt>
                <c:pt idx="607">
                  <c:v>73.504897106256337</c:v>
                </c:pt>
                <c:pt idx="608">
                  <c:v>73.455579746960737</c:v>
                </c:pt>
                <c:pt idx="609">
                  <c:v>68.375891739514714</c:v>
                </c:pt>
                <c:pt idx="610">
                  <c:v>68.277257020923514</c:v>
                </c:pt>
                <c:pt idx="611">
                  <c:v>68.277257020923514</c:v>
                </c:pt>
                <c:pt idx="612">
                  <c:v>68.079987583741143</c:v>
                </c:pt>
                <c:pt idx="613">
                  <c:v>67.932035505854373</c:v>
                </c:pt>
                <c:pt idx="614">
                  <c:v>67.833400787263187</c:v>
                </c:pt>
                <c:pt idx="615">
                  <c:v>76.661208101174267</c:v>
                </c:pt>
                <c:pt idx="616">
                  <c:v>68.129304943036743</c:v>
                </c:pt>
                <c:pt idx="617">
                  <c:v>76.414621304696297</c:v>
                </c:pt>
                <c:pt idx="618">
                  <c:v>76.217351867513926</c:v>
                </c:pt>
                <c:pt idx="619">
                  <c:v>62.852347498408335</c:v>
                </c:pt>
                <c:pt idx="620">
                  <c:v>63.592107887842225</c:v>
                </c:pt>
                <c:pt idx="621">
                  <c:v>63.394838450659854</c:v>
                </c:pt>
                <c:pt idx="622">
                  <c:v>76.168034508218341</c:v>
                </c:pt>
                <c:pt idx="623">
                  <c:v>63.246886372773076</c:v>
                </c:pt>
                <c:pt idx="624">
                  <c:v>62.95098221699952</c:v>
                </c:pt>
                <c:pt idx="625">
                  <c:v>75.97076507103597</c:v>
                </c:pt>
                <c:pt idx="626">
                  <c:v>75.822812993149185</c:v>
                </c:pt>
                <c:pt idx="627">
                  <c:v>63.69074260643341</c:v>
                </c:pt>
                <c:pt idx="628">
                  <c:v>63.838694684320188</c:v>
                </c:pt>
                <c:pt idx="629">
                  <c:v>63.542790528546632</c:v>
                </c:pt>
                <c:pt idx="630">
                  <c:v>63.345521091364262</c:v>
                </c:pt>
                <c:pt idx="631">
                  <c:v>63.444155809955447</c:v>
                </c:pt>
                <c:pt idx="632">
                  <c:v>63.394838450659854</c:v>
                </c:pt>
                <c:pt idx="633">
                  <c:v>66.896370960646934</c:v>
                </c:pt>
                <c:pt idx="634">
                  <c:v>66.847053601351334</c:v>
                </c:pt>
                <c:pt idx="635">
                  <c:v>76.513256023287482</c:v>
                </c:pt>
                <c:pt idx="636">
                  <c:v>66.304562649099822</c:v>
                </c:pt>
                <c:pt idx="637">
                  <c:v>66.699101523464563</c:v>
                </c:pt>
                <c:pt idx="638">
                  <c:v>66.847053601351334</c:v>
                </c:pt>
                <c:pt idx="639">
                  <c:v>66.847053601351334</c:v>
                </c:pt>
                <c:pt idx="640">
                  <c:v>66.156610571213037</c:v>
                </c:pt>
                <c:pt idx="641">
                  <c:v>76.414621304696297</c:v>
                </c:pt>
                <c:pt idx="642">
                  <c:v>65.860706415439481</c:v>
                </c:pt>
                <c:pt idx="643">
                  <c:v>65.91002377473508</c:v>
                </c:pt>
                <c:pt idx="644">
                  <c:v>65.91002377473508</c:v>
                </c:pt>
                <c:pt idx="645">
                  <c:v>65.564802259665925</c:v>
                </c:pt>
                <c:pt idx="646">
                  <c:v>65.416850181779154</c:v>
                </c:pt>
                <c:pt idx="647">
                  <c:v>65.515484900370339</c:v>
                </c:pt>
                <c:pt idx="648">
                  <c:v>65.120946026005598</c:v>
                </c:pt>
                <c:pt idx="649">
                  <c:v>70.249951392747221</c:v>
                </c:pt>
                <c:pt idx="650">
                  <c:v>76.858477538356638</c:v>
                </c:pt>
                <c:pt idx="651">
                  <c:v>70.151316674156035</c:v>
                </c:pt>
                <c:pt idx="652">
                  <c:v>70.05268195556485</c:v>
                </c:pt>
                <c:pt idx="653">
                  <c:v>69.904729877678079</c:v>
                </c:pt>
                <c:pt idx="654">
                  <c:v>69.855412518382479</c:v>
                </c:pt>
                <c:pt idx="655">
                  <c:v>69.756777799791294</c:v>
                </c:pt>
                <c:pt idx="656">
                  <c:v>76.809160179061038</c:v>
                </c:pt>
                <c:pt idx="657">
                  <c:v>69.658143081200109</c:v>
                </c:pt>
                <c:pt idx="658">
                  <c:v>69.559508362608923</c:v>
                </c:pt>
                <c:pt idx="659">
                  <c:v>69.460873644017738</c:v>
                </c:pt>
                <c:pt idx="660">
                  <c:v>69.411556284722153</c:v>
                </c:pt>
                <c:pt idx="661">
                  <c:v>69.263604206835367</c:v>
                </c:pt>
                <c:pt idx="662">
                  <c:v>69.164969488244182</c:v>
                </c:pt>
                <c:pt idx="663">
                  <c:v>69.017017410357411</c:v>
                </c:pt>
                <c:pt idx="664">
                  <c:v>68.523843817401485</c:v>
                </c:pt>
                <c:pt idx="665">
                  <c:v>68.375891739514714</c:v>
                </c:pt>
                <c:pt idx="666">
                  <c:v>76.661208101174267</c:v>
                </c:pt>
                <c:pt idx="667">
                  <c:v>68.079987583741143</c:v>
                </c:pt>
                <c:pt idx="668">
                  <c:v>67.932035505854373</c:v>
                </c:pt>
                <c:pt idx="669">
                  <c:v>77.499603209199336</c:v>
                </c:pt>
                <c:pt idx="670">
                  <c:v>76.463938663991897</c:v>
                </c:pt>
                <c:pt idx="671">
                  <c:v>76.315986586105112</c:v>
                </c:pt>
                <c:pt idx="672">
                  <c:v>76.217351867513926</c:v>
                </c:pt>
                <c:pt idx="673">
                  <c:v>67.19227511642049</c:v>
                </c:pt>
                <c:pt idx="674">
                  <c:v>67.044323038533705</c:v>
                </c:pt>
                <c:pt idx="675">
                  <c:v>68.770430613879455</c:v>
                </c:pt>
                <c:pt idx="676">
                  <c:v>68.671795895288255</c:v>
                </c:pt>
                <c:pt idx="677">
                  <c:v>68.573161176697084</c:v>
                </c:pt>
                <c:pt idx="678">
                  <c:v>68.474526458105885</c:v>
                </c:pt>
                <c:pt idx="679">
                  <c:v>68.375891739514714</c:v>
                </c:pt>
                <c:pt idx="680">
                  <c:v>68.277257020923514</c:v>
                </c:pt>
                <c:pt idx="681">
                  <c:v>68.277257020923514</c:v>
                </c:pt>
                <c:pt idx="682">
                  <c:v>76.661208101174267</c:v>
                </c:pt>
                <c:pt idx="683">
                  <c:v>68.178622302332343</c:v>
                </c:pt>
                <c:pt idx="684">
                  <c:v>76.661208101174267</c:v>
                </c:pt>
                <c:pt idx="685">
                  <c:v>67.093640397829304</c:v>
                </c:pt>
                <c:pt idx="686">
                  <c:v>68.277257020923514</c:v>
                </c:pt>
                <c:pt idx="687">
                  <c:v>68.277257020923514</c:v>
                </c:pt>
                <c:pt idx="688">
                  <c:v>68.326574380219114</c:v>
                </c:pt>
                <c:pt idx="689">
                  <c:v>68.326574380219114</c:v>
                </c:pt>
                <c:pt idx="690">
                  <c:v>67.784083427967602</c:v>
                </c:pt>
                <c:pt idx="691">
                  <c:v>76.759842819765453</c:v>
                </c:pt>
                <c:pt idx="692">
                  <c:v>70.348586111338406</c:v>
                </c:pt>
                <c:pt idx="693">
                  <c:v>70.496538189225191</c:v>
                </c:pt>
                <c:pt idx="694">
                  <c:v>70.447220829929591</c:v>
                </c:pt>
                <c:pt idx="695">
                  <c:v>70.299268752042821</c:v>
                </c:pt>
                <c:pt idx="696">
                  <c:v>69.362238925426553</c:v>
                </c:pt>
                <c:pt idx="697">
                  <c:v>66.403197367691007</c:v>
                </c:pt>
                <c:pt idx="698">
                  <c:v>65.318215463187968</c:v>
                </c:pt>
                <c:pt idx="699">
                  <c:v>76.168034508218341</c:v>
                </c:pt>
                <c:pt idx="700">
                  <c:v>76.562573382583082</c:v>
                </c:pt>
                <c:pt idx="701">
                  <c:v>74.343292214281405</c:v>
                </c:pt>
                <c:pt idx="702">
                  <c:v>74.293974854985819</c:v>
                </c:pt>
                <c:pt idx="703">
                  <c:v>74.195340136394634</c:v>
                </c:pt>
                <c:pt idx="704">
                  <c:v>77.253016412721379</c:v>
                </c:pt>
                <c:pt idx="705">
                  <c:v>74.24465749569022</c:v>
                </c:pt>
                <c:pt idx="706">
                  <c:v>77.302333772016965</c:v>
                </c:pt>
                <c:pt idx="707">
                  <c:v>74.589879010759375</c:v>
                </c:pt>
                <c:pt idx="708">
                  <c:v>77.302333772016965</c:v>
                </c:pt>
                <c:pt idx="709">
                  <c:v>74.589879010759375</c:v>
                </c:pt>
                <c:pt idx="710">
                  <c:v>74.589879010759375</c:v>
                </c:pt>
                <c:pt idx="711">
                  <c:v>74.49124429216819</c:v>
                </c:pt>
                <c:pt idx="712">
                  <c:v>74.392609573577005</c:v>
                </c:pt>
                <c:pt idx="713">
                  <c:v>74.24465749569022</c:v>
                </c:pt>
                <c:pt idx="714">
                  <c:v>74.24465749569022</c:v>
                </c:pt>
                <c:pt idx="715">
                  <c:v>74.096705417803449</c:v>
                </c:pt>
                <c:pt idx="716">
                  <c:v>74.195340136394634</c:v>
                </c:pt>
                <c:pt idx="717">
                  <c:v>74.096705417803449</c:v>
                </c:pt>
                <c:pt idx="718">
                  <c:v>73.948753339916664</c:v>
                </c:pt>
                <c:pt idx="719">
                  <c:v>73.948753339916664</c:v>
                </c:pt>
                <c:pt idx="720">
                  <c:v>73.850118621325478</c:v>
                </c:pt>
                <c:pt idx="721">
                  <c:v>74.787148447941746</c:v>
                </c:pt>
                <c:pt idx="722">
                  <c:v>74.737831088646146</c:v>
                </c:pt>
                <c:pt idx="723">
                  <c:v>77.302333772016965</c:v>
                </c:pt>
                <c:pt idx="724">
                  <c:v>77.302333772016965</c:v>
                </c:pt>
                <c:pt idx="725">
                  <c:v>77.302333772016965</c:v>
                </c:pt>
                <c:pt idx="726">
                  <c:v>74.589879010759375</c:v>
                </c:pt>
                <c:pt idx="727">
                  <c:v>74.589879010759375</c:v>
                </c:pt>
                <c:pt idx="728">
                  <c:v>74.49124429216819</c:v>
                </c:pt>
                <c:pt idx="729">
                  <c:v>74.392609573577005</c:v>
                </c:pt>
                <c:pt idx="730">
                  <c:v>74.343292214281405</c:v>
                </c:pt>
                <c:pt idx="731">
                  <c:v>74.343292214281405</c:v>
                </c:pt>
                <c:pt idx="732">
                  <c:v>74.047388058507849</c:v>
                </c:pt>
                <c:pt idx="733">
                  <c:v>74.047388058507849</c:v>
                </c:pt>
                <c:pt idx="734">
                  <c:v>73.899435980621078</c:v>
                </c:pt>
                <c:pt idx="735">
                  <c:v>73.800801262029893</c:v>
                </c:pt>
                <c:pt idx="736">
                  <c:v>71.039029141476703</c:v>
                </c:pt>
                <c:pt idx="737">
                  <c:v>70.891077063589933</c:v>
                </c:pt>
                <c:pt idx="738">
                  <c:v>70.792442344998747</c:v>
                </c:pt>
                <c:pt idx="739">
                  <c:v>70.743124985703147</c:v>
                </c:pt>
                <c:pt idx="740">
                  <c:v>70.792442344998747</c:v>
                </c:pt>
                <c:pt idx="741">
                  <c:v>70.595172907816377</c:v>
                </c:pt>
                <c:pt idx="742">
                  <c:v>70.447220829929591</c:v>
                </c:pt>
                <c:pt idx="743">
                  <c:v>70.299268752042821</c:v>
                </c:pt>
                <c:pt idx="744">
                  <c:v>76.858477538356638</c:v>
                </c:pt>
                <c:pt idx="745">
                  <c:v>69.658143081200109</c:v>
                </c:pt>
                <c:pt idx="746">
                  <c:v>69.460873644017738</c:v>
                </c:pt>
                <c:pt idx="747">
                  <c:v>69.411556284722153</c:v>
                </c:pt>
                <c:pt idx="748">
                  <c:v>72.025376327388557</c:v>
                </c:pt>
                <c:pt idx="749">
                  <c:v>71.976058968092971</c:v>
                </c:pt>
                <c:pt idx="750">
                  <c:v>71.926741608797371</c:v>
                </c:pt>
                <c:pt idx="751">
                  <c:v>71.877424249501786</c:v>
                </c:pt>
                <c:pt idx="752">
                  <c:v>71.828106890206186</c:v>
                </c:pt>
                <c:pt idx="753">
                  <c:v>71.778789530910601</c:v>
                </c:pt>
                <c:pt idx="754">
                  <c:v>71.729472171615001</c:v>
                </c:pt>
                <c:pt idx="755">
                  <c:v>77.006429616243409</c:v>
                </c:pt>
                <c:pt idx="756">
                  <c:v>71.630837453023815</c:v>
                </c:pt>
                <c:pt idx="757">
                  <c:v>71.334933297250259</c:v>
                </c:pt>
                <c:pt idx="758">
                  <c:v>71.433568015841445</c:v>
                </c:pt>
                <c:pt idx="759">
                  <c:v>71.334933297250259</c:v>
                </c:pt>
                <c:pt idx="760">
                  <c:v>71.236298578659074</c:v>
                </c:pt>
                <c:pt idx="761">
                  <c:v>71.137663860067889</c:v>
                </c:pt>
                <c:pt idx="762">
                  <c:v>71.039029141476703</c:v>
                </c:pt>
                <c:pt idx="763">
                  <c:v>76.513256023287482</c:v>
                </c:pt>
                <c:pt idx="764">
                  <c:v>76.217351867513926</c:v>
                </c:pt>
                <c:pt idx="765">
                  <c:v>67.044323038533705</c:v>
                </c:pt>
                <c:pt idx="766">
                  <c:v>66.551149445577778</c:v>
                </c:pt>
                <c:pt idx="767">
                  <c:v>65.959341134030666</c:v>
                </c:pt>
                <c:pt idx="768">
                  <c:v>66.008658493326266</c:v>
                </c:pt>
                <c:pt idx="769">
                  <c:v>64.874359229527627</c:v>
                </c:pt>
                <c:pt idx="770">
                  <c:v>63.394838450659854</c:v>
                </c:pt>
                <c:pt idx="771">
                  <c:v>63.049616935590706</c:v>
                </c:pt>
                <c:pt idx="772">
                  <c:v>63.098934294886298</c:v>
                </c:pt>
                <c:pt idx="773">
                  <c:v>63.444155809955447</c:v>
                </c:pt>
                <c:pt idx="774">
                  <c:v>63.69074260643341</c:v>
                </c:pt>
                <c:pt idx="775">
                  <c:v>63.986646762206966</c:v>
                </c:pt>
                <c:pt idx="776">
                  <c:v>63.592107887842225</c:v>
                </c:pt>
                <c:pt idx="777">
                  <c:v>63.197569013477484</c:v>
                </c:pt>
                <c:pt idx="778">
                  <c:v>65.022311307414412</c:v>
                </c:pt>
                <c:pt idx="779">
                  <c:v>64.874359229527627</c:v>
                </c:pt>
                <c:pt idx="780">
                  <c:v>64.627772433049671</c:v>
                </c:pt>
                <c:pt idx="781">
                  <c:v>63.888012043615781</c:v>
                </c:pt>
                <c:pt idx="782">
                  <c:v>63.098934294886298</c:v>
                </c:pt>
                <c:pt idx="783">
                  <c:v>61.964635031087667</c:v>
                </c:pt>
                <c:pt idx="784">
                  <c:v>60.879653126584628</c:v>
                </c:pt>
                <c:pt idx="785">
                  <c:v>60.04125801855956</c:v>
                </c:pt>
                <c:pt idx="786">
                  <c:v>58.463102521100595</c:v>
                </c:pt>
                <c:pt idx="787">
                  <c:v>57.279485898006371</c:v>
                </c:pt>
                <c:pt idx="788">
                  <c:v>56.293138712094517</c:v>
                </c:pt>
                <c:pt idx="789">
                  <c:v>56.046551915616561</c:v>
                </c:pt>
                <c:pt idx="790">
                  <c:v>56.046551915616561</c:v>
                </c:pt>
                <c:pt idx="791">
                  <c:v>77.499603209199336</c:v>
                </c:pt>
                <c:pt idx="792">
                  <c:v>76.513256023287482</c:v>
                </c:pt>
                <c:pt idx="793">
                  <c:v>76.414621304696297</c:v>
                </c:pt>
                <c:pt idx="794">
                  <c:v>76.315986586105112</c:v>
                </c:pt>
                <c:pt idx="795">
                  <c:v>76.266669226809526</c:v>
                </c:pt>
                <c:pt idx="796">
                  <c:v>76.217351867513926</c:v>
                </c:pt>
                <c:pt idx="797">
                  <c:v>76.562573382583082</c:v>
                </c:pt>
                <c:pt idx="798">
                  <c:v>67.19227511642049</c:v>
                </c:pt>
                <c:pt idx="799">
                  <c:v>67.14295775712489</c:v>
                </c:pt>
                <c:pt idx="800">
                  <c:v>67.093640397829304</c:v>
                </c:pt>
                <c:pt idx="801">
                  <c:v>67.044323038533705</c:v>
                </c:pt>
                <c:pt idx="802">
                  <c:v>66.995005679238119</c:v>
                </c:pt>
                <c:pt idx="803">
                  <c:v>66.896370960646934</c:v>
                </c:pt>
                <c:pt idx="804">
                  <c:v>66.797736242055748</c:v>
                </c:pt>
                <c:pt idx="805">
                  <c:v>66.649784164168963</c:v>
                </c:pt>
                <c:pt idx="806">
                  <c:v>69.904729877678079</c:v>
                </c:pt>
                <c:pt idx="807">
                  <c:v>69.658143081200109</c:v>
                </c:pt>
                <c:pt idx="808">
                  <c:v>69.559508362608923</c:v>
                </c:pt>
                <c:pt idx="809">
                  <c:v>69.263604206835367</c:v>
                </c:pt>
                <c:pt idx="810">
                  <c:v>76.710525460469853</c:v>
                </c:pt>
                <c:pt idx="811">
                  <c:v>68.523843817401485</c:v>
                </c:pt>
                <c:pt idx="812">
                  <c:v>67.784083427967602</c:v>
                </c:pt>
                <c:pt idx="813">
                  <c:v>66.699101523464563</c:v>
                </c:pt>
                <c:pt idx="814">
                  <c:v>66.304562649099822</c:v>
                </c:pt>
                <c:pt idx="815">
                  <c:v>66.945688319942519</c:v>
                </c:pt>
                <c:pt idx="816">
                  <c:v>76.315986586105112</c:v>
                </c:pt>
                <c:pt idx="817">
                  <c:v>76.168034508218341</c:v>
                </c:pt>
                <c:pt idx="818">
                  <c:v>66.797736242055748</c:v>
                </c:pt>
                <c:pt idx="819">
                  <c:v>66.353880008395407</c:v>
                </c:pt>
                <c:pt idx="820">
                  <c:v>66.847053601351334</c:v>
                </c:pt>
                <c:pt idx="821">
                  <c:v>72.715819357526854</c:v>
                </c:pt>
                <c:pt idx="822">
                  <c:v>72.814454076118039</c:v>
                </c:pt>
                <c:pt idx="823">
                  <c:v>73.01172351330041</c:v>
                </c:pt>
                <c:pt idx="824">
                  <c:v>73.01172351330041</c:v>
                </c:pt>
                <c:pt idx="825">
                  <c:v>72.96240615400481</c:v>
                </c:pt>
                <c:pt idx="826">
                  <c:v>72.913088794709225</c:v>
                </c:pt>
                <c:pt idx="827">
                  <c:v>72.76513671682244</c:v>
                </c:pt>
                <c:pt idx="828">
                  <c:v>72.76513671682244</c:v>
                </c:pt>
                <c:pt idx="829">
                  <c:v>77.548920568494935</c:v>
                </c:pt>
                <c:pt idx="830">
                  <c:v>77.055746975539009</c:v>
                </c:pt>
                <c:pt idx="831">
                  <c:v>76.957112256947823</c:v>
                </c:pt>
                <c:pt idx="832">
                  <c:v>76.858477538356638</c:v>
                </c:pt>
                <c:pt idx="833">
                  <c:v>76.759842819765453</c:v>
                </c:pt>
                <c:pt idx="834">
                  <c:v>77.055746975539009</c:v>
                </c:pt>
                <c:pt idx="835">
                  <c:v>72.074693686684157</c:v>
                </c:pt>
                <c:pt idx="836">
                  <c:v>51.854576375491192</c:v>
                </c:pt>
                <c:pt idx="837">
                  <c:v>52.051845812673562</c:v>
                </c:pt>
                <c:pt idx="838">
                  <c:v>52.298432609151519</c:v>
                </c:pt>
                <c:pt idx="839">
                  <c:v>75.033735244419702</c:v>
                </c:pt>
                <c:pt idx="840">
                  <c:v>51.607989579013221</c:v>
                </c:pt>
                <c:pt idx="841">
                  <c:v>49.684612566485114</c:v>
                </c:pt>
                <c:pt idx="842">
                  <c:v>48.402361224799705</c:v>
                </c:pt>
                <c:pt idx="843">
                  <c:v>46.380349493680413</c:v>
                </c:pt>
                <c:pt idx="844">
                  <c:v>45.344684948472967</c:v>
                </c:pt>
                <c:pt idx="845">
                  <c:v>44.309020403265521</c:v>
                </c:pt>
                <c:pt idx="846">
                  <c:v>44.752876636925855</c:v>
                </c:pt>
                <c:pt idx="847">
                  <c:v>45.640589104246523</c:v>
                </c:pt>
                <c:pt idx="848">
                  <c:v>61.372826719540555</c:v>
                </c:pt>
                <c:pt idx="849">
                  <c:v>64.874359229527627</c:v>
                </c:pt>
                <c:pt idx="850">
                  <c:v>64.726407151640856</c:v>
                </c:pt>
                <c:pt idx="851">
                  <c:v>64.479820355162886</c:v>
                </c:pt>
                <c:pt idx="852">
                  <c:v>64.18391619938933</c:v>
                </c:pt>
                <c:pt idx="853">
                  <c:v>63.937329402911374</c:v>
                </c:pt>
                <c:pt idx="854">
                  <c:v>63.740059965729003</c:v>
                </c:pt>
                <c:pt idx="855">
                  <c:v>69.263604206835367</c:v>
                </c:pt>
                <c:pt idx="856">
                  <c:v>68.819747973175041</c:v>
                </c:pt>
                <c:pt idx="857">
                  <c:v>68.918382691766226</c:v>
                </c:pt>
                <c:pt idx="858">
                  <c:v>76.710525460469853</c:v>
                </c:pt>
                <c:pt idx="859">
                  <c:v>68.326574380219114</c:v>
                </c:pt>
                <c:pt idx="860">
                  <c:v>68.129304943036743</c:v>
                </c:pt>
                <c:pt idx="861">
                  <c:v>66.551149445577778</c:v>
                </c:pt>
                <c:pt idx="862">
                  <c:v>76.414621304696297</c:v>
                </c:pt>
                <c:pt idx="863">
                  <c:v>66.304562649099822</c:v>
                </c:pt>
                <c:pt idx="864">
                  <c:v>66.649784164168963</c:v>
                </c:pt>
                <c:pt idx="865">
                  <c:v>76.414621304696297</c:v>
                </c:pt>
                <c:pt idx="866">
                  <c:v>76.513256023287482</c:v>
                </c:pt>
                <c:pt idx="867">
                  <c:v>76.513256023287482</c:v>
                </c:pt>
                <c:pt idx="868">
                  <c:v>76.562573382583082</c:v>
                </c:pt>
                <c:pt idx="869">
                  <c:v>77.499603209199336</c:v>
                </c:pt>
                <c:pt idx="870">
                  <c:v>74.392609573577005</c:v>
                </c:pt>
                <c:pt idx="871">
                  <c:v>74.24465749569022</c:v>
                </c:pt>
                <c:pt idx="872">
                  <c:v>77.253016412721379</c:v>
                </c:pt>
                <c:pt idx="873">
                  <c:v>74.047388058507849</c:v>
                </c:pt>
                <c:pt idx="874">
                  <c:v>73.998070699212263</c:v>
                </c:pt>
                <c:pt idx="875">
                  <c:v>73.850118621325478</c:v>
                </c:pt>
                <c:pt idx="876">
                  <c:v>77.20369905342578</c:v>
                </c:pt>
                <c:pt idx="877">
                  <c:v>73.554214465551922</c:v>
                </c:pt>
                <c:pt idx="878">
                  <c:v>73.406262387665151</c:v>
                </c:pt>
                <c:pt idx="879">
                  <c:v>77.154381694130194</c:v>
                </c:pt>
                <c:pt idx="880">
                  <c:v>73.06104087259601</c:v>
                </c:pt>
                <c:pt idx="881">
                  <c:v>73.06104087259601</c:v>
                </c:pt>
                <c:pt idx="882">
                  <c:v>72.913088794709225</c:v>
                </c:pt>
                <c:pt idx="883">
                  <c:v>72.863771435413639</c:v>
                </c:pt>
                <c:pt idx="884">
                  <c:v>72.76513671682244</c:v>
                </c:pt>
                <c:pt idx="885">
                  <c:v>66.501832086282192</c:v>
                </c:pt>
                <c:pt idx="886">
                  <c:v>76.463938663991897</c:v>
                </c:pt>
                <c:pt idx="887">
                  <c:v>66.008658493326266</c:v>
                </c:pt>
                <c:pt idx="888">
                  <c:v>65.71275433755271</c:v>
                </c:pt>
                <c:pt idx="889">
                  <c:v>65.367532822483554</c:v>
                </c:pt>
                <c:pt idx="890">
                  <c:v>65.071628666709998</c:v>
                </c:pt>
                <c:pt idx="891">
                  <c:v>64.825041870232042</c:v>
                </c:pt>
                <c:pt idx="892">
                  <c:v>64.726407151640856</c:v>
                </c:pt>
                <c:pt idx="893">
                  <c:v>64.627772433049671</c:v>
                </c:pt>
                <c:pt idx="894">
                  <c:v>64.529137714458486</c:v>
                </c:pt>
                <c:pt idx="895">
                  <c:v>64.4305029958673</c:v>
                </c:pt>
                <c:pt idx="896">
                  <c:v>64.381185636571701</c:v>
                </c:pt>
                <c:pt idx="897">
                  <c:v>64.23323355868493</c:v>
                </c:pt>
                <c:pt idx="898">
                  <c:v>59.005593473352114</c:v>
                </c:pt>
                <c:pt idx="899">
                  <c:v>58.167198365327039</c:v>
                </c:pt>
                <c:pt idx="900">
                  <c:v>75.526908837375629</c:v>
                </c:pt>
                <c:pt idx="901">
                  <c:v>55.849282478434191</c:v>
                </c:pt>
                <c:pt idx="902">
                  <c:v>54.813617933226745</c:v>
                </c:pt>
                <c:pt idx="903">
                  <c:v>53.383414513654557</c:v>
                </c:pt>
                <c:pt idx="904">
                  <c:v>51.706624297604407</c:v>
                </c:pt>
                <c:pt idx="905">
                  <c:v>50.029834081554263</c:v>
                </c:pt>
                <c:pt idx="906">
                  <c:v>48.648948021277675</c:v>
                </c:pt>
                <c:pt idx="907">
                  <c:v>74.343292214281405</c:v>
                </c:pt>
                <c:pt idx="908">
                  <c:v>47.268061961001081</c:v>
                </c:pt>
                <c:pt idx="909">
                  <c:v>47.366696679592266</c:v>
                </c:pt>
                <c:pt idx="910">
                  <c:v>74.293974854985819</c:v>
                </c:pt>
                <c:pt idx="911">
                  <c:v>71.384250656545859</c:v>
                </c:pt>
                <c:pt idx="912">
                  <c:v>71.285615937954674</c:v>
                </c:pt>
                <c:pt idx="913">
                  <c:v>71.236298578659074</c:v>
                </c:pt>
                <c:pt idx="914">
                  <c:v>76.957112256947823</c:v>
                </c:pt>
                <c:pt idx="915">
                  <c:v>71.137663860067889</c:v>
                </c:pt>
                <c:pt idx="916">
                  <c:v>71.137663860067889</c:v>
                </c:pt>
                <c:pt idx="917">
                  <c:v>71.088346500772303</c:v>
                </c:pt>
                <c:pt idx="918">
                  <c:v>71.039029141476703</c:v>
                </c:pt>
                <c:pt idx="919">
                  <c:v>70.989711782181118</c:v>
                </c:pt>
                <c:pt idx="920">
                  <c:v>70.940394422885518</c:v>
                </c:pt>
                <c:pt idx="921">
                  <c:v>70.841759704294333</c:v>
                </c:pt>
                <c:pt idx="922">
                  <c:v>70.792442344998747</c:v>
                </c:pt>
                <c:pt idx="923">
                  <c:v>76.907794897652224</c:v>
                </c:pt>
                <c:pt idx="924">
                  <c:v>70.496538189225191</c:v>
                </c:pt>
                <c:pt idx="925">
                  <c:v>70.249951392747221</c:v>
                </c:pt>
                <c:pt idx="926">
                  <c:v>74.540561651463776</c:v>
                </c:pt>
                <c:pt idx="927">
                  <c:v>74.44192693287259</c:v>
                </c:pt>
                <c:pt idx="928">
                  <c:v>74.392609573577005</c:v>
                </c:pt>
                <c:pt idx="929">
                  <c:v>74.293974854985819</c:v>
                </c:pt>
                <c:pt idx="930">
                  <c:v>73.998070699212263</c:v>
                </c:pt>
                <c:pt idx="931">
                  <c:v>73.899435980621078</c:v>
                </c:pt>
                <c:pt idx="932">
                  <c:v>73.603531824847522</c:v>
                </c:pt>
                <c:pt idx="933">
                  <c:v>73.554214465551922</c:v>
                </c:pt>
                <c:pt idx="934">
                  <c:v>73.258310309778381</c:v>
                </c:pt>
                <c:pt idx="935">
                  <c:v>73.01172351330041</c:v>
                </c:pt>
                <c:pt idx="936">
                  <c:v>76.809160179061038</c:v>
                </c:pt>
                <c:pt idx="937">
                  <c:v>72.074693686684157</c:v>
                </c:pt>
                <c:pt idx="938">
                  <c:v>71.482885375137045</c:v>
                </c:pt>
                <c:pt idx="939">
                  <c:v>71.236298578659074</c:v>
                </c:pt>
                <c:pt idx="940">
                  <c:v>70.743124985703147</c:v>
                </c:pt>
                <c:pt idx="941">
                  <c:v>64.18391619938933</c:v>
                </c:pt>
                <c:pt idx="942">
                  <c:v>64.035964121502559</c:v>
                </c:pt>
                <c:pt idx="943">
                  <c:v>76.266669226809526</c:v>
                </c:pt>
                <c:pt idx="944">
                  <c:v>64.23323355868493</c:v>
                </c:pt>
                <c:pt idx="945">
                  <c:v>64.134598840093744</c:v>
                </c:pt>
                <c:pt idx="946">
                  <c:v>63.986646762206966</c:v>
                </c:pt>
                <c:pt idx="947">
                  <c:v>63.888012043615781</c:v>
                </c:pt>
                <c:pt idx="948">
                  <c:v>63.69074260643341</c:v>
                </c:pt>
                <c:pt idx="949">
                  <c:v>63.394838450659854</c:v>
                </c:pt>
                <c:pt idx="950">
                  <c:v>76.168034508218341</c:v>
                </c:pt>
                <c:pt idx="951">
                  <c:v>63.000299576295113</c:v>
                </c:pt>
                <c:pt idx="952">
                  <c:v>62.852347498408335</c:v>
                </c:pt>
                <c:pt idx="953">
                  <c:v>74.885783166532931</c:v>
                </c:pt>
                <c:pt idx="954">
                  <c:v>74.787148447941746</c:v>
                </c:pt>
                <c:pt idx="955">
                  <c:v>74.737831088646146</c:v>
                </c:pt>
                <c:pt idx="956">
                  <c:v>74.688513729350561</c:v>
                </c:pt>
                <c:pt idx="957">
                  <c:v>74.540561651463776</c:v>
                </c:pt>
                <c:pt idx="958">
                  <c:v>74.49124429216819</c:v>
                </c:pt>
                <c:pt idx="959">
                  <c:v>74.44192693287259</c:v>
                </c:pt>
                <c:pt idx="960">
                  <c:v>74.392609573577005</c:v>
                </c:pt>
                <c:pt idx="961">
                  <c:v>74.343292214281405</c:v>
                </c:pt>
                <c:pt idx="962">
                  <c:v>74.293974854985819</c:v>
                </c:pt>
                <c:pt idx="963">
                  <c:v>74.195340136394634</c:v>
                </c:pt>
                <c:pt idx="964">
                  <c:v>74.096705417803449</c:v>
                </c:pt>
                <c:pt idx="965">
                  <c:v>76.315986586105112</c:v>
                </c:pt>
                <c:pt idx="966">
                  <c:v>76.217351867513926</c:v>
                </c:pt>
                <c:pt idx="967">
                  <c:v>76.168034508218341</c:v>
                </c:pt>
                <c:pt idx="968">
                  <c:v>67.14295775712489</c:v>
                </c:pt>
                <c:pt idx="969">
                  <c:v>67.044323038533705</c:v>
                </c:pt>
                <c:pt idx="970">
                  <c:v>66.995005679238119</c:v>
                </c:pt>
                <c:pt idx="971">
                  <c:v>66.896370960646934</c:v>
                </c:pt>
                <c:pt idx="972">
                  <c:v>66.797736242055748</c:v>
                </c:pt>
                <c:pt idx="973">
                  <c:v>66.699101523464563</c:v>
                </c:pt>
                <c:pt idx="974">
                  <c:v>66.600466804873378</c:v>
                </c:pt>
                <c:pt idx="975">
                  <c:v>70.299268752042821</c:v>
                </c:pt>
                <c:pt idx="976">
                  <c:v>70.348586111338406</c:v>
                </c:pt>
                <c:pt idx="977">
                  <c:v>70.003364596269265</c:v>
                </c:pt>
                <c:pt idx="978">
                  <c:v>69.806095159086894</c:v>
                </c:pt>
                <c:pt idx="979">
                  <c:v>69.559508362608923</c:v>
                </c:pt>
                <c:pt idx="980">
                  <c:v>69.411556284722153</c:v>
                </c:pt>
                <c:pt idx="981">
                  <c:v>69.411556284722153</c:v>
                </c:pt>
                <c:pt idx="982">
                  <c:v>69.658143081200109</c:v>
                </c:pt>
                <c:pt idx="983">
                  <c:v>69.460873644017738</c:v>
                </c:pt>
                <c:pt idx="984">
                  <c:v>69.312921566130967</c:v>
                </c:pt>
                <c:pt idx="985">
                  <c:v>69.312921566130967</c:v>
                </c:pt>
                <c:pt idx="986">
                  <c:v>69.017017410357411</c:v>
                </c:pt>
                <c:pt idx="987">
                  <c:v>68.770430613879455</c:v>
                </c:pt>
                <c:pt idx="988">
                  <c:v>68.869065332470626</c:v>
                </c:pt>
                <c:pt idx="989">
                  <c:v>68.869065332470626</c:v>
                </c:pt>
                <c:pt idx="990">
                  <c:v>71.58152009372823</c:v>
                </c:pt>
                <c:pt idx="991">
                  <c:v>77.006429616243409</c:v>
                </c:pt>
                <c:pt idx="992">
                  <c:v>71.53220273443263</c:v>
                </c:pt>
                <c:pt idx="993">
                  <c:v>71.482885375137045</c:v>
                </c:pt>
                <c:pt idx="994">
                  <c:v>71.334933297250259</c:v>
                </c:pt>
                <c:pt idx="995">
                  <c:v>76.957112256947823</c:v>
                </c:pt>
                <c:pt idx="996">
                  <c:v>71.334933297250259</c:v>
                </c:pt>
                <c:pt idx="997">
                  <c:v>71.53220273443263</c:v>
                </c:pt>
                <c:pt idx="998">
                  <c:v>71.433568015841445</c:v>
                </c:pt>
                <c:pt idx="999">
                  <c:v>71.384250656545859</c:v>
                </c:pt>
                <c:pt idx="1000">
                  <c:v>71.482885375137045</c:v>
                </c:pt>
                <c:pt idx="1001">
                  <c:v>71.334933297250259</c:v>
                </c:pt>
                <c:pt idx="1002">
                  <c:v>71.334933297250259</c:v>
                </c:pt>
                <c:pt idx="1003">
                  <c:v>71.384250656545859</c:v>
                </c:pt>
                <c:pt idx="1004">
                  <c:v>71.236298578659074</c:v>
                </c:pt>
                <c:pt idx="1005">
                  <c:v>66.501832086282192</c:v>
                </c:pt>
                <c:pt idx="1006">
                  <c:v>66.403197367691007</c:v>
                </c:pt>
                <c:pt idx="1007">
                  <c:v>66.205927930508636</c:v>
                </c:pt>
                <c:pt idx="1008">
                  <c:v>66.008658493326266</c:v>
                </c:pt>
                <c:pt idx="1009">
                  <c:v>76.365303945400711</c:v>
                </c:pt>
                <c:pt idx="1010">
                  <c:v>66.008658493326266</c:v>
                </c:pt>
                <c:pt idx="1011">
                  <c:v>66.501832086282192</c:v>
                </c:pt>
                <c:pt idx="1012">
                  <c:v>76.315986586105112</c:v>
                </c:pt>
                <c:pt idx="1013">
                  <c:v>64.23323355868493</c:v>
                </c:pt>
                <c:pt idx="1014">
                  <c:v>64.085281480798159</c:v>
                </c:pt>
                <c:pt idx="1015">
                  <c:v>63.592107887842225</c:v>
                </c:pt>
                <c:pt idx="1016">
                  <c:v>64.23323355868493</c:v>
                </c:pt>
                <c:pt idx="1017">
                  <c:v>64.627772433049671</c:v>
                </c:pt>
                <c:pt idx="1018">
                  <c:v>64.479820355162886</c:v>
                </c:pt>
                <c:pt idx="1019">
                  <c:v>64.085281480798159</c:v>
                </c:pt>
                <c:pt idx="1020">
                  <c:v>76.759842819765453</c:v>
                </c:pt>
                <c:pt idx="1021">
                  <c:v>76.661208101174267</c:v>
                </c:pt>
                <c:pt idx="1022">
                  <c:v>77.055746975539009</c:v>
                </c:pt>
                <c:pt idx="1023">
                  <c:v>72.025376327388557</c:v>
                </c:pt>
                <c:pt idx="1024">
                  <c:v>71.926741608797371</c:v>
                </c:pt>
                <c:pt idx="1025">
                  <c:v>71.828106890206186</c:v>
                </c:pt>
                <c:pt idx="1026">
                  <c:v>71.630837453023815</c:v>
                </c:pt>
                <c:pt idx="1027">
                  <c:v>71.433568015841445</c:v>
                </c:pt>
                <c:pt idx="1028">
                  <c:v>76.957112256947823</c:v>
                </c:pt>
                <c:pt idx="1029">
                  <c:v>72.863771435413639</c:v>
                </c:pt>
                <c:pt idx="1030">
                  <c:v>72.814454076118039</c:v>
                </c:pt>
                <c:pt idx="1031">
                  <c:v>72.715819357526854</c:v>
                </c:pt>
                <c:pt idx="1032">
                  <c:v>76.907794897652224</c:v>
                </c:pt>
                <c:pt idx="1033">
                  <c:v>77.055746975539009</c:v>
                </c:pt>
                <c:pt idx="1034">
                  <c:v>71.877424249501786</c:v>
                </c:pt>
                <c:pt idx="1035">
                  <c:v>71.53220273443263</c:v>
                </c:pt>
                <c:pt idx="1036">
                  <c:v>71.285615937954674</c:v>
                </c:pt>
                <c:pt idx="1037">
                  <c:v>71.039029141476703</c:v>
                </c:pt>
                <c:pt idx="1038">
                  <c:v>70.841759704294333</c:v>
                </c:pt>
                <c:pt idx="1039">
                  <c:v>70.595172907816377</c:v>
                </c:pt>
                <c:pt idx="1040">
                  <c:v>70.397903470634006</c:v>
                </c:pt>
                <c:pt idx="1041">
                  <c:v>76.858477538356638</c:v>
                </c:pt>
                <c:pt idx="1042">
                  <c:v>69.954047236973665</c:v>
                </c:pt>
                <c:pt idx="1043">
                  <c:v>76.809160179061038</c:v>
                </c:pt>
                <c:pt idx="1044">
                  <c:v>59.104228191943299</c:v>
                </c:pt>
                <c:pt idx="1045">
                  <c:v>75.329639400193258</c:v>
                </c:pt>
                <c:pt idx="1046">
                  <c:v>75.231004681602073</c:v>
                </c:pt>
                <c:pt idx="1047">
                  <c:v>75.280322040897673</c:v>
                </c:pt>
                <c:pt idx="1048">
                  <c:v>75.280322040897673</c:v>
                </c:pt>
                <c:pt idx="1049">
                  <c:v>77.40096849060815</c:v>
                </c:pt>
                <c:pt idx="1050">
                  <c:v>75.378956759488858</c:v>
                </c:pt>
                <c:pt idx="1051">
                  <c:v>56.638360227163673</c:v>
                </c:pt>
                <c:pt idx="1052">
                  <c:v>56.194503993503332</c:v>
                </c:pt>
                <c:pt idx="1053">
                  <c:v>56.194503993503332</c:v>
                </c:pt>
                <c:pt idx="1054">
                  <c:v>56.441090789981303</c:v>
                </c:pt>
                <c:pt idx="1055">
                  <c:v>56.687677586459259</c:v>
                </c:pt>
                <c:pt idx="1056">
                  <c:v>57.082216460824</c:v>
                </c:pt>
                <c:pt idx="1057">
                  <c:v>75.231004681602073</c:v>
                </c:pt>
                <c:pt idx="1058">
                  <c:v>76.562573382583082</c:v>
                </c:pt>
                <c:pt idx="1059">
                  <c:v>76.513256023287482</c:v>
                </c:pt>
                <c:pt idx="1060">
                  <c:v>76.365303945400711</c:v>
                </c:pt>
                <c:pt idx="1061">
                  <c:v>76.266669226809526</c:v>
                </c:pt>
                <c:pt idx="1062">
                  <c:v>76.168034508218341</c:v>
                </c:pt>
                <c:pt idx="1063">
                  <c:v>67.19227511642049</c:v>
                </c:pt>
                <c:pt idx="1064">
                  <c:v>63.000299576295113</c:v>
                </c:pt>
                <c:pt idx="1065">
                  <c:v>66.896370960646934</c:v>
                </c:pt>
                <c:pt idx="1066">
                  <c:v>76.513256023287482</c:v>
                </c:pt>
                <c:pt idx="1067">
                  <c:v>66.551149445577778</c:v>
                </c:pt>
                <c:pt idx="1068">
                  <c:v>66.353880008395407</c:v>
                </c:pt>
                <c:pt idx="1069">
                  <c:v>66.205927930508636</c:v>
                </c:pt>
                <c:pt idx="1070">
                  <c:v>65.66343697825711</c:v>
                </c:pt>
                <c:pt idx="1071">
                  <c:v>66.156610571213037</c:v>
                </c:pt>
                <c:pt idx="1072">
                  <c:v>66.156610571213037</c:v>
                </c:pt>
                <c:pt idx="1073">
                  <c:v>64.381185636571701</c:v>
                </c:pt>
                <c:pt idx="1074">
                  <c:v>62.852347498408335</c:v>
                </c:pt>
                <c:pt idx="1075">
                  <c:v>69.806095159086894</c:v>
                </c:pt>
                <c:pt idx="1076">
                  <c:v>69.608825721904523</c:v>
                </c:pt>
                <c:pt idx="1077">
                  <c:v>69.362238925426553</c:v>
                </c:pt>
                <c:pt idx="1078">
                  <c:v>69.115652128948597</c:v>
                </c:pt>
                <c:pt idx="1079">
                  <c:v>68.819747973175041</c:v>
                </c:pt>
                <c:pt idx="1080">
                  <c:v>68.573161176697084</c:v>
                </c:pt>
                <c:pt idx="1081">
                  <c:v>68.277257020923514</c:v>
                </c:pt>
                <c:pt idx="1082">
                  <c:v>68.030670224445558</c:v>
                </c:pt>
                <c:pt idx="1083">
                  <c:v>76.562573382583082</c:v>
                </c:pt>
                <c:pt idx="1084">
                  <c:v>76.217351867513926</c:v>
                </c:pt>
                <c:pt idx="1085">
                  <c:v>66.847053601351334</c:v>
                </c:pt>
                <c:pt idx="1086">
                  <c:v>76.513256023287482</c:v>
                </c:pt>
                <c:pt idx="1087">
                  <c:v>74.737831088646146</c:v>
                </c:pt>
                <c:pt idx="1088">
                  <c:v>77.302333772016965</c:v>
                </c:pt>
                <c:pt idx="1089">
                  <c:v>74.540561651463776</c:v>
                </c:pt>
                <c:pt idx="1090">
                  <c:v>74.49124429216819</c:v>
                </c:pt>
                <c:pt idx="1091">
                  <c:v>70.299268752042821</c:v>
                </c:pt>
                <c:pt idx="1092">
                  <c:v>69.855412518382479</c:v>
                </c:pt>
                <c:pt idx="1093">
                  <c:v>69.855412518382479</c:v>
                </c:pt>
                <c:pt idx="1094">
                  <c:v>70.348586111338406</c:v>
                </c:pt>
                <c:pt idx="1095">
                  <c:v>70.003364596269265</c:v>
                </c:pt>
                <c:pt idx="1096">
                  <c:v>69.559508362608923</c:v>
                </c:pt>
                <c:pt idx="1097">
                  <c:v>69.263604206835367</c:v>
                </c:pt>
                <c:pt idx="1098">
                  <c:v>69.066334769652997</c:v>
                </c:pt>
                <c:pt idx="1099">
                  <c:v>76.759842819765453</c:v>
                </c:pt>
                <c:pt idx="1100">
                  <c:v>68.030670224445558</c:v>
                </c:pt>
                <c:pt idx="1101">
                  <c:v>68.030670224445558</c:v>
                </c:pt>
                <c:pt idx="1102">
                  <c:v>67.833400787263187</c:v>
                </c:pt>
                <c:pt idx="1103">
                  <c:v>67.882718146558773</c:v>
                </c:pt>
                <c:pt idx="1104">
                  <c:v>68.079987583741143</c:v>
                </c:pt>
                <c:pt idx="1105">
                  <c:v>68.129304943036743</c:v>
                </c:pt>
                <c:pt idx="1106">
                  <c:v>66.600466804873378</c:v>
                </c:pt>
                <c:pt idx="1107">
                  <c:v>66.403197367691007</c:v>
                </c:pt>
                <c:pt idx="1108">
                  <c:v>66.156610571213037</c:v>
                </c:pt>
                <c:pt idx="1109">
                  <c:v>65.71275433755271</c:v>
                </c:pt>
                <c:pt idx="1110">
                  <c:v>65.170263385301183</c:v>
                </c:pt>
                <c:pt idx="1111">
                  <c:v>64.627772433049671</c:v>
                </c:pt>
                <c:pt idx="1112">
                  <c:v>59.745353862786004</c:v>
                </c:pt>
                <c:pt idx="1113">
                  <c:v>59.498767066308041</c:v>
                </c:pt>
                <c:pt idx="1114">
                  <c:v>59.153545551238892</c:v>
                </c:pt>
                <c:pt idx="1115">
                  <c:v>59.104228191943299</c:v>
                </c:pt>
                <c:pt idx="1116">
                  <c:v>59.153545551238892</c:v>
                </c:pt>
                <c:pt idx="1117">
                  <c:v>59.054910832647707</c:v>
                </c:pt>
                <c:pt idx="1118">
                  <c:v>58.56173723969178</c:v>
                </c:pt>
                <c:pt idx="1119">
                  <c:v>58.463102521100595</c:v>
                </c:pt>
                <c:pt idx="1120">
                  <c:v>58.068563646735853</c:v>
                </c:pt>
                <c:pt idx="1121">
                  <c:v>77.40096849060815</c:v>
                </c:pt>
                <c:pt idx="1122">
                  <c:v>69.608825721904523</c:v>
                </c:pt>
                <c:pt idx="1123">
                  <c:v>69.559508362608923</c:v>
                </c:pt>
                <c:pt idx="1124">
                  <c:v>69.460873644017738</c:v>
                </c:pt>
                <c:pt idx="1125">
                  <c:v>69.362238925426553</c:v>
                </c:pt>
                <c:pt idx="1126">
                  <c:v>69.115652128948597</c:v>
                </c:pt>
                <c:pt idx="1127">
                  <c:v>68.967700051061826</c:v>
                </c:pt>
                <c:pt idx="1128">
                  <c:v>68.869065332470626</c:v>
                </c:pt>
                <c:pt idx="1129">
                  <c:v>68.819747973175041</c:v>
                </c:pt>
                <c:pt idx="1130">
                  <c:v>68.770430613879455</c:v>
                </c:pt>
                <c:pt idx="1131">
                  <c:v>77.499603209199336</c:v>
                </c:pt>
                <c:pt idx="1132">
                  <c:v>68.573161176697084</c:v>
                </c:pt>
                <c:pt idx="1133">
                  <c:v>68.474526458105885</c:v>
                </c:pt>
                <c:pt idx="1134">
                  <c:v>71.729472171615001</c:v>
                </c:pt>
                <c:pt idx="1135">
                  <c:v>71.778789530910601</c:v>
                </c:pt>
                <c:pt idx="1136">
                  <c:v>77.006429616243409</c:v>
                </c:pt>
                <c:pt idx="1137">
                  <c:v>71.630837453023815</c:v>
                </c:pt>
                <c:pt idx="1138">
                  <c:v>71.58152009372823</c:v>
                </c:pt>
                <c:pt idx="1139">
                  <c:v>71.334933297250259</c:v>
                </c:pt>
                <c:pt idx="1140">
                  <c:v>71.334933297250259</c:v>
                </c:pt>
                <c:pt idx="1141">
                  <c:v>71.482885375137045</c:v>
                </c:pt>
                <c:pt idx="1142">
                  <c:v>71.433568015841445</c:v>
                </c:pt>
                <c:pt idx="1143">
                  <c:v>71.58152009372823</c:v>
                </c:pt>
                <c:pt idx="1144">
                  <c:v>71.53220273443263</c:v>
                </c:pt>
                <c:pt idx="1145">
                  <c:v>71.384250656545859</c:v>
                </c:pt>
                <c:pt idx="1146">
                  <c:v>71.433568015841445</c:v>
                </c:pt>
                <c:pt idx="1147">
                  <c:v>71.482885375137045</c:v>
                </c:pt>
                <c:pt idx="1148">
                  <c:v>63.888012043615781</c:v>
                </c:pt>
                <c:pt idx="1149">
                  <c:v>63.740059965729003</c:v>
                </c:pt>
                <c:pt idx="1150">
                  <c:v>63.592107887842225</c:v>
                </c:pt>
                <c:pt idx="1151">
                  <c:v>63.542790528546632</c:v>
                </c:pt>
                <c:pt idx="1152">
                  <c:v>63.49347316925104</c:v>
                </c:pt>
                <c:pt idx="1153">
                  <c:v>63.394838450659854</c:v>
                </c:pt>
                <c:pt idx="1154">
                  <c:v>76.168034508218341</c:v>
                </c:pt>
                <c:pt idx="1155">
                  <c:v>63.049616935590706</c:v>
                </c:pt>
                <c:pt idx="1156">
                  <c:v>62.852347498408335</c:v>
                </c:pt>
                <c:pt idx="1157">
                  <c:v>75.773495633853599</c:v>
                </c:pt>
                <c:pt idx="1158">
                  <c:v>62.112587108974445</c:v>
                </c:pt>
                <c:pt idx="1159">
                  <c:v>61.767365593905296</c:v>
                </c:pt>
                <c:pt idx="1160">
                  <c:v>61.47146143813174</c:v>
                </c:pt>
                <c:pt idx="1161">
                  <c:v>61.27419200094937</c:v>
                </c:pt>
                <c:pt idx="1162">
                  <c:v>61.076922563766999</c:v>
                </c:pt>
                <c:pt idx="1163">
                  <c:v>70.348586111338406</c:v>
                </c:pt>
                <c:pt idx="1164">
                  <c:v>70.299268752042821</c:v>
                </c:pt>
                <c:pt idx="1165">
                  <c:v>70.299268752042821</c:v>
                </c:pt>
                <c:pt idx="1166">
                  <c:v>76.858477538356638</c:v>
                </c:pt>
                <c:pt idx="1167">
                  <c:v>70.10199931486045</c:v>
                </c:pt>
                <c:pt idx="1168">
                  <c:v>69.954047236973665</c:v>
                </c:pt>
                <c:pt idx="1169">
                  <c:v>69.855412518382479</c:v>
                </c:pt>
                <c:pt idx="1170">
                  <c:v>69.756777799791294</c:v>
                </c:pt>
                <c:pt idx="1171">
                  <c:v>69.658143081200109</c:v>
                </c:pt>
                <c:pt idx="1172">
                  <c:v>69.559508362608923</c:v>
                </c:pt>
                <c:pt idx="1173">
                  <c:v>69.460873644017738</c:v>
                </c:pt>
                <c:pt idx="1174">
                  <c:v>69.411556284722153</c:v>
                </c:pt>
                <c:pt idx="1175">
                  <c:v>71.433568015841445</c:v>
                </c:pt>
                <c:pt idx="1176">
                  <c:v>71.433568015841445</c:v>
                </c:pt>
                <c:pt idx="1177">
                  <c:v>71.236298578659074</c:v>
                </c:pt>
                <c:pt idx="1178">
                  <c:v>71.039029141476703</c:v>
                </c:pt>
                <c:pt idx="1179">
                  <c:v>76.907794897652224</c:v>
                </c:pt>
                <c:pt idx="1180">
                  <c:v>76.907794897652224</c:v>
                </c:pt>
                <c:pt idx="1181">
                  <c:v>70.792442344998747</c:v>
                </c:pt>
                <c:pt idx="1182">
                  <c:v>71.039029141476703</c:v>
                </c:pt>
                <c:pt idx="1183">
                  <c:v>70.989711782181118</c:v>
                </c:pt>
                <c:pt idx="1184">
                  <c:v>70.299268752042821</c:v>
                </c:pt>
                <c:pt idx="1185">
                  <c:v>70.151316674156035</c:v>
                </c:pt>
                <c:pt idx="1186">
                  <c:v>70.10199931486045</c:v>
                </c:pt>
                <c:pt idx="1187">
                  <c:v>67.044323038533705</c:v>
                </c:pt>
                <c:pt idx="1188">
                  <c:v>66.797736242055748</c:v>
                </c:pt>
                <c:pt idx="1189">
                  <c:v>66.896370960646934</c:v>
                </c:pt>
                <c:pt idx="1190">
                  <c:v>66.847053601351334</c:v>
                </c:pt>
                <c:pt idx="1191">
                  <c:v>66.847053601351334</c:v>
                </c:pt>
                <c:pt idx="1192">
                  <c:v>66.797736242055748</c:v>
                </c:pt>
                <c:pt idx="1193">
                  <c:v>66.896370960646934</c:v>
                </c:pt>
                <c:pt idx="1194">
                  <c:v>66.945688319942519</c:v>
                </c:pt>
                <c:pt idx="1195">
                  <c:v>66.797736242055748</c:v>
                </c:pt>
                <c:pt idx="1196">
                  <c:v>66.600466804873378</c:v>
                </c:pt>
                <c:pt idx="1197">
                  <c:v>66.847053601351334</c:v>
                </c:pt>
                <c:pt idx="1198">
                  <c:v>66.896370960646934</c:v>
                </c:pt>
                <c:pt idx="1199">
                  <c:v>66.699101523464563</c:v>
                </c:pt>
                <c:pt idx="1200">
                  <c:v>66.699101523464563</c:v>
                </c:pt>
                <c:pt idx="1201">
                  <c:v>66.797736242055748</c:v>
                </c:pt>
                <c:pt idx="1202">
                  <c:v>77.006429616243409</c:v>
                </c:pt>
                <c:pt idx="1203">
                  <c:v>77.006429616243409</c:v>
                </c:pt>
                <c:pt idx="1204">
                  <c:v>71.433568015841445</c:v>
                </c:pt>
                <c:pt idx="1205">
                  <c:v>71.285615937954674</c:v>
                </c:pt>
                <c:pt idx="1206">
                  <c:v>76.957112256947823</c:v>
                </c:pt>
                <c:pt idx="1207">
                  <c:v>70.891077063589933</c:v>
                </c:pt>
                <c:pt idx="1208">
                  <c:v>76.907794897652224</c:v>
                </c:pt>
                <c:pt idx="1209">
                  <c:v>70.496538189225191</c:v>
                </c:pt>
                <c:pt idx="1210">
                  <c:v>70.496538189225191</c:v>
                </c:pt>
                <c:pt idx="1211">
                  <c:v>70.496538189225191</c:v>
                </c:pt>
                <c:pt idx="1212">
                  <c:v>70.545855548520777</c:v>
                </c:pt>
                <c:pt idx="1213">
                  <c:v>70.595172907816377</c:v>
                </c:pt>
                <c:pt idx="1214">
                  <c:v>70.447220829929591</c:v>
                </c:pt>
                <c:pt idx="1215">
                  <c:v>70.249951392747221</c:v>
                </c:pt>
                <c:pt idx="1216">
                  <c:v>70.05268195556485</c:v>
                </c:pt>
                <c:pt idx="1217">
                  <c:v>73.751483902734293</c:v>
                </c:pt>
                <c:pt idx="1218">
                  <c:v>73.702166543438707</c:v>
                </c:pt>
                <c:pt idx="1219">
                  <c:v>73.603531824847522</c:v>
                </c:pt>
                <c:pt idx="1220">
                  <c:v>73.406262387665151</c:v>
                </c:pt>
                <c:pt idx="1221">
                  <c:v>73.258310309778381</c:v>
                </c:pt>
                <c:pt idx="1222">
                  <c:v>77.154381694130194</c:v>
                </c:pt>
                <c:pt idx="1223">
                  <c:v>73.06104087259601</c:v>
                </c:pt>
                <c:pt idx="1224">
                  <c:v>72.96240615400481</c:v>
                </c:pt>
                <c:pt idx="1225">
                  <c:v>72.863771435413639</c:v>
                </c:pt>
                <c:pt idx="1226">
                  <c:v>77.055746975539009</c:v>
                </c:pt>
                <c:pt idx="1227">
                  <c:v>72.715819357526854</c:v>
                </c:pt>
                <c:pt idx="1228">
                  <c:v>76.858477538356638</c:v>
                </c:pt>
                <c:pt idx="1229">
                  <c:v>76.759842819765453</c:v>
                </c:pt>
                <c:pt idx="1230">
                  <c:v>77.055746975539009</c:v>
                </c:pt>
                <c:pt idx="1231">
                  <c:v>77.055746975539009</c:v>
                </c:pt>
                <c:pt idx="1232">
                  <c:v>70.940394422885518</c:v>
                </c:pt>
                <c:pt idx="1233">
                  <c:v>70.792442344998747</c:v>
                </c:pt>
                <c:pt idx="1234">
                  <c:v>70.792442344998747</c:v>
                </c:pt>
                <c:pt idx="1235">
                  <c:v>70.743124985703147</c:v>
                </c:pt>
                <c:pt idx="1236">
                  <c:v>70.05268195556485</c:v>
                </c:pt>
                <c:pt idx="1237">
                  <c:v>69.806095159086894</c:v>
                </c:pt>
                <c:pt idx="1238">
                  <c:v>69.756777799791294</c:v>
                </c:pt>
                <c:pt idx="1239">
                  <c:v>70.003364596269265</c:v>
                </c:pt>
                <c:pt idx="1240">
                  <c:v>69.855412518382479</c:v>
                </c:pt>
                <c:pt idx="1241">
                  <c:v>69.608825721904523</c:v>
                </c:pt>
                <c:pt idx="1242">
                  <c:v>69.460873644017738</c:v>
                </c:pt>
                <c:pt idx="1243">
                  <c:v>69.017017410357411</c:v>
                </c:pt>
                <c:pt idx="1244">
                  <c:v>68.819747973175041</c:v>
                </c:pt>
                <c:pt idx="1245">
                  <c:v>68.770430613879455</c:v>
                </c:pt>
                <c:pt idx="1246">
                  <c:v>68.967700051061826</c:v>
                </c:pt>
                <c:pt idx="1247">
                  <c:v>66.501832086282192</c:v>
                </c:pt>
                <c:pt idx="1248">
                  <c:v>66.304562649099822</c:v>
                </c:pt>
                <c:pt idx="1249">
                  <c:v>65.91002377473508</c:v>
                </c:pt>
                <c:pt idx="1250">
                  <c:v>65.66343697825711</c:v>
                </c:pt>
                <c:pt idx="1251">
                  <c:v>64.972993948118813</c:v>
                </c:pt>
                <c:pt idx="1252">
                  <c:v>64.726407151640856</c:v>
                </c:pt>
                <c:pt idx="1253">
                  <c:v>63.888012043615781</c:v>
                </c:pt>
                <c:pt idx="1254">
                  <c:v>63.69074260643341</c:v>
                </c:pt>
                <c:pt idx="1255">
                  <c:v>77.45028584990375</c:v>
                </c:pt>
                <c:pt idx="1256">
                  <c:v>61.47146143813174</c:v>
                </c:pt>
                <c:pt idx="1257">
                  <c:v>61.767365593905296</c:v>
                </c:pt>
                <c:pt idx="1258">
                  <c:v>61.718048234609711</c:v>
                </c:pt>
                <c:pt idx="1259">
                  <c:v>62.161904468270038</c:v>
                </c:pt>
                <c:pt idx="1260">
                  <c:v>75.724178274558</c:v>
                </c:pt>
                <c:pt idx="1261">
                  <c:v>76.463938663991897</c:v>
                </c:pt>
                <c:pt idx="1262">
                  <c:v>66.107293211917451</c:v>
                </c:pt>
                <c:pt idx="1263">
                  <c:v>65.811389056143895</c:v>
                </c:pt>
                <c:pt idx="1264">
                  <c:v>65.416850181779154</c:v>
                </c:pt>
                <c:pt idx="1265">
                  <c:v>76.315986586105112</c:v>
                </c:pt>
                <c:pt idx="1266">
                  <c:v>63.394838450659854</c:v>
                </c:pt>
                <c:pt idx="1267">
                  <c:v>63.69074260643341</c:v>
                </c:pt>
                <c:pt idx="1268">
                  <c:v>63.049616935590706</c:v>
                </c:pt>
                <c:pt idx="1269">
                  <c:v>61.422144078836155</c:v>
                </c:pt>
                <c:pt idx="1270">
                  <c:v>75.773495633853599</c:v>
                </c:pt>
                <c:pt idx="1271">
                  <c:v>58.019246287440268</c:v>
                </c:pt>
                <c:pt idx="1272">
                  <c:v>75.231004681602073</c:v>
                </c:pt>
                <c:pt idx="1273">
                  <c:v>57.1315338201196</c:v>
                </c:pt>
                <c:pt idx="1274">
                  <c:v>71.285615937954674</c:v>
                </c:pt>
                <c:pt idx="1275">
                  <c:v>71.137663860067889</c:v>
                </c:pt>
                <c:pt idx="1276">
                  <c:v>70.891077063589933</c:v>
                </c:pt>
                <c:pt idx="1277">
                  <c:v>70.743124985703147</c:v>
                </c:pt>
                <c:pt idx="1278">
                  <c:v>70.496538189225191</c:v>
                </c:pt>
                <c:pt idx="1279">
                  <c:v>69.115652128948597</c:v>
                </c:pt>
                <c:pt idx="1280">
                  <c:v>70.397903470634006</c:v>
                </c:pt>
                <c:pt idx="1281">
                  <c:v>70.249951392747221</c:v>
                </c:pt>
                <c:pt idx="1282">
                  <c:v>70.05268195556485</c:v>
                </c:pt>
                <c:pt idx="1283">
                  <c:v>76.809160179061038</c:v>
                </c:pt>
                <c:pt idx="1284">
                  <c:v>69.608825721904523</c:v>
                </c:pt>
                <c:pt idx="1285">
                  <c:v>69.263604206835367</c:v>
                </c:pt>
                <c:pt idx="1286">
                  <c:v>69.017017410357411</c:v>
                </c:pt>
                <c:pt idx="1287">
                  <c:v>68.967700051061826</c:v>
                </c:pt>
                <c:pt idx="1288">
                  <c:v>76.710525460469853</c:v>
                </c:pt>
                <c:pt idx="1289">
                  <c:v>68.178622302332343</c:v>
                </c:pt>
                <c:pt idx="1290">
                  <c:v>68.129304943036743</c:v>
                </c:pt>
                <c:pt idx="1291">
                  <c:v>68.030670224445558</c:v>
                </c:pt>
                <c:pt idx="1292">
                  <c:v>67.833400787263187</c:v>
                </c:pt>
                <c:pt idx="1293">
                  <c:v>76.414621304696297</c:v>
                </c:pt>
                <c:pt idx="1294">
                  <c:v>76.562573382583082</c:v>
                </c:pt>
                <c:pt idx="1295">
                  <c:v>66.995005679238119</c:v>
                </c:pt>
                <c:pt idx="1296">
                  <c:v>66.896370960646934</c:v>
                </c:pt>
                <c:pt idx="1297">
                  <c:v>76.513256023287482</c:v>
                </c:pt>
                <c:pt idx="1298">
                  <c:v>66.649784164168963</c:v>
                </c:pt>
                <c:pt idx="1299">
                  <c:v>66.551149445577778</c:v>
                </c:pt>
                <c:pt idx="1300">
                  <c:v>66.501832086282192</c:v>
                </c:pt>
                <c:pt idx="1301">
                  <c:v>68.129304943036743</c:v>
                </c:pt>
                <c:pt idx="1302">
                  <c:v>67.932035505854373</c:v>
                </c:pt>
                <c:pt idx="1303">
                  <c:v>77.499603209199336</c:v>
                </c:pt>
                <c:pt idx="1304">
                  <c:v>76.315986586105112</c:v>
                </c:pt>
                <c:pt idx="1305">
                  <c:v>67.14295775712489</c:v>
                </c:pt>
                <c:pt idx="1306">
                  <c:v>66.797736242055748</c:v>
                </c:pt>
                <c:pt idx="1307">
                  <c:v>66.501832086282192</c:v>
                </c:pt>
                <c:pt idx="1308">
                  <c:v>76.463938663991897</c:v>
                </c:pt>
                <c:pt idx="1309">
                  <c:v>65.959341134030666</c:v>
                </c:pt>
                <c:pt idx="1310">
                  <c:v>65.66343697825711</c:v>
                </c:pt>
                <c:pt idx="1311">
                  <c:v>65.416850181779154</c:v>
                </c:pt>
                <c:pt idx="1312">
                  <c:v>71.53220273443263</c:v>
                </c:pt>
                <c:pt idx="1313">
                  <c:v>71.58152009372823</c:v>
                </c:pt>
                <c:pt idx="1314">
                  <c:v>71.384250656545859</c:v>
                </c:pt>
                <c:pt idx="1315">
                  <c:v>71.334933297250259</c:v>
                </c:pt>
                <c:pt idx="1316">
                  <c:v>71.285615937954674</c:v>
                </c:pt>
                <c:pt idx="1317">
                  <c:v>71.137663860067889</c:v>
                </c:pt>
                <c:pt idx="1318">
                  <c:v>71.088346500772303</c:v>
                </c:pt>
                <c:pt idx="1319">
                  <c:v>71.088346500772303</c:v>
                </c:pt>
                <c:pt idx="1320">
                  <c:v>71.039029141476703</c:v>
                </c:pt>
                <c:pt idx="1321">
                  <c:v>70.940394422885518</c:v>
                </c:pt>
                <c:pt idx="1322">
                  <c:v>70.989711782181118</c:v>
                </c:pt>
                <c:pt idx="1323">
                  <c:v>76.759842819765453</c:v>
                </c:pt>
                <c:pt idx="1324">
                  <c:v>69.115652128948597</c:v>
                </c:pt>
                <c:pt idx="1325">
                  <c:v>69.017017410357411</c:v>
                </c:pt>
                <c:pt idx="1326">
                  <c:v>68.869065332470626</c:v>
                </c:pt>
                <c:pt idx="1327">
                  <c:v>76.710525460469853</c:v>
                </c:pt>
                <c:pt idx="1328">
                  <c:v>68.62247853599267</c:v>
                </c:pt>
                <c:pt idx="1329">
                  <c:v>68.523843817401485</c:v>
                </c:pt>
                <c:pt idx="1330">
                  <c:v>68.474526458105885</c:v>
                </c:pt>
                <c:pt idx="1331">
                  <c:v>68.474526458105885</c:v>
                </c:pt>
                <c:pt idx="1332">
                  <c:v>68.474526458105885</c:v>
                </c:pt>
                <c:pt idx="1333">
                  <c:v>68.425209098810299</c:v>
                </c:pt>
                <c:pt idx="1334">
                  <c:v>68.474526458105885</c:v>
                </c:pt>
                <c:pt idx="1335">
                  <c:v>68.425209098810299</c:v>
                </c:pt>
                <c:pt idx="1336">
                  <c:v>68.375891739514714</c:v>
                </c:pt>
                <c:pt idx="1337">
                  <c:v>68.326574380219114</c:v>
                </c:pt>
                <c:pt idx="1338">
                  <c:v>54.764300573931152</c:v>
                </c:pt>
                <c:pt idx="1339">
                  <c:v>75.280322040897673</c:v>
                </c:pt>
                <c:pt idx="1340">
                  <c:v>57.328803257301971</c:v>
                </c:pt>
                <c:pt idx="1341">
                  <c:v>56.983581742232815</c:v>
                </c:pt>
                <c:pt idx="1342">
                  <c:v>56.687677586459259</c:v>
                </c:pt>
                <c:pt idx="1343">
                  <c:v>56.243821352798932</c:v>
                </c:pt>
                <c:pt idx="1344">
                  <c:v>55.849282478434191</c:v>
                </c:pt>
                <c:pt idx="1345">
                  <c:v>75.378956759488858</c:v>
                </c:pt>
                <c:pt idx="1346">
                  <c:v>68.573161176697084</c:v>
                </c:pt>
                <c:pt idx="1347">
                  <c:v>68.62247853599267</c:v>
                </c:pt>
                <c:pt idx="1348">
                  <c:v>68.523843817401485</c:v>
                </c:pt>
                <c:pt idx="1349">
                  <c:v>68.425209098810299</c:v>
                </c:pt>
                <c:pt idx="1350">
                  <c:v>68.326574380219114</c:v>
                </c:pt>
                <c:pt idx="1351">
                  <c:v>68.129304943036743</c:v>
                </c:pt>
                <c:pt idx="1352">
                  <c:v>68.079987583741143</c:v>
                </c:pt>
                <c:pt idx="1353">
                  <c:v>77.499603209199336</c:v>
                </c:pt>
                <c:pt idx="1354">
                  <c:v>77.499603209199336</c:v>
                </c:pt>
                <c:pt idx="1355">
                  <c:v>76.414621304696297</c:v>
                </c:pt>
                <c:pt idx="1356">
                  <c:v>76.168034508218341</c:v>
                </c:pt>
                <c:pt idx="1357">
                  <c:v>66.995005679238119</c:v>
                </c:pt>
                <c:pt idx="1358">
                  <c:v>76.513256023287482</c:v>
                </c:pt>
                <c:pt idx="1359">
                  <c:v>66.403197367691007</c:v>
                </c:pt>
                <c:pt idx="1360">
                  <c:v>66.008658493326266</c:v>
                </c:pt>
                <c:pt idx="1361">
                  <c:v>60.485114252219887</c:v>
                </c:pt>
                <c:pt idx="1362">
                  <c:v>59.30149762912567</c:v>
                </c:pt>
                <c:pt idx="1363">
                  <c:v>75.231004681602073</c:v>
                </c:pt>
                <c:pt idx="1364">
                  <c:v>57.230168538710785</c:v>
                </c:pt>
                <c:pt idx="1365">
                  <c:v>56.490408149276888</c:v>
                </c:pt>
                <c:pt idx="1366">
                  <c:v>55.454743604069449</c:v>
                </c:pt>
                <c:pt idx="1367">
                  <c:v>54.271126980975225</c:v>
                </c:pt>
                <c:pt idx="1368">
                  <c:v>53.630001310132521</c:v>
                </c:pt>
                <c:pt idx="1369">
                  <c:v>53.136827717176601</c:v>
                </c:pt>
                <c:pt idx="1370">
                  <c:v>53.038192998585416</c:v>
                </c:pt>
                <c:pt idx="1371">
                  <c:v>53.087510357881001</c:v>
                </c:pt>
                <c:pt idx="1372">
                  <c:v>53.679318669428113</c:v>
                </c:pt>
                <c:pt idx="1373">
                  <c:v>54.961570011113523</c:v>
                </c:pt>
                <c:pt idx="1374">
                  <c:v>56.441090789981303</c:v>
                </c:pt>
                <c:pt idx="1375">
                  <c:v>58.019246287440268</c:v>
                </c:pt>
                <c:pt idx="1376">
                  <c:v>74.737831088646146</c:v>
                </c:pt>
                <c:pt idx="1377">
                  <c:v>77.302333772016965</c:v>
                </c:pt>
                <c:pt idx="1378">
                  <c:v>74.589879010759375</c:v>
                </c:pt>
                <c:pt idx="1379">
                  <c:v>74.49124429216819</c:v>
                </c:pt>
                <c:pt idx="1380">
                  <c:v>74.44192693287259</c:v>
                </c:pt>
                <c:pt idx="1381">
                  <c:v>74.343292214281405</c:v>
                </c:pt>
                <c:pt idx="1382">
                  <c:v>77.253016412721379</c:v>
                </c:pt>
                <c:pt idx="1383">
                  <c:v>74.047388058507849</c:v>
                </c:pt>
                <c:pt idx="1384">
                  <c:v>73.998070699212263</c:v>
                </c:pt>
                <c:pt idx="1385">
                  <c:v>73.800801262029893</c:v>
                </c:pt>
                <c:pt idx="1386">
                  <c:v>73.702166543438707</c:v>
                </c:pt>
                <c:pt idx="1387">
                  <c:v>73.504897106256337</c:v>
                </c:pt>
                <c:pt idx="1388">
                  <c:v>73.504897106256337</c:v>
                </c:pt>
                <c:pt idx="1389">
                  <c:v>73.455579746960737</c:v>
                </c:pt>
                <c:pt idx="1390">
                  <c:v>73.356945028369552</c:v>
                </c:pt>
                <c:pt idx="1391">
                  <c:v>70.644490267111962</c:v>
                </c:pt>
                <c:pt idx="1392">
                  <c:v>70.595172907816377</c:v>
                </c:pt>
                <c:pt idx="1393">
                  <c:v>70.545855548520777</c:v>
                </c:pt>
                <c:pt idx="1394">
                  <c:v>70.644490267111962</c:v>
                </c:pt>
                <c:pt idx="1395">
                  <c:v>70.792442344998747</c:v>
                </c:pt>
                <c:pt idx="1396">
                  <c:v>68.573161176697084</c:v>
                </c:pt>
                <c:pt idx="1397">
                  <c:v>69.115652128948597</c:v>
                </c:pt>
                <c:pt idx="1398">
                  <c:v>70.397903470634006</c:v>
                </c:pt>
                <c:pt idx="1399">
                  <c:v>70.447220829929591</c:v>
                </c:pt>
                <c:pt idx="1400">
                  <c:v>70.792442344998747</c:v>
                </c:pt>
                <c:pt idx="1401">
                  <c:v>67.882718146558773</c:v>
                </c:pt>
                <c:pt idx="1402">
                  <c:v>70.397903470634006</c:v>
                </c:pt>
                <c:pt idx="1403">
                  <c:v>68.819747973175041</c:v>
                </c:pt>
                <c:pt idx="1404">
                  <c:v>68.770430613879455</c:v>
                </c:pt>
                <c:pt idx="1405">
                  <c:v>68.819747973175041</c:v>
                </c:pt>
                <c:pt idx="1406">
                  <c:v>68.375891739514714</c:v>
                </c:pt>
                <c:pt idx="1407">
                  <c:v>76.661208101174267</c:v>
                </c:pt>
                <c:pt idx="1408">
                  <c:v>67.932035505854373</c:v>
                </c:pt>
                <c:pt idx="1409">
                  <c:v>67.932035505854373</c:v>
                </c:pt>
                <c:pt idx="1410">
                  <c:v>76.513256023287482</c:v>
                </c:pt>
                <c:pt idx="1411">
                  <c:v>67.784083427967602</c:v>
                </c:pt>
                <c:pt idx="1412">
                  <c:v>76.365303945400711</c:v>
                </c:pt>
                <c:pt idx="1413">
                  <c:v>58.759006676874151</c:v>
                </c:pt>
                <c:pt idx="1414">
                  <c:v>58.216515724622631</c:v>
                </c:pt>
                <c:pt idx="1415">
                  <c:v>57.279485898006371</c:v>
                </c:pt>
                <c:pt idx="1416">
                  <c:v>55.997234556320961</c:v>
                </c:pt>
                <c:pt idx="1417">
                  <c:v>54.961570011113523</c:v>
                </c:pt>
                <c:pt idx="1418">
                  <c:v>75.329639400193258</c:v>
                </c:pt>
                <c:pt idx="1419">
                  <c:v>54.073857543792855</c:v>
                </c:pt>
                <c:pt idx="1420">
                  <c:v>75.083052603715302</c:v>
                </c:pt>
                <c:pt idx="1421">
                  <c:v>49.7832472850763</c:v>
                </c:pt>
                <c:pt idx="1422">
                  <c:v>74.49124429216819</c:v>
                </c:pt>
                <c:pt idx="1423">
                  <c:v>74.195340136394634</c:v>
                </c:pt>
                <c:pt idx="1424">
                  <c:v>77.302333772016965</c:v>
                </c:pt>
                <c:pt idx="1425">
                  <c:v>48.648948021277675</c:v>
                </c:pt>
                <c:pt idx="1426">
                  <c:v>49.585977847893929</c:v>
                </c:pt>
                <c:pt idx="1427">
                  <c:v>51.164133345352894</c:v>
                </c:pt>
                <c:pt idx="1428">
                  <c:v>74.935100525828517</c:v>
                </c:pt>
                <c:pt idx="1429">
                  <c:v>74.787148447941746</c:v>
                </c:pt>
                <c:pt idx="1430">
                  <c:v>74.787148447941746</c:v>
                </c:pt>
                <c:pt idx="1431">
                  <c:v>74.737831088646146</c:v>
                </c:pt>
                <c:pt idx="1432">
                  <c:v>71.630837453023815</c:v>
                </c:pt>
                <c:pt idx="1433">
                  <c:v>71.53220273443263</c:v>
                </c:pt>
                <c:pt idx="1434">
                  <c:v>71.334933297250259</c:v>
                </c:pt>
                <c:pt idx="1435">
                  <c:v>71.137663860067889</c:v>
                </c:pt>
                <c:pt idx="1436">
                  <c:v>70.989711782181118</c:v>
                </c:pt>
                <c:pt idx="1437">
                  <c:v>70.940394422885518</c:v>
                </c:pt>
                <c:pt idx="1438">
                  <c:v>70.940394422885518</c:v>
                </c:pt>
                <c:pt idx="1439">
                  <c:v>70.891077063589933</c:v>
                </c:pt>
                <c:pt idx="1440">
                  <c:v>69.608825721904523</c:v>
                </c:pt>
                <c:pt idx="1441">
                  <c:v>69.559508362608923</c:v>
                </c:pt>
                <c:pt idx="1442">
                  <c:v>69.510191003313338</c:v>
                </c:pt>
                <c:pt idx="1443">
                  <c:v>69.411556284722153</c:v>
                </c:pt>
                <c:pt idx="1444">
                  <c:v>69.164969488244182</c:v>
                </c:pt>
                <c:pt idx="1445">
                  <c:v>69.017017410357411</c:v>
                </c:pt>
                <c:pt idx="1446">
                  <c:v>68.819747973175041</c:v>
                </c:pt>
                <c:pt idx="1447">
                  <c:v>68.671795895288255</c:v>
                </c:pt>
                <c:pt idx="1448">
                  <c:v>68.573161176697084</c:v>
                </c:pt>
                <c:pt idx="1449">
                  <c:v>68.030670224445558</c:v>
                </c:pt>
                <c:pt idx="1450">
                  <c:v>68.869065332470626</c:v>
                </c:pt>
                <c:pt idx="1451">
                  <c:v>68.62247853599267</c:v>
                </c:pt>
                <c:pt idx="1452">
                  <c:v>68.079987583741143</c:v>
                </c:pt>
                <c:pt idx="1453">
                  <c:v>70.10199931486045</c:v>
                </c:pt>
                <c:pt idx="1454">
                  <c:v>70.05268195556485</c:v>
                </c:pt>
                <c:pt idx="1455">
                  <c:v>70.003364596269265</c:v>
                </c:pt>
                <c:pt idx="1456">
                  <c:v>69.954047236973665</c:v>
                </c:pt>
                <c:pt idx="1457">
                  <c:v>69.806095159086894</c:v>
                </c:pt>
                <c:pt idx="1458">
                  <c:v>76.809160179061038</c:v>
                </c:pt>
                <c:pt idx="1459">
                  <c:v>69.608825721904523</c:v>
                </c:pt>
                <c:pt idx="1460">
                  <c:v>69.460873644017738</c:v>
                </c:pt>
                <c:pt idx="1461">
                  <c:v>69.312921566130967</c:v>
                </c:pt>
                <c:pt idx="1462">
                  <c:v>68.869065332470626</c:v>
                </c:pt>
                <c:pt idx="1463">
                  <c:v>68.277257020923514</c:v>
                </c:pt>
                <c:pt idx="1464">
                  <c:v>68.277257020923514</c:v>
                </c:pt>
                <c:pt idx="1465">
                  <c:v>68.129304943036743</c:v>
                </c:pt>
                <c:pt idx="1466">
                  <c:v>68.030670224445558</c:v>
                </c:pt>
                <c:pt idx="1467">
                  <c:v>68.030670224445558</c:v>
                </c:pt>
                <c:pt idx="1468">
                  <c:v>69.954047236973665</c:v>
                </c:pt>
                <c:pt idx="1469">
                  <c:v>69.806095159086894</c:v>
                </c:pt>
                <c:pt idx="1470">
                  <c:v>69.756777799791294</c:v>
                </c:pt>
                <c:pt idx="1471">
                  <c:v>69.658143081200109</c:v>
                </c:pt>
                <c:pt idx="1472">
                  <c:v>69.559508362608923</c:v>
                </c:pt>
                <c:pt idx="1473">
                  <c:v>69.460873644017738</c:v>
                </c:pt>
                <c:pt idx="1474">
                  <c:v>69.312921566130967</c:v>
                </c:pt>
                <c:pt idx="1475">
                  <c:v>63.542790528546632</c:v>
                </c:pt>
                <c:pt idx="1476">
                  <c:v>63.444155809955447</c:v>
                </c:pt>
                <c:pt idx="1477">
                  <c:v>63.098934294886298</c:v>
                </c:pt>
                <c:pt idx="1478">
                  <c:v>75.92144771174037</c:v>
                </c:pt>
                <c:pt idx="1479">
                  <c:v>61.668730875314111</c:v>
                </c:pt>
                <c:pt idx="1480">
                  <c:v>61.027605204471413</c:v>
                </c:pt>
                <c:pt idx="1481">
                  <c:v>60.633066330106672</c:v>
                </c:pt>
                <c:pt idx="1482">
                  <c:v>70.940394422885518</c:v>
                </c:pt>
                <c:pt idx="1483">
                  <c:v>70.841759704294333</c:v>
                </c:pt>
                <c:pt idx="1484">
                  <c:v>70.792442344998747</c:v>
                </c:pt>
                <c:pt idx="1485">
                  <c:v>76.907794897652224</c:v>
                </c:pt>
                <c:pt idx="1486">
                  <c:v>70.595172907816377</c:v>
                </c:pt>
                <c:pt idx="1487">
                  <c:v>70.348586111338406</c:v>
                </c:pt>
                <c:pt idx="1488">
                  <c:v>70.447220829929591</c:v>
                </c:pt>
                <c:pt idx="1489">
                  <c:v>70.397903470634006</c:v>
                </c:pt>
                <c:pt idx="1490">
                  <c:v>70.299268752042821</c:v>
                </c:pt>
                <c:pt idx="1491">
                  <c:v>76.858477538356638</c:v>
                </c:pt>
                <c:pt idx="1492">
                  <c:v>70.151316674156035</c:v>
                </c:pt>
                <c:pt idx="1493">
                  <c:v>70.05268195556485</c:v>
                </c:pt>
                <c:pt idx="1494">
                  <c:v>69.954047236973665</c:v>
                </c:pt>
                <c:pt idx="1495">
                  <c:v>69.855412518382479</c:v>
                </c:pt>
                <c:pt idx="1496">
                  <c:v>69.806095159086894</c:v>
                </c:pt>
                <c:pt idx="1497">
                  <c:v>69.164969488244182</c:v>
                </c:pt>
                <c:pt idx="1498">
                  <c:v>69.115652128948597</c:v>
                </c:pt>
                <c:pt idx="1499">
                  <c:v>69.017017410357411</c:v>
                </c:pt>
                <c:pt idx="1500">
                  <c:v>68.918382691766226</c:v>
                </c:pt>
                <c:pt idx="1501">
                  <c:v>68.770430613879455</c:v>
                </c:pt>
                <c:pt idx="1502">
                  <c:v>68.573161176697084</c:v>
                </c:pt>
                <c:pt idx="1503">
                  <c:v>68.474526458105885</c:v>
                </c:pt>
                <c:pt idx="1504">
                  <c:v>68.375891739514714</c:v>
                </c:pt>
                <c:pt idx="1505">
                  <c:v>68.326574380219114</c:v>
                </c:pt>
                <c:pt idx="1506">
                  <c:v>68.277257020923514</c:v>
                </c:pt>
                <c:pt idx="1507">
                  <c:v>76.661208101174267</c:v>
                </c:pt>
                <c:pt idx="1508">
                  <c:v>68.178622302332343</c:v>
                </c:pt>
                <c:pt idx="1509">
                  <c:v>68.129304943036743</c:v>
                </c:pt>
                <c:pt idx="1510">
                  <c:v>77.006429616243409</c:v>
                </c:pt>
                <c:pt idx="1511">
                  <c:v>76.957112256947823</c:v>
                </c:pt>
                <c:pt idx="1512">
                  <c:v>76.957112256947823</c:v>
                </c:pt>
                <c:pt idx="1513">
                  <c:v>76.957112256947823</c:v>
                </c:pt>
                <c:pt idx="1514">
                  <c:v>77.006429616243409</c:v>
                </c:pt>
                <c:pt idx="1515">
                  <c:v>77.006429616243409</c:v>
                </c:pt>
                <c:pt idx="1516">
                  <c:v>77.006429616243409</c:v>
                </c:pt>
                <c:pt idx="1517">
                  <c:v>77.006429616243409</c:v>
                </c:pt>
                <c:pt idx="1518">
                  <c:v>77.006429616243409</c:v>
                </c:pt>
                <c:pt idx="1519">
                  <c:v>76.907794897652224</c:v>
                </c:pt>
                <c:pt idx="1520">
                  <c:v>76.858477538356638</c:v>
                </c:pt>
                <c:pt idx="1521">
                  <c:v>76.759842819765453</c:v>
                </c:pt>
                <c:pt idx="1522">
                  <c:v>76.661208101174267</c:v>
                </c:pt>
                <c:pt idx="1523">
                  <c:v>77.055746975539009</c:v>
                </c:pt>
                <c:pt idx="1524">
                  <c:v>72.074693686684157</c:v>
                </c:pt>
                <c:pt idx="1525">
                  <c:v>76.759842819765453</c:v>
                </c:pt>
                <c:pt idx="1526">
                  <c:v>76.661208101174267</c:v>
                </c:pt>
                <c:pt idx="1527">
                  <c:v>72.074693686684157</c:v>
                </c:pt>
                <c:pt idx="1528">
                  <c:v>71.976058968092971</c:v>
                </c:pt>
                <c:pt idx="1529">
                  <c:v>71.877424249501786</c:v>
                </c:pt>
                <c:pt idx="1530">
                  <c:v>71.778789530910601</c:v>
                </c:pt>
                <c:pt idx="1531">
                  <c:v>71.630837453023815</c:v>
                </c:pt>
                <c:pt idx="1532">
                  <c:v>71.482885375137045</c:v>
                </c:pt>
                <c:pt idx="1533">
                  <c:v>71.384250656545859</c:v>
                </c:pt>
                <c:pt idx="1534">
                  <c:v>71.236298578659074</c:v>
                </c:pt>
                <c:pt idx="1535">
                  <c:v>71.088346500772303</c:v>
                </c:pt>
                <c:pt idx="1536">
                  <c:v>70.940394422885518</c:v>
                </c:pt>
                <c:pt idx="1537">
                  <c:v>70.792442344998747</c:v>
                </c:pt>
                <c:pt idx="1538">
                  <c:v>76.907794897652224</c:v>
                </c:pt>
                <c:pt idx="1539">
                  <c:v>70.545855548520777</c:v>
                </c:pt>
                <c:pt idx="1540">
                  <c:v>66.896370960646934</c:v>
                </c:pt>
                <c:pt idx="1541">
                  <c:v>66.353880008395407</c:v>
                </c:pt>
                <c:pt idx="1542">
                  <c:v>76.513256023287482</c:v>
                </c:pt>
                <c:pt idx="1543">
                  <c:v>66.896370960646934</c:v>
                </c:pt>
                <c:pt idx="1544">
                  <c:v>67.19227511642049</c:v>
                </c:pt>
                <c:pt idx="1545">
                  <c:v>66.995005679238119</c:v>
                </c:pt>
                <c:pt idx="1546">
                  <c:v>66.008658493326266</c:v>
                </c:pt>
                <c:pt idx="1547">
                  <c:v>65.71275433755271</c:v>
                </c:pt>
                <c:pt idx="1548">
                  <c:v>65.515484900370339</c:v>
                </c:pt>
                <c:pt idx="1549">
                  <c:v>65.367532822483554</c:v>
                </c:pt>
                <c:pt idx="1550">
                  <c:v>65.860706415439481</c:v>
                </c:pt>
                <c:pt idx="1551">
                  <c:v>66.205927930508636</c:v>
                </c:pt>
                <c:pt idx="1552">
                  <c:v>66.304562649099822</c:v>
                </c:pt>
                <c:pt idx="1553">
                  <c:v>75.724178274558</c:v>
                </c:pt>
                <c:pt idx="1554">
                  <c:v>61.570096156722926</c:v>
                </c:pt>
                <c:pt idx="1555">
                  <c:v>60.879653126584628</c:v>
                </c:pt>
                <c:pt idx="1556">
                  <c:v>60.485114252219887</c:v>
                </c:pt>
                <c:pt idx="1557">
                  <c:v>59.745353862786004</c:v>
                </c:pt>
                <c:pt idx="1558">
                  <c:v>58.956276114056521</c:v>
                </c:pt>
                <c:pt idx="1559">
                  <c:v>75.576226196671229</c:v>
                </c:pt>
                <c:pt idx="1560">
                  <c:v>75.576226196671229</c:v>
                </c:pt>
                <c:pt idx="1561">
                  <c:v>75.576226196671229</c:v>
                </c:pt>
                <c:pt idx="1562">
                  <c:v>55.602695681956227</c:v>
                </c:pt>
                <c:pt idx="1563">
                  <c:v>53.679318669428113</c:v>
                </c:pt>
                <c:pt idx="1564">
                  <c:v>74.984417885124117</c:v>
                </c:pt>
                <c:pt idx="1565">
                  <c:v>51.805259016195592</c:v>
                </c:pt>
                <c:pt idx="1566">
                  <c:v>76.463938663991897</c:v>
                </c:pt>
                <c:pt idx="1567">
                  <c:v>67.833400787263187</c:v>
                </c:pt>
                <c:pt idx="1568">
                  <c:v>76.365303945400711</c:v>
                </c:pt>
                <c:pt idx="1569">
                  <c:v>76.414621304696297</c:v>
                </c:pt>
                <c:pt idx="1570">
                  <c:v>67.14295775712489</c:v>
                </c:pt>
                <c:pt idx="1571">
                  <c:v>66.205927930508636</c:v>
                </c:pt>
                <c:pt idx="1572">
                  <c:v>64.134598840093744</c:v>
                </c:pt>
                <c:pt idx="1573">
                  <c:v>63.937329402911374</c:v>
                </c:pt>
                <c:pt idx="1574">
                  <c:v>64.4305029958673</c:v>
                </c:pt>
                <c:pt idx="1575">
                  <c:v>63.888012043615781</c:v>
                </c:pt>
                <c:pt idx="1576">
                  <c:v>64.4305029958673</c:v>
                </c:pt>
                <c:pt idx="1577">
                  <c:v>64.972993948118813</c:v>
                </c:pt>
                <c:pt idx="1578">
                  <c:v>64.972993948118813</c:v>
                </c:pt>
                <c:pt idx="1579">
                  <c:v>65.120946026005598</c:v>
                </c:pt>
                <c:pt idx="1580">
                  <c:v>64.923676588823227</c:v>
                </c:pt>
                <c:pt idx="1581">
                  <c:v>71.828106890206186</c:v>
                </c:pt>
                <c:pt idx="1582">
                  <c:v>71.828106890206186</c:v>
                </c:pt>
                <c:pt idx="1583">
                  <c:v>71.778789530910601</c:v>
                </c:pt>
                <c:pt idx="1584">
                  <c:v>72.124011045979742</c:v>
                </c:pt>
                <c:pt idx="1585">
                  <c:v>71.778789530910601</c:v>
                </c:pt>
                <c:pt idx="1586">
                  <c:v>71.778789530910601</c:v>
                </c:pt>
                <c:pt idx="1587">
                  <c:v>71.729472171615001</c:v>
                </c:pt>
                <c:pt idx="1588">
                  <c:v>71.482885375137045</c:v>
                </c:pt>
                <c:pt idx="1589">
                  <c:v>71.828106890206186</c:v>
                </c:pt>
                <c:pt idx="1590">
                  <c:v>71.53220273443263</c:v>
                </c:pt>
                <c:pt idx="1591">
                  <c:v>71.58152009372823</c:v>
                </c:pt>
                <c:pt idx="1592">
                  <c:v>71.630837453023815</c:v>
                </c:pt>
                <c:pt idx="1593">
                  <c:v>71.482885375137045</c:v>
                </c:pt>
                <c:pt idx="1594">
                  <c:v>71.53220273443263</c:v>
                </c:pt>
                <c:pt idx="1595">
                  <c:v>71.137663860067889</c:v>
                </c:pt>
                <c:pt idx="1596">
                  <c:v>68.523843817401485</c:v>
                </c:pt>
                <c:pt idx="1597">
                  <c:v>68.474526458105885</c:v>
                </c:pt>
                <c:pt idx="1598">
                  <c:v>68.523843817401485</c:v>
                </c:pt>
                <c:pt idx="1599">
                  <c:v>68.573161176697084</c:v>
                </c:pt>
                <c:pt idx="1600">
                  <c:v>68.573161176697084</c:v>
                </c:pt>
                <c:pt idx="1601">
                  <c:v>68.573161176697084</c:v>
                </c:pt>
                <c:pt idx="1602">
                  <c:v>68.523843817401485</c:v>
                </c:pt>
                <c:pt idx="1603">
                  <c:v>68.523843817401485</c:v>
                </c:pt>
                <c:pt idx="1604">
                  <c:v>68.474526458105885</c:v>
                </c:pt>
                <c:pt idx="1605">
                  <c:v>68.129304943036743</c:v>
                </c:pt>
                <c:pt idx="1606">
                  <c:v>68.573161176697084</c:v>
                </c:pt>
                <c:pt idx="1607">
                  <c:v>68.573161176697084</c:v>
                </c:pt>
                <c:pt idx="1608">
                  <c:v>68.425209098810299</c:v>
                </c:pt>
                <c:pt idx="1609">
                  <c:v>70.989711782181118</c:v>
                </c:pt>
                <c:pt idx="1610">
                  <c:v>70.940394422885518</c:v>
                </c:pt>
                <c:pt idx="1611">
                  <c:v>70.792442344998747</c:v>
                </c:pt>
                <c:pt idx="1612">
                  <c:v>70.644490267111962</c:v>
                </c:pt>
                <c:pt idx="1613">
                  <c:v>70.447220829929591</c:v>
                </c:pt>
                <c:pt idx="1614">
                  <c:v>70.249951392747221</c:v>
                </c:pt>
                <c:pt idx="1615">
                  <c:v>70.05268195556485</c:v>
                </c:pt>
                <c:pt idx="1616">
                  <c:v>69.855412518382479</c:v>
                </c:pt>
                <c:pt idx="1617">
                  <c:v>69.658143081200109</c:v>
                </c:pt>
                <c:pt idx="1618">
                  <c:v>69.460873644017738</c:v>
                </c:pt>
                <c:pt idx="1619">
                  <c:v>69.263604206835367</c:v>
                </c:pt>
                <c:pt idx="1620">
                  <c:v>69.066334769652997</c:v>
                </c:pt>
                <c:pt idx="1621">
                  <c:v>68.918382691766226</c:v>
                </c:pt>
                <c:pt idx="1622">
                  <c:v>68.770430613879455</c:v>
                </c:pt>
                <c:pt idx="1623">
                  <c:v>76.710525460469853</c:v>
                </c:pt>
                <c:pt idx="1624">
                  <c:v>62.112587108974445</c:v>
                </c:pt>
                <c:pt idx="1625">
                  <c:v>61.422144078836155</c:v>
                </c:pt>
                <c:pt idx="1626">
                  <c:v>60.386479533628702</c:v>
                </c:pt>
                <c:pt idx="1627">
                  <c:v>59.548084425603633</c:v>
                </c:pt>
                <c:pt idx="1628">
                  <c:v>59.696036503490411</c:v>
                </c:pt>
                <c:pt idx="1629">
                  <c:v>59.449449707012448</c:v>
                </c:pt>
                <c:pt idx="1630">
                  <c:v>75.378956759488858</c:v>
                </c:pt>
                <c:pt idx="1631">
                  <c:v>53.580683950836928</c:v>
                </c:pt>
                <c:pt idx="1632">
                  <c:v>51.657306938308821</c:v>
                </c:pt>
                <c:pt idx="1633">
                  <c:v>50.276420878032226</c:v>
                </c:pt>
                <c:pt idx="1634">
                  <c:v>59.30149762912567</c:v>
                </c:pt>
                <c:pt idx="1635">
                  <c:v>57.920611568849083</c:v>
                </c:pt>
                <c:pt idx="1636">
                  <c:v>56.441090789981303</c:v>
                </c:pt>
                <c:pt idx="1637">
                  <c:v>54.714983214635559</c:v>
                </c:pt>
                <c:pt idx="1638">
                  <c:v>51.607989579013221</c:v>
                </c:pt>
                <c:pt idx="1639">
                  <c:v>48.648948021277675</c:v>
                </c:pt>
                <c:pt idx="1640">
                  <c:v>46.429666852976005</c:v>
                </c:pt>
                <c:pt idx="1641">
                  <c:v>74.293974854985819</c:v>
                </c:pt>
                <c:pt idx="1642">
                  <c:v>77.253016412721379</c:v>
                </c:pt>
                <c:pt idx="1643">
                  <c:v>42.237691312850636</c:v>
                </c:pt>
                <c:pt idx="1644">
                  <c:v>41.94178715707708</c:v>
                </c:pt>
                <c:pt idx="1645">
                  <c:v>42.336326031441821</c:v>
                </c:pt>
                <c:pt idx="1646">
                  <c:v>73.998070699212263</c:v>
                </c:pt>
                <c:pt idx="1647">
                  <c:v>43.766529451014001</c:v>
                </c:pt>
                <c:pt idx="1648">
                  <c:v>44.802193996221447</c:v>
                </c:pt>
              </c:numCache>
            </c:numRef>
          </c:xVal>
          <c:yVal>
            <c:numRef>
              <c:f>Regression!RegChartResid</c:f>
              <c:numCache>
                <c:formatCode>0.0000</c:formatCode>
                <c:ptCount val="1649"/>
                <c:pt idx="0">
                  <c:v>0.37222756695032899</c:v>
                </c:pt>
                <c:pt idx="1">
                  <c:v>-4.3332335586849311</c:v>
                </c:pt>
                <c:pt idx="2">
                  <c:v>-4.481185636571702</c:v>
                </c:pt>
                <c:pt idx="3">
                  <c:v>-4.6839161993893299</c:v>
                </c:pt>
                <c:pt idx="4">
                  <c:v>-4.8359641215025562</c:v>
                </c:pt>
                <c:pt idx="5">
                  <c:v>-5.0386946843201912</c:v>
                </c:pt>
                <c:pt idx="6">
                  <c:v>-5.1400599657290016</c:v>
                </c:pt>
                <c:pt idx="7">
                  <c:v>-5.3441558099554456</c:v>
                </c:pt>
                <c:pt idx="8">
                  <c:v>-5.5496169355907057</c:v>
                </c:pt>
                <c:pt idx="9">
                  <c:v>-5.7496169355907085</c:v>
                </c:pt>
                <c:pt idx="10">
                  <c:v>-5.9468863727730792</c:v>
                </c:pt>
                <c:pt idx="11">
                  <c:v>-6.148251654181891</c:v>
                </c:pt>
                <c:pt idx="12">
                  <c:v>-6.3496169355907028</c:v>
                </c:pt>
                <c:pt idx="13">
                  <c:v>-21.250285849903747</c:v>
                </c:pt>
                <c:pt idx="14">
                  <c:v>-6.7139523903832696</c:v>
                </c:pt>
                <c:pt idx="15">
                  <c:v>-6.9673655939052992</c:v>
                </c:pt>
                <c:pt idx="16">
                  <c:v>3.8512466600833335</c:v>
                </c:pt>
                <c:pt idx="17">
                  <c:v>0.29630094657422035</c:v>
                </c:pt>
                <c:pt idx="18">
                  <c:v>3.7444202530392658</c:v>
                </c:pt>
                <c:pt idx="19">
                  <c:v>3.543054971630454</c:v>
                </c:pt>
                <c:pt idx="20">
                  <c:v>3.3416896902216138</c:v>
                </c:pt>
                <c:pt idx="21">
                  <c:v>3.0896417681084074</c:v>
                </c:pt>
                <c:pt idx="22">
                  <c:v>2.9896417681083989</c:v>
                </c:pt>
                <c:pt idx="23">
                  <c:v>-2.2489205684949383</c:v>
                </c:pt>
                <c:pt idx="24">
                  <c:v>-1.2543816941301884</c:v>
                </c:pt>
                <c:pt idx="25">
                  <c:v>1.4841806424731487</c:v>
                </c:pt>
                <c:pt idx="26">
                  <c:v>-3.3584775383566381</c:v>
                </c:pt>
                <c:pt idx="27">
                  <c:v>-3.7598428197654528</c:v>
                </c:pt>
                <c:pt idx="28">
                  <c:v>-3.9105254604698558</c:v>
                </c:pt>
                <c:pt idx="29">
                  <c:v>-3.5584775383566409</c:v>
                </c:pt>
                <c:pt idx="30">
                  <c:v>-3.3077948976522293</c:v>
                </c:pt>
                <c:pt idx="31">
                  <c:v>-4.4557469755390144</c:v>
                </c:pt>
                <c:pt idx="32">
                  <c:v>-1.6557469755390031</c:v>
                </c:pt>
                <c:pt idx="33">
                  <c:v>3.2253063133158406</c:v>
                </c:pt>
                <c:pt idx="34">
                  <c:v>3.0746236726114375</c:v>
                </c:pt>
                <c:pt idx="35">
                  <c:v>3.0225757504982198</c:v>
                </c:pt>
                <c:pt idx="36">
                  <c:v>2.9705278283850021</c:v>
                </c:pt>
                <c:pt idx="37">
                  <c:v>2.8677972655673756</c:v>
                </c:pt>
                <c:pt idx="38">
                  <c:v>2.7157493434541351</c:v>
                </c:pt>
                <c:pt idx="39">
                  <c:v>2.563701421340923</c:v>
                </c:pt>
                <c:pt idx="40">
                  <c:v>2.3116534992277025</c:v>
                </c:pt>
                <c:pt idx="41">
                  <c:v>2.0089229364100731</c:v>
                </c:pt>
                <c:pt idx="42">
                  <c:v>-4.6077948976522265</c:v>
                </c:pt>
                <c:pt idx="43">
                  <c:v>-8.7357968929242986</c:v>
                </c:pt>
                <c:pt idx="44">
                  <c:v>-8.9905753778551514</c:v>
                </c:pt>
                <c:pt idx="45">
                  <c:v>-3.9426232999683748</c:v>
                </c:pt>
                <c:pt idx="46">
                  <c:v>-8.7946712220815968</c:v>
                </c:pt>
                <c:pt idx="47">
                  <c:v>-9.9974017848992247</c:v>
                </c:pt>
                <c:pt idx="48">
                  <c:v>-10.300132347716854</c:v>
                </c:pt>
                <c:pt idx="49">
                  <c:v>-10.601497629125667</c:v>
                </c:pt>
                <c:pt idx="50">
                  <c:v>-10.904228191943297</c:v>
                </c:pt>
                <c:pt idx="51">
                  <c:v>4.4212104690894023</c:v>
                </c:pt>
                <c:pt idx="52">
                  <c:v>4.2705278283849992</c:v>
                </c:pt>
                <c:pt idx="53">
                  <c:v>-1.1064296162434033</c:v>
                </c:pt>
                <c:pt idx="54">
                  <c:v>-1.3064296162434061</c:v>
                </c:pt>
                <c:pt idx="55">
                  <c:v>3.8691625469761846</c:v>
                </c:pt>
                <c:pt idx="56">
                  <c:v>4.2157493434541351</c:v>
                </c:pt>
                <c:pt idx="57">
                  <c:v>4.0157493434541465</c:v>
                </c:pt>
                <c:pt idx="58">
                  <c:v>3.563701421340923</c:v>
                </c:pt>
                <c:pt idx="59">
                  <c:v>3.8650667027497434</c:v>
                </c:pt>
                <c:pt idx="60">
                  <c:v>3.5650667027497462</c:v>
                </c:pt>
                <c:pt idx="61">
                  <c:v>-2.2571122569478206</c:v>
                </c:pt>
                <c:pt idx="62">
                  <c:v>3.2582402957056615</c:v>
                </c:pt>
                <c:pt idx="63">
                  <c:v>3.3075576550012471</c:v>
                </c:pt>
                <c:pt idx="64">
                  <c:v>-2.4064296162434147</c:v>
                </c:pt>
                <c:pt idx="65">
                  <c:v>2.8677972655673756</c:v>
                </c:pt>
                <c:pt idx="66">
                  <c:v>2.7691625469761902</c:v>
                </c:pt>
                <c:pt idx="67">
                  <c:v>2.6143840620453318</c:v>
                </c:pt>
                <c:pt idx="68">
                  <c:v>2.4116534992276968</c:v>
                </c:pt>
                <c:pt idx="69">
                  <c:v>2.4582402957056644</c:v>
                </c:pt>
                <c:pt idx="70">
                  <c:v>-3.7077948976522208</c:v>
                </c:pt>
                <c:pt idx="71">
                  <c:v>2.4116534992276968</c:v>
                </c:pt>
                <c:pt idx="72">
                  <c:v>2.2555097328880436</c:v>
                </c:pt>
                <c:pt idx="73">
                  <c:v>2.1582402957056672</c:v>
                </c:pt>
                <c:pt idx="74">
                  <c:v>1.9116534992276968</c:v>
                </c:pt>
                <c:pt idx="75">
                  <c:v>1.710288217818885</c:v>
                </c:pt>
                <c:pt idx="76">
                  <c:v>1.6102882178188764</c:v>
                </c:pt>
                <c:pt idx="77">
                  <c:v>1.9555097328880322</c:v>
                </c:pt>
                <c:pt idx="78">
                  <c:v>1.4048270921836234</c:v>
                </c:pt>
                <c:pt idx="79">
                  <c:v>5.3976662279830379</c:v>
                </c:pt>
                <c:pt idx="80">
                  <c:v>7.9101209892406246</c:v>
                </c:pt>
                <c:pt idx="81">
                  <c:v>7.7101209892406217</c:v>
                </c:pt>
                <c:pt idx="82">
                  <c:v>7.5087557078318099</c:v>
                </c:pt>
                <c:pt idx="83">
                  <c:v>7.4580730671274154</c:v>
                </c:pt>
                <c:pt idx="84">
                  <c:v>7.3567077857185978</c:v>
                </c:pt>
                <c:pt idx="85">
                  <c:v>6.9567077857185922</c:v>
                </c:pt>
                <c:pt idx="86">
                  <c:v>6.9567077857185922</c:v>
                </c:pt>
                <c:pt idx="87">
                  <c:v>6.8567077857185978</c:v>
                </c:pt>
                <c:pt idx="88">
                  <c:v>6.7060251450141806</c:v>
                </c:pt>
                <c:pt idx="89">
                  <c:v>11.804659863605366</c:v>
                </c:pt>
                <c:pt idx="90">
                  <c:v>8.9032945821965512</c:v>
                </c:pt>
                <c:pt idx="91">
                  <c:v>5.9019293007877422</c:v>
                </c:pt>
                <c:pt idx="92">
                  <c:v>6.0005640193789276</c:v>
                </c:pt>
                <c:pt idx="93">
                  <c:v>7.0567077857186007</c:v>
                </c:pt>
                <c:pt idx="94">
                  <c:v>6.8553425043097747</c:v>
                </c:pt>
                <c:pt idx="95">
                  <c:v>10.746983587278621</c:v>
                </c:pt>
                <c:pt idx="96">
                  <c:v>14.001929300787737</c:v>
                </c:pt>
                <c:pt idx="97">
                  <c:v>10.100564019378922</c:v>
                </c:pt>
                <c:pt idx="98">
                  <c:v>8.1991987379701072</c:v>
                </c:pt>
                <c:pt idx="99">
                  <c:v>10.149881378674522</c:v>
                </c:pt>
                <c:pt idx="100">
                  <c:v>3.7963009465742203</c:v>
                </c:pt>
                <c:pt idx="101">
                  <c:v>6.1964681751524751</c:v>
                </c:pt>
                <c:pt idx="102">
                  <c:v>5.9937376123348542</c:v>
                </c:pt>
                <c:pt idx="103">
                  <c:v>5.9430549716304455</c:v>
                </c:pt>
                <c:pt idx="104">
                  <c:v>5.5416896902216166</c:v>
                </c:pt>
                <c:pt idx="105">
                  <c:v>1.5456183058698088</c:v>
                </c:pt>
                <c:pt idx="106">
                  <c:v>5.5389591274039844</c:v>
                </c:pt>
                <c:pt idx="107">
                  <c:v>5.2362285645863551</c:v>
                </c:pt>
                <c:pt idx="108">
                  <c:v>0.77052782838499922</c:v>
                </c:pt>
                <c:pt idx="109">
                  <c:v>0.5691625469761874</c:v>
                </c:pt>
                <c:pt idx="110">
                  <c:v>0.36779726556737558</c:v>
                </c:pt>
                <c:pt idx="111">
                  <c:v>0.16643198415854954</c:v>
                </c:pt>
                <c:pt idx="112">
                  <c:v>-5.8571122569478291</c:v>
                </c:pt>
                <c:pt idx="113">
                  <c:v>6.9116534992276968</c:v>
                </c:pt>
                <c:pt idx="114">
                  <c:v>2.3555097328880379</c:v>
                </c:pt>
                <c:pt idx="115">
                  <c:v>-3.9077948976522237</c:v>
                </c:pt>
                <c:pt idx="116">
                  <c:v>-0.80336459626926171</c:v>
                </c:pt>
                <c:pt idx="117">
                  <c:v>-1.2088257219045175</c:v>
                </c:pt>
                <c:pt idx="118">
                  <c:v>-1.6033645962692589</c:v>
                </c:pt>
                <c:pt idx="119">
                  <c:v>-2.2033645962692674</c:v>
                </c:pt>
                <c:pt idx="120">
                  <c:v>-2.5979034706340087</c:v>
                </c:pt>
                <c:pt idx="121">
                  <c:v>0.31165349922770247</c:v>
                </c:pt>
                <c:pt idx="122">
                  <c:v>5.9605577114481889E-2</c:v>
                </c:pt>
                <c:pt idx="123">
                  <c:v>6.1582402957056672</c:v>
                </c:pt>
                <c:pt idx="124">
                  <c:v>-3.9077948976522237</c:v>
                </c:pt>
                <c:pt idx="125">
                  <c:v>-0.69517290781637087</c:v>
                </c:pt>
                <c:pt idx="126">
                  <c:v>-0.99653818922519122</c:v>
                </c:pt>
                <c:pt idx="127">
                  <c:v>-1.2485861113384118</c:v>
                </c:pt>
                <c:pt idx="128">
                  <c:v>-1.5513166741560411</c:v>
                </c:pt>
                <c:pt idx="129">
                  <c:v>-1.901999314860447</c:v>
                </c:pt>
                <c:pt idx="130">
                  <c:v>-2.1540472369736676</c:v>
                </c:pt>
                <c:pt idx="131">
                  <c:v>-2.5060951590868967</c:v>
                </c:pt>
                <c:pt idx="132">
                  <c:v>-2.8581430812001116</c:v>
                </c:pt>
                <c:pt idx="133">
                  <c:v>4.2159165720323983</c:v>
                </c:pt>
                <c:pt idx="134">
                  <c:v>-4.7639386639918939</c:v>
                </c:pt>
                <c:pt idx="135">
                  <c:v>3.8693297755544478</c:v>
                </c:pt>
                <c:pt idx="136">
                  <c:v>5.8433894287869634</c:v>
                </c:pt>
                <c:pt idx="137">
                  <c:v>6.3502158358310368</c:v>
                </c:pt>
                <c:pt idx="138">
                  <c:v>3.5474852730134074</c:v>
                </c:pt>
                <c:pt idx="139">
                  <c:v>3.4488505544222221</c:v>
                </c:pt>
                <c:pt idx="140">
                  <c:v>3.3474852730134046</c:v>
                </c:pt>
                <c:pt idx="141">
                  <c:v>3.2858803810384813</c:v>
                </c:pt>
                <c:pt idx="142">
                  <c:v>2.9297366146988111</c:v>
                </c:pt>
                <c:pt idx="143">
                  <c:v>2.7831498182208492</c:v>
                </c:pt>
                <c:pt idx="144">
                  <c:v>2.5790539739944052</c:v>
                </c:pt>
                <c:pt idx="145">
                  <c:v>2.5229102076547463</c:v>
                </c:pt>
                <c:pt idx="146">
                  <c:v>2.6283713332900049</c:v>
                </c:pt>
                <c:pt idx="147">
                  <c:v>2.5831498182208463</c:v>
                </c:pt>
                <c:pt idx="148">
                  <c:v>15.149881378674522</c:v>
                </c:pt>
                <c:pt idx="149">
                  <c:v>13.199198737970107</c:v>
                </c:pt>
                <c:pt idx="150">
                  <c:v>9.248516097265707</c:v>
                </c:pt>
                <c:pt idx="151">
                  <c:v>5.7963009465742203</c:v>
                </c:pt>
                <c:pt idx="152">
                  <c:v>6.3964681751524779</c:v>
                </c:pt>
                <c:pt idx="153">
                  <c:v>6.3937376123348457</c:v>
                </c:pt>
                <c:pt idx="154">
                  <c:v>6.1923723309260339</c:v>
                </c:pt>
                <c:pt idx="155">
                  <c:v>6.1430549716304483</c:v>
                </c:pt>
                <c:pt idx="156">
                  <c:v>5.9937376123348542</c:v>
                </c:pt>
                <c:pt idx="157">
                  <c:v>5.6910070495172249</c:v>
                </c:pt>
                <c:pt idx="158">
                  <c:v>5.6896417681084017</c:v>
                </c:pt>
                <c:pt idx="159">
                  <c:v>5.3869112052907724</c:v>
                </c:pt>
                <c:pt idx="160">
                  <c:v>5.2841806424731459</c:v>
                </c:pt>
                <c:pt idx="161">
                  <c:v>0.45107943150506458</c:v>
                </c:pt>
                <c:pt idx="162">
                  <c:v>0.54425302446098556</c:v>
                </c:pt>
                <c:pt idx="163">
                  <c:v>1.1309346675293739</c:v>
                </c:pt>
                <c:pt idx="164">
                  <c:v>-6.9105254604698558</c:v>
                </c:pt>
                <c:pt idx="165">
                  <c:v>1.1227429790764916</c:v>
                </c:pt>
                <c:pt idx="166">
                  <c:v>1.0734256197808918</c:v>
                </c:pt>
                <c:pt idx="167">
                  <c:v>1.0747909011897008</c:v>
                </c:pt>
                <c:pt idx="168">
                  <c:v>0.97615618259851544</c:v>
                </c:pt>
                <c:pt idx="169">
                  <c:v>0.92820410471173886</c:v>
                </c:pt>
                <c:pt idx="170">
                  <c:v>0.92820410471173886</c:v>
                </c:pt>
                <c:pt idx="171">
                  <c:v>0.87615618259852113</c:v>
                </c:pt>
                <c:pt idx="172">
                  <c:v>0.821377697667657</c:v>
                </c:pt>
                <c:pt idx="173">
                  <c:v>0.81728185344123006</c:v>
                </c:pt>
                <c:pt idx="174">
                  <c:v>-8.1625733825830764</c:v>
                </c:pt>
                <c:pt idx="175">
                  <c:v>0.71591657203239834</c:v>
                </c:pt>
                <c:pt idx="176">
                  <c:v>-8.3625733825830793</c:v>
                </c:pt>
                <c:pt idx="177">
                  <c:v>0.3679644941456246</c:v>
                </c:pt>
                <c:pt idx="178">
                  <c:v>-5.4702633853011804</c:v>
                </c:pt>
                <c:pt idx="179">
                  <c:v>-5.719580744596783</c:v>
                </c:pt>
                <c:pt idx="180">
                  <c:v>-5.9195807445967858</c:v>
                </c:pt>
                <c:pt idx="181">
                  <c:v>-6.1195807445967816</c:v>
                </c:pt>
                <c:pt idx="182">
                  <c:v>-6.3716286667099951</c:v>
                </c:pt>
                <c:pt idx="183">
                  <c:v>-6.4250418702320431</c:v>
                </c:pt>
                <c:pt idx="184">
                  <c:v>-6.2880120436157796</c:v>
                </c:pt>
                <c:pt idx="185">
                  <c:v>-6.5414252471378163</c:v>
                </c:pt>
                <c:pt idx="186">
                  <c:v>-6.7921078878422279</c:v>
                </c:pt>
                <c:pt idx="187">
                  <c:v>-7.0427905285466323</c:v>
                </c:pt>
                <c:pt idx="188">
                  <c:v>-7.4427905285466309</c:v>
                </c:pt>
                <c:pt idx="189">
                  <c:v>-7.7427905285466352</c:v>
                </c:pt>
                <c:pt idx="190">
                  <c:v>-8.0414252471378163</c:v>
                </c:pt>
                <c:pt idx="191">
                  <c:v>2.4543116800574865</c:v>
                </c:pt>
                <c:pt idx="192">
                  <c:v>2.302263757944246</c:v>
                </c:pt>
                <c:pt idx="193">
                  <c:v>2.0995331951266252</c:v>
                </c:pt>
                <c:pt idx="194">
                  <c:v>1.7981679137178048</c:v>
                </c:pt>
                <c:pt idx="195">
                  <c:v>1.5461199916045985</c:v>
                </c:pt>
                <c:pt idx="196">
                  <c:v>1.2433894287869691</c:v>
                </c:pt>
                <c:pt idx="197">
                  <c:v>0.94202414737814877</c:v>
                </c:pt>
                <c:pt idx="198">
                  <c:v>0.63929358456051943</c:v>
                </c:pt>
                <c:pt idx="199">
                  <c:v>0.28451509962965815</c:v>
                </c:pt>
                <c:pt idx="200">
                  <c:v>-7.1628666709997901E-2</c:v>
                </c:pt>
                <c:pt idx="201">
                  <c:v>-0.42777243304966817</c:v>
                </c:pt>
                <c:pt idx="202">
                  <c:v>-0.83459884009374719</c:v>
                </c:pt>
                <c:pt idx="203">
                  <c:v>-1.1907426064334103</c:v>
                </c:pt>
                <c:pt idx="204">
                  <c:v>-14.468034508218338</c:v>
                </c:pt>
                <c:pt idx="205">
                  <c:v>-0.21122182756563035</c:v>
                </c:pt>
                <c:pt idx="206">
                  <c:v>3.9910070495172221</c:v>
                </c:pt>
                <c:pt idx="207">
                  <c:v>-0.15438169413019409</c:v>
                </c:pt>
                <c:pt idx="208">
                  <c:v>3.7389591274039873</c:v>
                </c:pt>
                <c:pt idx="209">
                  <c:v>3.8389591274039958</c:v>
                </c:pt>
                <c:pt idx="210">
                  <c:v>3.4375938459951954</c:v>
                </c:pt>
                <c:pt idx="211">
                  <c:v>3.2855459238819549</c:v>
                </c:pt>
                <c:pt idx="212">
                  <c:v>3.2348632831775603</c:v>
                </c:pt>
                <c:pt idx="213">
                  <c:v>-1.4091601790610326</c:v>
                </c:pt>
                <c:pt idx="214">
                  <c:v>-1.8489205684949326</c:v>
                </c:pt>
                <c:pt idx="215">
                  <c:v>-2.006429616243409</c:v>
                </c:pt>
                <c:pt idx="216">
                  <c:v>2.7841806424731459</c:v>
                </c:pt>
                <c:pt idx="217">
                  <c:v>0.71881436342829375</c:v>
                </c:pt>
                <c:pt idx="218">
                  <c:v>0.70652683074896316</c:v>
                </c:pt>
                <c:pt idx="219">
                  <c:v>-14.050285849903752</c:v>
                </c:pt>
                <c:pt idx="220">
                  <c:v>0.62990384327707716</c:v>
                </c:pt>
                <c:pt idx="221">
                  <c:v>0.71352046637129973</c:v>
                </c:pt>
                <c:pt idx="222">
                  <c:v>0.98348427537737138</c:v>
                </c:pt>
                <c:pt idx="223">
                  <c:v>0.96027449142751209</c:v>
                </c:pt>
                <c:pt idx="224">
                  <c:v>0.80413072508785177</c:v>
                </c:pt>
                <c:pt idx="225">
                  <c:v>1.4165854863454399</c:v>
                </c:pt>
                <c:pt idx="226">
                  <c:v>2.0153874335148885</c:v>
                </c:pt>
                <c:pt idx="227">
                  <c:v>2.6566803329358493</c:v>
                </c:pt>
                <c:pt idx="228">
                  <c:v>2.9786920640551457</c:v>
                </c:pt>
                <c:pt idx="229">
                  <c:v>2.8745962198286961</c:v>
                </c:pt>
                <c:pt idx="230">
                  <c:v>2.5882490339168527</c:v>
                </c:pt>
                <c:pt idx="231">
                  <c:v>2.1100935364578817</c:v>
                </c:pt>
                <c:pt idx="232">
                  <c:v>4.3034618107748059</c:v>
                </c:pt>
                <c:pt idx="233">
                  <c:v>4.302096529365997</c:v>
                </c:pt>
                <c:pt idx="234">
                  <c:v>4.2007312479571794</c:v>
                </c:pt>
                <c:pt idx="235">
                  <c:v>3.9980006851395444</c:v>
                </c:pt>
                <c:pt idx="236">
                  <c:v>3.7966354037307326</c:v>
                </c:pt>
                <c:pt idx="237">
                  <c:v>3.7445874816175149</c:v>
                </c:pt>
                <c:pt idx="238">
                  <c:v>3.5939048409131118</c:v>
                </c:pt>
                <c:pt idx="239">
                  <c:v>3.543222200208703</c:v>
                </c:pt>
                <c:pt idx="240">
                  <c:v>3.3418569187998912</c:v>
                </c:pt>
                <c:pt idx="241">
                  <c:v>3.1404916373910794</c:v>
                </c:pt>
                <c:pt idx="242">
                  <c:v>-4.7598428197654528</c:v>
                </c:pt>
                <c:pt idx="243">
                  <c:v>2.6843478710514006</c:v>
                </c:pt>
                <c:pt idx="244">
                  <c:v>2.4816173082337798</c:v>
                </c:pt>
                <c:pt idx="245">
                  <c:v>2.229569386120545</c:v>
                </c:pt>
                <c:pt idx="246">
                  <c:v>6.4268388233029157</c:v>
                </c:pt>
                <c:pt idx="247">
                  <c:v>3.5075576550012499</c:v>
                </c:pt>
                <c:pt idx="248">
                  <c:v>-2.8077948976522293</c:v>
                </c:pt>
                <c:pt idx="249">
                  <c:v>3.1568750142968582</c:v>
                </c:pt>
                <c:pt idx="250">
                  <c:v>3.2034618107748116</c:v>
                </c:pt>
                <c:pt idx="251">
                  <c:v>3.0514138886615996</c:v>
                </c:pt>
                <c:pt idx="252">
                  <c:v>3.098000685139553</c:v>
                </c:pt>
                <c:pt idx="253">
                  <c:v>2.9459527630263409</c:v>
                </c:pt>
                <c:pt idx="254">
                  <c:v>2.7445874816175149</c:v>
                </c:pt>
                <c:pt idx="255">
                  <c:v>2.5418569187998941</c:v>
                </c:pt>
                <c:pt idx="256">
                  <c:v>-4.709160179061044</c:v>
                </c:pt>
                <c:pt idx="257">
                  <c:v>2.3445874816175234</c:v>
                </c:pt>
                <c:pt idx="258">
                  <c:v>2.0459527630263352</c:v>
                </c:pt>
                <c:pt idx="259">
                  <c:v>1.9445874816175177</c:v>
                </c:pt>
                <c:pt idx="260">
                  <c:v>-5.209160179061044</c:v>
                </c:pt>
                <c:pt idx="261">
                  <c:v>1.5404916373910709</c:v>
                </c:pt>
                <c:pt idx="262">
                  <c:v>-5.0811856365717034</c:v>
                </c:pt>
                <c:pt idx="263">
                  <c:v>-17.266669226809526</c:v>
                </c:pt>
                <c:pt idx="264">
                  <c:v>-5.6332335586849283</c:v>
                </c:pt>
                <c:pt idx="265">
                  <c:v>-5.9359641215025576</c:v>
                </c:pt>
                <c:pt idx="266">
                  <c:v>-6.3386946843201883</c:v>
                </c:pt>
                <c:pt idx="267">
                  <c:v>-6.7414252471378191</c:v>
                </c:pt>
                <c:pt idx="268">
                  <c:v>-7.2948384506598529</c:v>
                </c:pt>
                <c:pt idx="269">
                  <c:v>-7.8482516541818939</c:v>
                </c:pt>
                <c:pt idx="270">
                  <c:v>-21.720082430331558</c:v>
                </c:pt>
                <c:pt idx="271">
                  <c:v>-3.8509822169995189</c:v>
                </c:pt>
                <c:pt idx="272">
                  <c:v>-17.370765071035969</c:v>
                </c:pt>
                <c:pt idx="273">
                  <c:v>-4.2112218275656303</c:v>
                </c:pt>
                <c:pt idx="274">
                  <c:v>-4.3673655939052978</c:v>
                </c:pt>
                <c:pt idx="275">
                  <c:v>-19.170765071035973</c:v>
                </c:pt>
                <c:pt idx="276">
                  <c:v>-4.7289704858802253</c:v>
                </c:pt>
                <c:pt idx="277">
                  <c:v>-20.572130352444788</c:v>
                </c:pt>
                <c:pt idx="278">
                  <c:v>-5.2905753778551556</c:v>
                </c:pt>
                <c:pt idx="279">
                  <c:v>-5.6946712220815954</c:v>
                </c:pt>
                <c:pt idx="280">
                  <c:v>-6.0001323477168569</c:v>
                </c:pt>
                <c:pt idx="281">
                  <c:v>-6.35627611405652</c:v>
                </c:pt>
                <c:pt idx="282">
                  <c:v>1.1718931097938139</c:v>
                </c:pt>
                <c:pt idx="283">
                  <c:v>-4.2064296162434118</c:v>
                </c:pt>
                <c:pt idx="284">
                  <c:v>1.0691625469761874</c:v>
                </c:pt>
                <c:pt idx="285">
                  <c:v>1.0184799062717644</c:v>
                </c:pt>
                <c:pt idx="286">
                  <c:v>0.96779726556736989</c:v>
                </c:pt>
                <c:pt idx="287">
                  <c:v>0.91711462486296114</c:v>
                </c:pt>
                <c:pt idx="288">
                  <c:v>0.91711462486296114</c:v>
                </c:pt>
                <c:pt idx="289">
                  <c:v>0.91574934345413794</c:v>
                </c:pt>
                <c:pt idx="290">
                  <c:v>0.86370142134092021</c:v>
                </c:pt>
                <c:pt idx="291">
                  <c:v>0.81028821781887928</c:v>
                </c:pt>
                <c:pt idx="292">
                  <c:v>-5.507794897652218</c:v>
                </c:pt>
                <c:pt idx="293">
                  <c:v>0.6034618107748031</c:v>
                </c:pt>
                <c:pt idx="294">
                  <c:v>6.7007312479571794</c:v>
                </c:pt>
                <c:pt idx="295">
                  <c:v>-0.47043061387945784</c:v>
                </c:pt>
                <c:pt idx="296">
                  <c:v>-0.77316117669708717</c:v>
                </c:pt>
                <c:pt idx="297">
                  <c:v>-1.0252090988102935</c:v>
                </c:pt>
                <c:pt idx="298">
                  <c:v>-9.6612081011742674</c:v>
                </c:pt>
                <c:pt idx="299">
                  <c:v>-1.5293049430367489</c:v>
                </c:pt>
                <c:pt idx="300">
                  <c:v>-1.881352865149978</c:v>
                </c:pt>
                <c:pt idx="301">
                  <c:v>-2.1840834279676073</c:v>
                </c:pt>
                <c:pt idx="302">
                  <c:v>-11.414621304696297</c:v>
                </c:pt>
                <c:pt idx="303">
                  <c:v>-2.8456883199425249</c:v>
                </c:pt>
                <c:pt idx="304">
                  <c:v>-2.8480844256036306</c:v>
                </c:pt>
                <c:pt idx="305">
                  <c:v>-3.2467191441948202</c:v>
                </c:pt>
                <c:pt idx="306">
                  <c:v>-3.5001323477168569</c:v>
                </c:pt>
                <c:pt idx="307">
                  <c:v>-3.7014976291256687</c:v>
                </c:pt>
                <c:pt idx="308">
                  <c:v>-20.473495633853602</c:v>
                </c:pt>
                <c:pt idx="309">
                  <c:v>-4.4028629105344876</c:v>
                </c:pt>
                <c:pt idx="310">
                  <c:v>-4.559006676874148</c:v>
                </c:pt>
                <c:pt idx="311">
                  <c:v>-4.5178810060314447</c:v>
                </c:pt>
                <c:pt idx="312">
                  <c:v>-4.8671983653270416</c:v>
                </c:pt>
                <c:pt idx="313">
                  <c:v>-24.600968490608153</c:v>
                </c:pt>
                <c:pt idx="314">
                  <c:v>7.6073904264229952</c:v>
                </c:pt>
                <c:pt idx="315">
                  <c:v>7.5060251450141777</c:v>
                </c:pt>
                <c:pt idx="316">
                  <c:v>7.3553425043097747</c:v>
                </c:pt>
                <c:pt idx="317">
                  <c:v>7.2553425043097803</c:v>
                </c:pt>
                <c:pt idx="318">
                  <c:v>3.9469835872786234</c:v>
                </c:pt>
                <c:pt idx="319">
                  <c:v>6.952611941492151</c:v>
                </c:pt>
                <c:pt idx="320">
                  <c:v>13.051246660083336</c:v>
                </c:pt>
                <c:pt idx="321">
                  <c:v>11.051246660083336</c:v>
                </c:pt>
                <c:pt idx="322">
                  <c:v>11.100564019378922</c:v>
                </c:pt>
                <c:pt idx="323">
                  <c:v>7.1498813786745217</c:v>
                </c:pt>
                <c:pt idx="324">
                  <c:v>6.1991987379701072</c:v>
                </c:pt>
                <c:pt idx="325">
                  <c:v>5.9485160972657098</c:v>
                </c:pt>
                <c:pt idx="326">
                  <c:v>1.9534480843834388</c:v>
                </c:pt>
                <c:pt idx="327">
                  <c:v>-5.4561088854782653</c:v>
                </c:pt>
                <c:pt idx="328">
                  <c:v>-2.9479171970253759</c:v>
                </c:pt>
                <c:pt idx="329">
                  <c:v>-5.9506477598430081</c:v>
                </c:pt>
                <c:pt idx="330">
                  <c:v>-6.4026956819562244</c:v>
                </c:pt>
                <c:pt idx="331">
                  <c:v>-6.6574741668870772</c:v>
                </c:pt>
                <c:pt idx="332">
                  <c:v>-7.1453538627860027</c:v>
                </c:pt>
                <c:pt idx="333">
                  <c:v>-7.3480844256036306</c:v>
                </c:pt>
                <c:pt idx="334">
                  <c:v>-7.6987670663080436</c:v>
                </c:pt>
                <c:pt idx="335">
                  <c:v>-7.9974017848992247</c:v>
                </c:pt>
                <c:pt idx="336">
                  <c:v>-8.446719144194816</c:v>
                </c:pt>
                <c:pt idx="337">
                  <c:v>-18.773495633853599</c:v>
                </c:pt>
                <c:pt idx="338">
                  <c:v>-8.5671983653270374</c:v>
                </c:pt>
                <c:pt idx="339">
                  <c:v>9.4951028937436632</c:v>
                </c:pt>
                <c:pt idx="340">
                  <c:v>7.544420253039263</c:v>
                </c:pt>
                <c:pt idx="341">
                  <c:v>6.4444202530392687</c:v>
                </c:pt>
                <c:pt idx="342">
                  <c:v>6.4430549716304455</c:v>
                </c:pt>
                <c:pt idx="343">
                  <c:v>5.8910070495172135</c:v>
                </c:pt>
                <c:pt idx="344">
                  <c:v>6.1896417681084017</c:v>
                </c:pt>
                <c:pt idx="345">
                  <c:v>6.3416896902216138</c:v>
                </c:pt>
                <c:pt idx="346">
                  <c:v>1.7456183058698116</c:v>
                </c:pt>
                <c:pt idx="347">
                  <c:v>5.7896417681084102</c:v>
                </c:pt>
                <c:pt idx="348">
                  <c:v>2.4430549716304455</c:v>
                </c:pt>
                <c:pt idx="349">
                  <c:v>2.3416896902216138</c:v>
                </c:pt>
                <c:pt idx="350">
                  <c:v>2.1910070495172249</c:v>
                </c:pt>
                <c:pt idx="351">
                  <c:v>2.0896417681084074</c:v>
                </c:pt>
                <c:pt idx="352">
                  <c:v>1.9389591274039901</c:v>
                </c:pt>
                <c:pt idx="353">
                  <c:v>1.8882764866995956</c:v>
                </c:pt>
                <c:pt idx="354">
                  <c:v>1.6855459238819606</c:v>
                </c:pt>
                <c:pt idx="355">
                  <c:v>1.5362285645863665</c:v>
                </c:pt>
                <c:pt idx="356">
                  <c:v>1.4348632831775632</c:v>
                </c:pt>
                <c:pt idx="357">
                  <c:v>1.1841806424731516</c:v>
                </c:pt>
                <c:pt idx="358">
                  <c:v>-3.5557469755390088</c:v>
                </c:pt>
                <c:pt idx="359">
                  <c:v>-3.8571122569478291</c:v>
                </c:pt>
                <c:pt idx="360">
                  <c:v>-4.1091601790610355</c:v>
                </c:pt>
                <c:pt idx="361">
                  <c:v>-4.8557469755390059</c:v>
                </c:pt>
                <c:pt idx="362">
                  <c:v>-0.2267416087973686</c:v>
                </c:pt>
                <c:pt idx="363">
                  <c:v>4.1034618107748031</c:v>
                </c:pt>
                <c:pt idx="364">
                  <c:v>3.9527791700704142</c:v>
                </c:pt>
                <c:pt idx="365">
                  <c:v>3.7541444514792204</c:v>
                </c:pt>
                <c:pt idx="366">
                  <c:v>3.7034618107748116</c:v>
                </c:pt>
                <c:pt idx="367">
                  <c:v>-3.2584775383566438</c:v>
                </c:pt>
                <c:pt idx="368">
                  <c:v>-3.2584775383566438</c:v>
                </c:pt>
                <c:pt idx="369">
                  <c:v>3.1020965293659941</c:v>
                </c:pt>
                <c:pt idx="370">
                  <c:v>3.0034618107748088</c:v>
                </c:pt>
                <c:pt idx="371">
                  <c:v>2.7514138886615882</c:v>
                </c:pt>
                <c:pt idx="372">
                  <c:v>2.6034618107748031</c:v>
                </c:pt>
                <c:pt idx="373">
                  <c:v>2.5007312479571766</c:v>
                </c:pt>
                <c:pt idx="374">
                  <c:v>-4.4584775383566324</c:v>
                </c:pt>
                <c:pt idx="375">
                  <c:v>2.2404916373910737</c:v>
                </c:pt>
                <c:pt idx="376">
                  <c:v>2.0391263559822619</c:v>
                </c:pt>
                <c:pt idx="377">
                  <c:v>2.0377610745734529</c:v>
                </c:pt>
                <c:pt idx="378">
                  <c:v>-13.263938663991894</c:v>
                </c:pt>
                <c:pt idx="379">
                  <c:v>-3.2072932119174524</c:v>
                </c:pt>
                <c:pt idx="380">
                  <c:v>-3.4100237747350803</c:v>
                </c:pt>
                <c:pt idx="381">
                  <c:v>-3.5127543375527068</c:v>
                </c:pt>
                <c:pt idx="382">
                  <c:v>-3.6661675410747421</c:v>
                </c:pt>
                <c:pt idx="383">
                  <c:v>-3.9195807445967858</c:v>
                </c:pt>
                <c:pt idx="384">
                  <c:v>-4.0223113074144123</c:v>
                </c:pt>
                <c:pt idx="385">
                  <c:v>1.1749581297679583</c:v>
                </c:pt>
                <c:pt idx="386">
                  <c:v>-1.6770897923452566</c:v>
                </c:pt>
                <c:pt idx="387">
                  <c:v>-4.4798203551628859</c:v>
                </c:pt>
                <c:pt idx="388">
                  <c:v>-4.5318682772761179</c:v>
                </c:pt>
                <c:pt idx="389">
                  <c:v>-4.6332335586849283</c:v>
                </c:pt>
                <c:pt idx="390">
                  <c:v>6.6362285645863608</c:v>
                </c:pt>
                <c:pt idx="391">
                  <c:v>6.5362285645863665</c:v>
                </c:pt>
                <c:pt idx="392">
                  <c:v>6.3855459238819634</c:v>
                </c:pt>
                <c:pt idx="393">
                  <c:v>6.2348632831775603</c:v>
                </c:pt>
                <c:pt idx="394">
                  <c:v>1.290839820938956</c:v>
                </c:pt>
                <c:pt idx="395">
                  <c:v>6.3362285645863636</c:v>
                </c:pt>
                <c:pt idx="396">
                  <c:v>6.1841806424731516</c:v>
                </c:pt>
                <c:pt idx="397">
                  <c:v>5.8882764866995956</c:v>
                </c:pt>
                <c:pt idx="398">
                  <c:v>1.1908398209389617</c:v>
                </c:pt>
                <c:pt idx="399">
                  <c:v>5.7855459238819549</c:v>
                </c:pt>
                <c:pt idx="400">
                  <c:v>0.69357038375659386</c:v>
                </c:pt>
                <c:pt idx="401">
                  <c:v>0.45107943150506458</c:v>
                </c:pt>
                <c:pt idx="402">
                  <c:v>5.5841806424731431</c:v>
                </c:pt>
                <c:pt idx="403">
                  <c:v>-4.8920568494935424E-2</c:v>
                </c:pt>
                <c:pt idx="404">
                  <c:v>4.8348632831775546</c:v>
                </c:pt>
                <c:pt idx="405">
                  <c:v>4.9855459238819577</c:v>
                </c:pt>
                <c:pt idx="406">
                  <c:v>4.8855459238819634</c:v>
                </c:pt>
                <c:pt idx="407">
                  <c:v>0.19220510234777066</c:v>
                </c:pt>
                <c:pt idx="408">
                  <c:v>9.2205102347776347E-2</c:v>
                </c:pt>
                <c:pt idx="409">
                  <c:v>-0.209160179061044</c:v>
                </c:pt>
                <c:pt idx="410">
                  <c:v>-0.36120810117427027</c:v>
                </c:pt>
                <c:pt idx="411">
                  <c:v>4.1225757504982141</c:v>
                </c:pt>
                <c:pt idx="412">
                  <c:v>3.8239410319070259</c:v>
                </c:pt>
                <c:pt idx="413">
                  <c:v>8.0155821148758832</c:v>
                </c:pt>
                <c:pt idx="414">
                  <c:v>6.064899474171483</c:v>
                </c:pt>
                <c:pt idx="415">
                  <c:v>5.1635341927626683</c:v>
                </c:pt>
                <c:pt idx="416">
                  <c:v>4.9128515520582567</c:v>
                </c:pt>
                <c:pt idx="417">
                  <c:v>4.8114862706494392</c:v>
                </c:pt>
                <c:pt idx="418">
                  <c:v>1.9976662279830322</c:v>
                </c:pt>
                <c:pt idx="419">
                  <c:v>4.5594383485362187</c:v>
                </c:pt>
                <c:pt idx="420">
                  <c:v>4.4087557078318156</c:v>
                </c:pt>
                <c:pt idx="421">
                  <c:v>4.3580730671274068</c:v>
                </c:pt>
                <c:pt idx="422">
                  <c:v>4.3073904264229981</c:v>
                </c:pt>
                <c:pt idx="423">
                  <c:v>4.2073904264229895</c:v>
                </c:pt>
                <c:pt idx="424">
                  <c:v>4.156707785718595</c:v>
                </c:pt>
                <c:pt idx="425">
                  <c:v>4.155342504309786</c:v>
                </c:pt>
                <c:pt idx="426">
                  <c:v>4.0046598636053687</c:v>
                </c:pt>
                <c:pt idx="427">
                  <c:v>0.84698358727861489</c:v>
                </c:pt>
                <c:pt idx="428">
                  <c:v>-2.1702633853011832</c:v>
                </c:pt>
                <c:pt idx="429">
                  <c:v>-2.2729939481188097</c:v>
                </c:pt>
                <c:pt idx="430">
                  <c:v>-2.4277724330496682</c:v>
                </c:pt>
                <c:pt idx="431">
                  <c:v>-2.5811856365717034</c:v>
                </c:pt>
                <c:pt idx="432">
                  <c:v>-2.8345988400937472</c:v>
                </c:pt>
                <c:pt idx="433">
                  <c:v>5.1613053156798117</c:v>
                </c:pt>
                <c:pt idx="434">
                  <c:v>-1.3455210913642617</c:v>
                </c:pt>
                <c:pt idx="435">
                  <c:v>-3.2002995762951159</c:v>
                </c:pt>
                <c:pt idx="436">
                  <c:v>3.5966354037307298</c:v>
                </c:pt>
                <c:pt idx="437">
                  <c:v>3.5445874816175262</c:v>
                </c:pt>
                <c:pt idx="438">
                  <c:v>3.0829825896425831</c:v>
                </c:pt>
                <c:pt idx="439">
                  <c:v>-3.709160179061044</c:v>
                </c:pt>
                <c:pt idx="440">
                  <c:v>3.2884437152778503</c:v>
                </c:pt>
                <c:pt idx="441">
                  <c:v>3.7445874816175149</c:v>
                </c:pt>
                <c:pt idx="442">
                  <c:v>3.6418569187998884</c:v>
                </c:pt>
                <c:pt idx="443">
                  <c:v>3.3898089966866678</c:v>
                </c:pt>
                <c:pt idx="444">
                  <c:v>3.4802520268249566</c:v>
                </c:pt>
                <c:pt idx="445">
                  <c:v>-6.5173518675139235</c:v>
                </c:pt>
                <c:pt idx="446">
                  <c:v>2.2556769614662926</c:v>
                </c:pt>
                <c:pt idx="447">
                  <c:v>-3.5132560232874823</c:v>
                </c:pt>
                <c:pt idx="448">
                  <c:v>3.1227429790764916</c:v>
                </c:pt>
                <c:pt idx="449">
                  <c:v>2.873425619780889</c:v>
                </c:pt>
                <c:pt idx="450">
                  <c:v>3.0816173082337741</c:v>
                </c:pt>
                <c:pt idx="451">
                  <c:v>4.3691625469761846</c:v>
                </c:pt>
                <c:pt idx="452">
                  <c:v>4.3691625469761846</c:v>
                </c:pt>
                <c:pt idx="453">
                  <c:v>4.1650667027497406</c:v>
                </c:pt>
                <c:pt idx="454">
                  <c:v>4.1623361399321084</c:v>
                </c:pt>
                <c:pt idx="455">
                  <c:v>4.0102882178188821</c:v>
                </c:pt>
                <c:pt idx="456">
                  <c:v>4.2582402957056615</c:v>
                </c:pt>
                <c:pt idx="457">
                  <c:v>3.8568750142968469</c:v>
                </c:pt>
                <c:pt idx="458">
                  <c:v>-2.2077948976522208</c:v>
                </c:pt>
                <c:pt idx="459">
                  <c:v>3.9034618107748145</c:v>
                </c:pt>
                <c:pt idx="460">
                  <c:v>4.0486833258439674</c:v>
                </c:pt>
                <c:pt idx="461">
                  <c:v>4.1007312479571851</c:v>
                </c:pt>
                <c:pt idx="462">
                  <c:v>4.2486833258439702</c:v>
                </c:pt>
                <c:pt idx="463">
                  <c:v>3.7445874816175149</c:v>
                </c:pt>
                <c:pt idx="464">
                  <c:v>3.5939048409131118</c:v>
                </c:pt>
                <c:pt idx="465">
                  <c:v>3.2404916373910737</c:v>
                </c:pt>
                <c:pt idx="466">
                  <c:v>4.6282041047117417</c:v>
                </c:pt>
                <c:pt idx="467">
                  <c:v>4.4761561825985154</c:v>
                </c:pt>
                <c:pt idx="468">
                  <c:v>4.3282041047117445</c:v>
                </c:pt>
                <c:pt idx="469">
                  <c:v>4.1172818534412272</c:v>
                </c:pt>
                <c:pt idx="470">
                  <c:v>3.821377697667657</c:v>
                </c:pt>
                <c:pt idx="471">
                  <c:v>-5.0639386639918911</c:v>
                </c:pt>
                <c:pt idx="472">
                  <c:v>3.669329775554445</c:v>
                </c:pt>
                <c:pt idx="473">
                  <c:v>-5.2639386639918939</c:v>
                </c:pt>
                <c:pt idx="474">
                  <c:v>7.8077248835795103</c:v>
                </c:pt>
                <c:pt idx="475">
                  <c:v>3.9063596021706957</c:v>
                </c:pt>
                <c:pt idx="476">
                  <c:v>3.004994320761881</c:v>
                </c:pt>
                <c:pt idx="477">
                  <c:v>-6.2680345082183351</c:v>
                </c:pt>
                <c:pt idx="478">
                  <c:v>-3.414621304696297</c:v>
                </c:pt>
                <c:pt idx="479">
                  <c:v>2.1022637579442573</c:v>
                </c:pt>
                <c:pt idx="480">
                  <c:v>2.1529463986486661</c:v>
                </c:pt>
                <c:pt idx="481">
                  <c:v>-18.120082430331557</c:v>
                </c:pt>
                <c:pt idx="482">
                  <c:v>-0.5934731692510411</c:v>
                </c:pt>
                <c:pt idx="483">
                  <c:v>-0.80166485770392626</c:v>
                </c:pt>
                <c:pt idx="484">
                  <c:v>-0.86053918686122444</c:v>
                </c:pt>
                <c:pt idx="485">
                  <c:v>5.2819517653902892</c:v>
                </c:pt>
                <c:pt idx="486">
                  <c:v>0.62717328045944498</c:v>
                </c:pt>
                <c:pt idx="487">
                  <c:v>-1.3276052044714106</c:v>
                </c:pt>
                <c:pt idx="488">
                  <c:v>-16.521447711740372</c:v>
                </c:pt>
                <c:pt idx="489">
                  <c:v>-1.631701048697856</c:v>
                </c:pt>
                <c:pt idx="490">
                  <c:v>-1.8823836894022605</c:v>
                </c:pt>
                <c:pt idx="491">
                  <c:v>-2.1823836894022577</c:v>
                </c:pt>
                <c:pt idx="492">
                  <c:v>5.7184799062717673</c:v>
                </c:pt>
                <c:pt idx="493">
                  <c:v>5.5650667027497462</c:v>
                </c:pt>
                <c:pt idx="494">
                  <c:v>5.359605577114479</c:v>
                </c:pt>
                <c:pt idx="495">
                  <c:v>5.3075576550012471</c:v>
                </c:pt>
                <c:pt idx="496">
                  <c:v>4.7582402957056615</c:v>
                </c:pt>
                <c:pt idx="497">
                  <c:v>4.9952701223219265</c:v>
                </c:pt>
                <c:pt idx="498">
                  <c:v>4.8377610745734501</c:v>
                </c:pt>
                <c:pt idx="499">
                  <c:v>4.7227429790764859</c:v>
                </c:pt>
                <c:pt idx="500">
                  <c:v>4.6734256197808861</c:v>
                </c:pt>
                <c:pt idx="501">
                  <c:v>4.522742979076483</c:v>
                </c:pt>
                <c:pt idx="502">
                  <c:v>4.3186471348500248</c:v>
                </c:pt>
                <c:pt idx="503">
                  <c:v>-1.8579758526218484</c:v>
                </c:pt>
                <c:pt idx="504">
                  <c:v>-2.2100237747350775</c:v>
                </c:pt>
                <c:pt idx="505">
                  <c:v>-2.4127543375527125</c:v>
                </c:pt>
                <c:pt idx="506">
                  <c:v>-2.7182154631879669</c:v>
                </c:pt>
                <c:pt idx="507">
                  <c:v>-2.9264071516408592</c:v>
                </c:pt>
                <c:pt idx="508">
                  <c:v>3.9147185192018412</c:v>
                </c:pt>
                <c:pt idx="509">
                  <c:v>-3.5455210913642645</c:v>
                </c:pt>
                <c:pt idx="510">
                  <c:v>-17.174860915262414</c:v>
                </c:pt>
                <c:pt idx="511">
                  <c:v>-6.9612081011742646</c:v>
                </c:pt>
                <c:pt idx="512">
                  <c:v>1.4706950569632511</c:v>
                </c:pt>
                <c:pt idx="513">
                  <c:v>1.4186471348500334</c:v>
                </c:pt>
                <c:pt idx="514">
                  <c:v>1.3172818534412301</c:v>
                </c:pt>
                <c:pt idx="515">
                  <c:v>-8.3996032091993413</c:v>
                </c:pt>
                <c:pt idx="516">
                  <c:v>-7.5639386639918911</c:v>
                </c:pt>
                <c:pt idx="517">
                  <c:v>-7.6159865861051088</c:v>
                </c:pt>
                <c:pt idx="518">
                  <c:v>-7.5680345082183464</c:v>
                </c:pt>
                <c:pt idx="519">
                  <c:v>1.3077248835795103</c:v>
                </c:pt>
                <c:pt idx="520">
                  <c:v>1.2556769614662926</c:v>
                </c:pt>
                <c:pt idx="521">
                  <c:v>1.2529463986486604</c:v>
                </c:pt>
                <c:pt idx="522">
                  <c:v>-8.5132560232874823</c:v>
                </c:pt>
                <c:pt idx="523">
                  <c:v>-8.6132560232874766</c:v>
                </c:pt>
                <c:pt idx="524">
                  <c:v>1.1008984765354342</c:v>
                </c:pt>
                <c:pt idx="525">
                  <c:v>1.0008984765354398</c:v>
                </c:pt>
                <c:pt idx="526">
                  <c:v>8.4978334565612954</c:v>
                </c:pt>
                <c:pt idx="527">
                  <c:v>8.3964681751524779</c:v>
                </c:pt>
                <c:pt idx="528">
                  <c:v>7.9951028937436632</c:v>
                </c:pt>
                <c:pt idx="529">
                  <c:v>8.1951028937436661</c:v>
                </c:pt>
                <c:pt idx="530">
                  <c:v>7.9430549716304455</c:v>
                </c:pt>
                <c:pt idx="531">
                  <c:v>7.8416896902216138</c:v>
                </c:pt>
                <c:pt idx="532">
                  <c:v>15.741689690221619</c:v>
                </c:pt>
                <c:pt idx="533">
                  <c:v>15.791007049517219</c:v>
                </c:pt>
                <c:pt idx="534">
                  <c:v>12.93895912740399</c:v>
                </c:pt>
                <c:pt idx="535">
                  <c:v>7.9882764866995899</c:v>
                </c:pt>
                <c:pt idx="536">
                  <c:v>9.0375938459951897</c:v>
                </c:pt>
                <c:pt idx="537">
                  <c:v>6.5841806424731431</c:v>
                </c:pt>
                <c:pt idx="538">
                  <c:v>2.1442530244609941</c:v>
                </c:pt>
                <c:pt idx="539">
                  <c:v>2.0428877430521766</c:v>
                </c:pt>
                <c:pt idx="540">
                  <c:v>1.8428877430521737</c:v>
                </c:pt>
                <c:pt idx="541">
                  <c:v>-0.41002377473508034</c:v>
                </c:pt>
                <c:pt idx="542">
                  <c:v>-0.42231130741441802</c:v>
                </c:pt>
                <c:pt idx="543">
                  <c:v>-0.48664676220696634</c:v>
                </c:pt>
                <c:pt idx="544">
                  <c:v>-0.54552109136426452</c:v>
                </c:pt>
                <c:pt idx="545">
                  <c:v>-0.79893429488630119</c:v>
                </c:pt>
                <c:pt idx="546">
                  <c:v>-14.369399789627153</c:v>
                </c:pt>
                <c:pt idx="547">
                  <c:v>-1.3016648577039263</c:v>
                </c:pt>
                <c:pt idx="548">
                  <c:v>-1.6468863727730749</c:v>
                </c:pt>
                <c:pt idx="549">
                  <c:v>-1.9948384506598558</c:v>
                </c:pt>
                <c:pt idx="550">
                  <c:v>-10.773495633853599</c:v>
                </c:pt>
                <c:pt idx="551">
                  <c:v>3.0664319841585552</c:v>
                </c:pt>
                <c:pt idx="552">
                  <c:v>3.2143840620453261</c:v>
                </c:pt>
                <c:pt idx="553">
                  <c:v>-2.7571122569478206</c:v>
                </c:pt>
                <c:pt idx="554">
                  <c:v>2.5650667027497462</c:v>
                </c:pt>
                <c:pt idx="555">
                  <c:v>2.7116534992276939</c:v>
                </c:pt>
                <c:pt idx="556">
                  <c:v>2.1609708585232994</c:v>
                </c:pt>
                <c:pt idx="557">
                  <c:v>2.6143840620453318</c:v>
                </c:pt>
                <c:pt idx="558">
                  <c:v>-2.6064296162434033</c:v>
                </c:pt>
                <c:pt idx="559">
                  <c:v>2.5157493434541465</c:v>
                </c:pt>
                <c:pt idx="560">
                  <c:v>2.6143840620453318</c:v>
                </c:pt>
                <c:pt idx="561">
                  <c:v>1.3102882178188793</c:v>
                </c:pt>
                <c:pt idx="562">
                  <c:v>1.6116534992276996</c:v>
                </c:pt>
                <c:pt idx="563">
                  <c:v>1.1048270921836263</c:v>
                </c:pt>
                <c:pt idx="564">
                  <c:v>1.3691625469761846</c:v>
                </c:pt>
                <c:pt idx="565">
                  <c:v>0.56370142134092305</c:v>
                </c:pt>
                <c:pt idx="566">
                  <c:v>14.804659863605366</c:v>
                </c:pt>
                <c:pt idx="567">
                  <c:v>11.903294582196551</c:v>
                </c:pt>
                <c:pt idx="568">
                  <c:v>11.903294582196551</c:v>
                </c:pt>
                <c:pt idx="569">
                  <c:v>11.051246660083336</c:v>
                </c:pt>
                <c:pt idx="570">
                  <c:v>7.1498813786745217</c:v>
                </c:pt>
                <c:pt idx="571">
                  <c:v>6.2978334565612926</c:v>
                </c:pt>
                <c:pt idx="572">
                  <c:v>2.696300946574226</c:v>
                </c:pt>
                <c:pt idx="573">
                  <c:v>6.2457855344480748</c:v>
                </c:pt>
                <c:pt idx="574">
                  <c:v>6.1444202530392573</c:v>
                </c:pt>
                <c:pt idx="575">
                  <c:v>5.7937376123348514</c:v>
                </c:pt>
                <c:pt idx="576">
                  <c:v>5.7430549716304427</c:v>
                </c:pt>
                <c:pt idx="577">
                  <c:v>1.3456183058698059</c:v>
                </c:pt>
                <c:pt idx="578">
                  <c:v>5.2896417681084102</c:v>
                </c:pt>
                <c:pt idx="579">
                  <c:v>5.2389591274039873</c:v>
                </c:pt>
                <c:pt idx="580">
                  <c:v>5.0869112052907752</c:v>
                </c:pt>
                <c:pt idx="581">
                  <c:v>-3.0209460260055963</c:v>
                </c:pt>
                <c:pt idx="582">
                  <c:v>-3.1716286667099993</c:v>
                </c:pt>
                <c:pt idx="583">
                  <c:v>-3.3236765888232256</c:v>
                </c:pt>
                <c:pt idx="584">
                  <c:v>-3.4277724330496682</c:v>
                </c:pt>
                <c:pt idx="585">
                  <c:v>4.5694970041326997</c:v>
                </c:pt>
                <c:pt idx="586">
                  <c:v>1.7667664413150703</c:v>
                </c:pt>
                <c:pt idx="587">
                  <c:v>-1.035964121502559</c:v>
                </c:pt>
                <c:pt idx="588">
                  <c:v>-16.317351867513928</c:v>
                </c:pt>
                <c:pt idx="589">
                  <c:v>-3.9948384506598558</c:v>
                </c:pt>
                <c:pt idx="590">
                  <c:v>-4.1002995762951144</c:v>
                </c:pt>
                <c:pt idx="591">
                  <c:v>-17.621447711740373</c:v>
                </c:pt>
                <c:pt idx="592">
                  <c:v>-17.824178274558001</c:v>
                </c:pt>
                <c:pt idx="593">
                  <c:v>-18.469399789627154</c:v>
                </c:pt>
                <c:pt idx="594">
                  <c:v>14.001929300787737</c:v>
                </c:pt>
                <c:pt idx="595">
                  <c:v>12.051246660083336</c:v>
                </c:pt>
                <c:pt idx="596">
                  <c:v>10.149881378674522</c:v>
                </c:pt>
                <c:pt idx="597">
                  <c:v>11.149881378674522</c:v>
                </c:pt>
                <c:pt idx="598">
                  <c:v>9.1498813786745217</c:v>
                </c:pt>
                <c:pt idx="599">
                  <c:v>6.248516097265707</c:v>
                </c:pt>
                <c:pt idx="600">
                  <c:v>6.0991987379701129</c:v>
                </c:pt>
                <c:pt idx="601">
                  <c:v>2.196300946574226</c:v>
                </c:pt>
                <c:pt idx="602">
                  <c:v>5.8991987379701101</c:v>
                </c:pt>
                <c:pt idx="603">
                  <c:v>5.6964681751524751</c:v>
                </c:pt>
                <c:pt idx="604">
                  <c:v>5.5964681751524807</c:v>
                </c:pt>
                <c:pt idx="605">
                  <c:v>5.4964681751524722</c:v>
                </c:pt>
                <c:pt idx="606">
                  <c:v>5.3964681751524779</c:v>
                </c:pt>
                <c:pt idx="607">
                  <c:v>5.1951028937436661</c:v>
                </c:pt>
                <c:pt idx="608">
                  <c:v>4.7444202530392658</c:v>
                </c:pt>
                <c:pt idx="609">
                  <c:v>3.3241082604852892</c:v>
                </c:pt>
                <c:pt idx="610">
                  <c:v>3.1227429790764916</c:v>
                </c:pt>
                <c:pt idx="611">
                  <c:v>3.022742979076483</c:v>
                </c:pt>
                <c:pt idx="612">
                  <c:v>3.0200124162588509</c:v>
                </c:pt>
                <c:pt idx="613">
                  <c:v>9.0679644941456274</c:v>
                </c:pt>
                <c:pt idx="614">
                  <c:v>8.1665992127368128</c:v>
                </c:pt>
                <c:pt idx="615">
                  <c:v>2.3387918988257326</c:v>
                </c:pt>
                <c:pt idx="616">
                  <c:v>6.8706950569632568</c:v>
                </c:pt>
                <c:pt idx="617">
                  <c:v>-6.7146213046962941</c:v>
                </c:pt>
                <c:pt idx="618">
                  <c:v>-7.0173518675139235</c:v>
                </c:pt>
                <c:pt idx="619">
                  <c:v>-4.7523474984083336</c:v>
                </c:pt>
                <c:pt idx="620">
                  <c:v>-4.7921078878422279</c:v>
                </c:pt>
                <c:pt idx="621">
                  <c:v>-4.9948384506598558</c:v>
                </c:pt>
                <c:pt idx="622">
                  <c:v>-18.068034508218339</c:v>
                </c:pt>
                <c:pt idx="623">
                  <c:v>-5.4468863727730792</c:v>
                </c:pt>
                <c:pt idx="624">
                  <c:v>-5.6509822169995232</c:v>
                </c:pt>
                <c:pt idx="625">
                  <c:v>-19.170765071035973</c:v>
                </c:pt>
                <c:pt idx="626">
                  <c:v>-19.422812993149186</c:v>
                </c:pt>
                <c:pt idx="627">
                  <c:v>-5.2907426064334118</c:v>
                </c:pt>
                <c:pt idx="628">
                  <c:v>-5.7386946843201869</c:v>
                </c:pt>
                <c:pt idx="629">
                  <c:v>-5.9427905285466309</c:v>
                </c:pt>
                <c:pt idx="630">
                  <c:v>-6.2455210913642603</c:v>
                </c:pt>
                <c:pt idx="631">
                  <c:v>-6.7441558099554442</c:v>
                </c:pt>
                <c:pt idx="632">
                  <c:v>-7.0948384506598572</c:v>
                </c:pt>
                <c:pt idx="633">
                  <c:v>-0.89637096064693367</c:v>
                </c:pt>
                <c:pt idx="634">
                  <c:v>-0.94705360135132821</c:v>
                </c:pt>
                <c:pt idx="635">
                  <c:v>-10.713256023287485</c:v>
                </c:pt>
                <c:pt idx="636">
                  <c:v>-0.70456264909982735</c:v>
                </c:pt>
                <c:pt idx="637">
                  <c:v>-0.79910152346455732</c:v>
                </c:pt>
                <c:pt idx="638">
                  <c:v>-0.74705360135133958</c:v>
                </c:pt>
                <c:pt idx="639">
                  <c:v>-0.54705360135133674</c:v>
                </c:pt>
                <c:pt idx="640">
                  <c:v>-0.45661057121303372</c:v>
                </c:pt>
                <c:pt idx="641">
                  <c:v>-11.214621304696294</c:v>
                </c:pt>
                <c:pt idx="642">
                  <c:v>-0.86070641543948057</c:v>
                </c:pt>
                <c:pt idx="643">
                  <c:v>-0.81002377473508602</c:v>
                </c:pt>
                <c:pt idx="644">
                  <c:v>-0.61002377473508318</c:v>
                </c:pt>
                <c:pt idx="645">
                  <c:v>-0.26480225966592741</c:v>
                </c:pt>
                <c:pt idx="646">
                  <c:v>-1.6850181779147988E-2</c:v>
                </c:pt>
                <c:pt idx="647">
                  <c:v>-2.4154849003703376</c:v>
                </c:pt>
                <c:pt idx="648">
                  <c:v>-2.4209460260055948</c:v>
                </c:pt>
                <c:pt idx="649">
                  <c:v>4.2500486072527792</c:v>
                </c:pt>
                <c:pt idx="650">
                  <c:v>-2.5584775383566409</c:v>
                </c:pt>
                <c:pt idx="651">
                  <c:v>3.9486833258439589</c:v>
                </c:pt>
                <c:pt idx="652">
                  <c:v>3.8473180444351556</c:v>
                </c:pt>
                <c:pt idx="653">
                  <c:v>3.6952701223219151</c:v>
                </c:pt>
                <c:pt idx="654">
                  <c:v>3.5445874816175262</c:v>
                </c:pt>
                <c:pt idx="655">
                  <c:v>3.4432222002087087</c:v>
                </c:pt>
                <c:pt idx="656">
                  <c:v>-3.8091601790610383</c:v>
                </c:pt>
                <c:pt idx="657">
                  <c:v>3.1418569187998884</c:v>
                </c:pt>
                <c:pt idx="658">
                  <c:v>2.9404916373910766</c:v>
                </c:pt>
                <c:pt idx="659">
                  <c:v>2.7391263559822647</c:v>
                </c:pt>
                <c:pt idx="660">
                  <c:v>2.4884437152778531</c:v>
                </c:pt>
                <c:pt idx="661">
                  <c:v>2.3363957931646269</c:v>
                </c:pt>
                <c:pt idx="662">
                  <c:v>2.135030511755815</c:v>
                </c:pt>
                <c:pt idx="663">
                  <c:v>1.9829825896425888</c:v>
                </c:pt>
                <c:pt idx="664">
                  <c:v>-0.52384381740148456</c:v>
                </c:pt>
                <c:pt idx="665">
                  <c:v>-0.77589173951471935</c:v>
                </c:pt>
                <c:pt idx="666">
                  <c:v>-9.3612081011742703</c:v>
                </c:pt>
                <c:pt idx="667">
                  <c:v>-1.2799875837411463</c:v>
                </c:pt>
                <c:pt idx="668">
                  <c:v>-1.5320355058543669</c:v>
                </c:pt>
                <c:pt idx="669">
                  <c:v>-11.499603209199336</c:v>
                </c:pt>
                <c:pt idx="670">
                  <c:v>-10.963938663991897</c:v>
                </c:pt>
                <c:pt idx="671">
                  <c:v>-11.115986586105109</c:v>
                </c:pt>
                <c:pt idx="672">
                  <c:v>-11.417351867513929</c:v>
                </c:pt>
                <c:pt idx="673">
                  <c:v>-2.792275116420484</c:v>
                </c:pt>
                <c:pt idx="674">
                  <c:v>-3.0443230385337046</c:v>
                </c:pt>
                <c:pt idx="675">
                  <c:v>0.12956938612055069</c:v>
                </c:pt>
                <c:pt idx="676">
                  <c:v>2.8204104711747391E-2</c:v>
                </c:pt>
                <c:pt idx="677">
                  <c:v>-7.3161176697084329E-2</c:v>
                </c:pt>
                <c:pt idx="678">
                  <c:v>-0.17452645810588763</c:v>
                </c:pt>
                <c:pt idx="679">
                  <c:v>-0.27589173951471935</c:v>
                </c:pt>
                <c:pt idx="680">
                  <c:v>-0.37725702092350843</c:v>
                </c:pt>
                <c:pt idx="681">
                  <c:v>-0.57725702092351128</c:v>
                </c:pt>
                <c:pt idx="682">
                  <c:v>-9.1612081011742674</c:v>
                </c:pt>
                <c:pt idx="683">
                  <c:v>-0.87862230233234584</c:v>
                </c:pt>
                <c:pt idx="684">
                  <c:v>-9.4612081011742646</c:v>
                </c:pt>
                <c:pt idx="685">
                  <c:v>-1.7936403978293072</c:v>
                </c:pt>
                <c:pt idx="686">
                  <c:v>-1.3772570209235084</c:v>
                </c:pt>
                <c:pt idx="687">
                  <c:v>-1.5772570209235113</c:v>
                </c:pt>
                <c:pt idx="688">
                  <c:v>-1.8265743802191139</c:v>
                </c:pt>
                <c:pt idx="689">
                  <c:v>-2.0265743802191167</c:v>
                </c:pt>
                <c:pt idx="690">
                  <c:v>0.11591657203240402</c:v>
                </c:pt>
                <c:pt idx="691">
                  <c:v>-7.2598428197654528</c:v>
                </c:pt>
                <c:pt idx="692">
                  <c:v>5.6514138886615939</c:v>
                </c:pt>
                <c:pt idx="693">
                  <c:v>6.5034618107748088</c:v>
                </c:pt>
                <c:pt idx="694">
                  <c:v>5.5527791700704086</c:v>
                </c:pt>
                <c:pt idx="695">
                  <c:v>3.7007312479571794</c:v>
                </c:pt>
                <c:pt idx="696">
                  <c:v>-6.2238925426555625E-2</c:v>
                </c:pt>
                <c:pt idx="697">
                  <c:v>-0.50319736769100132</c:v>
                </c:pt>
                <c:pt idx="698">
                  <c:v>-0.6182154631879655</c:v>
                </c:pt>
                <c:pt idx="699">
                  <c:v>-9.3680345082183436</c:v>
                </c:pt>
                <c:pt idx="700">
                  <c:v>-9.3625733825830793</c:v>
                </c:pt>
                <c:pt idx="701">
                  <c:v>6.8567077857185978</c:v>
                </c:pt>
                <c:pt idx="702">
                  <c:v>6.7060251450141806</c:v>
                </c:pt>
                <c:pt idx="703">
                  <c:v>10.804659863605366</c:v>
                </c:pt>
                <c:pt idx="704">
                  <c:v>6.7469835872786206</c:v>
                </c:pt>
                <c:pt idx="705">
                  <c:v>11.75534250430978</c:v>
                </c:pt>
                <c:pt idx="706">
                  <c:v>4.8976662279830379</c:v>
                </c:pt>
                <c:pt idx="707">
                  <c:v>7.5101209892406189</c:v>
                </c:pt>
                <c:pt idx="708">
                  <c:v>4.4976662279830322</c:v>
                </c:pt>
                <c:pt idx="709">
                  <c:v>7.2101209892406217</c:v>
                </c:pt>
                <c:pt idx="710">
                  <c:v>7.1101209892406274</c:v>
                </c:pt>
                <c:pt idx="711">
                  <c:v>7.0087557078318099</c:v>
                </c:pt>
                <c:pt idx="712">
                  <c:v>6.6073904264229952</c:v>
                </c:pt>
                <c:pt idx="713">
                  <c:v>9.7553425043097803</c:v>
                </c:pt>
                <c:pt idx="714">
                  <c:v>9.7553425043097803</c:v>
                </c:pt>
                <c:pt idx="715">
                  <c:v>5.9032945821965512</c:v>
                </c:pt>
                <c:pt idx="716">
                  <c:v>6.8046598636053659</c:v>
                </c:pt>
                <c:pt idx="717">
                  <c:v>5.6032945821965541</c:v>
                </c:pt>
                <c:pt idx="718">
                  <c:v>5.3512466600833335</c:v>
                </c:pt>
                <c:pt idx="719">
                  <c:v>5.3512466600833335</c:v>
                </c:pt>
                <c:pt idx="720">
                  <c:v>5.0498813786745274</c:v>
                </c:pt>
                <c:pt idx="721">
                  <c:v>7.7128515520582539</c:v>
                </c:pt>
                <c:pt idx="722">
                  <c:v>7.5621689113538508</c:v>
                </c:pt>
                <c:pt idx="723">
                  <c:v>4.697666227983035</c:v>
                </c:pt>
                <c:pt idx="724">
                  <c:v>4.697666227983035</c:v>
                </c:pt>
                <c:pt idx="725">
                  <c:v>4.4976662279830322</c:v>
                </c:pt>
                <c:pt idx="726">
                  <c:v>7.0101209892406189</c:v>
                </c:pt>
                <c:pt idx="727">
                  <c:v>6.9101209892406246</c:v>
                </c:pt>
                <c:pt idx="728">
                  <c:v>6.8087557078318071</c:v>
                </c:pt>
                <c:pt idx="729">
                  <c:v>6.8073904264229981</c:v>
                </c:pt>
                <c:pt idx="730">
                  <c:v>13.656707785718595</c:v>
                </c:pt>
                <c:pt idx="731">
                  <c:v>14.656707785718595</c:v>
                </c:pt>
                <c:pt idx="732">
                  <c:v>5.8526119414921567</c:v>
                </c:pt>
                <c:pt idx="733">
                  <c:v>5.952611941492151</c:v>
                </c:pt>
                <c:pt idx="734">
                  <c:v>5.9005640193789191</c:v>
                </c:pt>
                <c:pt idx="735">
                  <c:v>5.5991987379701129</c:v>
                </c:pt>
                <c:pt idx="736">
                  <c:v>4.7609708585232937</c:v>
                </c:pt>
                <c:pt idx="737">
                  <c:v>4.7089229364100618</c:v>
                </c:pt>
                <c:pt idx="738">
                  <c:v>4.5075576550012499</c:v>
                </c:pt>
                <c:pt idx="739">
                  <c:v>4.4568750142968554</c:v>
                </c:pt>
                <c:pt idx="740">
                  <c:v>4.2075576550012528</c:v>
                </c:pt>
                <c:pt idx="741">
                  <c:v>4.1048270921836263</c:v>
                </c:pt>
                <c:pt idx="742">
                  <c:v>4.0527791700704086</c:v>
                </c:pt>
                <c:pt idx="743">
                  <c:v>3.9007312479571823</c:v>
                </c:pt>
                <c:pt idx="744">
                  <c:v>-2.8584775383566381</c:v>
                </c:pt>
                <c:pt idx="745">
                  <c:v>3.8418569187998912</c:v>
                </c:pt>
                <c:pt idx="746">
                  <c:v>3.839126355982259</c:v>
                </c:pt>
                <c:pt idx="747">
                  <c:v>3.6884437152778418</c:v>
                </c:pt>
                <c:pt idx="748">
                  <c:v>1.9746236726114432</c:v>
                </c:pt>
                <c:pt idx="749">
                  <c:v>1.9239410319070345</c:v>
                </c:pt>
                <c:pt idx="750">
                  <c:v>1.7732583912026314</c:v>
                </c:pt>
                <c:pt idx="751">
                  <c:v>1.7225757504982084</c:v>
                </c:pt>
                <c:pt idx="752">
                  <c:v>1.5718931097938196</c:v>
                </c:pt>
                <c:pt idx="753">
                  <c:v>1.5212104690893966</c:v>
                </c:pt>
                <c:pt idx="754">
                  <c:v>1.3705278283849935</c:v>
                </c:pt>
                <c:pt idx="755">
                  <c:v>-4.006429616243409</c:v>
                </c:pt>
                <c:pt idx="756">
                  <c:v>1.1691625469761817</c:v>
                </c:pt>
                <c:pt idx="757">
                  <c:v>1.0650667027497462</c:v>
                </c:pt>
                <c:pt idx="758">
                  <c:v>1.0664319841585552</c:v>
                </c:pt>
                <c:pt idx="759">
                  <c:v>0.96506670274973771</c:v>
                </c:pt>
                <c:pt idx="760">
                  <c:v>0.86370142134092021</c:v>
                </c:pt>
                <c:pt idx="761">
                  <c:v>0.76233613993211691</c:v>
                </c:pt>
                <c:pt idx="762">
                  <c:v>0.6609708585232994</c:v>
                </c:pt>
                <c:pt idx="763">
                  <c:v>-6.6132560232874766</c:v>
                </c:pt>
                <c:pt idx="764">
                  <c:v>-6.7173518675139263</c:v>
                </c:pt>
                <c:pt idx="765">
                  <c:v>2.0556769614662898</c:v>
                </c:pt>
                <c:pt idx="766">
                  <c:v>1.9488505544222221</c:v>
                </c:pt>
                <c:pt idx="767">
                  <c:v>1.8406588659693313</c:v>
                </c:pt>
                <c:pt idx="768">
                  <c:v>1.7913415066737315</c:v>
                </c:pt>
                <c:pt idx="769">
                  <c:v>1.7256407704723671</c:v>
                </c:pt>
                <c:pt idx="770">
                  <c:v>1.9051615493401428</c:v>
                </c:pt>
                <c:pt idx="771">
                  <c:v>1.9503830644092943</c:v>
                </c:pt>
                <c:pt idx="772">
                  <c:v>1.501065705113696</c:v>
                </c:pt>
                <c:pt idx="773">
                  <c:v>1.2558441900445558</c:v>
                </c:pt>
                <c:pt idx="774">
                  <c:v>0.70925739356659534</c:v>
                </c:pt>
                <c:pt idx="775">
                  <c:v>0.7133532377930365</c:v>
                </c:pt>
                <c:pt idx="776">
                  <c:v>0.80789211215778067</c:v>
                </c:pt>
                <c:pt idx="777">
                  <c:v>0.7024309865225149</c:v>
                </c:pt>
                <c:pt idx="778">
                  <c:v>-2.1223113074144138</c:v>
                </c:pt>
                <c:pt idx="779">
                  <c:v>-2.2743592295276258</c:v>
                </c:pt>
                <c:pt idx="780">
                  <c:v>-2.5277724330496696</c:v>
                </c:pt>
                <c:pt idx="781">
                  <c:v>-2.6880120436157782</c:v>
                </c:pt>
                <c:pt idx="782">
                  <c:v>-9.8934294886298346E-2</c:v>
                </c:pt>
                <c:pt idx="783">
                  <c:v>-2.8646350310876656</c:v>
                </c:pt>
                <c:pt idx="784">
                  <c:v>-2.9796531265846298</c:v>
                </c:pt>
                <c:pt idx="785">
                  <c:v>-3.241258018559563</c:v>
                </c:pt>
                <c:pt idx="786">
                  <c:v>-3.1631025211005976</c:v>
                </c:pt>
                <c:pt idx="787">
                  <c:v>-3.1794858980063694</c:v>
                </c:pt>
                <c:pt idx="788">
                  <c:v>-3.2931387120945175</c:v>
                </c:pt>
                <c:pt idx="789">
                  <c:v>-3.6465519156165627</c:v>
                </c:pt>
                <c:pt idx="790">
                  <c:v>-3.9465519156165598</c:v>
                </c:pt>
                <c:pt idx="791">
                  <c:v>-11.399603209199341</c:v>
                </c:pt>
                <c:pt idx="792">
                  <c:v>-10.713256023287485</c:v>
                </c:pt>
                <c:pt idx="793">
                  <c:v>-10.714621304696294</c:v>
                </c:pt>
                <c:pt idx="794">
                  <c:v>-10.815986586105112</c:v>
                </c:pt>
                <c:pt idx="795">
                  <c:v>-10.966669226809529</c:v>
                </c:pt>
                <c:pt idx="796">
                  <c:v>-11.017351867513923</c:v>
                </c:pt>
                <c:pt idx="797">
                  <c:v>-11.462573382583088</c:v>
                </c:pt>
                <c:pt idx="798">
                  <c:v>-2.1922751164204897</c:v>
                </c:pt>
                <c:pt idx="799">
                  <c:v>-2.1429577571248899</c:v>
                </c:pt>
                <c:pt idx="800">
                  <c:v>-2.1936403978292986</c:v>
                </c:pt>
                <c:pt idx="801">
                  <c:v>-2.2443230385337074</c:v>
                </c:pt>
                <c:pt idx="802">
                  <c:v>-2.2950056792381162</c:v>
                </c:pt>
                <c:pt idx="803">
                  <c:v>-2.2963709606469394</c:v>
                </c:pt>
                <c:pt idx="804">
                  <c:v>-2.4977362420557512</c:v>
                </c:pt>
                <c:pt idx="805">
                  <c:v>-2.5497841641689689</c:v>
                </c:pt>
                <c:pt idx="806">
                  <c:v>4.4952701223219265</c:v>
                </c:pt>
                <c:pt idx="807">
                  <c:v>4.4418569187998855</c:v>
                </c:pt>
                <c:pt idx="808">
                  <c:v>4.2404916373910737</c:v>
                </c:pt>
                <c:pt idx="809">
                  <c:v>4.3363957931646269</c:v>
                </c:pt>
                <c:pt idx="810">
                  <c:v>-3.9105254604698558</c:v>
                </c:pt>
                <c:pt idx="811">
                  <c:v>4.0761561825985098</c:v>
                </c:pt>
                <c:pt idx="812">
                  <c:v>4.115916572032404</c:v>
                </c:pt>
                <c:pt idx="813">
                  <c:v>11.300898476535437</c:v>
                </c:pt>
                <c:pt idx="814">
                  <c:v>8.6954373509001783</c:v>
                </c:pt>
                <c:pt idx="815">
                  <c:v>9.0543116800574808</c:v>
                </c:pt>
                <c:pt idx="816">
                  <c:v>-5.3159865861051117</c:v>
                </c:pt>
                <c:pt idx="817">
                  <c:v>1.8319654917816592</c:v>
                </c:pt>
                <c:pt idx="818">
                  <c:v>6.2022637579442517</c:v>
                </c:pt>
                <c:pt idx="819">
                  <c:v>3.5461199916045985</c:v>
                </c:pt>
                <c:pt idx="820">
                  <c:v>4.1529463986486661</c:v>
                </c:pt>
                <c:pt idx="821">
                  <c:v>2.0841806424731431</c:v>
                </c:pt>
                <c:pt idx="822">
                  <c:v>2.0855459238819662</c:v>
                </c:pt>
                <c:pt idx="823">
                  <c:v>1.9882764866995899</c:v>
                </c:pt>
                <c:pt idx="824">
                  <c:v>1.9882764866995899</c:v>
                </c:pt>
                <c:pt idx="825">
                  <c:v>1.9375938459951954</c:v>
                </c:pt>
                <c:pt idx="826">
                  <c:v>1.7869112052907781</c:v>
                </c:pt>
                <c:pt idx="827">
                  <c:v>1.7348632831775603</c:v>
                </c:pt>
                <c:pt idx="828">
                  <c:v>1.634863283177566</c:v>
                </c:pt>
                <c:pt idx="829">
                  <c:v>-3.4489205684949411</c:v>
                </c:pt>
                <c:pt idx="830">
                  <c:v>-3.1557469755390031</c:v>
                </c:pt>
                <c:pt idx="831">
                  <c:v>-3.2571122569478206</c:v>
                </c:pt>
                <c:pt idx="832">
                  <c:v>-3.3584775383566381</c:v>
                </c:pt>
                <c:pt idx="833">
                  <c:v>-3.5598428197654499</c:v>
                </c:pt>
                <c:pt idx="834">
                  <c:v>-4.0557469755390088</c:v>
                </c:pt>
                <c:pt idx="835">
                  <c:v>0.6253063133158463</c:v>
                </c:pt>
                <c:pt idx="836">
                  <c:v>0.24542362450880972</c:v>
                </c:pt>
                <c:pt idx="837">
                  <c:v>4.8154187326439057E-2</c:v>
                </c:pt>
                <c:pt idx="838">
                  <c:v>-9.8432609151515749E-2</c:v>
                </c:pt>
                <c:pt idx="839">
                  <c:v>-22.733735244419705</c:v>
                </c:pt>
                <c:pt idx="840">
                  <c:v>-0.50798957901321984</c:v>
                </c:pt>
                <c:pt idx="841">
                  <c:v>-0.28461256648511579</c:v>
                </c:pt>
                <c:pt idx="842">
                  <c:v>-0.60236122479970788</c:v>
                </c:pt>
                <c:pt idx="843">
                  <c:v>-0.18034949368040998</c:v>
                </c:pt>
                <c:pt idx="844">
                  <c:v>-4.4684948472969666E-2</c:v>
                </c:pt>
                <c:pt idx="845">
                  <c:v>0.19097959673447917</c:v>
                </c:pt>
                <c:pt idx="846">
                  <c:v>4.7123363074142333E-2</c:v>
                </c:pt>
                <c:pt idx="847">
                  <c:v>-0.14058910424652282</c:v>
                </c:pt>
                <c:pt idx="848">
                  <c:v>-3.2728267195405536</c:v>
                </c:pt>
                <c:pt idx="849">
                  <c:v>-3.7743592295276258</c:v>
                </c:pt>
                <c:pt idx="850">
                  <c:v>2.2735928483591437</c:v>
                </c:pt>
                <c:pt idx="851">
                  <c:v>-2.4798203551628859</c:v>
                </c:pt>
                <c:pt idx="852">
                  <c:v>-4.4839161993893271</c:v>
                </c:pt>
                <c:pt idx="853">
                  <c:v>-4.7373294029113708</c:v>
                </c:pt>
                <c:pt idx="854">
                  <c:v>-5.1400599657290016</c:v>
                </c:pt>
                <c:pt idx="855">
                  <c:v>4.1363957931646382</c:v>
                </c:pt>
                <c:pt idx="856">
                  <c:v>4.1802520268249594</c:v>
                </c:pt>
                <c:pt idx="857">
                  <c:v>4.0816173082337741</c:v>
                </c:pt>
                <c:pt idx="858">
                  <c:v>-3.9105254604698558</c:v>
                </c:pt>
                <c:pt idx="859">
                  <c:v>4.0734256197808918</c:v>
                </c:pt>
                <c:pt idx="860">
                  <c:v>4.0706950569632596</c:v>
                </c:pt>
                <c:pt idx="861">
                  <c:v>4.5488505544222164</c:v>
                </c:pt>
                <c:pt idx="862">
                  <c:v>-4.414621304696297</c:v>
                </c:pt>
                <c:pt idx="863">
                  <c:v>9.6954373509001783</c:v>
                </c:pt>
                <c:pt idx="864">
                  <c:v>11.350215835831037</c:v>
                </c:pt>
                <c:pt idx="865">
                  <c:v>-4.8146213046963027</c:v>
                </c:pt>
                <c:pt idx="866">
                  <c:v>-4.913256023287488</c:v>
                </c:pt>
                <c:pt idx="867">
                  <c:v>-5.1132560232874766</c:v>
                </c:pt>
                <c:pt idx="868">
                  <c:v>-5.3625733825830793</c:v>
                </c:pt>
                <c:pt idx="869">
                  <c:v>-5.8996032091993413</c:v>
                </c:pt>
                <c:pt idx="870">
                  <c:v>7.3073904264229981</c:v>
                </c:pt>
                <c:pt idx="871">
                  <c:v>7.155342504309786</c:v>
                </c:pt>
                <c:pt idx="872">
                  <c:v>3.8469835872786149</c:v>
                </c:pt>
                <c:pt idx="873">
                  <c:v>13.952611941492151</c:v>
                </c:pt>
                <c:pt idx="874">
                  <c:v>12.001929300787737</c:v>
                </c:pt>
                <c:pt idx="875">
                  <c:v>9.1498813786745217</c:v>
                </c:pt>
                <c:pt idx="876">
                  <c:v>2.7963009465742203</c:v>
                </c:pt>
                <c:pt idx="877">
                  <c:v>6.1457855344480805</c:v>
                </c:pt>
                <c:pt idx="878">
                  <c:v>5.9937376123348542</c:v>
                </c:pt>
                <c:pt idx="879">
                  <c:v>1.6456183058698031</c:v>
                </c:pt>
                <c:pt idx="880">
                  <c:v>5.638959127403993</c:v>
                </c:pt>
                <c:pt idx="881">
                  <c:v>5.5389591274039844</c:v>
                </c:pt>
                <c:pt idx="882">
                  <c:v>5.3869112052907724</c:v>
                </c:pt>
                <c:pt idx="883">
                  <c:v>5.1362285645863608</c:v>
                </c:pt>
                <c:pt idx="884">
                  <c:v>5.0348632831775575</c:v>
                </c:pt>
                <c:pt idx="885">
                  <c:v>-1.401832086282198</c:v>
                </c:pt>
                <c:pt idx="886">
                  <c:v>-11.763938663991894</c:v>
                </c:pt>
                <c:pt idx="887">
                  <c:v>-1.7086584933262685</c:v>
                </c:pt>
                <c:pt idx="888">
                  <c:v>-1.9127543375527125</c:v>
                </c:pt>
                <c:pt idx="889">
                  <c:v>-2.0675328224835567</c:v>
                </c:pt>
                <c:pt idx="890">
                  <c:v>-2.2716286667100007</c:v>
                </c:pt>
                <c:pt idx="891">
                  <c:v>-2.5250418702320445</c:v>
                </c:pt>
                <c:pt idx="892">
                  <c:v>-2.8264071516408578</c:v>
                </c:pt>
                <c:pt idx="893">
                  <c:v>-3.2277724330496724</c:v>
                </c:pt>
                <c:pt idx="894">
                  <c:v>4.4708622855415143</c:v>
                </c:pt>
                <c:pt idx="895">
                  <c:v>-0.43050299586730034</c:v>
                </c:pt>
                <c:pt idx="896">
                  <c:v>-4.481185636571702</c:v>
                </c:pt>
                <c:pt idx="897">
                  <c:v>-4.9332335586849325</c:v>
                </c:pt>
                <c:pt idx="898">
                  <c:v>-1.4055934733521127</c:v>
                </c:pt>
                <c:pt idx="899">
                  <c:v>-1.467198365327036</c:v>
                </c:pt>
                <c:pt idx="900">
                  <c:v>-20.226908837375632</c:v>
                </c:pt>
                <c:pt idx="901">
                  <c:v>-1.7492824784341892</c:v>
                </c:pt>
                <c:pt idx="902">
                  <c:v>-1.913617933226746</c:v>
                </c:pt>
                <c:pt idx="903">
                  <c:v>-1.8834145136545573</c:v>
                </c:pt>
                <c:pt idx="904">
                  <c:v>-1.7066242976044066</c:v>
                </c:pt>
                <c:pt idx="905">
                  <c:v>-1.529834081554263</c:v>
                </c:pt>
                <c:pt idx="906">
                  <c:v>-1.5489480212776741</c:v>
                </c:pt>
                <c:pt idx="907">
                  <c:v>-28.343292214281405</c:v>
                </c:pt>
                <c:pt idx="908">
                  <c:v>-2.1680619610010794</c:v>
                </c:pt>
                <c:pt idx="909">
                  <c:v>-2.7666966795922647</c:v>
                </c:pt>
                <c:pt idx="910">
                  <c:v>-30.293974854985819</c:v>
                </c:pt>
                <c:pt idx="911">
                  <c:v>3.4157493434541379</c:v>
                </c:pt>
                <c:pt idx="912">
                  <c:v>3.3143840620453204</c:v>
                </c:pt>
                <c:pt idx="913">
                  <c:v>3.2637014213409259</c:v>
                </c:pt>
                <c:pt idx="914">
                  <c:v>-2.6571122569478263</c:v>
                </c:pt>
                <c:pt idx="915">
                  <c:v>2.9623361399321055</c:v>
                </c:pt>
                <c:pt idx="916">
                  <c:v>2.8623361399321112</c:v>
                </c:pt>
                <c:pt idx="917">
                  <c:v>2.7116534992276939</c:v>
                </c:pt>
                <c:pt idx="918">
                  <c:v>2.6609708585232994</c:v>
                </c:pt>
                <c:pt idx="919">
                  <c:v>2.6102882178188764</c:v>
                </c:pt>
                <c:pt idx="920">
                  <c:v>2.4596055771144876</c:v>
                </c:pt>
                <c:pt idx="921">
                  <c:v>2.3582402957056701</c:v>
                </c:pt>
                <c:pt idx="922">
                  <c:v>2.3075576550012471</c:v>
                </c:pt>
                <c:pt idx="923">
                  <c:v>-4.007794897652218</c:v>
                </c:pt>
                <c:pt idx="924">
                  <c:v>2.2034618107748116</c:v>
                </c:pt>
                <c:pt idx="925">
                  <c:v>2.1500486072527849</c:v>
                </c:pt>
                <c:pt idx="926">
                  <c:v>3.6594383485362272</c:v>
                </c:pt>
                <c:pt idx="927">
                  <c:v>3.4580730671274154</c:v>
                </c:pt>
                <c:pt idx="928">
                  <c:v>3.2073904264229895</c:v>
                </c:pt>
                <c:pt idx="929">
                  <c:v>3.0060251450141777</c:v>
                </c:pt>
                <c:pt idx="930">
                  <c:v>2.7019293007877394</c:v>
                </c:pt>
                <c:pt idx="931">
                  <c:v>2.4005640193789191</c:v>
                </c:pt>
                <c:pt idx="932">
                  <c:v>2.2964681751524836</c:v>
                </c:pt>
                <c:pt idx="933">
                  <c:v>1.8457855344480834</c:v>
                </c:pt>
                <c:pt idx="934">
                  <c:v>1.7416896902216195</c:v>
                </c:pt>
                <c:pt idx="935">
                  <c:v>1.2882764866995871</c:v>
                </c:pt>
                <c:pt idx="936">
                  <c:v>-3.4091601790610326</c:v>
                </c:pt>
                <c:pt idx="937">
                  <c:v>0.6253063133158463</c:v>
                </c:pt>
                <c:pt idx="938">
                  <c:v>0.31711462486295261</c:v>
                </c:pt>
                <c:pt idx="939">
                  <c:v>6.7637014213409259</c:v>
                </c:pt>
                <c:pt idx="940">
                  <c:v>-1.1431249857031531</c:v>
                </c:pt>
                <c:pt idx="941">
                  <c:v>-6.3839161993893327</c:v>
                </c:pt>
                <c:pt idx="942">
                  <c:v>-6.7359641215025619</c:v>
                </c:pt>
                <c:pt idx="943">
                  <c:v>-19.066669226809523</c:v>
                </c:pt>
                <c:pt idx="944">
                  <c:v>-7.4332335586849325</c:v>
                </c:pt>
                <c:pt idx="945">
                  <c:v>-7.6345988400937443</c:v>
                </c:pt>
                <c:pt idx="946">
                  <c:v>-7.9866467622069663</c:v>
                </c:pt>
                <c:pt idx="947">
                  <c:v>-8.388012043615781</c:v>
                </c:pt>
                <c:pt idx="948">
                  <c:v>-8.6907426064334103</c:v>
                </c:pt>
                <c:pt idx="949">
                  <c:v>-9.0948384506598572</c:v>
                </c:pt>
                <c:pt idx="950">
                  <c:v>-22.568034508218339</c:v>
                </c:pt>
                <c:pt idx="951">
                  <c:v>-10.200299576295116</c:v>
                </c:pt>
                <c:pt idx="952">
                  <c:v>-10.852347498408335</c:v>
                </c:pt>
                <c:pt idx="953">
                  <c:v>6.5142168334670743</c:v>
                </c:pt>
                <c:pt idx="954">
                  <c:v>6.3128515520582482</c:v>
                </c:pt>
                <c:pt idx="955">
                  <c:v>6.2621689113538537</c:v>
                </c:pt>
                <c:pt idx="956">
                  <c:v>12.311486270649439</c:v>
                </c:pt>
                <c:pt idx="957">
                  <c:v>8.4594383485362243</c:v>
                </c:pt>
                <c:pt idx="958">
                  <c:v>7.5087557078318099</c:v>
                </c:pt>
                <c:pt idx="959">
                  <c:v>5.5580730671274097</c:v>
                </c:pt>
                <c:pt idx="960">
                  <c:v>5.2073904264229895</c:v>
                </c:pt>
                <c:pt idx="961">
                  <c:v>4.9567077857185922</c:v>
                </c:pt>
                <c:pt idx="962">
                  <c:v>4.7060251450141806</c:v>
                </c:pt>
                <c:pt idx="963">
                  <c:v>4.5046598636053687</c:v>
                </c:pt>
                <c:pt idx="964">
                  <c:v>4.4032945821965512</c:v>
                </c:pt>
                <c:pt idx="965">
                  <c:v>-13.315986586105112</c:v>
                </c:pt>
                <c:pt idx="966">
                  <c:v>-13.517351867513923</c:v>
                </c:pt>
                <c:pt idx="967">
                  <c:v>-13.668034508218341</c:v>
                </c:pt>
                <c:pt idx="968">
                  <c:v>-4.9429577571248871</c:v>
                </c:pt>
                <c:pt idx="969">
                  <c:v>-5.0443230385337046</c:v>
                </c:pt>
                <c:pt idx="970">
                  <c:v>-5.2950056792381162</c:v>
                </c:pt>
                <c:pt idx="971">
                  <c:v>-5.4963709606469351</c:v>
                </c:pt>
                <c:pt idx="972">
                  <c:v>-5.5977362420557455</c:v>
                </c:pt>
                <c:pt idx="973">
                  <c:v>2.300898476535437</c:v>
                </c:pt>
                <c:pt idx="974">
                  <c:v>-0.60046680487337767</c:v>
                </c:pt>
                <c:pt idx="975">
                  <c:v>3.9007312479571823</c:v>
                </c:pt>
                <c:pt idx="976">
                  <c:v>3.7514138886615882</c:v>
                </c:pt>
                <c:pt idx="977">
                  <c:v>3.8966354037307411</c:v>
                </c:pt>
                <c:pt idx="978">
                  <c:v>3.7939048409131004</c:v>
                </c:pt>
                <c:pt idx="979">
                  <c:v>3.7404916373910737</c:v>
                </c:pt>
                <c:pt idx="980">
                  <c:v>3.3884437152778446</c:v>
                </c:pt>
                <c:pt idx="981">
                  <c:v>3.2884437152778503</c:v>
                </c:pt>
                <c:pt idx="982">
                  <c:v>3.2418569187998969</c:v>
                </c:pt>
                <c:pt idx="983">
                  <c:v>2.339126355982259</c:v>
                </c:pt>
                <c:pt idx="984">
                  <c:v>2.7870784338690271</c:v>
                </c:pt>
                <c:pt idx="985">
                  <c:v>2.5870784338690385</c:v>
                </c:pt>
                <c:pt idx="986">
                  <c:v>2.4829825896425888</c:v>
                </c:pt>
                <c:pt idx="987">
                  <c:v>2.729569386120545</c:v>
                </c:pt>
                <c:pt idx="988">
                  <c:v>2.6309346675293739</c:v>
                </c:pt>
                <c:pt idx="989">
                  <c:v>2.1309346675293739</c:v>
                </c:pt>
                <c:pt idx="990">
                  <c:v>5.0184799062717644</c:v>
                </c:pt>
                <c:pt idx="991">
                  <c:v>-0.40642961624341467</c:v>
                </c:pt>
                <c:pt idx="992">
                  <c:v>4.767797265567367</c:v>
                </c:pt>
                <c:pt idx="993">
                  <c:v>4.6171146248629498</c:v>
                </c:pt>
                <c:pt idx="994">
                  <c:v>4.2650667027497349</c:v>
                </c:pt>
                <c:pt idx="995">
                  <c:v>-1.2571122569478206</c:v>
                </c:pt>
                <c:pt idx="996">
                  <c:v>4.2650667027497349</c:v>
                </c:pt>
                <c:pt idx="997">
                  <c:v>4.4677972655673699</c:v>
                </c:pt>
                <c:pt idx="998">
                  <c:v>4.3664319841585524</c:v>
                </c:pt>
                <c:pt idx="999">
                  <c:v>3.9157493434541379</c:v>
                </c:pt>
                <c:pt idx="1000">
                  <c:v>3.9171146248629611</c:v>
                </c:pt>
                <c:pt idx="1001">
                  <c:v>3.6650667027497406</c:v>
                </c:pt>
                <c:pt idx="1002">
                  <c:v>3.6650667027497406</c:v>
                </c:pt>
                <c:pt idx="1003">
                  <c:v>3.6157493434541408</c:v>
                </c:pt>
                <c:pt idx="1004">
                  <c:v>3.563701421340923</c:v>
                </c:pt>
                <c:pt idx="1005">
                  <c:v>1.8981679137178133</c:v>
                </c:pt>
                <c:pt idx="1006">
                  <c:v>1.6968026323089873</c:v>
                </c:pt>
                <c:pt idx="1007">
                  <c:v>1.5940720694913608</c:v>
                </c:pt>
                <c:pt idx="1008">
                  <c:v>1.2913415066737315</c:v>
                </c:pt>
                <c:pt idx="1009">
                  <c:v>-10.065303945400714</c:v>
                </c:pt>
                <c:pt idx="1010">
                  <c:v>0.89134150667374001</c:v>
                </c:pt>
                <c:pt idx="1011">
                  <c:v>0.89816791371781335</c:v>
                </c:pt>
                <c:pt idx="1012">
                  <c:v>-10.415986586105106</c:v>
                </c:pt>
                <c:pt idx="1013">
                  <c:v>0.76676644131507032</c:v>
                </c:pt>
                <c:pt idx="1014">
                  <c:v>0.41471851920184122</c:v>
                </c:pt>
                <c:pt idx="1015">
                  <c:v>0.40789211215777499</c:v>
                </c:pt>
                <c:pt idx="1016">
                  <c:v>-0.23323355868492968</c:v>
                </c:pt>
                <c:pt idx="1017">
                  <c:v>-0.82777243304967385</c:v>
                </c:pt>
                <c:pt idx="1018">
                  <c:v>-1.2798203551628831</c:v>
                </c:pt>
                <c:pt idx="1019">
                  <c:v>-1.2852814807981616</c:v>
                </c:pt>
                <c:pt idx="1020">
                  <c:v>-0.85984281976544708</c:v>
                </c:pt>
                <c:pt idx="1021">
                  <c:v>-0.86120810117427027</c:v>
                </c:pt>
                <c:pt idx="1022">
                  <c:v>-1.4557469755390144</c:v>
                </c:pt>
                <c:pt idx="1023">
                  <c:v>3.3746236726114489</c:v>
                </c:pt>
                <c:pt idx="1024">
                  <c:v>3.3732583912026257</c:v>
                </c:pt>
                <c:pt idx="1025">
                  <c:v>3.1718931097938139</c:v>
                </c:pt>
                <c:pt idx="1026">
                  <c:v>2.9691625469761789</c:v>
                </c:pt>
                <c:pt idx="1027">
                  <c:v>2.7664319841585581</c:v>
                </c:pt>
                <c:pt idx="1028">
                  <c:v>-3.1571122569478263</c:v>
                </c:pt>
                <c:pt idx="1029">
                  <c:v>1.2362285645863551</c:v>
                </c:pt>
                <c:pt idx="1030">
                  <c:v>1.0855459238819662</c:v>
                </c:pt>
                <c:pt idx="1031">
                  <c:v>0.88418064247314021</c:v>
                </c:pt>
                <c:pt idx="1032">
                  <c:v>-3.6077948976522265</c:v>
                </c:pt>
                <c:pt idx="1033">
                  <c:v>-4.2557469755390116</c:v>
                </c:pt>
                <c:pt idx="1034">
                  <c:v>0.42257575049821128</c:v>
                </c:pt>
                <c:pt idx="1035">
                  <c:v>0.26779726556736705</c:v>
                </c:pt>
                <c:pt idx="1036">
                  <c:v>0.1143840620453318</c:v>
                </c:pt>
                <c:pt idx="1037">
                  <c:v>-3.9029141476703444E-2</c:v>
                </c:pt>
                <c:pt idx="1038">
                  <c:v>6.1582402957056672</c:v>
                </c:pt>
                <c:pt idx="1039">
                  <c:v>1.4048270921836234</c:v>
                </c:pt>
                <c:pt idx="1040">
                  <c:v>-0.4979034706340002</c:v>
                </c:pt>
                <c:pt idx="1041">
                  <c:v>-7.3584775383566381</c:v>
                </c:pt>
                <c:pt idx="1042">
                  <c:v>-0.95404723697366478</c:v>
                </c:pt>
                <c:pt idx="1043">
                  <c:v>-8.209160179061044</c:v>
                </c:pt>
                <c:pt idx="1044">
                  <c:v>-2.4042281919432966</c:v>
                </c:pt>
                <c:pt idx="1045">
                  <c:v>-20.029639400193261</c:v>
                </c:pt>
                <c:pt idx="1046">
                  <c:v>-20.431004681602076</c:v>
                </c:pt>
                <c:pt idx="1047">
                  <c:v>-20.980322040897676</c:v>
                </c:pt>
                <c:pt idx="1048">
                  <c:v>-21.280322040897673</c:v>
                </c:pt>
                <c:pt idx="1049">
                  <c:v>-23.600968490608153</c:v>
                </c:pt>
                <c:pt idx="1050">
                  <c:v>-22.178956759488855</c:v>
                </c:pt>
                <c:pt idx="1051">
                  <c:v>-4.5383602271636718</c:v>
                </c:pt>
                <c:pt idx="1052">
                  <c:v>-4.9945039935033293</c:v>
                </c:pt>
                <c:pt idx="1053">
                  <c:v>1.8054960064966679</c:v>
                </c:pt>
                <c:pt idx="1054">
                  <c:v>-2.4410907899813026</c:v>
                </c:pt>
                <c:pt idx="1055">
                  <c:v>-5.6876775864592588</c:v>
                </c:pt>
                <c:pt idx="1056">
                  <c:v>-7.282216460824003</c:v>
                </c:pt>
                <c:pt idx="1057">
                  <c:v>-25.731004681602073</c:v>
                </c:pt>
                <c:pt idx="1058">
                  <c:v>-10.162573382583076</c:v>
                </c:pt>
                <c:pt idx="1059">
                  <c:v>-10.313256023287479</c:v>
                </c:pt>
                <c:pt idx="1060">
                  <c:v>-10.465303945400706</c:v>
                </c:pt>
                <c:pt idx="1061">
                  <c:v>-10.666669226809532</c:v>
                </c:pt>
                <c:pt idx="1062">
                  <c:v>-10.768034508218335</c:v>
                </c:pt>
                <c:pt idx="1063">
                  <c:v>-1.9922751164204868</c:v>
                </c:pt>
                <c:pt idx="1064">
                  <c:v>-3.8002995762951102</c:v>
                </c:pt>
                <c:pt idx="1065">
                  <c:v>-2.3963709606469337</c:v>
                </c:pt>
                <c:pt idx="1066">
                  <c:v>-12.313256023287479</c:v>
                </c:pt>
                <c:pt idx="1067">
                  <c:v>-2.6511494455777793</c:v>
                </c:pt>
                <c:pt idx="1068">
                  <c:v>-2.8538800083954072</c:v>
                </c:pt>
                <c:pt idx="1069">
                  <c:v>-3.0059279305086335</c:v>
                </c:pt>
                <c:pt idx="1070">
                  <c:v>0.23656302174289578</c:v>
                </c:pt>
                <c:pt idx="1071">
                  <c:v>-5.6610571213042249E-2</c:v>
                </c:pt>
                <c:pt idx="1072">
                  <c:v>-0.35661057121303941</c:v>
                </c:pt>
                <c:pt idx="1073">
                  <c:v>-8.1185636571703412E-2</c:v>
                </c:pt>
                <c:pt idx="1074">
                  <c:v>0.14765250159166499</c:v>
                </c:pt>
                <c:pt idx="1075">
                  <c:v>-0.20609515908689957</c:v>
                </c:pt>
                <c:pt idx="1076">
                  <c:v>-0.30882572190452606</c:v>
                </c:pt>
                <c:pt idx="1077">
                  <c:v>-0.4622389254265471</c:v>
                </c:pt>
                <c:pt idx="1078">
                  <c:v>-0.71565212894859087</c:v>
                </c:pt>
                <c:pt idx="1079">
                  <c:v>-0.81974797317504056</c:v>
                </c:pt>
                <c:pt idx="1080">
                  <c:v>-1.0731611766970843</c:v>
                </c:pt>
                <c:pt idx="1081">
                  <c:v>-1.2772570209235141</c:v>
                </c:pt>
                <c:pt idx="1082">
                  <c:v>-1.4306702244455636</c:v>
                </c:pt>
                <c:pt idx="1083">
                  <c:v>-10.562573382583082</c:v>
                </c:pt>
                <c:pt idx="1084">
                  <c:v>-10.817351867513921</c:v>
                </c:pt>
                <c:pt idx="1085">
                  <c:v>-2.1470536013513311</c:v>
                </c:pt>
                <c:pt idx="1086">
                  <c:v>-12.213256023287485</c:v>
                </c:pt>
                <c:pt idx="1087">
                  <c:v>6.9621689113538565</c:v>
                </c:pt>
                <c:pt idx="1088">
                  <c:v>4.0976662279830407</c:v>
                </c:pt>
                <c:pt idx="1089">
                  <c:v>6.5594383485362187</c:v>
                </c:pt>
                <c:pt idx="1090">
                  <c:v>6.6087557078318042</c:v>
                </c:pt>
                <c:pt idx="1091">
                  <c:v>4.2007312479571794</c:v>
                </c:pt>
                <c:pt idx="1092">
                  <c:v>4.0445874816175262</c:v>
                </c:pt>
                <c:pt idx="1093">
                  <c:v>4.0445874816175262</c:v>
                </c:pt>
                <c:pt idx="1094">
                  <c:v>4.1514138886615939</c:v>
                </c:pt>
                <c:pt idx="1095">
                  <c:v>3.1966354037307383</c:v>
                </c:pt>
                <c:pt idx="1096">
                  <c:v>3.6404916373910794</c:v>
                </c:pt>
                <c:pt idx="1097">
                  <c:v>3.2363957931646326</c:v>
                </c:pt>
                <c:pt idx="1098">
                  <c:v>3.4336652303470032</c:v>
                </c:pt>
                <c:pt idx="1099">
                  <c:v>-3.7598428197654528</c:v>
                </c:pt>
                <c:pt idx="1100">
                  <c:v>3.169329775554445</c:v>
                </c:pt>
                <c:pt idx="1101">
                  <c:v>2.9693297755544421</c:v>
                </c:pt>
                <c:pt idx="1102">
                  <c:v>8.1665992127368128</c:v>
                </c:pt>
                <c:pt idx="1103">
                  <c:v>7.1172818534412272</c:v>
                </c:pt>
                <c:pt idx="1104">
                  <c:v>4.9200124162588565</c:v>
                </c:pt>
                <c:pt idx="1105">
                  <c:v>4.8706950569632568</c:v>
                </c:pt>
                <c:pt idx="1106">
                  <c:v>-5.2004668048733791</c:v>
                </c:pt>
                <c:pt idx="1107">
                  <c:v>2.596802632308993</c:v>
                </c:pt>
                <c:pt idx="1108">
                  <c:v>-3.1566105712130366</c:v>
                </c:pt>
                <c:pt idx="1109">
                  <c:v>-6.3127543375527111</c:v>
                </c:pt>
                <c:pt idx="1110">
                  <c:v>-6.9702633853011804</c:v>
                </c:pt>
                <c:pt idx="1111">
                  <c:v>-7.5277724330496696</c:v>
                </c:pt>
                <c:pt idx="1112">
                  <c:v>-6.1453538627860027</c:v>
                </c:pt>
                <c:pt idx="1113">
                  <c:v>-6.298767066308038</c:v>
                </c:pt>
                <c:pt idx="1114">
                  <c:v>-6.4535455512388893</c:v>
                </c:pt>
                <c:pt idx="1115">
                  <c:v>-6.8042281919433023</c:v>
                </c:pt>
                <c:pt idx="1116">
                  <c:v>-7.1535455512388921</c:v>
                </c:pt>
                <c:pt idx="1117">
                  <c:v>-7.4549108326477054</c:v>
                </c:pt>
                <c:pt idx="1118">
                  <c:v>0.43826276030821987</c:v>
                </c:pt>
                <c:pt idx="1119">
                  <c:v>-3.4631025211005948</c:v>
                </c:pt>
                <c:pt idx="1120">
                  <c:v>-8.2685636467358563</c:v>
                </c:pt>
                <c:pt idx="1121">
                  <c:v>-28.200968490608147</c:v>
                </c:pt>
                <c:pt idx="1122">
                  <c:v>-3.4088257219045204</c:v>
                </c:pt>
                <c:pt idx="1123">
                  <c:v>-3.5595083626089234</c:v>
                </c:pt>
                <c:pt idx="1124">
                  <c:v>-3.7608736440177353</c:v>
                </c:pt>
                <c:pt idx="1125">
                  <c:v>-3.8622389254265528</c:v>
                </c:pt>
                <c:pt idx="1126">
                  <c:v>-4.0156521289486022</c:v>
                </c:pt>
                <c:pt idx="1127">
                  <c:v>-4.1677000510618285</c:v>
                </c:pt>
                <c:pt idx="1128">
                  <c:v>-4.2690653324706318</c:v>
                </c:pt>
                <c:pt idx="1129">
                  <c:v>-4.4197479731750349</c:v>
                </c:pt>
                <c:pt idx="1130">
                  <c:v>-4.5704306138794522</c:v>
                </c:pt>
                <c:pt idx="1131">
                  <c:v>-14.599603209199337</c:v>
                </c:pt>
                <c:pt idx="1132">
                  <c:v>-4.8731611766970815</c:v>
                </c:pt>
                <c:pt idx="1133">
                  <c:v>-4.9745264581058848</c:v>
                </c:pt>
                <c:pt idx="1134">
                  <c:v>5.8705278283849935</c:v>
                </c:pt>
                <c:pt idx="1135">
                  <c:v>5.7212104690893995</c:v>
                </c:pt>
                <c:pt idx="1136">
                  <c:v>0.19357038375659386</c:v>
                </c:pt>
                <c:pt idx="1137">
                  <c:v>5.6691625469761817</c:v>
                </c:pt>
                <c:pt idx="1138">
                  <c:v>4.9184799062717701</c:v>
                </c:pt>
                <c:pt idx="1139">
                  <c:v>5.4650667027497377</c:v>
                </c:pt>
                <c:pt idx="1140">
                  <c:v>5.1650667027497406</c:v>
                </c:pt>
                <c:pt idx="1141">
                  <c:v>4.9171146248629611</c:v>
                </c:pt>
                <c:pt idx="1142">
                  <c:v>4.7664319841585581</c:v>
                </c:pt>
                <c:pt idx="1143">
                  <c:v>4.2184799062717673</c:v>
                </c:pt>
                <c:pt idx="1144">
                  <c:v>4.267797265567367</c:v>
                </c:pt>
                <c:pt idx="1145">
                  <c:v>4.1157493434541408</c:v>
                </c:pt>
                <c:pt idx="1146">
                  <c:v>4.2664319841585581</c:v>
                </c:pt>
                <c:pt idx="1147">
                  <c:v>4.0171146248629555</c:v>
                </c:pt>
                <c:pt idx="1148">
                  <c:v>-1.1880120436157782</c:v>
                </c:pt>
                <c:pt idx="1149">
                  <c:v>-1.3400599657290044</c:v>
                </c:pt>
                <c:pt idx="1150">
                  <c:v>-1.3921078878422222</c:v>
                </c:pt>
                <c:pt idx="1151">
                  <c:v>-1.5427905285466323</c:v>
                </c:pt>
                <c:pt idx="1152">
                  <c:v>-1.6934731692510425</c:v>
                </c:pt>
                <c:pt idx="1153">
                  <c:v>-1.7948384506598529</c:v>
                </c:pt>
                <c:pt idx="1154">
                  <c:v>-14.768034508218342</c:v>
                </c:pt>
                <c:pt idx="1155">
                  <c:v>-1.9496169355907043</c:v>
                </c:pt>
                <c:pt idx="1156">
                  <c:v>5.147652501591665</c:v>
                </c:pt>
                <c:pt idx="1157">
                  <c:v>-11.773495633853599</c:v>
                </c:pt>
                <c:pt idx="1158">
                  <c:v>-2.2125871089744464</c:v>
                </c:pt>
                <c:pt idx="1159">
                  <c:v>-2.1673655939052949</c:v>
                </c:pt>
                <c:pt idx="1160">
                  <c:v>-2.1714614381317432</c:v>
                </c:pt>
                <c:pt idx="1161">
                  <c:v>-2.1741920009493683</c:v>
                </c:pt>
                <c:pt idx="1162">
                  <c:v>-2.1769225637670004</c:v>
                </c:pt>
                <c:pt idx="1163">
                  <c:v>3.5514138886615996</c:v>
                </c:pt>
                <c:pt idx="1164">
                  <c:v>3.5007312479571766</c:v>
                </c:pt>
                <c:pt idx="1165">
                  <c:v>3.3007312479571738</c:v>
                </c:pt>
                <c:pt idx="1166">
                  <c:v>-3.4584775383566324</c:v>
                </c:pt>
                <c:pt idx="1167">
                  <c:v>3.098000685139553</c:v>
                </c:pt>
                <c:pt idx="1168">
                  <c:v>3.0459527630263352</c:v>
                </c:pt>
                <c:pt idx="1169">
                  <c:v>2.8445874816175234</c:v>
                </c:pt>
                <c:pt idx="1170">
                  <c:v>2.7432222002087059</c:v>
                </c:pt>
                <c:pt idx="1171">
                  <c:v>2.6418569187998884</c:v>
                </c:pt>
                <c:pt idx="1172">
                  <c:v>2.5404916373910709</c:v>
                </c:pt>
                <c:pt idx="1173">
                  <c:v>2.4391263559822676</c:v>
                </c:pt>
                <c:pt idx="1174">
                  <c:v>2.2884437152778503</c:v>
                </c:pt>
                <c:pt idx="1175">
                  <c:v>3.8664319841585524</c:v>
                </c:pt>
                <c:pt idx="1176">
                  <c:v>3.8664319841585524</c:v>
                </c:pt>
                <c:pt idx="1177">
                  <c:v>3.6637014213409316</c:v>
                </c:pt>
                <c:pt idx="1178">
                  <c:v>3.4609708585232966</c:v>
                </c:pt>
                <c:pt idx="1179">
                  <c:v>-3.2077948976522208</c:v>
                </c:pt>
                <c:pt idx="1180">
                  <c:v>-3.1077948976522265</c:v>
                </c:pt>
                <c:pt idx="1181">
                  <c:v>3.1075576550012585</c:v>
                </c:pt>
                <c:pt idx="1182">
                  <c:v>2.9609708585232966</c:v>
                </c:pt>
                <c:pt idx="1183">
                  <c:v>3.210288217818885</c:v>
                </c:pt>
                <c:pt idx="1184">
                  <c:v>2.5007312479571766</c:v>
                </c:pt>
                <c:pt idx="1185">
                  <c:v>2.0486833258439674</c:v>
                </c:pt>
                <c:pt idx="1186">
                  <c:v>1.9980006851395444</c:v>
                </c:pt>
                <c:pt idx="1187">
                  <c:v>1.3556769614663011</c:v>
                </c:pt>
                <c:pt idx="1188">
                  <c:v>1.302263757944246</c:v>
                </c:pt>
                <c:pt idx="1189">
                  <c:v>1.2036290393530606</c:v>
                </c:pt>
                <c:pt idx="1190">
                  <c:v>1.1529463986486661</c:v>
                </c:pt>
                <c:pt idx="1191">
                  <c:v>1.0529463986486718</c:v>
                </c:pt>
                <c:pt idx="1192">
                  <c:v>1.2022637579442517</c:v>
                </c:pt>
                <c:pt idx="1193">
                  <c:v>0.60362903935306633</c:v>
                </c:pt>
                <c:pt idx="1194">
                  <c:v>0.55431168005748077</c:v>
                </c:pt>
                <c:pt idx="1195">
                  <c:v>0.50226375794424882</c:v>
                </c:pt>
                <c:pt idx="1196">
                  <c:v>0.39953319512662233</c:v>
                </c:pt>
                <c:pt idx="1197">
                  <c:v>0.45294639864866326</c:v>
                </c:pt>
                <c:pt idx="1198">
                  <c:v>0.30362903935306917</c:v>
                </c:pt>
                <c:pt idx="1199">
                  <c:v>0.10089847653543416</c:v>
                </c:pt>
                <c:pt idx="1200">
                  <c:v>0.10089847653543416</c:v>
                </c:pt>
                <c:pt idx="1201">
                  <c:v>2.2637579442488232E-3</c:v>
                </c:pt>
                <c:pt idx="1202">
                  <c:v>0.29357038375658817</c:v>
                </c:pt>
                <c:pt idx="1203">
                  <c:v>9.3570383756585329E-2</c:v>
                </c:pt>
                <c:pt idx="1204">
                  <c:v>5.3664319841585524</c:v>
                </c:pt>
                <c:pt idx="1205">
                  <c:v>5.414384062045329</c:v>
                </c:pt>
                <c:pt idx="1206">
                  <c:v>-0.65711225694782627</c:v>
                </c:pt>
                <c:pt idx="1207">
                  <c:v>4.8089229364100703</c:v>
                </c:pt>
                <c:pt idx="1208">
                  <c:v>-1.4077948976522237</c:v>
                </c:pt>
                <c:pt idx="1209">
                  <c:v>4.8034618107748059</c:v>
                </c:pt>
                <c:pt idx="1210">
                  <c:v>4.7034618107748116</c:v>
                </c:pt>
                <c:pt idx="1211">
                  <c:v>4.5034618107748088</c:v>
                </c:pt>
                <c:pt idx="1212">
                  <c:v>4.3541444514792289</c:v>
                </c:pt>
                <c:pt idx="1213">
                  <c:v>4.1048270921836263</c:v>
                </c:pt>
                <c:pt idx="1214">
                  <c:v>4.0527791700704086</c:v>
                </c:pt>
                <c:pt idx="1215">
                  <c:v>3.9500486072527821</c:v>
                </c:pt>
                <c:pt idx="1216">
                  <c:v>3.6473180444351527</c:v>
                </c:pt>
                <c:pt idx="1217">
                  <c:v>15.248516097265707</c:v>
                </c:pt>
                <c:pt idx="1218">
                  <c:v>12.297833456561293</c:v>
                </c:pt>
                <c:pt idx="1219">
                  <c:v>9.3964681751524779</c:v>
                </c:pt>
                <c:pt idx="1220">
                  <c:v>8.5937376123348486</c:v>
                </c:pt>
                <c:pt idx="1221">
                  <c:v>6.3416896902216138</c:v>
                </c:pt>
                <c:pt idx="1222">
                  <c:v>2.1456183058698031</c:v>
                </c:pt>
                <c:pt idx="1223">
                  <c:v>5.9389591274039901</c:v>
                </c:pt>
                <c:pt idx="1224">
                  <c:v>5.7375938459951925</c:v>
                </c:pt>
                <c:pt idx="1225">
                  <c:v>5.6362285645863608</c:v>
                </c:pt>
                <c:pt idx="1226">
                  <c:v>0.64425302446099408</c:v>
                </c:pt>
                <c:pt idx="1227">
                  <c:v>5.2841806424731459</c:v>
                </c:pt>
                <c:pt idx="1228">
                  <c:v>0.44152246164335907</c:v>
                </c:pt>
                <c:pt idx="1229">
                  <c:v>0.44015718023455008</c:v>
                </c:pt>
                <c:pt idx="1230">
                  <c:v>-0.15574697553900307</c:v>
                </c:pt>
                <c:pt idx="1231">
                  <c:v>-0.45574697553901444</c:v>
                </c:pt>
                <c:pt idx="1232">
                  <c:v>3.859605577114479</c:v>
                </c:pt>
                <c:pt idx="1233">
                  <c:v>3.8075576550012471</c:v>
                </c:pt>
                <c:pt idx="1234">
                  <c:v>3.6075576550012585</c:v>
                </c:pt>
                <c:pt idx="1235">
                  <c:v>3.5568750142968497</c:v>
                </c:pt>
                <c:pt idx="1236">
                  <c:v>3.3473180444351556</c:v>
                </c:pt>
                <c:pt idx="1237">
                  <c:v>3.2939048409131004</c:v>
                </c:pt>
                <c:pt idx="1238">
                  <c:v>3.3432222002087002</c:v>
                </c:pt>
                <c:pt idx="1239">
                  <c:v>2.8966354037307411</c:v>
                </c:pt>
                <c:pt idx="1240">
                  <c:v>2.6445874816175206</c:v>
                </c:pt>
                <c:pt idx="1241">
                  <c:v>2.2911742780954825</c:v>
                </c:pt>
                <c:pt idx="1242">
                  <c:v>2.2391263559822647</c:v>
                </c:pt>
                <c:pt idx="1243">
                  <c:v>2.0829825896425831</c:v>
                </c:pt>
                <c:pt idx="1244">
                  <c:v>8.1802520268249594</c:v>
                </c:pt>
                <c:pt idx="1245">
                  <c:v>9.229569386120545</c:v>
                </c:pt>
                <c:pt idx="1246">
                  <c:v>8.0322999489381743</c:v>
                </c:pt>
                <c:pt idx="1247">
                  <c:v>6.4981679137178077</c:v>
                </c:pt>
                <c:pt idx="1248">
                  <c:v>3.6954373509001783</c:v>
                </c:pt>
                <c:pt idx="1249">
                  <c:v>3.689976225264914</c:v>
                </c:pt>
                <c:pt idx="1250">
                  <c:v>3.7365630217428958</c:v>
                </c:pt>
                <c:pt idx="1251">
                  <c:v>3.4270060518811931</c:v>
                </c:pt>
                <c:pt idx="1252">
                  <c:v>3.4735928483591465</c:v>
                </c:pt>
                <c:pt idx="1253">
                  <c:v>3.611987956384219</c:v>
                </c:pt>
                <c:pt idx="1254">
                  <c:v>3.6092573935665868</c:v>
                </c:pt>
                <c:pt idx="1255">
                  <c:v>-11.050285849903744</c:v>
                </c:pt>
                <c:pt idx="1256">
                  <c:v>3.5285385618682596</c:v>
                </c:pt>
                <c:pt idx="1257">
                  <c:v>3.1326344060947093</c:v>
                </c:pt>
                <c:pt idx="1258">
                  <c:v>2.8819517653902835</c:v>
                </c:pt>
                <c:pt idx="1259">
                  <c:v>2.6380955317299595</c:v>
                </c:pt>
                <c:pt idx="1260">
                  <c:v>-10.624178274558005</c:v>
                </c:pt>
                <c:pt idx="1261">
                  <c:v>-10.763938663991894</c:v>
                </c:pt>
                <c:pt idx="1262">
                  <c:v>-0.90729321191744816</c:v>
                </c:pt>
                <c:pt idx="1263">
                  <c:v>-1.2113890561439007</c:v>
                </c:pt>
                <c:pt idx="1264">
                  <c:v>-1.6168501817791565</c:v>
                </c:pt>
                <c:pt idx="1265">
                  <c:v>-13.515986586105114</c:v>
                </c:pt>
                <c:pt idx="1266">
                  <c:v>-2.3948384506598543</c:v>
                </c:pt>
                <c:pt idx="1267">
                  <c:v>4.3092573935665897</c:v>
                </c:pt>
                <c:pt idx="1268">
                  <c:v>-3.4496169355907043</c:v>
                </c:pt>
                <c:pt idx="1269">
                  <c:v>-3.8221440788361534</c:v>
                </c:pt>
                <c:pt idx="1270">
                  <c:v>-20.473495633853602</c:v>
                </c:pt>
                <c:pt idx="1271">
                  <c:v>-4.6192462874402693</c:v>
                </c:pt>
                <c:pt idx="1272">
                  <c:v>-23.231004681602073</c:v>
                </c:pt>
                <c:pt idx="1273">
                  <c:v>-0.13153382011959991</c:v>
                </c:pt>
                <c:pt idx="1274">
                  <c:v>2.5143840620453233</c:v>
                </c:pt>
                <c:pt idx="1275">
                  <c:v>2.4623361399321055</c:v>
                </c:pt>
                <c:pt idx="1276">
                  <c:v>2.3089229364100703</c:v>
                </c:pt>
                <c:pt idx="1277">
                  <c:v>2.2568750142968526</c:v>
                </c:pt>
                <c:pt idx="1278">
                  <c:v>2.1034618107748031</c:v>
                </c:pt>
                <c:pt idx="1279">
                  <c:v>6.8843478710514034</c:v>
                </c:pt>
                <c:pt idx="1280">
                  <c:v>2.1020965293659941</c:v>
                </c:pt>
                <c:pt idx="1281">
                  <c:v>1.9500486072527821</c:v>
                </c:pt>
                <c:pt idx="1282">
                  <c:v>1.9473180444351499</c:v>
                </c:pt>
                <c:pt idx="1283">
                  <c:v>-5.209160179061044</c:v>
                </c:pt>
                <c:pt idx="1284">
                  <c:v>1.7911742780954825</c:v>
                </c:pt>
                <c:pt idx="1285">
                  <c:v>9.7363957931646326</c:v>
                </c:pt>
                <c:pt idx="1286">
                  <c:v>6.9829825896425888</c:v>
                </c:pt>
                <c:pt idx="1287">
                  <c:v>6.0322999489381743</c:v>
                </c:pt>
                <c:pt idx="1288">
                  <c:v>-4.710525460469853</c:v>
                </c:pt>
                <c:pt idx="1289">
                  <c:v>-0.87862230233234584</c:v>
                </c:pt>
                <c:pt idx="1290">
                  <c:v>-1.0293049430367489</c:v>
                </c:pt>
                <c:pt idx="1291">
                  <c:v>-1.1306702244455522</c:v>
                </c:pt>
                <c:pt idx="1292">
                  <c:v>-1.2334007872631929</c:v>
                </c:pt>
                <c:pt idx="1293">
                  <c:v>-10.214621304696294</c:v>
                </c:pt>
                <c:pt idx="1294">
                  <c:v>-10.762573382583085</c:v>
                </c:pt>
                <c:pt idx="1295">
                  <c:v>-1.5950056792381133</c:v>
                </c:pt>
                <c:pt idx="1296">
                  <c:v>-1.7963709606469394</c:v>
                </c:pt>
                <c:pt idx="1297">
                  <c:v>-11.813256023287479</c:v>
                </c:pt>
                <c:pt idx="1298">
                  <c:v>-2.3497841641689661</c:v>
                </c:pt>
                <c:pt idx="1299">
                  <c:v>-2.7511494455777807</c:v>
                </c:pt>
                <c:pt idx="1300">
                  <c:v>-3.1018320862821938</c:v>
                </c:pt>
                <c:pt idx="1301">
                  <c:v>-1.7293049430367375</c:v>
                </c:pt>
                <c:pt idx="1302">
                  <c:v>-1.9320355058543726</c:v>
                </c:pt>
                <c:pt idx="1303">
                  <c:v>-11.899603209199341</c:v>
                </c:pt>
                <c:pt idx="1304">
                  <c:v>-11.415986586105106</c:v>
                </c:pt>
                <c:pt idx="1305">
                  <c:v>-2.8429577571248927</c:v>
                </c:pt>
                <c:pt idx="1306">
                  <c:v>-3.2977362420557483</c:v>
                </c:pt>
                <c:pt idx="1307">
                  <c:v>-3.7018320862821952</c:v>
                </c:pt>
                <c:pt idx="1308">
                  <c:v>-14.363938663991895</c:v>
                </c:pt>
                <c:pt idx="1309">
                  <c:v>-4.6593411340306687</c:v>
                </c:pt>
                <c:pt idx="1310">
                  <c:v>-0.6634369782571099</c:v>
                </c:pt>
                <c:pt idx="1311">
                  <c:v>-5.7168501817791508</c:v>
                </c:pt>
                <c:pt idx="1312">
                  <c:v>3.8677972655673756</c:v>
                </c:pt>
                <c:pt idx="1313">
                  <c:v>3.7184799062717673</c:v>
                </c:pt>
                <c:pt idx="1314">
                  <c:v>3.5157493434541465</c:v>
                </c:pt>
                <c:pt idx="1315">
                  <c:v>3.2650667027497349</c:v>
                </c:pt>
                <c:pt idx="1316">
                  <c:v>3.1143840620453318</c:v>
                </c:pt>
                <c:pt idx="1317">
                  <c:v>2.9623361399321055</c:v>
                </c:pt>
                <c:pt idx="1318">
                  <c:v>2.9116534992276968</c:v>
                </c:pt>
                <c:pt idx="1319">
                  <c:v>2.7116534992276939</c:v>
                </c:pt>
                <c:pt idx="1320">
                  <c:v>2.5609708585232909</c:v>
                </c:pt>
                <c:pt idx="1321">
                  <c:v>2.0596055771144819</c:v>
                </c:pt>
                <c:pt idx="1322">
                  <c:v>2.0102882178188821</c:v>
                </c:pt>
                <c:pt idx="1323">
                  <c:v>-3.7598428197654528</c:v>
                </c:pt>
                <c:pt idx="1324">
                  <c:v>3.7843478710514091</c:v>
                </c:pt>
                <c:pt idx="1325">
                  <c:v>3.6829825896425916</c:v>
                </c:pt>
                <c:pt idx="1326">
                  <c:v>3.7309346675293682</c:v>
                </c:pt>
                <c:pt idx="1327">
                  <c:v>-4.3105254604698473</c:v>
                </c:pt>
                <c:pt idx="1328">
                  <c:v>3.6775214640073273</c:v>
                </c:pt>
                <c:pt idx="1329">
                  <c:v>3.6761561825985183</c:v>
                </c:pt>
                <c:pt idx="1330">
                  <c:v>3.7254735418941181</c:v>
                </c:pt>
                <c:pt idx="1331">
                  <c:v>3.7254735418941181</c:v>
                </c:pt>
                <c:pt idx="1332">
                  <c:v>3.7254735418941181</c:v>
                </c:pt>
                <c:pt idx="1333">
                  <c:v>3.6747909011896951</c:v>
                </c:pt>
                <c:pt idx="1334">
                  <c:v>3.6254735418941095</c:v>
                </c:pt>
                <c:pt idx="1335">
                  <c:v>3.6747909011896951</c:v>
                </c:pt>
                <c:pt idx="1336">
                  <c:v>3.6241082604852863</c:v>
                </c:pt>
                <c:pt idx="1337">
                  <c:v>3.4734256197808833</c:v>
                </c:pt>
                <c:pt idx="1338">
                  <c:v>-6.6643005739311505</c:v>
                </c:pt>
                <c:pt idx="1339">
                  <c:v>-21.280322040897673</c:v>
                </c:pt>
                <c:pt idx="1340">
                  <c:v>-7.6288032573019677</c:v>
                </c:pt>
                <c:pt idx="1341">
                  <c:v>-8.0835817422328162</c:v>
                </c:pt>
                <c:pt idx="1342">
                  <c:v>-8.5876775864592574</c:v>
                </c:pt>
                <c:pt idx="1343">
                  <c:v>-9.1438213527989305</c:v>
                </c:pt>
                <c:pt idx="1344">
                  <c:v>-9.6492824784341877</c:v>
                </c:pt>
                <c:pt idx="1345">
                  <c:v>-30.078956759488861</c:v>
                </c:pt>
                <c:pt idx="1346">
                  <c:v>0.22683882330291283</c:v>
                </c:pt>
                <c:pt idx="1347">
                  <c:v>0.17752146400732727</c:v>
                </c:pt>
                <c:pt idx="1348">
                  <c:v>0.17615618259851828</c:v>
                </c:pt>
                <c:pt idx="1349">
                  <c:v>7.4790901189700776E-2</c:v>
                </c:pt>
                <c:pt idx="1350">
                  <c:v>-2.6574380219116733E-2</c:v>
                </c:pt>
                <c:pt idx="1351">
                  <c:v>-2.9304943036748909E-2</c:v>
                </c:pt>
                <c:pt idx="1352">
                  <c:v>-7.9987583741143453E-2</c:v>
                </c:pt>
                <c:pt idx="1353">
                  <c:v>-9.8996032091993413</c:v>
                </c:pt>
                <c:pt idx="1354">
                  <c:v>-9.8996032091993413</c:v>
                </c:pt>
                <c:pt idx="1355">
                  <c:v>-9.0146213046962913</c:v>
                </c:pt>
                <c:pt idx="1356">
                  <c:v>-9.0680345082183464</c:v>
                </c:pt>
                <c:pt idx="1357">
                  <c:v>-0.19500567923812184</c:v>
                </c:pt>
                <c:pt idx="1358">
                  <c:v>-10.013256023287482</c:v>
                </c:pt>
                <c:pt idx="1359">
                  <c:v>-0.20319736769100416</c:v>
                </c:pt>
                <c:pt idx="1360">
                  <c:v>-0.20865849332626851</c:v>
                </c:pt>
                <c:pt idx="1361">
                  <c:v>1.514885747780113</c:v>
                </c:pt>
                <c:pt idx="1362">
                  <c:v>9.6985023708743299</c:v>
                </c:pt>
                <c:pt idx="1363">
                  <c:v>-16.03100468160207</c:v>
                </c:pt>
                <c:pt idx="1364">
                  <c:v>1.6698314612892133</c:v>
                </c:pt>
                <c:pt idx="1365">
                  <c:v>1.5095918507231119</c:v>
                </c:pt>
                <c:pt idx="1366">
                  <c:v>1.0452563959305508</c:v>
                </c:pt>
                <c:pt idx="1367">
                  <c:v>1.0288730190247719</c:v>
                </c:pt>
                <c:pt idx="1368">
                  <c:v>0.86999868986747941</c:v>
                </c:pt>
                <c:pt idx="1369">
                  <c:v>0.86317228282339897</c:v>
                </c:pt>
                <c:pt idx="1370">
                  <c:v>0.76180700141458146</c:v>
                </c:pt>
                <c:pt idx="1371">
                  <c:v>0.61248964211900159</c:v>
                </c:pt>
                <c:pt idx="1372">
                  <c:v>0.32068133057188675</c:v>
                </c:pt>
                <c:pt idx="1373">
                  <c:v>-6.1570011113524004E-2</c:v>
                </c:pt>
                <c:pt idx="1374">
                  <c:v>-0.44109078998130258</c:v>
                </c:pt>
                <c:pt idx="1375">
                  <c:v>-0.71924628744027075</c:v>
                </c:pt>
                <c:pt idx="1376">
                  <c:v>7.862168911353848</c:v>
                </c:pt>
                <c:pt idx="1377">
                  <c:v>5.0976662279830407</c:v>
                </c:pt>
                <c:pt idx="1378">
                  <c:v>7.4101209892406246</c:v>
                </c:pt>
                <c:pt idx="1379">
                  <c:v>7.6087557078318042</c:v>
                </c:pt>
                <c:pt idx="1380">
                  <c:v>7.4580730671274154</c:v>
                </c:pt>
                <c:pt idx="1381">
                  <c:v>7.2567077857185893</c:v>
                </c:pt>
                <c:pt idx="1382">
                  <c:v>4.0469835872786177</c:v>
                </c:pt>
                <c:pt idx="1383">
                  <c:v>14.952611941492151</c:v>
                </c:pt>
                <c:pt idx="1384">
                  <c:v>14.001929300787737</c:v>
                </c:pt>
                <c:pt idx="1385">
                  <c:v>7.1991987379701072</c:v>
                </c:pt>
                <c:pt idx="1386">
                  <c:v>7.2978334565612926</c:v>
                </c:pt>
                <c:pt idx="1387">
                  <c:v>5.8951028937436689</c:v>
                </c:pt>
                <c:pt idx="1388">
                  <c:v>5.9951028937436632</c:v>
                </c:pt>
                <c:pt idx="1389">
                  <c:v>5.9444202530392687</c:v>
                </c:pt>
                <c:pt idx="1390">
                  <c:v>5.7430549716304427</c:v>
                </c:pt>
                <c:pt idx="1391">
                  <c:v>4.0555097328880407</c:v>
                </c:pt>
                <c:pt idx="1392">
                  <c:v>4.0048270921836178</c:v>
                </c:pt>
                <c:pt idx="1393">
                  <c:v>3.9541444514792232</c:v>
                </c:pt>
                <c:pt idx="1394">
                  <c:v>3.8555097328880379</c:v>
                </c:pt>
                <c:pt idx="1395">
                  <c:v>3.7075576550012528</c:v>
                </c:pt>
                <c:pt idx="1396">
                  <c:v>3.2268388233029128</c:v>
                </c:pt>
                <c:pt idx="1397">
                  <c:v>3.1843478710514006</c:v>
                </c:pt>
                <c:pt idx="1398">
                  <c:v>3.302096529365997</c:v>
                </c:pt>
                <c:pt idx="1399">
                  <c:v>3.3527791700704057</c:v>
                </c:pt>
                <c:pt idx="1400">
                  <c:v>3.4075576550012556</c:v>
                </c:pt>
                <c:pt idx="1401">
                  <c:v>1.2172818534412215</c:v>
                </c:pt>
                <c:pt idx="1402">
                  <c:v>3.5020965293659998</c:v>
                </c:pt>
                <c:pt idx="1403">
                  <c:v>2.5802520268249651</c:v>
                </c:pt>
                <c:pt idx="1404">
                  <c:v>2.4295693861205478</c:v>
                </c:pt>
                <c:pt idx="1405">
                  <c:v>2.4802520268249566</c:v>
                </c:pt>
                <c:pt idx="1406">
                  <c:v>7.6241082604852863</c:v>
                </c:pt>
                <c:pt idx="1407">
                  <c:v>-3.6612081011742674</c:v>
                </c:pt>
                <c:pt idx="1408">
                  <c:v>2.0679644941456274</c:v>
                </c:pt>
                <c:pt idx="1409">
                  <c:v>1.8679644941456246</c:v>
                </c:pt>
                <c:pt idx="1410">
                  <c:v>-7.0132560232874823</c:v>
                </c:pt>
                <c:pt idx="1411">
                  <c:v>1.5159165720323955</c:v>
                </c:pt>
                <c:pt idx="1412">
                  <c:v>-7.4653039454007057</c:v>
                </c:pt>
                <c:pt idx="1413">
                  <c:v>-0.35900667687415222</c:v>
                </c:pt>
                <c:pt idx="1414">
                  <c:v>-0.61651572462263005</c:v>
                </c:pt>
                <c:pt idx="1415">
                  <c:v>-0.7794858980063708</c:v>
                </c:pt>
                <c:pt idx="1416">
                  <c:v>-0.99723455632096147</c:v>
                </c:pt>
                <c:pt idx="1417">
                  <c:v>-1.3615700111135212</c:v>
                </c:pt>
                <c:pt idx="1418">
                  <c:v>-22.729639400193257</c:v>
                </c:pt>
                <c:pt idx="1419">
                  <c:v>-2.673857543792856</c:v>
                </c:pt>
                <c:pt idx="1420">
                  <c:v>-25.083052603715302</c:v>
                </c:pt>
                <c:pt idx="1421">
                  <c:v>-1.9832472850763025</c:v>
                </c:pt>
                <c:pt idx="1422">
                  <c:v>-28.49124429216819</c:v>
                </c:pt>
                <c:pt idx="1423">
                  <c:v>-28.595340136394633</c:v>
                </c:pt>
                <c:pt idx="1424">
                  <c:v>-31.402333772016966</c:v>
                </c:pt>
                <c:pt idx="1425">
                  <c:v>-2.2489480212776769</c:v>
                </c:pt>
                <c:pt idx="1426">
                  <c:v>-2.4859778478939276</c:v>
                </c:pt>
                <c:pt idx="1427">
                  <c:v>-2.7641333453528958</c:v>
                </c:pt>
                <c:pt idx="1428">
                  <c:v>7.3648994741714802</c:v>
                </c:pt>
                <c:pt idx="1429">
                  <c:v>7.1128515520582596</c:v>
                </c:pt>
                <c:pt idx="1430">
                  <c:v>6.9128515520582567</c:v>
                </c:pt>
                <c:pt idx="1431">
                  <c:v>6.9621689113538565</c:v>
                </c:pt>
                <c:pt idx="1432">
                  <c:v>2.1691625469761817</c:v>
                </c:pt>
                <c:pt idx="1433">
                  <c:v>2.1677972655673727</c:v>
                </c:pt>
                <c:pt idx="1434">
                  <c:v>2.1650667027497406</c:v>
                </c:pt>
                <c:pt idx="1435">
                  <c:v>2.0623361399321141</c:v>
                </c:pt>
                <c:pt idx="1436">
                  <c:v>2.0102882178188821</c:v>
                </c:pt>
                <c:pt idx="1437">
                  <c:v>1.859605577114479</c:v>
                </c:pt>
                <c:pt idx="1438">
                  <c:v>1.7596055771144847</c:v>
                </c:pt>
                <c:pt idx="1439">
                  <c:v>1.7089229364100618</c:v>
                </c:pt>
                <c:pt idx="1440">
                  <c:v>-8.8257219045289048E-3</c:v>
                </c:pt>
                <c:pt idx="1441">
                  <c:v>-0.25950836260892629</c:v>
                </c:pt>
                <c:pt idx="1442">
                  <c:v>-0.71019100331334073</c:v>
                </c:pt>
                <c:pt idx="1443">
                  <c:v>-1.3115562847221582</c:v>
                </c:pt>
                <c:pt idx="1444">
                  <c:v>-1.864969488244185</c:v>
                </c:pt>
                <c:pt idx="1445">
                  <c:v>-2.3170174103574084</c:v>
                </c:pt>
                <c:pt idx="1446">
                  <c:v>-2.4197479731750349</c:v>
                </c:pt>
                <c:pt idx="1447">
                  <c:v>-2.5717958952882611</c:v>
                </c:pt>
                <c:pt idx="1448">
                  <c:v>-2.6731611766970786</c:v>
                </c:pt>
                <c:pt idx="1449">
                  <c:v>-2.5306702244455579</c:v>
                </c:pt>
                <c:pt idx="1450">
                  <c:v>-2.9690653324706204</c:v>
                </c:pt>
                <c:pt idx="1451">
                  <c:v>-3.422478535992667</c:v>
                </c:pt>
                <c:pt idx="1452">
                  <c:v>-3.7799875837411463</c:v>
                </c:pt>
                <c:pt idx="1453">
                  <c:v>4.4980006851395444</c:v>
                </c:pt>
                <c:pt idx="1454">
                  <c:v>4.4473180444351499</c:v>
                </c:pt>
                <c:pt idx="1455">
                  <c:v>4.2966354037307326</c:v>
                </c:pt>
                <c:pt idx="1456">
                  <c:v>4.1459527630263295</c:v>
                </c:pt>
                <c:pt idx="1457">
                  <c:v>4.0939048409131118</c:v>
                </c:pt>
                <c:pt idx="1458">
                  <c:v>-3.1091601790610355</c:v>
                </c:pt>
                <c:pt idx="1459">
                  <c:v>3.8911742780954768</c:v>
                </c:pt>
                <c:pt idx="1460">
                  <c:v>3.839126355982259</c:v>
                </c:pt>
                <c:pt idx="1461">
                  <c:v>3.6870784338690328</c:v>
                </c:pt>
                <c:pt idx="1462">
                  <c:v>3.6309346675293739</c:v>
                </c:pt>
                <c:pt idx="1463">
                  <c:v>3.3227429790764802</c:v>
                </c:pt>
                <c:pt idx="1464">
                  <c:v>3.4227429790764887</c:v>
                </c:pt>
                <c:pt idx="1465">
                  <c:v>3.2706950569632625</c:v>
                </c:pt>
                <c:pt idx="1466">
                  <c:v>3.169329775554445</c:v>
                </c:pt>
                <c:pt idx="1467">
                  <c:v>3.0693297755544364</c:v>
                </c:pt>
                <c:pt idx="1468">
                  <c:v>-1.9540472369736648</c:v>
                </c:pt>
                <c:pt idx="1469">
                  <c:v>-2.106095159086891</c:v>
                </c:pt>
                <c:pt idx="1470">
                  <c:v>-2.3567777997912884</c:v>
                </c:pt>
                <c:pt idx="1471">
                  <c:v>-2.4581430812001059</c:v>
                </c:pt>
                <c:pt idx="1472">
                  <c:v>-2.6595083626089178</c:v>
                </c:pt>
                <c:pt idx="1473">
                  <c:v>-2.8608736440177438</c:v>
                </c:pt>
                <c:pt idx="1474">
                  <c:v>-3.1129215661309644</c:v>
                </c:pt>
                <c:pt idx="1475">
                  <c:v>-3.8427905285466295</c:v>
                </c:pt>
                <c:pt idx="1476">
                  <c:v>-4.0441558099554484</c:v>
                </c:pt>
                <c:pt idx="1477">
                  <c:v>-4.1989342948862998</c:v>
                </c:pt>
                <c:pt idx="1478">
                  <c:v>-17.621447711740373</c:v>
                </c:pt>
                <c:pt idx="1479">
                  <c:v>-4.2687308753141124</c:v>
                </c:pt>
                <c:pt idx="1480">
                  <c:v>-4.3276052044714106</c:v>
                </c:pt>
                <c:pt idx="1481">
                  <c:v>-4.4330663301066693</c:v>
                </c:pt>
                <c:pt idx="1482">
                  <c:v>2.359605577114479</c:v>
                </c:pt>
                <c:pt idx="1483">
                  <c:v>2.3582402957056701</c:v>
                </c:pt>
                <c:pt idx="1484">
                  <c:v>2.2075576550012528</c:v>
                </c:pt>
                <c:pt idx="1485">
                  <c:v>-4.007794897652218</c:v>
                </c:pt>
                <c:pt idx="1486">
                  <c:v>2.2048270921836206</c:v>
                </c:pt>
                <c:pt idx="1487">
                  <c:v>2.1514138886615939</c:v>
                </c:pt>
                <c:pt idx="1488">
                  <c:v>2.1527791700704029</c:v>
                </c:pt>
                <c:pt idx="1489">
                  <c:v>2.1020965293659941</c:v>
                </c:pt>
                <c:pt idx="1490">
                  <c:v>2.1007312479571851</c:v>
                </c:pt>
                <c:pt idx="1491">
                  <c:v>-4.5584775383566409</c:v>
                </c:pt>
                <c:pt idx="1492">
                  <c:v>2.0486833258439674</c:v>
                </c:pt>
                <c:pt idx="1493">
                  <c:v>1.9473180444351499</c:v>
                </c:pt>
                <c:pt idx="1494">
                  <c:v>1.9459527630263409</c:v>
                </c:pt>
                <c:pt idx="1495">
                  <c:v>1.9445874816175177</c:v>
                </c:pt>
                <c:pt idx="1496">
                  <c:v>1.7939048409131004</c:v>
                </c:pt>
                <c:pt idx="1497">
                  <c:v>1.9350305117558122</c:v>
                </c:pt>
                <c:pt idx="1498">
                  <c:v>1.8843478710514034</c:v>
                </c:pt>
                <c:pt idx="1499">
                  <c:v>8.9829825896425888</c:v>
                </c:pt>
                <c:pt idx="1500">
                  <c:v>7.0816173082337741</c:v>
                </c:pt>
                <c:pt idx="1501">
                  <c:v>5.229569386120545</c:v>
                </c:pt>
                <c:pt idx="1502">
                  <c:v>2.4268388233029157</c:v>
                </c:pt>
                <c:pt idx="1503">
                  <c:v>1.4254735418941209</c:v>
                </c:pt>
                <c:pt idx="1504">
                  <c:v>1.3241082604852892</c:v>
                </c:pt>
                <c:pt idx="1505">
                  <c:v>1.2734256197808804</c:v>
                </c:pt>
                <c:pt idx="1506">
                  <c:v>1.2227429790764859</c:v>
                </c:pt>
                <c:pt idx="1507">
                  <c:v>-7.2612081011742617</c:v>
                </c:pt>
                <c:pt idx="1508">
                  <c:v>1.1213776976676542</c:v>
                </c:pt>
                <c:pt idx="1509">
                  <c:v>1.0706950569632596</c:v>
                </c:pt>
                <c:pt idx="1510">
                  <c:v>-1.9064296162434147</c:v>
                </c:pt>
                <c:pt idx="1511">
                  <c:v>-2.0571122569478177</c:v>
                </c:pt>
                <c:pt idx="1512">
                  <c:v>-2.0571122569478177</c:v>
                </c:pt>
                <c:pt idx="1513">
                  <c:v>-2.1571122569478263</c:v>
                </c:pt>
                <c:pt idx="1514">
                  <c:v>-2.2064296162434118</c:v>
                </c:pt>
                <c:pt idx="1515">
                  <c:v>-2.3064296162434061</c:v>
                </c:pt>
                <c:pt idx="1516">
                  <c:v>-2.3064296162434061</c:v>
                </c:pt>
                <c:pt idx="1517">
                  <c:v>-2.4064296162434147</c:v>
                </c:pt>
                <c:pt idx="1518">
                  <c:v>-2.6064296162434033</c:v>
                </c:pt>
                <c:pt idx="1519">
                  <c:v>-2.7077948976522208</c:v>
                </c:pt>
                <c:pt idx="1520">
                  <c:v>-2.8584775383566381</c:v>
                </c:pt>
                <c:pt idx="1521">
                  <c:v>-3.0598428197654499</c:v>
                </c:pt>
                <c:pt idx="1522">
                  <c:v>-3.1612081011742674</c:v>
                </c:pt>
                <c:pt idx="1523">
                  <c:v>-3.8557469755390059</c:v>
                </c:pt>
                <c:pt idx="1524">
                  <c:v>0.82530631331584914</c:v>
                </c:pt>
                <c:pt idx="1525">
                  <c:v>-1.2598428197654528</c:v>
                </c:pt>
                <c:pt idx="1526">
                  <c:v>-1.4612081011742646</c:v>
                </c:pt>
                <c:pt idx="1527">
                  <c:v>2.7253063133158406</c:v>
                </c:pt>
                <c:pt idx="1528">
                  <c:v>2.5239410319070288</c:v>
                </c:pt>
                <c:pt idx="1529">
                  <c:v>2.322575750498217</c:v>
                </c:pt>
                <c:pt idx="1530">
                  <c:v>2.1212104690894051</c:v>
                </c:pt>
                <c:pt idx="1531">
                  <c:v>1.8691625469761846</c:v>
                </c:pt>
                <c:pt idx="1532">
                  <c:v>1.7171146248629583</c:v>
                </c:pt>
                <c:pt idx="1533">
                  <c:v>1.4157493434541379</c:v>
                </c:pt>
                <c:pt idx="1534">
                  <c:v>1.1637014213409316</c:v>
                </c:pt>
                <c:pt idx="1535">
                  <c:v>0.91165349922769678</c:v>
                </c:pt>
                <c:pt idx="1536">
                  <c:v>0.6596055771144762</c:v>
                </c:pt>
                <c:pt idx="1537">
                  <c:v>0.40755765500125563</c:v>
                </c:pt>
                <c:pt idx="1538">
                  <c:v>1.0922051023477763</c:v>
                </c:pt>
                <c:pt idx="1539">
                  <c:v>3.4541444514792232</c:v>
                </c:pt>
                <c:pt idx="1540">
                  <c:v>-0.89637096064693367</c:v>
                </c:pt>
                <c:pt idx="1541">
                  <c:v>-0.95388000839540155</c:v>
                </c:pt>
                <c:pt idx="1542">
                  <c:v>-10.913256023287488</c:v>
                </c:pt>
                <c:pt idx="1543">
                  <c:v>-1.2963709606469394</c:v>
                </c:pt>
                <c:pt idx="1544">
                  <c:v>-1.3922751164204925</c:v>
                </c:pt>
                <c:pt idx="1545">
                  <c:v>-1.3950056792381247</c:v>
                </c:pt>
                <c:pt idx="1546">
                  <c:v>-1.5086584933262657</c:v>
                </c:pt>
                <c:pt idx="1547">
                  <c:v>-1.6127543375527154</c:v>
                </c:pt>
                <c:pt idx="1548">
                  <c:v>-1.8154849003703362</c:v>
                </c:pt>
                <c:pt idx="1549">
                  <c:v>-2.0675328224835567</c:v>
                </c:pt>
                <c:pt idx="1550">
                  <c:v>-2.3607064154394806</c:v>
                </c:pt>
                <c:pt idx="1551">
                  <c:v>-2.8059279305086378</c:v>
                </c:pt>
                <c:pt idx="1552">
                  <c:v>-3.0045626490998245</c:v>
                </c:pt>
                <c:pt idx="1553">
                  <c:v>-14.224178274558</c:v>
                </c:pt>
                <c:pt idx="1554">
                  <c:v>5.4299038432770743</c:v>
                </c:pt>
                <c:pt idx="1555">
                  <c:v>-0.87965312658462835</c:v>
                </c:pt>
                <c:pt idx="1556">
                  <c:v>-1.1851142522198899</c:v>
                </c:pt>
                <c:pt idx="1557">
                  <c:v>-1.3453538627860055</c:v>
                </c:pt>
                <c:pt idx="1558">
                  <c:v>-1.4562761140565215</c:v>
                </c:pt>
                <c:pt idx="1559">
                  <c:v>-19.276226196671232</c:v>
                </c:pt>
                <c:pt idx="1560">
                  <c:v>-20.076226196671229</c:v>
                </c:pt>
                <c:pt idx="1561">
                  <c:v>-20.67622619667123</c:v>
                </c:pt>
                <c:pt idx="1562">
                  <c:v>-2.4026956819562244</c:v>
                </c:pt>
                <c:pt idx="1563">
                  <c:v>-2.3793186694281161</c:v>
                </c:pt>
                <c:pt idx="1564">
                  <c:v>-23.984417885124117</c:v>
                </c:pt>
                <c:pt idx="1565">
                  <c:v>-3.0052590161955948</c:v>
                </c:pt>
                <c:pt idx="1566">
                  <c:v>1.5360613360081032</c:v>
                </c:pt>
                <c:pt idx="1567">
                  <c:v>3.1665992127368128</c:v>
                </c:pt>
                <c:pt idx="1568">
                  <c:v>0.63469605459928857</c:v>
                </c:pt>
                <c:pt idx="1569">
                  <c:v>-1.414621304696297</c:v>
                </c:pt>
                <c:pt idx="1570">
                  <c:v>2.6570422428751073</c:v>
                </c:pt>
                <c:pt idx="1571">
                  <c:v>2.9940720694913665</c:v>
                </c:pt>
                <c:pt idx="1572">
                  <c:v>3.5654011599062585</c:v>
                </c:pt>
                <c:pt idx="1573">
                  <c:v>3.5626705970886263</c:v>
                </c:pt>
                <c:pt idx="1574">
                  <c:v>3.2694970041327025</c:v>
                </c:pt>
                <c:pt idx="1575">
                  <c:v>3.111987956384219</c:v>
                </c:pt>
                <c:pt idx="1576">
                  <c:v>2.9694970041327053</c:v>
                </c:pt>
                <c:pt idx="1577">
                  <c:v>2.6270060518811817</c:v>
                </c:pt>
                <c:pt idx="1578">
                  <c:v>2.6270060518811817</c:v>
                </c:pt>
                <c:pt idx="1579">
                  <c:v>2.5790539739944052</c:v>
                </c:pt>
                <c:pt idx="1580">
                  <c:v>2.576323411176773</c:v>
                </c:pt>
                <c:pt idx="1581">
                  <c:v>4.971893109793811</c:v>
                </c:pt>
                <c:pt idx="1582">
                  <c:v>4.971893109793811</c:v>
                </c:pt>
                <c:pt idx="1583">
                  <c:v>4.7212104690893995</c:v>
                </c:pt>
                <c:pt idx="1584">
                  <c:v>4.8759889540202579</c:v>
                </c:pt>
                <c:pt idx="1585">
                  <c:v>4.5212104690893966</c:v>
                </c:pt>
                <c:pt idx="1586">
                  <c:v>4.8212104690893938</c:v>
                </c:pt>
                <c:pt idx="1587">
                  <c:v>4.6705278283850049</c:v>
                </c:pt>
                <c:pt idx="1588">
                  <c:v>3.9171146248629611</c:v>
                </c:pt>
                <c:pt idx="1589">
                  <c:v>4.3718931097938167</c:v>
                </c:pt>
                <c:pt idx="1590">
                  <c:v>4.1677972655673727</c:v>
                </c:pt>
                <c:pt idx="1591">
                  <c:v>3.8184799062717758</c:v>
                </c:pt>
                <c:pt idx="1592">
                  <c:v>3.7691625469761902</c:v>
                </c:pt>
                <c:pt idx="1593">
                  <c:v>3.9171146248629611</c:v>
                </c:pt>
                <c:pt idx="1594">
                  <c:v>3.6677972655673727</c:v>
                </c:pt>
                <c:pt idx="1595">
                  <c:v>3.9623361399321055</c:v>
                </c:pt>
                <c:pt idx="1596">
                  <c:v>0.67615618259851828</c:v>
                </c:pt>
                <c:pt idx="1597">
                  <c:v>0.62547354189410953</c:v>
                </c:pt>
                <c:pt idx="1598">
                  <c:v>0.2761561825985126</c:v>
                </c:pt>
                <c:pt idx="1599">
                  <c:v>-7.3161176697084329E-2</c:v>
                </c:pt>
                <c:pt idx="1600">
                  <c:v>-0.27316117669708717</c:v>
                </c:pt>
                <c:pt idx="1601">
                  <c:v>-0.57316117669708433</c:v>
                </c:pt>
                <c:pt idx="1602">
                  <c:v>-0.62384381740147887</c:v>
                </c:pt>
                <c:pt idx="1603">
                  <c:v>-0.7238438174014874</c:v>
                </c:pt>
                <c:pt idx="1604">
                  <c:v>-0.87452645810589047</c:v>
                </c:pt>
                <c:pt idx="1605">
                  <c:v>-0.82930494303674607</c:v>
                </c:pt>
                <c:pt idx="1606">
                  <c:v>-0.77316117669708717</c:v>
                </c:pt>
                <c:pt idx="1607">
                  <c:v>-1.3731611766970815</c:v>
                </c:pt>
                <c:pt idx="1608">
                  <c:v>-1.3252090988103049</c:v>
                </c:pt>
                <c:pt idx="1609">
                  <c:v>0.71028821781888496</c:v>
                </c:pt>
                <c:pt idx="1610">
                  <c:v>0.6596055771144762</c:v>
                </c:pt>
                <c:pt idx="1611">
                  <c:v>0.60755765500125847</c:v>
                </c:pt>
                <c:pt idx="1612">
                  <c:v>0.55550973288804073</c:v>
                </c:pt>
                <c:pt idx="1613">
                  <c:v>0.55277917007040855</c:v>
                </c:pt>
                <c:pt idx="1614">
                  <c:v>7.7500486072527792</c:v>
                </c:pt>
                <c:pt idx="1615">
                  <c:v>4.9473180444351499</c:v>
                </c:pt>
                <c:pt idx="1616">
                  <c:v>3.1445874816175206</c:v>
                </c:pt>
                <c:pt idx="1617">
                  <c:v>1.3418569187998912</c:v>
                </c:pt>
                <c:pt idx="1618">
                  <c:v>0.43912635598226757</c:v>
                </c:pt>
                <c:pt idx="1619">
                  <c:v>0.33639579316462687</c:v>
                </c:pt>
                <c:pt idx="1620">
                  <c:v>0.3336652303470089</c:v>
                </c:pt>
                <c:pt idx="1621">
                  <c:v>0.38161730823377127</c:v>
                </c:pt>
                <c:pt idx="1622">
                  <c:v>0.32956938612053932</c:v>
                </c:pt>
                <c:pt idx="1623">
                  <c:v>-7.710525460469853</c:v>
                </c:pt>
                <c:pt idx="1624">
                  <c:v>-1.0125871089744436</c:v>
                </c:pt>
                <c:pt idx="1625">
                  <c:v>1.5778559211638452</c:v>
                </c:pt>
                <c:pt idx="1626">
                  <c:v>-1.1864795336286988</c:v>
                </c:pt>
                <c:pt idx="1627">
                  <c:v>-1.3480844256036306</c:v>
                </c:pt>
                <c:pt idx="1628">
                  <c:v>-1.6960365034904115</c:v>
                </c:pt>
                <c:pt idx="1629">
                  <c:v>-2.0494497070124496</c:v>
                </c:pt>
                <c:pt idx="1630">
                  <c:v>-19.678956759488855</c:v>
                </c:pt>
                <c:pt idx="1631">
                  <c:v>-0.9806839508369265</c:v>
                </c:pt>
                <c:pt idx="1632">
                  <c:v>6.342693061691179</c:v>
                </c:pt>
                <c:pt idx="1633">
                  <c:v>-0.97642087803222921</c:v>
                </c:pt>
                <c:pt idx="1634">
                  <c:v>-0.10149762912566729</c:v>
                </c:pt>
                <c:pt idx="1635">
                  <c:v>7.9388431150917427E-2</c:v>
                </c:pt>
                <c:pt idx="1636">
                  <c:v>0.15890921001869884</c:v>
                </c:pt>
                <c:pt idx="1637">
                  <c:v>0.18501678536443933</c:v>
                </c:pt>
                <c:pt idx="1638">
                  <c:v>0.79201042098677732</c:v>
                </c:pt>
                <c:pt idx="1639">
                  <c:v>1.3510519787223245</c:v>
                </c:pt>
                <c:pt idx="1640">
                  <c:v>1.7703331470239974</c:v>
                </c:pt>
                <c:pt idx="1641">
                  <c:v>-27.693974854985818</c:v>
                </c:pt>
                <c:pt idx="1642">
                  <c:v>-31.853016412721381</c:v>
                </c:pt>
                <c:pt idx="1643">
                  <c:v>2.3623086871493655</c:v>
                </c:pt>
                <c:pt idx="1644">
                  <c:v>2.3582128429229172</c:v>
                </c:pt>
                <c:pt idx="1645">
                  <c:v>2.1636739685581787</c:v>
                </c:pt>
                <c:pt idx="1646">
                  <c:v>-29.198070699212266</c:v>
                </c:pt>
                <c:pt idx="1647">
                  <c:v>1.5334705489859957</c:v>
                </c:pt>
                <c:pt idx="1648">
                  <c:v>1.1978060037785525</c:v>
                </c:pt>
              </c:numCache>
            </c:numRef>
          </c:yVal>
          <c:smooth val="0"/>
          <c:extLst>
            <c:ext xmlns:c16="http://schemas.microsoft.com/office/drawing/2014/chart" uri="{C3380CC4-5D6E-409C-BE32-E72D297353CC}">
              <c16:uniqueId val="{00000001-0C93-4ABB-8D0F-B51FCECE8CDD}"/>
            </c:ext>
          </c:extLst>
        </c:ser>
        <c:dLbls>
          <c:showLegendKey val="0"/>
          <c:showVal val="0"/>
          <c:showCatName val="0"/>
          <c:showSerName val="0"/>
          <c:showPercent val="0"/>
          <c:showBubbleSize val="0"/>
        </c:dLbls>
        <c:axId val="145748111"/>
        <c:axId val="145757711"/>
      </c:scatterChart>
      <c:valAx>
        <c:axId val="145748111"/>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45757711"/>
        <c:crosses val="autoZero"/>
        <c:crossBetween val="midCat"/>
      </c:valAx>
      <c:valAx>
        <c:axId val="145757711"/>
        <c:scaling>
          <c:orientation val="minMax"/>
        </c:scaling>
        <c:delete val="0"/>
        <c:axPos val="l"/>
        <c:title>
          <c:tx>
            <c:rich>
              <a:bodyPr/>
              <a:lstStyle/>
              <a:p>
                <a:pPr>
                  <a:defRPr/>
                </a:pPr>
                <a:r>
                  <a:rPr lang="en-US"/>
                  <a:t>Residuals</a:t>
                </a:r>
              </a:p>
            </c:rich>
          </c:tx>
          <c:overlay val="0"/>
        </c:title>
        <c:numFmt formatCode="0" sourceLinked="0"/>
        <c:majorTickMark val="out"/>
        <c:minorTickMark val="none"/>
        <c:tickLblPos val="nextTo"/>
        <c:crossAx val="14574811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Normal Q-Q</a:t>
            </a:r>
          </a:p>
        </c:rich>
      </c:tx>
      <c:overlay val="0"/>
      <c:spPr>
        <a:solidFill>
          <a:srgbClr val="CAEDFB"/>
        </a:solidFill>
      </c:sp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1649"/>
                <c:pt idx="0">
                  <c:v>-3.4287229888501014</c:v>
                </c:pt>
                <c:pt idx="1">
                  <c:v>-3.118249953252767</c:v>
                </c:pt>
                <c:pt idx="2">
                  <c:v>-2.9644605992605717</c:v>
                </c:pt>
                <c:pt idx="3">
                  <c:v>-2.9644605992605717</c:v>
                </c:pt>
                <c:pt idx="4">
                  <c:v>-2.7786903070508315</c:v>
                </c:pt>
                <c:pt idx="5">
                  <c:v>-2.7786903070508315</c:v>
                </c:pt>
                <c:pt idx="6">
                  <c:v>-2.6570161854420777</c:v>
                </c:pt>
                <c:pt idx="7">
                  <c:v>-2.6570161854420777</c:v>
                </c:pt>
                <c:pt idx="8">
                  <c:v>-2.5652792972685243</c:v>
                </c:pt>
                <c:pt idx="9">
                  <c:v>-2.5264513477970261</c:v>
                </c:pt>
                <c:pt idx="10">
                  <c:v>-2.5264513477970261</c:v>
                </c:pt>
                <c:pt idx="11">
                  <c:v>-2.5264513477970261</c:v>
                </c:pt>
                <c:pt idx="12">
                  <c:v>-2.4285172603656537</c:v>
                </c:pt>
                <c:pt idx="13">
                  <c:v>-2.4004805754973497</c:v>
                </c:pt>
                <c:pt idx="14">
                  <c:v>-2.3742127090260081</c:v>
                </c:pt>
                <c:pt idx="15">
                  <c:v>-2.3494875599978426</c:v>
                </c:pt>
                <c:pt idx="16">
                  <c:v>-2.3261203997549518</c:v>
                </c:pt>
                <c:pt idx="17">
                  <c:v>-2.3261203997549518</c:v>
                </c:pt>
                <c:pt idx="18">
                  <c:v>-2.3261203997549518</c:v>
                </c:pt>
                <c:pt idx="19">
                  <c:v>-2.3261203997549518</c:v>
                </c:pt>
                <c:pt idx="20">
                  <c:v>-2.2435160869312201</c:v>
                </c:pt>
                <c:pt idx="21">
                  <c:v>-2.2435160869312201</c:v>
                </c:pt>
                <c:pt idx="22">
                  <c:v>-2.2073550198913567</c:v>
                </c:pt>
                <c:pt idx="23">
                  <c:v>-2.2073550198913567</c:v>
                </c:pt>
                <c:pt idx="24">
                  <c:v>-2.1738689464820578</c:v>
                </c:pt>
                <c:pt idx="25">
                  <c:v>-2.1579999581558846</c:v>
                </c:pt>
                <c:pt idx="26">
                  <c:v>-2.1426564926871321</c:v>
                </c:pt>
                <c:pt idx="27">
                  <c:v>-2.1426564926871321</c:v>
                </c:pt>
                <c:pt idx="28">
                  <c:v>-2.1426564926871321</c:v>
                </c:pt>
                <c:pt idx="29">
                  <c:v>-2.0994271873972417</c:v>
                </c:pt>
                <c:pt idx="30">
                  <c:v>-2.0994271873972417</c:v>
                </c:pt>
                <c:pt idx="31">
                  <c:v>-2.0994271873972417</c:v>
                </c:pt>
                <c:pt idx="32">
                  <c:v>-2.0597982810364517</c:v>
                </c:pt>
                <c:pt idx="33">
                  <c:v>-2.0597982810364517</c:v>
                </c:pt>
                <c:pt idx="34">
                  <c:v>-2.0597982810364517</c:v>
                </c:pt>
                <c:pt idx="35">
                  <c:v>-2.0231624874260845</c:v>
                </c:pt>
                <c:pt idx="36">
                  <c:v>-2.0231624874260845</c:v>
                </c:pt>
                <c:pt idx="37">
                  <c:v>-2.0001681446016244</c:v>
                </c:pt>
                <c:pt idx="38">
                  <c:v>-1.9890565032593337</c:v>
                </c:pt>
                <c:pt idx="39">
                  <c:v>-1.9781851538562727</c:v>
                </c:pt>
                <c:pt idx="40">
                  <c:v>-1.9675426916276542</c:v>
                </c:pt>
                <c:pt idx="41">
                  <c:v>-1.957118520190694</c:v>
                </c:pt>
                <c:pt idx="42">
                  <c:v>-1.94690277624242</c:v>
                </c:pt>
                <c:pt idx="43">
                  <c:v>-1.9368862628682149</c:v>
                </c:pt>
                <c:pt idx="44">
                  <c:v>-1.9270603903023944</c:v>
                </c:pt>
                <c:pt idx="45">
                  <c:v>-1.9270603903023944</c:v>
                </c:pt>
                <c:pt idx="46">
                  <c:v>-1.907948933309944</c:v>
                </c:pt>
                <c:pt idx="47">
                  <c:v>-1.8986487576703672</c:v>
                </c:pt>
                <c:pt idx="48">
                  <c:v>-1.8895099603334302</c:v>
                </c:pt>
                <c:pt idx="49">
                  <c:v>-1.8805262984826756</c:v>
                </c:pt>
                <c:pt idx="50">
                  <c:v>-1.8805262984826756</c:v>
                </c:pt>
                <c:pt idx="51">
                  <c:v>-1.8630011940066851</c:v>
                </c:pt>
                <c:pt idx="52">
                  <c:v>-1.8544489690938102</c:v>
                </c:pt>
                <c:pt idx="53">
                  <c:v>-1.8544489690938102</c:v>
                </c:pt>
                <c:pt idx="54">
                  <c:v>-1.8544489690938102</c:v>
                </c:pt>
                <c:pt idx="55">
                  <c:v>-1.8295749434197282</c:v>
                </c:pt>
                <c:pt idx="56">
                  <c:v>-1.8215296776288319</c:v>
                </c:pt>
                <c:pt idx="57">
                  <c:v>-1.8215296776288319</c:v>
                </c:pt>
                <c:pt idx="58">
                  <c:v>-1.8215296776288319</c:v>
                </c:pt>
                <c:pt idx="59">
                  <c:v>-1.7980761038936304</c:v>
                </c:pt>
                <c:pt idx="60">
                  <c:v>-1.7980761038936304</c:v>
                </c:pt>
                <c:pt idx="61">
                  <c:v>-1.7980761038936304</c:v>
                </c:pt>
                <c:pt idx="62">
                  <c:v>-1.7755718253255368</c:v>
                </c:pt>
                <c:pt idx="63">
                  <c:v>-1.7755718253255368</c:v>
                </c:pt>
                <c:pt idx="64">
                  <c:v>-1.7610542000458449</c:v>
                </c:pt>
                <c:pt idx="65">
                  <c:v>-1.7610542000458449</c:v>
                </c:pt>
                <c:pt idx="66">
                  <c:v>-1.7468985212689381</c:v>
                </c:pt>
                <c:pt idx="67">
                  <c:v>-1.739949995904148</c:v>
                </c:pt>
                <c:pt idx="68">
                  <c:v>-1.7330844772440359</c:v>
                </c:pt>
                <c:pt idx="69">
                  <c:v>-1.7262996894247766</c:v>
                </c:pt>
                <c:pt idx="70">
                  <c:v>-1.7262996894247766</c:v>
                </c:pt>
                <c:pt idx="71">
                  <c:v>-1.7129636683890181</c:v>
                </c:pt>
                <c:pt idx="72">
                  <c:v>-1.7129636683890181</c:v>
                </c:pt>
                <c:pt idx="73">
                  <c:v>-1.6999255180307868</c:v>
                </c:pt>
                <c:pt idx="74">
                  <c:v>-1.6935133675401242</c:v>
                </c:pt>
                <c:pt idx="75">
                  <c:v>-1.6935133675401242</c:v>
                </c:pt>
                <c:pt idx="76">
                  <c:v>-1.6935133675401242</c:v>
                </c:pt>
                <c:pt idx="77">
                  <c:v>-1.6746834237964712</c:v>
                </c:pt>
                <c:pt idx="78">
                  <c:v>-1.6746834237964712</c:v>
                </c:pt>
                <c:pt idx="79">
                  <c:v>-1.6746834237964712</c:v>
                </c:pt>
                <c:pt idx="80">
                  <c:v>-1.6746834237964712</c:v>
                </c:pt>
                <c:pt idx="81">
                  <c:v>-1.6504653896281696</c:v>
                </c:pt>
                <c:pt idx="82">
                  <c:v>-1.6504653896281696</c:v>
                </c:pt>
                <c:pt idx="83">
                  <c:v>-1.6387108222805178</c:v>
                </c:pt>
                <c:pt idx="84">
                  <c:v>-1.6387108222805178</c:v>
                </c:pt>
                <c:pt idx="85">
                  <c:v>-1.6271784104016083</c:v>
                </c:pt>
                <c:pt idx="86">
                  <c:v>-1.6271784104016083</c:v>
                </c:pt>
                <c:pt idx="87">
                  <c:v>-1.6158584342289828</c:v>
                </c:pt>
                <c:pt idx="88">
                  <c:v>-1.6158584342289828</c:v>
                </c:pt>
                <c:pt idx="89">
                  <c:v>-1.6158584342289828</c:v>
                </c:pt>
                <c:pt idx="90">
                  <c:v>-1.6158584342289828</c:v>
                </c:pt>
                <c:pt idx="91">
                  <c:v>-1.5938200328066188</c:v>
                </c:pt>
                <c:pt idx="92">
                  <c:v>-1.5884297017318656</c:v>
                </c:pt>
                <c:pt idx="93">
                  <c:v>-1.5884297017318656</c:v>
                </c:pt>
                <c:pt idx="94">
                  <c:v>-1.5777854040319945</c:v>
                </c:pt>
                <c:pt idx="95">
                  <c:v>-1.5725296242490356</c:v>
                </c:pt>
                <c:pt idx="96">
                  <c:v>-1.5725296242490356</c:v>
                </c:pt>
                <c:pt idx="97">
                  <c:v>-1.5621464731395975</c:v>
                </c:pt>
                <c:pt idx="98">
                  <c:v>-1.5621464731395975</c:v>
                </c:pt>
                <c:pt idx="99">
                  <c:v>-1.5621464731395975</c:v>
                </c:pt>
                <c:pt idx="100">
                  <c:v>-1.5468805340999257</c:v>
                </c:pt>
                <c:pt idx="101">
                  <c:v>-1.5418711328403236</c:v>
                </c:pt>
                <c:pt idx="102">
                  <c:v>-1.5418711328403236</c:v>
                </c:pt>
                <c:pt idx="103">
                  <c:v>-1.5319668124298669</c:v>
                </c:pt>
                <c:pt idx="104">
                  <c:v>-1.5319668124298669</c:v>
                </c:pt>
                <c:pt idx="105">
                  <c:v>-1.5319668124298669</c:v>
                </c:pt>
                <c:pt idx="106">
                  <c:v>-1.5319668124298669</c:v>
                </c:pt>
                <c:pt idx="107">
                  <c:v>-1.5125970273974985</c:v>
                </c:pt>
                <c:pt idx="108">
                  <c:v>-1.5078422496152202</c:v>
                </c:pt>
                <c:pt idx="109">
                  <c:v>-1.5078422496152202</c:v>
                </c:pt>
                <c:pt idx="110">
                  <c:v>-1.4984336523422108</c:v>
                </c:pt>
                <c:pt idx="111">
                  <c:v>-1.4984336523422108</c:v>
                </c:pt>
                <c:pt idx="112">
                  <c:v>-1.4984336523422108</c:v>
                </c:pt>
                <c:pt idx="113">
                  <c:v>-1.4984336523422108</c:v>
                </c:pt>
                <c:pt idx="114">
                  <c:v>-1.4984336523422108</c:v>
                </c:pt>
                <c:pt idx="115">
                  <c:v>-1.4754749432056431</c:v>
                </c:pt>
                <c:pt idx="116">
                  <c:v>-1.4754749432056431</c:v>
                </c:pt>
                <c:pt idx="117">
                  <c:v>-1.4754749432056431</c:v>
                </c:pt>
                <c:pt idx="118">
                  <c:v>-1.462064744247453</c:v>
                </c:pt>
                <c:pt idx="119">
                  <c:v>-1.4576525936309461</c:v>
                </c:pt>
                <c:pt idx="120">
                  <c:v>-1.4576525936309461</c:v>
                </c:pt>
                <c:pt idx="121">
                  <c:v>-1.4576525936309461</c:v>
                </c:pt>
                <c:pt idx="122">
                  <c:v>-1.4445835579455348</c:v>
                </c:pt>
                <c:pt idx="123">
                  <c:v>-1.4402815816722083</c:v>
                </c:pt>
                <c:pt idx="124">
                  <c:v>-1.4402815816722083</c:v>
                </c:pt>
                <c:pt idx="125">
                  <c:v>-1.4402815816722083</c:v>
                </c:pt>
                <c:pt idx="126">
                  <c:v>-1.4402815816722083</c:v>
                </c:pt>
                <c:pt idx="127">
                  <c:v>-1.4402815816722083</c:v>
                </c:pt>
                <c:pt idx="128">
                  <c:v>-1.4191611772342045</c:v>
                </c:pt>
                <c:pt idx="129">
                  <c:v>-1.4191611772342045</c:v>
                </c:pt>
                <c:pt idx="130">
                  <c:v>-1.4191611772342045</c:v>
                </c:pt>
                <c:pt idx="131">
                  <c:v>-1.4067868590764927</c:v>
                </c:pt>
                <c:pt idx="132">
                  <c:v>-1.4067868590764927</c:v>
                </c:pt>
                <c:pt idx="133">
                  <c:v>-1.4067868590764927</c:v>
                </c:pt>
                <c:pt idx="134">
                  <c:v>-1.3946242806491973</c:v>
                </c:pt>
                <c:pt idx="135">
                  <c:v>-1.3946242806491973</c:v>
                </c:pt>
                <c:pt idx="136">
                  <c:v>-1.3946242806491973</c:v>
                </c:pt>
                <c:pt idx="137">
                  <c:v>-1.3946242806491973</c:v>
                </c:pt>
                <c:pt idx="138">
                  <c:v>-1.3946242806491973</c:v>
                </c:pt>
                <c:pt idx="139">
                  <c:v>-1.3946242806491973</c:v>
                </c:pt>
                <c:pt idx="140">
                  <c:v>-1.3946242806491973</c:v>
                </c:pt>
                <c:pt idx="141">
                  <c:v>-1.3946242806491973</c:v>
                </c:pt>
                <c:pt idx="142">
                  <c:v>-1.3946242806491973</c:v>
                </c:pt>
                <c:pt idx="143">
                  <c:v>-1.3593210527266006</c:v>
                </c:pt>
                <c:pt idx="144">
                  <c:v>-1.3593210527266006</c:v>
                </c:pt>
                <c:pt idx="145">
                  <c:v>-1.3517022399306602</c:v>
                </c:pt>
                <c:pt idx="146">
                  <c:v>-1.3517022399306602</c:v>
                </c:pt>
                <c:pt idx="147">
                  <c:v>-1.3441610904494867</c:v>
                </c:pt>
                <c:pt idx="148">
                  <c:v>-1.3404190152831756</c:v>
                </c:pt>
                <c:pt idx="149">
                  <c:v>-1.3366956165977166</c:v>
                </c:pt>
                <c:pt idx="150">
                  <c:v>-1.3329906577816031</c:v>
                </c:pt>
                <c:pt idx="151">
                  <c:v>-1.3329906577816031</c:v>
                </c:pt>
                <c:pt idx="152">
                  <c:v>-1.3329906577816031</c:v>
                </c:pt>
                <c:pt idx="153">
                  <c:v>-1.3219841213691266</c:v>
                </c:pt>
                <c:pt idx="154">
                  <c:v>-1.3219841213691266</c:v>
                </c:pt>
                <c:pt idx="155">
                  <c:v>-1.3147344895569</c:v>
                </c:pt>
                <c:pt idx="156">
                  <c:v>-1.3147344895569</c:v>
                </c:pt>
                <c:pt idx="157">
                  <c:v>-1.3147344895569</c:v>
                </c:pt>
                <c:pt idx="158">
                  <c:v>-1.3039878652542525</c:v>
                </c:pt>
                <c:pt idx="159">
                  <c:v>-1.3039878652542525</c:v>
                </c:pt>
                <c:pt idx="160">
                  <c:v>-1.2969062889401866</c:v>
                </c:pt>
                <c:pt idx="161">
                  <c:v>-1.2969062889401866</c:v>
                </c:pt>
                <c:pt idx="162">
                  <c:v>-1.2898891601746336</c:v>
                </c:pt>
                <c:pt idx="163">
                  <c:v>-1.2898891601746336</c:v>
                </c:pt>
                <c:pt idx="164">
                  <c:v>-1.2898891601746336</c:v>
                </c:pt>
                <c:pt idx="165">
                  <c:v>-1.2898891601746336</c:v>
                </c:pt>
                <c:pt idx="166">
                  <c:v>-1.2760422901524544</c:v>
                </c:pt>
                <c:pt idx="167">
                  <c:v>-1.2726185683477402</c:v>
                </c:pt>
                <c:pt idx="168">
                  <c:v>-1.2726185683477402</c:v>
                </c:pt>
                <c:pt idx="169">
                  <c:v>-1.2726185683477402</c:v>
                </c:pt>
                <c:pt idx="170">
                  <c:v>-1.2726185683477402</c:v>
                </c:pt>
                <c:pt idx="171">
                  <c:v>-1.2726185683477402</c:v>
                </c:pt>
                <c:pt idx="172">
                  <c:v>-1.2726185683477402</c:v>
                </c:pt>
                <c:pt idx="173">
                  <c:v>-1.2523823790942721</c:v>
                </c:pt>
                <c:pt idx="174">
                  <c:v>-1.2523823790942721</c:v>
                </c:pt>
                <c:pt idx="175">
                  <c:v>-1.2523823790942721</c:v>
                </c:pt>
                <c:pt idx="176">
                  <c:v>-1.2523823790942721</c:v>
                </c:pt>
                <c:pt idx="177">
                  <c:v>-1.2523823790942721</c:v>
                </c:pt>
                <c:pt idx="178">
                  <c:v>-1.2359023985485402</c:v>
                </c:pt>
                <c:pt idx="179">
                  <c:v>-1.2359023985485402</c:v>
                </c:pt>
                <c:pt idx="180">
                  <c:v>-1.2294035019788656</c:v>
                </c:pt>
                <c:pt idx="181">
                  <c:v>-1.2294035019788656</c:v>
                </c:pt>
                <c:pt idx="182">
                  <c:v>-1.2294035019788656</c:v>
                </c:pt>
                <c:pt idx="183">
                  <c:v>-1.2197514087080794</c:v>
                </c:pt>
                <c:pt idx="184">
                  <c:v>-1.2197514087080794</c:v>
                </c:pt>
                <c:pt idx="185">
                  <c:v>-1.2197514087080794</c:v>
                </c:pt>
                <c:pt idx="186">
                  <c:v>-1.210211632562187</c:v>
                </c:pt>
                <c:pt idx="187">
                  <c:v>-1.207056068729359</c:v>
                </c:pt>
                <c:pt idx="188">
                  <c:v>-1.207056068729359</c:v>
                </c:pt>
                <c:pt idx="189">
                  <c:v>-1.207056068729359</c:v>
                </c:pt>
                <c:pt idx="190">
                  <c:v>-1.207056068729359</c:v>
                </c:pt>
                <c:pt idx="191">
                  <c:v>-1.207056068729359</c:v>
                </c:pt>
                <c:pt idx="192">
                  <c:v>-1.1914554566319386</c:v>
                </c:pt>
                <c:pt idx="193">
                  <c:v>-1.1914554566319386</c:v>
                </c:pt>
                <c:pt idx="194">
                  <c:v>-1.1914554566319386</c:v>
                </c:pt>
                <c:pt idx="195">
                  <c:v>-1.182232646923248</c:v>
                </c:pt>
                <c:pt idx="196">
                  <c:v>-1.182232646923248</c:v>
                </c:pt>
                <c:pt idx="197">
                  <c:v>-1.182232646923248</c:v>
                </c:pt>
                <c:pt idx="198">
                  <c:v>-1.182232646923248</c:v>
                </c:pt>
                <c:pt idx="199">
                  <c:v>-1.1700898139672218</c:v>
                </c:pt>
                <c:pt idx="200">
                  <c:v>-1.1700898139672218</c:v>
                </c:pt>
                <c:pt idx="201">
                  <c:v>-1.1700898139672218</c:v>
                </c:pt>
                <c:pt idx="202">
                  <c:v>-1.1700898139672218</c:v>
                </c:pt>
                <c:pt idx="203">
                  <c:v>-1.1700898139672218</c:v>
                </c:pt>
                <c:pt idx="204">
                  <c:v>-1.1700898139672218</c:v>
                </c:pt>
                <c:pt idx="205">
                  <c:v>-1.1521925343545227</c:v>
                </c:pt>
                <c:pt idx="206">
                  <c:v>-1.1521925343545227</c:v>
                </c:pt>
                <c:pt idx="207">
                  <c:v>-1.1463081367501964</c:v>
                </c:pt>
                <c:pt idx="208">
                  <c:v>-1.1463081367501964</c:v>
                </c:pt>
                <c:pt idx="209">
                  <c:v>-1.1463081367501964</c:v>
                </c:pt>
                <c:pt idx="210">
                  <c:v>-1.1375552391677688</c:v>
                </c:pt>
                <c:pt idx="211">
                  <c:v>-1.1375552391677688</c:v>
                </c:pt>
                <c:pt idx="212">
                  <c:v>-1.1375552391677688</c:v>
                </c:pt>
                <c:pt idx="213">
                  <c:v>-1.1375552391677688</c:v>
                </c:pt>
                <c:pt idx="214">
                  <c:v>-1.1375552391677688</c:v>
                </c:pt>
                <c:pt idx="215">
                  <c:v>-1.1375552391677688</c:v>
                </c:pt>
                <c:pt idx="216">
                  <c:v>-1.1375552391677688</c:v>
                </c:pt>
                <c:pt idx="217">
                  <c:v>-1.1174634002413726</c:v>
                </c:pt>
                <c:pt idx="218">
                  <c:v>-1.1174634002413726</c:v>
                </c:pt>
                <c:pt idx="219">
                  <c:v>-1.1174634002413726</c:v>
                </c:pt>
                <c:pt idx="220">
                  <c:v>-1.1174634002413726</c:v>
                </c:pt>
                <c:pt idx="221">
                  <c:v>-1.1174634002413726</c:v>
                </c:pt>
                <c:pt idx="222">
                  <c:v>-1.1174634002413726</c:v>
                </c:pt>
                <c:pt idx="223">
                  <c:v>-1.1005940465096573</c:v>
                </c:pt>
                <c:pt idx="224">
                  <c:v>-1.1005940465096573</c:v>
                </c:pt>
                <c:pt idx="225">
                  <c:v>-1.0950400512086547</c:v>
                </c:pt>
                <c:pt idx="226">
                  <c:v>-1.0950400512086547</c:v>
                </c:pt>
                <c:pt idx="227">
                  <c:v>-1.0895196306228982</c:v>
                </c:pt>
                <c:pt idx="228">
                  <c:v>-1.0895196306228982</c:v>
                </c:pt>
                <c:pt idx="229">
                  <c:v>-1.0895196306228982</c:v>
                </c:pt>
                <c:pt idx="230">
                  <c:v>-1.0895196306228982</c:v>
                </c:pt>
                <c:pt idx="231">
                  <c:v>-1.0895196306228982</c:v>
                </c:pt>
                <c:pt idx="232">
                  <c:v>-1.0758617643853021</c:v>
                </c:pt>
                <c:pt idx="233">
                  <c:v>-1.0758617643853021</c:v>
                </c:pt>
                <c:pt idx="234">
                  <c:v>-1.0704544602760233</c:v>
                </c:pt>
                <c:pt idx="235">
                  <c:v>-1.0704544602760233</c:v>
                </c:pt>
                <c:pt idx="236">
                  <c:v>-1.0704544602760233</c:v>
                </c:pt>
                <c:pt idx="237">
                  <c:v>-1.0704544602760233</c:v>
                </c:pt>
                <c:pt idx="238">
                  <c:v>-1.0597326997110486</c:v>
                </c:pt>
                <c:pt idx="239">
                  <c:v>-1.0570712344634026</c:v>
                </c:pt>
                <c:pt idx="240">
                  <c:v>-1.0570712344634026</c:v>
                </c:pt>
                <c:pt idx="241">
                  <c:v>-1.0570712344634026</c:v>
                </c:pt>
                <c:pt idx="242">
                  <c:v>-1.0491313979639725</c:v>
                </c:pt>
                <c:pt idx="243">
                  <c:v>-1.0491313979639725</c:v>
                </c:pt>
                <c:pt idx="244">
                  <c:v>-1.0491313979639725</c:v>
                </c:pt>
                <c:pt idx="245">
                  <c:v>-1.0491313979639725</c:v>
                </c:pt>
                <c:pt idx="246">
                  <c:v>-1.0386467129748296</c:v>
                </c:pt>
                <c:pt idx="247">
                  <c:v>-1.0386467129748296</c:v>
                </c:pt>
                <c:pt idx="248">
                  <c:v>-1.0334469496720613</c:v>
                </c:pt>
                <c:pt idx="249">
                  <c:v>-1.0334469496720613</c:v>
                </c:pt>
                <c:pt idx="250">
                  <c:v>-1.0334469496720613</c:v>
                </c:pt>
                <c:pt idx="251">
                  <c:v>-1.0334469496720613</c:v>
                </c:pt>
                <c:pt idx="252">
                  <c:v>-1.0334469496720613</c:v>
                </c:pt>
                <c:pt idx="253">
                  <c:v>-1.0205681915260707</c:v>
                </c:pt>
                <c:pt idx="254">
                  <c:v>-1.0205681915260707</c:v>
                </c:pt>
                <c:pt idx="255">
                  <c:v>-1.0205681915260707</c:v>
                </c:pt>
                <c:pt idx="256">
                  <c:v>-1.0205681915260707</c:v>
                </c:pt>
                <c:pt idx="257">
                  <c:v>-1.0205681915260707</c:v>
                </c:pt>
                <c:pt idx="258">
                  <c:v>-1.0205681915260707</c:v>
                </c:pt>
                <c:pt idx="259">
                  <c:v>-1.0205681915260707</c:v>
                </c:pt>
                <c:pt idx="260">
                  <c:v>-1.0028172174115717</c:v>
                </c:pt>
                <c:pt idx="261">
                  <c:v>-1.0028172174115717</c:v>
                </c:pt>
                <c:pt idx="262">
                  <c:v>-1.0028172174115717</c:v>
                </c:pt>
                <c:pt idx="263">
                  <c:v>-1.0028172174115717</c:v>
                </c:pt>
                <c:pt idx="264">
                  <c:v>-1.0028172174115717</c:v>
                </c:pt>
                <c:pt idx="265">
                  <c:v>-0.99032898964496086</c:v>
                </c:pt>
                <c:pt idx="266">
                  <c:v>-0.99032898964496086</c:v>
                </c:pt>
                <c:pt idx="267">
                  <c:v>-0.99032898964496086</c:v>
                </c:pt>
                <c:pt idx="268">
                  <c:v>-0.99032898964496086</c:v>
                </c:pt>
                <c:pt idx="269">
                  <c:v>-0.98044852568054008</c:v>
                </c:pt>
                <c:pt idx="270">
                  <c:v>-0.98044852568054008</c:v>
                </c:pt>
                <c:pt idx="271">
                  <c:v>-0.97554401628441823</c:v>
                </c:pt>
                <c:pt idx="272">
                  <c:v>-0.97554401628441823</c:v>
                </c:pt>
                <c:pt idx="273">
                  <c:v>-0.97554401628441823</c:v>
                </c:pt>
                <c:pt idx="274">
                  <c:v>-0.96823093621551704</c:v>
                </c:pt>
                <c:pt idx="275">
                  <c:v>-0.96823093621551704</c:v>
                </c:pt>
                <c:pt idx="276">
                  <c:v>-0.96823093621551704</c:v>
                </c:pt>
                <c:pt idx="277">
                  <c:v>-0.96823093621551704</c:v>
                </c:pt>
                <c:pt idx="278">
                  <c:v>-0.96823093621551704</c:v>
                </c:pt>
                <c:pt idx="279">
                  <c:v>-0.95615619123390583</c:v>
                </c:pt>
                <c:pt idx="280">
                  <c:v>-0.95615619123390583</c:v>
                </c:pt>
                <c:pt idx="281">
                  <c:v>-0.95615619123390583</c:v>
                </c:pt>
                <c:pt idx="282">
                  <c:v>-0.94897780985887348</c:v>
                </c:pt>
                <c:pt idx="283">
                  <c:v>-0.94897780985887348</c:v>
                </c:pt>
                <c:pt idx="284">
                  <c:v>-0.94897780985887348</c:v>
                </c:pt>
                <c:pt idx="285">
                  <c:v>-0.94897780985887348</c:v>
                </c:pt>
                <c:pt idx="286">
                  <c:v>-0.94897780985887348</c:v>
                </c:pt>
                <c:pt idx="287">
                  <c:v>-0.93712127394454381</c:v>
                </c:pt>
                <c:pt idx="288">
                  <c:v>-0.93712127394454381</c:v>
                </c:pt>
                <c:pt idx="289">
                  <c:v>-0.93241539434320697</c:v>
                </c:pt>
                <c:pt idx="290">
                  <c:v>-0.93241539434320697</c:v>
                </c:pt>
                <c:pt idx="291">
                  <c:v>-0.9277300733017374</c:v>
                </c:pt>
                <c:pt idx="292">
                  <c:v>-0.9277300733017374</c:v>
                </c:pt>
                <c:pt idx="293">
                  <c:v>-0.9277300733017374</c:v>
                </c:pt>
                <c:pt idx="294">
                  <c:v>-0.9277300733017374</c:v>
                </c:pt>
                <c:pt idx="295">
                  <c:v>-0.91841998904288702</c:v>
                </c:pt>
                <c:pt idx="296">
                  <c:v>-0.91841998904288702</c:v>
                </c:pt>
                <c:pt idx="297">
                  <c:v>-0.91841998904288702</c:v>
                </c:pt>
                <c:pt idx="298">
                  <c:v>-0.91148934236618206</c:v>
                </c:pt>
                <c:pt idx="299">
                  <c:v>-0.91148934236618206</c:v>
                </c:pt>
                <c:pt idx="300">
                  <c:v>-0.91148934236618206</c:v>
                </c:pt>
                <c:pt idx="301">
                  <c:v>-0.90460220385671419</c:v>
                </c:pt>
                <c:pt idx="302">
                  <c:v>-0.90460220385671419</c:v>
                </c:pt>
                <c:pt idx="303">
                  <c:v>-0.90460220385671419</c:v>
                </c:pt>
                <c:pt idx="304">
                  <c:v>-0.90460220385671419</c:v>
                </c:pt>
                <c:pt idx="305">
                  <c:v>-0.90460220385671419</c:v>
                </c:pt>
                <c:pt idx="306">
                  <c:v>-0.90460220385671419</c:v>
                </c:pt>
                <c:pt idx="307">
                  <c:v>-0.89095501331493132</c:v>
                </c:pt>
                <c:pt idx="308">
                  <c:v>-0.88869659543514345</c:v>
                </c:pt>
                <c:pt idx="309">
                  <c:v>-0.88869659543514345</c:v>
                </c:pt>
                <c:pt idx="310">
                  <c:v>-0.88869659543514345</c:v>
                </c:pt>
                <c:pt idx="311">
                  <c:v>-0.88869659543514345</c:v>
                </c:pt>
                <c:pt idx="312">
                  <c:v>-0.87970786716299942</c:v>
                </c:pt>
                <c:pt idx="313">
                  <c:v>-0.87970786716299942</c:v>
                </c:pt>
                <c:pt idx="314">
                  <c:v>-0.87970786716299942</c:v>
                </c:pt>
                <c:pt idx="315">
                  <c:v>-0.873012700415573</c:v>
                </c:pt>
                <c:pt idx="316">
                  <c:v>-0.873012700415573</c:v>
                </c:pt>
                <c:pt idx="317">
                  <c:v>-0.873012700415573</c:v>
                </c:pt>
                <c:pt idx="318">
                  <c:v>-0.873012700415573</c:v>
                </c:pt>
                <c:pt idx="319">
                  <c:v>-0.86414620345364646</c:v>
                </c:pt>
                <c:pt idx="320">
                  <c:v>-0.86414620345364646</c:v>
                </c:pt>
                <c:pt idx="321">
                  <c:v>-0.85973834429501084</c:v>
                </c:pt>
                <c:pt idx="322">
                  <c:v>-0.85973834429501084</c:v>
                </c:pt>
                <c:pt idx="323">
                  <c:v>-0.85973834429501084</c:v>
                </c:pt>
                <c:pt idx="324">
                  <c:v>-0.85973834429501084</c:v>
                </c:pt>
                <c:pt idx="325">
                  <c:v>-0.85973834429501084</c:v>
                </c:pt>
                <c:pt idx="326">
                  <c:v>-0.85973834429501084</c:v>
                </c:pt>
                <c:pt idx="327">
                  <c:v>-0.85973834429501084</c:v>
                </c:pt>
                <c:pt idx="328">
                  <c:v>-0.84444052159937644</c:v>
                </c:pt>
                <c:pt idx="329">
                  <c:v>-0.84444052159937644</c:v>
                </c:pt>
                <c:pt idx="330">
                  <c:v>-0.84444052159937644</c:v>
                </c:pt>
                <c:pt idx="331">
                  <c:v>-0.84444052159937644</c:v>
                </c:pt>
                <c:pt idx="332">
                  <c:v>-0.8357870519497973</c:v>
                </c:pt>
                <c:pt idx="333">
                  <c:v>-0.8357870519497973</c:v>
                </c:pt>
                <c:pt idx="334">
                  <c:v>-0.8357870519497973</c:v>
                </c:pt>
                <c:pt idx="335">
                  <c:v>-0.8357870519497973</c:v>
                </c:pt>
                <c:pt idx="336">
                  <c:v>-0.8357870519497973</c:v>
                </c:pt>
                <c:pt idx="337">
                  <c:v>-0.82505741806651978</c:v>
                </c:pt>
                <c:pt idx="338">
                  <c:v>-0.82505741806651978</c:v>
                </c:pt>
                <c:pt idx="339">
                  <c:v>-0.8207920883323806</c:v>
                </c:pt>
                <c:pt idx="340">
                  <c:v>-0.81866501502518862</c:v>
                </c:pt>
                <c:pt idx="341">
                  <c:v>-0.81866501502518862</c:v>
                </c:pt>
                <c:pt idx="342">
                  <c:v>-0.81866501502518862</c:v>
                </c:pt>
                <c:pt idx="343">
                  <c:v>-0.81230589119800856</c:v>
                </c:pt>
                <c:pt idx="344">
                  <c:v>-0.81230589119800856</c:v>
                </c:pt>
                <c:pt idx="345">
                  <c:v>-0.80808466725232064</c:v>
                </c:pt>
                <c:pt idx="346">
                  <c:v>-0.80808466725232064</c:v>
                </c:pt>
                <c:pt idx="347">
                  <c:v>-0.80808466725232064</c:v>
                </c:pt>
                <c:pt idx="348">
                  <c:v>-0.80808466725232064</c:v>
                </c:pt>
                <c:pt idx="349">
                  <c:v>-0.79968509868701798</c:v>
                </c:pt>
                <c:pt idx="350">
                  <c:v>-0.79968509868701798</c:v>
                </c:pt>
                <c:pt idx="351">
                  <c:v>-0.79968509868701798</c:v>
                </c:pt>
                <c:pt idx="352">
                  <c:v>-0.79968509868701798</c:v>
                </c:pt>
                <c:pt idx="353">
                  <c:v>-0.79968509868701798</c:v>
                </c:pt>
                <c:pt idx="354">
                  <c:v>-0.78926429572475043</c:v>
                </c:pt>
                <c:pt idx="355">
                  <c:v>-0.78926429572475043</c:v>
                </c:pt>
                <c:pt idx="356">
                  <c:v>-0.78926429572475043</c:v>
                </c:pt>
                <c:pt idx="357">
                  <c:v>-0.78926429572475043</c:v>
                </c:pt>
                <c:pt idx="358">
                  <c:v>-0.78098898173722842</c:v>
                </c:pt>
                <c:pt idx="359">
                  <c:v>-0.78098898173722842</c:v>
                </c:pt>
                <c:pt idx="360">
                  <c:v>-0.78098898173722842</c:v>
                </c:pt>
                <c:pt idx="361">
                  <c:v>-0.78098898173722842</c:v>
                </c:pt>
                <c:pt idx="362">
                  <c:v>-0.78098898173722842</c:v>
                </c:pt>
                <c:pt idx="363">
                  <c:v>-0.78098898173722842</c:v>
                </c:pt>
                <c:pt idx="364">
                  <c:v>-0.78098898173722842</c:v>
                </c:pt>
                <c:pt idx="365">
                  <c:v>-0.78098898173722842</c:v>
                </c:pt>
                <c:pt idx="366">
                  <c:v>-0.76459654801725674</c:v>
                </c:pt>
                <c:pt idx="367">
                  <c:v>-0.7625619542054235</c:v>
                </c:pt>
                <c:pt idx="368">
                  <c:v>-0.7625619542054235</c:v>
                </c:pt>
                <c:pt idx="369">
                  <c:v>-0.7625619542054235</c:v>
                </c:pt>
                <c:pt idx="370">
                  <c:v>-0.75647701124006039</c:v>
                </c:pt>
                <c:pt idx="371">
                  <c:v>-0.75647701124006039</c:v>
                </c:pt>
                <c:pt idx="372">
                  <c:v>-0.75647701124006039</c:v>
                </c:pt>
                <c:pt idx="373">
                  <c:v>-0.75647701124006039</c:v>
                </c:pt>
                <c:pt idx="374">
                  <c:v>-0.75647701124006039</c:v>
                </c:pt>
                <c:pt idx="375">
                  <c:v>-0.74639716414434454</c:v>
                </c:pt>
                <c:pt idx="376">
                  <c:v>-0.74639716414434454</c:v>
                </c:pt>
                <c:pt idx="377">
                  <c:v>-0.74639716414434454</c:v>
                </c:pt>
                <c:pt idx="378">
                  <c:v>-0.74038552290047832</c:v>
                </c:pt>
                <c:pt idx="379">
                  <c:v>-0.74038552290047832</c:v>
                </c:pt>
                <c:pt idx="380">
                  <c:v>-0.74038552290047832</c:v>
                </c:pt>
                <c:pt idx="381">
                  <c:v>-0.74038552290047832</c:v>
                </c:pt>
                <c:pt idx="382">
                  <c:v>-0.74038552290047832</c:v>
                </c:pt>
                <c:pt idx="383">
                  <c:v>-0.73042509746273321</c:v>
                </c:pt>
                <c:pt idx="384">
                  <c:v>-0.73042509746273321</c:v>
                </c:pt>
                <c:pt idx="385">
                  <c:v>-0.73042509746273321</c:v>
                </c:pt>
                <c:pt idx="386">
                  <c:v>-0.72448350403832318</c:v>
                </c:pt>
                <c:pt idx="387">
                  <c:v>-0.72448350403832318</c:v>
                </c:pt>
                <c:pt idx="388">
                  <c:v>-0.72448350403832318</c:v>
                </c:pt>
                <c:pt idx="389">
                  <c:v>-0.72448350403832318</c:v>
                </c:pt>
                <c:pt idx="390">
                  <c:v>-0.71660092108895201</c:v>
                </c:pt>
                <c:pt idx="391">
                  <c:v>-0.71660092108895201</c:v>
                </c:pt>
                <c:pt idx="392">
                  <c:v>-0.7126762947196924</c:v>
                </c:pt>
                <c:pt idx="393">
                  <c:v>-0.7126762947196924</c:v>
                </c:pt>
                <c:pt idx="394">
                  <c:v>-0.7126762947196924</c:v>
                </c:pt>
                <c:pt idx="395">
                  <c:v>-0.7126762947196924</c:v>
                </c:pt>
                <c:pt idx="396">
                  <c:v>-0.7126762947196924</c:v>
                </c:pt>
                <c:pt idx="397">
                  <c:v>-0.70291235686137066</c:v>
                </c:pt>
                <c:pt idx="398">
                  <c:v>-0.70291235686137066</c:v>
                </c:pt>
                <c:pt idx="399">
                  <c:v>-0.70291235686137066</c:v>
                </c:pt>
                <c:pt idx="400">
                  <c:v>-0.69708605805955215</c:v>
                </c:pt>
                <c:pt idx="401">
                  <c:v>-0.69708605805955215</c:v>
                </c:pt>
                <c:pt idx="402">
                  <c:v>-0.69708605805955215</c:v>
                </c:pt>
                <c:pt idx="403">
                  <c:v>-0.69708605805955215</c:v>
                </c:pt>
                <c:pt idx="404">
                  <c:v>-0.69708605805955215</c:v>
                </c:pt>
                <c:pt idx="405">
                  <c:v>-0.68742774275107121</c:v>
                </c:pt>
                <c:pt idx="406">
                  <c:v>-0.68742774275107121</c:v>
                </c:pt>
                <c:pt idx="407">
                  <c:v>-0.68742774275107121</c:v>
                </c:pt>
                <c:pt idx="408">
                  <c:v>-0.68742774275107121</c:v>
                </c:pt>
                <c:pt idx="409">
                  <c:v>-0.68742774275107121</c:v>
                </c:pt>
                <c:pt idx="410">
                  <c:v>-0.68742774275107121</c:v>
                </c:pt>
                <c:pt idx="411">
                  <c:v>-0.68742774275107121</c:v>
                </c:pt>
                <c:pt idx="412">
                  <c:v>-0.67401274003943057</c:v>
                </c:pt>
                <c:pt idx="413">
                  <c:v>-0.67401274003943057</c:v>
                </c:pt>
                <c:pt idx="414">
                  <c:v>-0.67401274003943057</c:v>
                </c:pt>
                <c:pt idx="415">
                  <c:v>-0.67401274003943057</c:v>
                </c:pt>
                <c:pt idx="416">
                  <c:v>-0.6664012884495929</c:v>
                </c:pt>
                <c:pt idx="417">
                  <c:v>-0.6664012884495929</c:v>
                </c:pt>
                <c:pt idx="418">
                  <c:v>-0.6664012884495929</c:v>
                </c:pt>
                <c:pt idx="419">
                  <c:v>-0.66071795340131467</c:v>
                </c:pt>
                <c:pt idx="420">
                  <c:v>-0.66071795340131467</c:v>
                </c:pt>
                <c:pt idx="421">
                  <c:v>-0.66071795340131467</c:v>
                </c:pt>
                <c:pt idx="422">
                  <c:v>-0.66071795340131467</c:v>
                </c:pt>
                <c:pt idx="423">
                  <c:v>-0.66071795340131467</c:v>
                </c:pt>
                <c:pt idx="424">
                  <c:v>-0.66071795340131467</c:v>
                </c:pt>
                <c:pt idx="425">
                  <c:v>-0.64941472986293491</c:v>
                </c:pt>
                <c:pt idx="426">
                  <c:v>-0.64941472986293491</c:v>
                </c:pt>
                <c:pt idx="427">
                  <c:v>-0.64941472986293491</c:v>
                </c:pt>
                <c:pt idx="428">
                  <c:v>-0.64941472986293491</c:v>
                </c:pt>
                <c:pt idx="429">
                  <c:v>-0.64941472986293491</c:v>
                </c:pt>
                <c:pt idx="430">
                  <c:v>-0.64941472986293491</c:v>
                </c:pt>
                <c:pt idx="431">
                  <c:v>-0.64941472986293491</c:v>
                </c:pt>
                <c:pt idx="432">
                  <c:v>-0.63633155866502356</c:v>
                </c:pt>
                <c:pt idx="433">
                  <c:v>-0.63633155866502356</c:v>
                </c:pt>
                <c:pt idx="434">
                  <c:v>-0.63633155866502356</c:v>
                </c:pt>
                <c:pt idx="435">
                  <c:v>-0.63633155866502356</c:v>
                </c:pt>
                <c:pt idx="436">
                  <c:v>-0.62890421763218984</c:v>
                </c:pt>
                <c:pt idx="437">
                  <c:v>-0.62890421763218984</c:v>
                </c:pt>
                <c:pt idx="438">
                  <c:v>-0.62890421763218984</c:v>
                </c:pt>
                <c:pt idx="439">
                  <c:v>-0.62335641379693996</c:v>
                </c:pt>
                <c:pt idx="440">
                  <c:v>-0.62335641379693996</c:v>
                </c:pt>
                <c:pt idx="441">
                  <c:v>-0.62335641379693996</c:v>
                </c:pt>
                <c:pt idx="442">
                  <c:v>-0.62335641379693996</c:v>
                </c:pt>
                <c:pt idx="443">
                  <c:v>-0.62335641379693996</c:v>
                </c:pt>
                <c:pt idx="444">
                  <c:v>-0.62335641379693996</c:v>
                </c:pt>
                <c:pt idx="445">
                  <c:v>-0.62335641379693996</c:v>
                </c:pt>
                <c:pt idx="446">
                  <c:v>-0.62335641379693996</c:v>
                </c:pt>
                <c:pt idx="447">
                  <c:v>-0.62335641379693996</c:v>
                </c:pt>
                <c:pt idx="448">
                  <c:v>-0.62335641379693996</c:v>
                </c:pt>
                <c:pt idx="449">
                  <c:v>-0.62335641379693996</c:v>
                </c:pt>
                <c:pt idx="450">
                  <c:v>-0.60317578841021124</c:v>
                </c:pt>
                <c:pt idx="451">
                  <c:v>-0.60317578841021124</c:v>
                </c:pt>
                <c:pt idx="452">
                  <c:v>-0.60317578841021124</c:v>
                </c:pt>
                <c:pt idx="453">
                  <c:v>-0.60317578841021124</c:v>
                </c:pt>
                <c:pt idx="454">
                  <c:v>-0.60317578841021124</c:v>
                </c:pt>
                <c:pt idx="455">
                  <c:v>-0.60317578841021124</c:v>
                </c:pt>
                <c:pt idx="456">
                  <c:v>-0.60317578841021124</c:v>
                </c:pt>
                <c:pt idx="457">
                  <c:v>-0.59046081866695443</c:v>
                </c:pt>
                <c:pt idx="458">
                  <c:v>-0.59046081866695443</c:v>
                </c:pt>
                <c:pt idx="459">
                  <c:v>-0.59046081866695443</c:v>
                </c:pt>
                <c:pt idx="460">
                  <c:v>-0.59046081866695443</c:v>
                </c:pt>
                <c:pt idx="461">
                  <c:v>-0.59046081866695443</c:v>
                </c:pt>
                <c:pt idx="462">
                  <c:v>-0.59046081866695443</c:v>
                </c:pt>
                <c:pt idx="463">
                  <c:v>-0.57963781842623852</c:v>
                </c:pt>
                <c:pt idx="464">
                  <c:v>-0.57963781842623852</c:v>
                </c:pt>
                <c:pt idx="465">
                  <c:v>-0.57963781842623852</c:v>
                </c:pt>
                <c:pt idx="466">
                  <c:v>-0.57963781842623852</c:v>
                </c:pt>
                <c:pt idx="467">
                  <c:v>-0.57963781842623852</c:v>
                </c:pt>
                <c:pt idx="468">
                  <c:v>-0.57067028430202504</c:v>
                </c:pt>
                <c:pt idx="469">
                  <c:v>-0.57067028430202504</c:v>
                </c:pt>
                <c:pt idx="470">
                  <c:v>-0.57067028430202504</c:v>
                </c:pt>
                <c:pt idx="471">
                  <c:v>-0.57067028430202504</c:v>
                </c:pt>
                <c:pt idx="472">
                  <c:v>-0.57067028430202504</c:v>
                </c:pt>
                <c:pt idx="473">
                  <c:v>-0.56174840893422073</c:v>
                </c:pt>
                <c:pt idx="474">
                  <c:v>-0.56174840893422073</c:v>
                </c:pt>
                <c:pt idx="475">
                  <c:v>-0.56174840893422073</c:v>
                </c:pt>
                <c:pt idx="476">
                  <c:v>-0.56174840893422073</c:v>
                </c:pt>
                <c:pt idx="477">
                  <c:v>-0.56174840893422073</c:v>
                </c:pt>
                <c:pt idx="478">
                  <c:v>-0.55287102664223609</c:v>
                </c:pt>
                <c:pt idx="479">
                  <c:v>-0.55287102664223609</c:v>
                </c:pt>
                <c:pt idx="480">
                  <c:v>-0.55287102664223609</c:v>
                </c:pt>
                <c:pt idx="481">
                  <c:v>-0.55287102664223609</c:v>
                </c:pt>
                <c:pt idx="482">
                  <c:v>-0.55287102664223609</c:v>
                </c:pt>
                <c:pt idx="483">
                  <c:v>-0.55287102664223609</c:v>
                </c:pt>
                <c:pt idx="484">
                  <c:v>-0.55287102664223609</c:v>
                </c:pt>
                <c:pt idx="485">
                  <c:v>-0.54051528578164909</c:v>
                </c:pt>
                <c:pt idx="486">
                  <c:v>-0.54051528578164909</c:v>
                </c:pt>
                <c:pt idx="487">
                  <c:v>-0.54051528578164909</c:v>
                </c:pt>
                <c:pt idx="488">
                  <c:v>-0.54051528578164909</c:v>
                </c:pt>
                <c:pt idx="489">
                  <c:v>-0.53349185558387491</c:v>
                </c:pt>
                <c:pt idx="490">
                  <c:v>-0.53349185558387491</c:v>
                </c:pt>
                <c:pt idx="491">
                  <c:v>-0.53349185558387491</c:v>
                </c:pt>
                <c:pt idx="492">
                  <c:v>-0.53349185558387491</c:v>
                </c:pt>
                <c:pt idx="493">
                  <c:v>-0.53349185558387491</c:v>
                </c:pt>
                <c:pt idx="494">
                  <c:v>-0.53349185558387491</c:v>
                </c:pt>
                <c:pt idx="495">
                  <c:v>-0.53349185558387491</c:v>
                </c:pt>
                <c:pt idx="496">
                  <c:v>-0.52126361871264315</c:v>
                </c:pt>
                <c:pt idx="497">
                  <c:v>-0.52126361871264315</c:v>
                </c:pt>
                <c:pt idx="498">
                  <c:v>-0.52126361871264315</c:v>
                </c:pt>
                <c:pt idx="499">
                  <c:v>-0.52126361871264315</c:v>
                </c:pt>
                <c:pt idx="500">
                  <c:v>-0.52126361871264315</c:v>
                </c:pt>
                <c:pt idx="501">
                  <c:v>-0.52126361871264315</c:v>
                </c:pt>
                <c:pt idx="502">
                  <c:v>-0.52126361871264315</c:v>
                </c:pt>
                <c:pt idx="503">
                  <c:v>-0.52126361871264315</c:v>
                </c:pt>
                <c:pt idx="504">
                  <c:v>-0.50738317096904828</c:v>
                </c:pt>
                <c:pt idx="505">
                  <c:v>-0.50738317096904828</c:v>
                </c:pt>
                <c:pt idx="506">
                  <c:v>-0.50738317096904828</c:v>
                </c:pt>
                <c:pt idx="507">
                  <c:v>-0.50738317096904828</c:v>
                </c:pt>
                <c:pt idx="508">
                  <c:v>-0.50738317096904828</c:v>
                </c:pt>
                <c:pt idx="509">
                  <c:v>-0.50738317096904828</c:v>
                </c:pt>
                <c:pt idx="510">
                  <c:v>-0.50738317096904828</c:v>
                </c:pt>
                <c:pt idx="511">
                  <c:v>-0.50738317096904828</c:v>
                </c:pt>
                <c:pt idx="512">
                  <c:v>-0.50738317096904828</c:v>
                </c:pt>
                <c:pt idx="513">
                  <c:v>-0.4918835074548818</c:v>
                </c:pt>
                <c:pt idx="514">
                  <c:v>-0.4918835074548818</c:v>
                </c:pt>
                <c:pt idx="515">
                  <c:v>-0.4918835074548818</c:v>
                </c:pt>
                <c:pt idx="516">
                  <c:v>-0.4918835074548818</c:v>
                </c:pt>
                <c:pt idx="517">
                  <c:v>-0.4918835074548818</c:v>
                </c:pt>
                <c:pt idx="518">
                  <c:v>-0.48332360885611292</c:v>
                </c:pt>
                <c:pt idx="519">
                  <c:v>-0.48332360885611292</c:v>
                </c:pt>
                <c:pt idx="520">
                  <c:v>-0.48332360885611292</c:v>
                </c:pt>
                <c:pt idx="521">
                  <c:v>-0.48332360885611292</c:v>
                </c:pt>
                <c:pt idx="522">
                  <c:v>-0.48332360885611292</c:v>
                </c:pt>
                <c:pt idx="523">
                  <c:v>-0.47479897905845492</c:v>
                </c:pt>
                <c:pt idx="524">
                  <c:v>-0.47479897905845492</c:v>
                </c:pt>
                <c:pt idx="525">
                  <c:v>-0.47479897905845492</c:v>
                </c:pt>
                <c:pt idx="526">
                  <c:v>-0.46970075330452549</c:v>
                </c:pt>
                <c:pt idx="527">
                  <c:v>-0.46970075330452549</c:v>
                </c:pt>
                <c:pt idx="528">
                  <c:v>-0.46970075330452549</c:v>
                </c:pt>
                <c:pt idx="529">
                  <c:v>-0.46970075330452549</c:v>
                </c:pt>
                <c:pt idx="530">
                  <c:v>-0.46970075330452549</c:v>
                </c:pt>
                <c:pt idx="531">
                  <c:v>-0.46123068213767926</c:v>
                </c:pt>
                <c:pt idx="532">
                  <c:v>-0.46123068213767926</c:v>
                </c:pt>
                <c:pt idx="533">
                  <c:v>-0.46123068213767926</c:v>
                </c:pt>
                <c:pt idx="534">
                  <c:v>-0.45616451589519369</c:v>
                </c:pt>
                <c:pt idx="535">
                  <c:v>-0.45616451589519369</c:v>
                </c:pt>
                <c:pt idx="536">
                  <c:v>-0.45616451589519369</c:v>
                </c:pt>
                <c:pt idx="537">
                  <c:v>-0.45616451589519369</c:v>
                </c:pt>
                <c:pt idx="538">
                  <c:v>-0.45616451589519369</c:v>
                </c:pt>
                <c:pt idx="539">
                  <c:v>-0.44774677320100181</c:v>
                </c:pt>
                <c:pt idx="540">
                  <c:v>-0.44774677320100181</c:v>
                </c:pt>
                <c:pt idx="541">
                  <c:v>-0.44438857281516719</c:v>
                </c:pt>
                <c:pt idx="542">
                  <c:v>-0.44438857281516719</c:v>
                </c:pt>
                <c:pt idx="543">
                  <c:v>-0.44438857281516719</c:v>
                </c:pt>
                <c:pt idx="544">
                  <c:v>-0.44438857281516719</c:v>
                </c:pt>
                <c:pt idx="545">
                  <c:v>-0.44438857281516719</c:v>
                </c:pt>
                <c:pt idx="546">
                  <c:v>-0.44438857281516719</c:v>
                </c:pt>
                <c:pt idx="547">
                  <c:v>-0.44438857281516719</c:v>
                </c:pt>
                <c:pt idx="548">
                  <c:v>-0.43267393579163727</c:v>
                </c:pt>
                <c:pt idx="549">
                  <c:v>-0.43267393579163727</c:v>
                </c:pt>
                <c:pt idx="550">
                  <c:v>-0.43267393579163727</c:v>
                </c:pt>
                <c:pt idx="551">
                  <c:v>-0.43267393579163727</c:v>
                </c:pt>
                <c:pt idx="552">
                  <c:v>-0.42600652312983872</c:v>
                </c:pt>
                <c:pt idx="553">
                  <c:v>-0.42600652312983872</c:v>
                </c:pt>
                <c:pt idx="554">
                  <c:v>-0.42600652312983872</c:v>
                </c:pt>
                <c:pt idx="555">
                  <c:v>-0.42600652312983872</c:v>
                </c:pt>
                <c:pt idx="556">
                  <c:v>-0.42600652312983872</c:v>
                </c:pt>
                <c:pt idx="557">
                  <c:v>-0.42600652312983872</c:v>
                </c:pt>
                <c:pt idx="558">
                  <c:v>-0.42600652312983872</c:v>
                </c:pt>
                <c:pt idx="559">
                  <c:v>-0.42600652312983872</c:v>
                </c:pt>
                <c:pt idx="560">
                  <c:v>-0.41272795222137554</c:v>
                </c:pt>
                <c:pt idx="561">
                  <c:v>-0.41272795222137554</c:v>
                </c:pt>
                <c:pt idx="562">
                  <c:v>-0.41272795222137554</c:v>
                </c:pt>
                <c:pt idx="563">
                  <c:v>-0.40776731506460179</c:v>
                </c:pt>
                <c:pt idx="564">
                  <c:v>-0.40776731506460179</c:v>
                </c:pt>
                <c:pt idx="565">
                  <c:v>-0.40776731506460179</c:v>
                </c:pt>
                <c:pt idx="566">
                  <c:v>-0.40776731506460179</c:v>
                </c:pt>
                <c:pt idx="567">
                  <c:v>-0.40776731506460179</c:v>
                </c:pt>
                <c:pt idx="568">
                  <c:v>-0.40776731506460179</c:v>
                </c:pt>
                <c:pt idx="569">
                  <c:v>-0.39787592189543292</c:v>
                </c:pt>
                <c:pt idx="570">
                  <c:v>-0.39787592189543292</c:v>
                </c:pt>
                <c:pt idx="571">
                  <c:v>-0.39787592189543292</c:v>
                </c:pt>
                <c:pt idx="572">
                  <c:v>-0.39787592189543292</c:v>
                </c:pt>
                <c:pt idx="573">
                  <c:v>-0.39787592189543292</c:v>
                </c:pt>
                <c:pt idx="574">
                  <c:v>-0.39787592189543292</c:v>
                </c:pt>
                <c:pt idx="575">
                  <c:v>-0.39787592189543292</c:v>
                </c:pt>
                <c:pt idx="576">
                  <c:v>-0.39787592189543292</c:v>
                </c:pt>
                <c:pt idx="577">
                  <c:v>-0.39787592189543292</c:v>
                </c:pt>
                <c:pt idx="578">
                  <c:v>-0.39787592189543292</c:v>
                </c:pt>
                <c:pt idx="579">
                  <c:v>-0.38147581702590427</c:v>
                </c:pt>
                <c:pt idx="580">
                  <c:v>-0.38147581702590427</c:v>
                </c:pt>
                <c:pt idx="581">
                  <c:v>-0.38147581702590427</c:v>
                </c:pt>
                <c:pt idx="582">
                  <c:v>-0.38147581702590427</c:v>
                </c:pt>
                <c:pt idx="583">
                  <c:v>-0.38147581702590427</c:v>
                </c:pt>
                <c:pt idx="584">
                  <c:v>-0.38147581702590427</c:v>
                </c:pt>
                <c:pt idx="585">
                  <c:v>-0.37168505980560429</c:v>
                </c:pt>
                <c:pt idx="586">
                  <c:v>-0.37168505980560429</c:v>
                </c:pt>
                <c:pt idx="587">
                  <c:v>-0.37168505980560429</c:v>
                </c:pt>
                <c:pt idx="588">
                  <c:v>-0.37168505980560429</c:v>
                </c:pt>
                <c:pt idx="589">
                  <c:v>-0.37168505980560429</c:v>
                </c:pt>
                <c:pt idx="590">
                  <c:v>-0.37168505980560429</c:v>
                </c:pt>
                <c:pt idx="591">
                  <c:v>-0.37168505980560429</c:v>
                </c:pt>
                <c:pt idx="592">
                  <c:v>-0.36030729595554811</c:v>
                </c:pt>
                <c:pt idx="593">
                  <c:v>-0.36030729595554811</c:v>
                </c:pt>
                <c:pt idx="594">
                  <c:v>-0.36030729595554811</c:v>
                </c:pt>
                <c:pt idx="595">
                  <c:v>-0.36030729595554811</c:v>
                </c:pt>
                <c:pt idx="596">
                  <c:v>-0.36030729595554811</c:v>
                </c:pt>
                <c:pt idx="597">
                  <c:v>-0.36030729595554811</c:v>
                </c:pt>
                <c:pt idx="598">
                  <c:v>-0.35059197017921911</c:v>
                </c:pt>
                <c:pt idx="599">
                  <c:v>-0.35059197017921911</c:v>
                </c:pt>
                <c:pt idx="600">
                  <c:v>-0.35059197017921911</c:v>
                </c:pt>
                <c:pt idx="601">
                  <c:v>-0.35059197017921911</c:v>
                </c:pt>
                <c:pt idx="602">
                  <c:v>-0.35059197017921911</c:v>
                </c:pt>
                <c:pt idx="603">
                  <c:v>-0.35059197017921911</c:v>
                </c:pt>
                <c:pt idx="604">
                  <c:v>-0.35059197017921911</c:v>
                </c:pt>
                <c:pt idx="605">
                  <c:v>-0.35059197017921911</c:v>
                </c:pt>
                <c:pt idx="606">
                  <c:v>-0.337689309602062</c:v>
                </c:pt>
                <c:pt idx="607">
                  <c:v>-0.337689309602062</c:v>
                </c:pt>
                <c:pt idx="608">
                  <c:v>-0.337689309602062</c:v>
                </c:pt>
                <c:pt idx="609">
                  <c:v>-0.337689309602062</c:v>
                </c:pt>
                <c:pt idx="610">
                  <c:v>-0.337689309602062</c:v>
                </c:pt>
                <c:pt idx="611">
                  <c:v>-0.337689309602062</c:v>
                </c:pt>
                <c:pt idx="612">
                  <c:v>-0.337689309602062</c:v>
                </c:pt>
                <c:pt idx="613">
                  <c:v>-0.337689309602062</c:v>
                </c:pt>
                <c:pt idx="614">
                  <c:v>-0.337689309602062</c:v>
                </c:pt>
                <c:pt idx="615">
                  <c:v>-0.337689309602062</c:v>
                </c:pt>
                <c:pt idx="616">
                  <c:v>-0.32163939638952632</c:v>
                </c:pt>
                <c:pt idx="617">
                  <c:v>-0.32163939638952632</c:v>
                </c:pt>
                <c:pt idx="618">
                  <c:v>-0.32163939638952632</c:v>
                </c:pt>
                <c:pt idx="619">
                  <c:v>-0.32163939638952632</c:v>
                </c:pt>
                <c:pt idx="620">
                  <c:v>-0.32163939638952632</c:v>
                </c:pt>
                <c:pt idx="621">
                  <c:v>-0.32163939638952632</c:v>
                </c:pt>
                <c:pt idx="622">
                  <c:v>-0.31204933220437475</c:v>
                </c:pt>
                <c:pt idx="623">
                  <c:v>-0.31204933220437475</c:v>
                </c:pt>
                <c:pt idx="624">
                  <c:v>-0.31204933220437475</c:v>
                </c:pt>
                <c:pt idx="625">
                  <c:v>-0.31204933220437475</c:v>
                </c:pt>
                <c:pt idx="626">
                  <c:v>-0.31204933220437475</c:v>
                </c:pt>
                <c:pt idx="627">
                  <c:v>-0.31204933220437475</c:v>
                </c:pt>
                <c:pt idx="628">
                  <c:v>-0.31204933220437475</c:v>
                </c:pt>
                <c:pt idx="629">
                  <c:v>-0.31204933220437475</c:v>
                </c:pt>
                <c:pt idx="630">
                  <c:v>-0.31204933220437475</c:v>
                </c:pt>
                <c:pt idx="631">
                  <c:v>-0.31204933220437475</c:v>
                </c:pt>
                <c:pt idx="632">
                  <c:v>-0.31204933220437475</c:v>
                </c:pt>
                <c:pt idx="633">
                  <c:v>-0.31204933220437475</c:v>
                </c:pt>
                <c:pt idx="634">
                  <c:v>-0.29295400660571042</c:v>
                </c:pt>
                <c:pt idx="635">
                  <c:v>-0.29295400660571042</c:v>
                </c:pt>
                <c:pt idx="636">
                  <c:v>-0.29295400660571042</c:v>
                </c:pt>
                <c:pt idx="637">
                  <c:v>-0.29295400660571042</c:v>
                </c:pt>
                <c:pt idx="638">
                  <c:v>-0.29295400660571042</c:v>
                </c:pt>
                <c:pt idx="639">
                  <c:v>-0.29295400660571042</c:v>
                </c:pt>
                <c:pt idx="640">
                  <c:v>-0.29295400660571042</c:v>
                </c:pt>
                <c:pt idx="641">
                  <c:v>-0.29295400660571042</c:v>
                </c:pt>
                <c:pt idx="642">
                  <c:v>-0.28028330588569778</c:v>
                </c:pt>
                <c:pt idx="643">
                  <c:v>-0.28028330588569778</c:v>
                </c:pt>
                <c:pt idx="644">
                  <c:v>-0.28028330588569778</c:v>
                </c:pt>
                <c:pt idx="645">
                  <c:v>-0.28028330588569778</c:v>
                </c:pt>
                <c:pt idx="646">
                  <c:v>-0.27396491687072577</c:v>
                </c:pt>
                <c:pt idx="647">
                  <c:v>-0.27396491687072577</c:v>
                </c:pt>
                <c:pt idx="648">
                  <c:v>-0.27396491687072577</c:v>
                </c:pt>
                <c:pt idx="649">
                  <c:v>-0.27396491687072577</c:v>
                </c:pt>
                <c:pt idx="650">
                  <c:v>-0.27396491687072577</c:v>
                </c:pt>
                <c:pt idx="651">
                  <c:v>-0.27396491687072577</c:v>
                </c:pt>
                <c:pt idx="652">
                  <c:v>-0.27396491687072577</c:v>
                </c:pt>
                <c:pt idx="653">
                  <c:v>-0.26293383539244392</c:v>
                </c:pt>
                <c:pt idx="654">
                  <c:v>-0.26293383539244392</c:v>
                </c:pt>
                <c:pt idx="655">
                  <c:v>-0.26293383539244392</c:v>
                </c:pt>
                <c:pt idx="656">
                  <c:v>-0.26293383539244392</c:v>
                </c:pt>
                <c:pt idx="657">
                  <c:v>-0.26293383539244392</c:v>
                </c:pt>
                <c:pt idx="658">
                  <c:v>-0.26293383539244392</c:v>
                </c:pt>
                <c:pt idx="659">
                  <c:v>-0.26293383539244392</c:v>
                </c:pt>
                <c:pt idx="660">
                  <c:v>-0.25193465741015014</c:v>
                </c:pt>
                <c:pt idx="661">
                  <c:v>-0.25193465741015014</c:v>
                </c:pt>
                <c:pt idx="662">
                  <c:v>-0.25193465741015014</c:v>
                </c:pt>
                <c:pt idx="663">
                  <c:v>-0.25193465741015014</c:v>
                </c:pt>
                <c:pt idx="664">
                  <c:v>-0.25193465741015014</c:v>
                </c:pt>
                <c:pt idx="665">
                  <c:v>-0.25193465741015014</c:v>
                </c:pt>
                <c:pt idx="666">
                  <c:v>-0.24253103988010652</c:v>
                </c:pt>
                <c:pt idx="667">
                  <c:v>-0.24253103988010652</c:v>
                </c:pt>
                <c:pt idx="668">
                  <c:v>-0.24253103988010652</c:v>
                </c:pt>
                <c:pt idx="669">
                  <c:v>-0.23783731322627524</c:v>
                </c:pt>
                <c:pt idx="670">
                  <c:v>-0.23783731322627524</c:v>
                </c:pt>
                <c:pt idx="671">
                  <c:v>-0.23783731322627524</c:v>
                </c:pt>
                <c:pt idx="672">
                  <c:v>-0.23783731322627524</c:v>
                </c:pt>
                <c:pt idx="673">
                  <c:v>-0.23783731322627524</c:v>
                </c:pt>
                <c:pt idx="674">
                  <c:v>-0.23002600999886993</c:v>
                </c:pt>
                <c:pt idx="675">
                  <c:v>-0.23002600999886993</c:v>
                </c:pt>
                <c:pt idx="676">
                  <c:v>-0.23002600999886993</c:v>
                </c:pt>
                <c:pt idx="677">
                  <c:v>-0.23002600999886993</c:v>
                </c:pt>
                <c:pt idx="678">
                  <c:v>-0.22378708008709278</c:v>
                </c:pt>
                <c:pt idx="679">
                  <c:v>-0.22378708008709278</c:v>
                </c:pt>
                <c:pt idx="680">
                  <c:v>-0.22378708008709278</c:v>
                </c:pt>
                <c:pt idx="681">
                  <c:v>-0.22378708008709278</c:v>
                </c:pt>
                <c:pt idx="682">
                  <c:v>-0.22378708008709278</c:v>
                </c:pt>
                <c:pt idx="683">
                  <c:v>-0.22378708008709278</c:v>
                </c:pt>
                <c:pt idx="684">
                  <c:v>-0.21444491222324932</c:v>
                </c:pt>
                <c:pt idx="685">
                  <c:v>-0.21444491222324932</c:v>
                </c:pt>
                <c:pt idx="686">
                  <c:v>-0.21444491222324932</c:v>
                </c:pt>
                <c:pt idx="687">
                  <c:v>-0.21444491222324932</c:v>
                </c:pt>
                <c:pt idx="688">
                  <c:v>-0.21444491222324932</c:v>
                </c:pt>
                <c:pt idx="689">
                  <c:v>-0.21444491222324932</c:v>
                </c:pt>
                <c:pt idx="690">
                  <c:v>-0.21444491222324932</c:v>
                </c:pt>
                <c:pt idx="691">
                  <c:v>-0.21444491222324932</c:v>
                </c:pt>
                <c:pt idx="692">
                  <c:v>-0.21444491222324932</c:v>
                </c:pt>
                <c:pt idx="693">
                  <c:v>-0.21444491222324932</c:v>
                </c:pt>
                <c:pt idx="694">
                  <c:v>-0.198915705174462</c:v>
                </c:pt>
                <c:pt idx="695">
                  <c:v>-0.198915705174462</c:v>
                </c:pt>
                <c:pt idx="696">
                  <c:v>-0.198915705174462</c:v>
                </c:pt>
                <c:pt idx="697">
                  <c:v>-0.198915705174462</c:v>
                </c:pt>
                <c:pt idx="698">
                  <c:v>-0.198915705174462</c:v>
                </c:pt>
                <c:pt idx="699">
                  <c:v>-0.198915705174462</c:v>
                </c:pt>
                <c:pt idx="700">
                  <c:v>-0.198915705174462</c:v>
                </c:pt>
                <c:pt idx="701">
                  <c:v>-0.1880739545732803</c:v>
                </c:pt>
                <c:pt idx="702">
                  <c:v>-0.1880739545732803</c:v>
                </c:pt>
                <c:pt idx="703">
                  <c:v>-0.1880739545732803</c:v>
                </c:pt>
                <c:pt idx="704">
                  <c:v>-0.1880739545732803</c:v>
                </c:pt>
                <c:pt idx="705">
                  <c:v>-0.1880739545732803</c:v>
                </c:pt>
                <c:pt idx="706">
                  <c:v>-0.1880739545732803</c:v>
                </c:pt>
                <c:pt idx="707">
                  <c:v>-0.17879863688351211</c:v>
                </c:pt>
                <c:pt idx="708">
                  <c:v>-0.17879863688351211</c:v>
                </c:pt>
                <c:pt idx="709">
                  <c:v>-0.17879863688351211</c:v>
                </c:pt>
                <c:pt idx="710">
                  <c:v>-0.17879863688351211</c:v>
                </c:pt>
                <c:pt idx="711">
                  <c:v>-0.17879863688351211</c:v>
                </c:pt>
                <c:pt idx="712">
                  <c:v>-0.17879863688351211</c:v>
                </c:pt>
                <c:pt idx="713">
                  <c:v>-0.17879863688351211</c:v>
                </c:pt>
                <c:pt idx="714">
                  <c:v>-0.16799678341230881</c:v>
                </c:pt>
                <c:pt idx="715">
                  <c:v>-0.16799678341230881</c:v>
                </c:pt>
                <c:pt idx="716">
                  <c:v>-0.16799678341230881</c:v>
                </c:pt>
                <c:pt idx="717">
                  <c:v>-0.16799678341230881</c:v>
                </c:pt>
                <c:pt idx="718">
                  <c:v>-0.16799678341230881</c:v>
                </c:pt>
                <c:pt idx="719">
                  <c:v>-0.16799678341230881</c:v>
                </c:pt>
                <c:pt idx="720">
                  <c:v>-0.16799678341230881</c:v>
                </c:pt>
                <c:pt idx="721">
                  <c:v>-0.16799678341230881</c:v>
                </c:pt>
                <c:pt idx="722">
                  <c:v>-0.15567569037416348</c:v>
                </c:pt>
                <c:pt idx="723">
                  <c:v>-0.15567569037416348</c:v>
                </c:pt>
                <c:pt idx="724">
                  <c:v>-0.15567569037416348</c:v>
                </c:pt>
                <c:pt idx="725">
                  <c:v>-0.15567569037416348</c:v>
                </c:pt>
                <c:pt idx="726">
                  <c:v>-0.15567569037416348</c:v>
                </c:pt>
                <c:pt idx="727">
                  <c:v>-0.15567569037416348</c:v>
                </c:pt>
                <c:pt idx="728">
                  <c:v>-0.15567569037416348</c:v>
                </c:pt>
                <c:pt idx="729">
                  <c:v>-0.15567569037416348</c:v>
                </c:pt>
                <c:pt idx="730">
                  <c:v>-0.14337818601426075</c:v>
                </c:pt>
                <c:pt idx="731">
                  <c:v>-0.14337818601426075</c:v>
                </c:pt>
                <c:pt idx="732">
                  <c:v>-0.14337818601426075</c:v>
                </c:pt>
                <c:pt idx="733">
                  <c:v>-0.14337818601426075</c:v>
                </c:pt>
                <c:pt idx="734">
                  <c:v>-0.14337818601426075</c:v>
                </c:pt>
                <c:pt idx="735">
                  <c:v>-0.14337818601426075</c:v>
                </c:pt>
                <c:pt idx="736">
                  <c:v>-0.14337818601426075</c:v>
                </c:pt>
                <c:pt idx="737">
                  <c:v>-0.14337818601426075</c:v>
                </c:pt>
                <c:pt idx="738">
                  <c:v>-0.14337818601426075</c:v>
                </c:pt>
                <c:pt idx="739">
                  <c:v>-0.12956927093944987</c:v>
                </c:pt>
                <c:pt idx="740">
                  <c:v>-0.12956927093944987</c:v>
                </c:pt>
                <c:pt idx="741">
                  <c:v>-0.12956927093944987</c:v>
                </c:pt>
                <c:pt idx="742">
                  <c:v>-0.12956927093944987</c:v>
                </c:pt>
                <c:pt idx="743">
                  <c:v>-0.12344005334831042</c:v>
                </c:pt>
                <c:pt idx="744">
                  <c:v>-0.12344005334831042</c:v>
                </c:pt>
                <c:pt idx="745">
                  <c:v>-0.12344005334831042</c:v>
                </c:pt>
                <c:pt idx="746">
                  <c:v>-0.12344005334831042</c:v>
                </c:pt>
                <c:pt idx="747">
                  <c:v>-0.11731546960548965</c:v>
                </c:pt>
                <c:pt idx="748">
                  <c:v>-0.11731546960548965</c:v>
                </c:pt>
                <c:pt idx="749">
                  <c:v>-0.11731546960548965</c:v>
                </c:pt>
                <c:pt idx="750">
                  <c:v>-0.11731546960548965</c:v>
                </c:pt>
                <c:pt idx="751">
                  <c:v>-0.11731546960548965</c:v>
                </c:pt>
                <c:pt idx="752">
                  <c:v>-0.11731546960548965</c:v>
                </c:pt>
                <c:pt idx="753">
                  <c:v>-0.11731546960548965</c:v>
                </c:pt>
                <c:pt idx="754">
                  <c:v>-0.10660788786182936</c:v>
                </c:pt>
                <c:pt idx="755">
                  <c:v>-0.10660788786182936</c:v>
                </c:pt>
                <c:pt idx="756">
                  <c:v>-0.10660788786182936</c:v>
                </c:pt>
                <c:pt idx="757">
                  <c:v>-0.10660788786182936</c:v>
                </c:pt>
                <c:pt idx="758">
                  <c:v>-0.10660788786182936</c:v>
                </c:pt>
                <c:pt idx="759">
                  <c:v>-0.10660788786182936</c:v>
                </c:pt>
                <c:pt idx="760">
                  <c:v>-9.743972564826138E-2</c:v>
                </c:pt>
                <c:pt idx="761">
                  <c:v>-9.743972564826138E-2</c:v>
                </c:pt>
                <c:pt idx="762">
                  <c:v>-9.743972564826138E-2</c:v>
                </c:pt>
                <c:pt idx="763">
                  <c:v>-9.743972564826138E-2</c:v>
                </c:pt>
                <c:pt idx="764">
                  <c:v>-9.743972564826138E-2</c:v>
                </c:pt>
                <c:pt idx="765">
                  <c:v>-9.743972564826138E-2</c:v>
                </c:pt>
                <c:pt idx="766">
                  <c:v>-9.743972564826138E-2</c:v>
                </c:pt>
                <c:pt idx="767">
                  <c:v>-9.743972564826138E-2</c:v>
                </c:pt>
                <c:pt idx="768">
                  <c:v>-9.743972564826138E-2</c:v>
                </c:pt>
                <c:pt idx="769">
                  <c:v>-9.743972564826138E-2</c:v>
                </c:pt>
                <c:pt idx="770">
                  <c:v>-9.743972564826138E-2</c:v>
                </c:pt>
                <c:pt idx="771">
                  <c:v>-9.743972564826138E-2</c:v>
                </c:pt>
                <c:pt idx="772">
                  <c:v>-9.743972564826138E-2</c:v>
                </c:pt>
                <c:pt idx="773">
                  <c:v>-9.743972564826138E-2</c:v>
                </c:pt>
                <c:pt idx="774">
                  <c:v>-7.6077819866612773E-2</c:v>
                </c:pt>
                <c:pt idx="775">
                  <c:v>-7.6077819866612773E-2</c:v>
                </c:pt>
                <c:pt idx="776">
                  <c:v>-7.6077819866612773E-2</c:v>
                </c:pt>
                <c:pt idx="777">
                  <c:v>-7.6077819866612773E-2</c:v>
                </c:pt>
                <c:pt idx="778">
                  <c:v>-7.6077819866612773E-2</c:v>
                </c:pt>
                <c:pt idx="779">
                  <c:v>-7.6077819866612773E-2</c:v>
                </c:pt>
                <c:pt idx="780">
                  <c:v>-7.6077819866612773E-2</c:v>
                </c:pt>
                <c:pt idx="781">
                  <c:v>-7.6077819866612773E-2</c:v>
                </c:pt>
                <c:pt idx="782">
                  <c:v>-6.3887210036911155E-2</c:v>
                </c:pt>
                <c:pt idx="783">
                  <c:v>-6.3887210036911155E-2</c:v>
                </c:pt>
                <c:pt idx="784">
                  <c:v>-6.3887210036911155E-2</c:v>
                </c:pt>
                <c:pt idx="785">
                  <c:v>-6.3887210036911155E-2</c:v>
                </c:pt>
                <c:pt idx="786">
                  <c:v>-6.3887210036911155E-2</c:v>
                </c:pt>
                <c:pt idx="787">
                  <c:v>-6.3887210036911155E-2</c:v>
                </c:pt>
                <c:pt idx="788">
                  <c:v>-6.3887210036911155E-2</c:v>
                </c:pt>
                <c:pt idx="789">
                  <c:v>-6.3887210036911155E-2</c:v>
                </c:pt>
                <c:pt idx="790">
                  <c:v>-5.1706087511076533E-2</c:v>
                </c:pt>
                <c:pt idx="791">
                  <c:v>-5.1706087511076533E-2</c:v>
                </c:pt>
                <c:pt idx="792">
                  <c:v>-5.1706087511076533E-2</c:v>
                </c:pt>
                <c:pt idx="793">
                  <c:v>-4.7140240828996732E-2</c:v>
                </c:pt>
                <c:pt idx="794">
                  <c:v>-4.7140240828996732E-2</c:v>
                </c:pt>
                <c:pt idx="795">
                  <c:v>-4.7140240828996732E-2</c:v>
                </c:pt>
                <c:pt idx="796">
                  <c:v>-4.7140240828996732E-2</c:v>
                </c:pt>
                <c:pt idx="797">
                  <c:v>-4.7140240828996732E-2</c:v>
                </c:pt>
                <c:pt idx="798">
                  <c:v>-4.7140240828996732E-2</c:v>
                </c:pt>
                <c:pt idx="799">
                  <c:v>-4.7140240828996732E-2</c:v>
                </c:pt>
                <c:pt idx="800">
                  <c:v>-4.7140240828996732E-2</c:v>
                </c:pt>
                <c:pt idx="801">
                  <c:v>-4.7140240828996732E-2</c:v>
                </c:pt>
                <c:pt idx="802">
                  <c:v>-4.7140240828996732E-2</c:v>
                </c:pt>
                <c:pt idx="803">
                  <c:v>-4.7140240828996732E-2</c:v>
                </c:pt>
                <c:pt idx="804">
                  <c:v>-4.7140240828996732E-2</c:v>
                </c:pt>
                <c:pt idx="805">
                  <c:v>-4.7140240828996732E-2</c:v>
                </c:pt>
                <c:pt idx="806">
                  <c:v>-2.7365033500434788E-2</c:v>
                </c:pt>
                <c:pt idx="807">
                  <c:v>-2.7365033500434788E-2</c:v>
                </c:pt>
                <c:pt idx="808">
                  <c:v>-2.7365033500434788E-2</c:v>
                </c:pt>
                <c:pt idx="809">
                  <c:v>-2.7365033500434788E-2</c:v>
                </c:pt>
                <c:pt idx="810">
                  <c:v>-2.1282865457297767E-2</c:v>
                </c:pt>
                <c:pt idx="811">
                  <c:v>-2.1282865457297767E-2</c:v>
                </c:pt>
                <c:pt idx="812">
                  <c:v>-2.1282865457297767E-2</c:v>
                </c:pt>
                <c:pt idx="813">
                  <c:v>-2.1282865457297767E-2</c:v>
                </c:pt>
                <c:pt idx="814">
                  <c:v>-2.1282865457297767E-2</c:v>
                </c:pt>
                <c:pt idx="815">
                  <c:v>-2.1282865457297767E-2</c:v>
                </c:pt>
                <c:pt idx="816">
                  <c:v>-2.1282865457297767E-2</c:v>
                </c:pt>
                <c:pt idx="817">
                  <c:v>-2.1282865457297767E-2</c:v>
                </c:pt>
                <c:pt idx="818">
                  <c:v>-2.1282865457297767E-2</c:v>
                </c:pt>
                <c:pt idx="819">
                  <c:v>-2.1282865457297767E-2</c:v>
                </c:pt>
                <c:pt idx="820">
                  <c:v>-2.1282865457297767E-2</c:v>
                </c:pt>
                <c:pt idx="821">
                  <c:v>-4.5602855597810616E-3</c:v>
                </c:pt>
                <c:pt idx="822">
                  <c:v>-4.5602855597810616E-3</c:v>
                </c:pt>
                <c:pt idx="823">
                  <c:v>-4.5602855597810616E-3</c:v>
                </c:pt>
                <c:pt idx="824">
                  <c:v>-4.5602855597810616E-3</c:v>
                </c:pt>
                <c:pt idx="825">
                  <c:v>-4.5602855597810616E-3</c:v>
                </c:pt>
                <c:pt idx="826">
                  <c:v>-4.5602855597810616E-3</c:v>
                </c:pt>
                <c:pt idx="827">
                  <c:v>-4.5602855597810616E-3</c:v>
                </c:pt>
                <c:pt idx="828">
                  <c:v>-4.5602855597810616E-3</c:v>
                </c:pt>
                <c:pt idx="829">
                  <c:v>-4.5602855597810616E-3</c:v>
                </c:pt>
                <c:pt idx="830">
                  <c:v>-4.5602855597810616E-3</c:v>
                </c:pt>
                <c:pt idx="831">
                  <c:v>1.0640830227304372E-2</c:v>
                </c:pt>
                <c:pt idx="832">
                  <c:v>1.0640830227304372E-2</c:v>
                </c:pt>
                <c:pt idx="833">
                  <c:v>1.0640830227304372E-2</c:v>
                </c:pt>
                <c:pt idx="834">
                  <c:v>1.0640830227304372E-2</c:v>
                </c:pt>
                <c:pt idx="835">
                  <c:v>1.0640830227304372E-2</c:v>
                </c:pt>
                <c:pt idx="836">
                  <c:v>1.0640830227304372E-2</c:v>
                </c:pt>
                <c:pt idx="837">
                  <c:v>1.0640830227304372E-2</c:v>
                </c:pt>
                <c:pt idx="838">
                  <c:v>1.0640830227304372E-2</c:v>
                </c:pt>
                <c:pt idx="839">
                  <c:v>1.0640830227304372E-2</c:v>
                </c:pt>
                <c:pt idx="840">
                  <c:v>1.0640830227304372E-2</c:v>
                </c:pt>
                <c:pt idx="841">
                  <c:v>1.0640830227304372E-2</c:v>
                </c:pt>
                <c:pt idx="842">
                  <c:v>2.7365033500434649E-2</c:v>
                </c:pt>
                <c:pt idx="843">
                  <c:v>2.7365033500434649E-2</c:v>
                </c:pt>
                <c:pt idx="844">
                  <c:v>2.7365033500434649E-2</c:v>
                </c:pt>
                <c:pt idx="845">
                  <c:v>2.7365033500434649E-2</c:v>
                </c:pt>
                <c:pt idx="846">
                  <c:v>2.7365033500434649E-2</c:v>
                </c:pt>
                <c:pt idx="847">
                  <c:v>2.7365033500434649E-2</c:v>
                </c:pt>
                <c:pt idx="848">
                  <c:v>2.7365033500434649E-2</c:v>
                </c:pt>
                <c:pt idx="849">
                  <c:v>2.7365033500434649E-2</c:v>
                </c:pt>
                <c:pt idx="850">
                  <c:v>2.7365033500434649E-2</c:v>
                </c:pt>
                <c:pt idx="851">
                  <c:v>4.1053957112594373E-2</c:v>
                </c:pt>
                <c:pt idx="852">
                  <c:v>4.1053957112594373E-2</c:v>
                </c:pt>
                <c:pt idx="853">
                  <c:v>4.1053957112594373E-2</c:v>
                </c:pt>
                <c:pt idx="854">
                  <c:v>4.1053957112594373E-2</c:v>
                </c:pt>
                <c:pt idx="855">
                  <c:v>4.1053957112594373E-2</c:v>
                </c:pt>
                <c:pt idx="856">
                  <c:v>4.1053957112594373E-2</c:v>
                </c:pt>
                <c:pt idx="857">
                  <c:v>4.1053957112594373E-2</c:v>
                </c:pt>
                <c:pt idx="858">
                  <c:v>4.1053957112594373E-2</c:v>
                </c:pt>
                <c:pt idx="859">
                  <c:v>4.1053957112594373E-2</c:v>
                </c:pt>
                <c:pt idx="860">
                  <c:v>4.1053957112594373E-2</c:v>
                </c:pt>
                <c:pt idx="861">
                  <c:v>4.1053957112594373E-2</c:v>
                </c:pt>
                <c:pt idx="862">
                  <c:v>4.1053957112594373E-2</c:v>
                </c:pt>
                <c:pt idx="863">
                  <c:v>4.1053957112594373E-2</c:v>
                </c:pt>
                <c:pt idx="864">
                  <c:v>4.1053957112594373E-2</c:v>
                </c:pt>
                <c:pt idx="865">
                  <c:v>4.1053957112594373E-2</c:v>
                </c:pt>
                <c:pt idx="866">
                  <c:v>6.3887210036911155E-2</c:v>
                </c:pt>
                <c:pt idx="867">
                  <c:v>6.3887210036911155E-2</c:v>
                </c:pt>
                <c:pt idx="868">
                  <c:v>6.3887210036911155E-2</c:v>
                </c:pt>
                <c:pt idx="869">
                  <c:v>6.3887210036911155E-2</c:v>
                </c:pt>
                <c:pt idx="870">
                  <c:v>6.3887210036911155E-2</c:v>
                </c:pt>
                <c:pt idx="871">
                  <c:v>6.3887210036911155E-2</c:v>
                </c:pt>
                <c:pt idx="872">
                  <c:v>6.3887210036911155E-2</c:v>
                </c:pt>
                <c:pt idx="873">
                  <c:v>6.3887210036911155E-2</c:v>
                </c:pt>
                <c:pt idx="874">
                  <c:v>6.3887210036911155E-2</c:v>
                </c:pt>
                <c:pt idx="875">
                  <c:v>6.3887210036911155E-2</c:v>
                </c:pt>
                <c:pt idx="876">
                  <c:v>7.9127168877726875E-2</c:v>
                </c:pt>
                <c:pt idx="877">
                  <c:v>7.9127168877726875E-2</c:v>
                </c:pt>
                <c:pt idx="878">
                  <c:v>7.9127168877726875E-2</c:v>
                </c:pt>
                <c:pt idx="879">
                  <c:v>7.9127168877726875E-2</c:v>
                </c:pt>
                <c:pt idx="880">
                  <c:v>7.9127168877726875E-2</c:v>
                </c:pt>
                <c:pt idx="881">
                  <c:v>7.9127168877726875E-2</c:v>
                </c:pt>
                <c:pt idx="882">
                  <c:v>7.9127168877726875E-2</c:v>
                </c:pt>
                <c:pt idx="883">
                  <c:v>7.9127168877726875E-2</c:v>
                </c:pt>
                <c:pt idx="884">
                  <c:v>7.9127168877726875E-2</c:v>
                </c:pt>
                <c:pt idx="885">
                  <c:v>7.9127168877726875E-2</c:v>
                </c:pt>
                <c:pt idx="886">
                  <c:v>7.9127168877726875E-2</c:v>
                </c:pt>
                <c:pt idx="887">
                  <c:v>7.9127168877726875E-2</c:v>
                </c:pt>
                <c:pt idx="888">
                  <c:v>7.9127168877726875E-2</c:v>
                </c:pt>
                <c:pt idx="889">
                  <c:v>9.896716322379942E-2</c:v>
                </c:pt>
                <c:pt idx="890">
                  <c:v>9.896716322379942E-2</c:v>
                </c:pt>
                <c:pt idx="891">
                  <c:v>9.896716322379942E-2</c:v>
                </c:pt>
                <c:pt idx="892">
                  <c:v>9.896716322379942E-2</c:v>
                </c:pt>
                <c:pt idx="893">
                  <c:v>9.896716322379942E-2</c:v>
                </c:pt>
                <c:pt idx="894">
                  <c:v>9.896716322379942E-2</c:v>
                </c:pt>
                <c:pt idx="895">
                  <c:v>9.896716322379942E-2</c:v>
                </c:pt>
                <c:pt idx="896">
                  <c:v>9.896716322379942E-2</c:v>
                </c:pt>
                <c:pt idx="897">
                  <c:v>9.896716322379942E-2</c:v>
                </c:pt>
                <c:pt idx="898">
                  <c:v>9.896716322379942E-2</c:v>
                </c:pt>
                <c:pt idx="899">
                  <c:v>9.896716322379942E-2</c:v>
                </c:pt>
                <c:pt idx="900">
                  <c:v>0.11578501997911882</c:v>
                </c:pt>
                <c:pt idx="901">
                  <c:v>0.11578501997911882</c:v>
                </c:pt>
                <c:pt idx="902">
                  <c:v>0.11578501997911882</c:v>
                </c:pt>
                <c:pt idx="903">
                  <c:v>0.11578501997911882</c:v>
                </c:pt>
                <c:pt idx="904">
                  <c:v>0.11578501997911882</c:v>
                </c:pt>
                <c:pt idx="905">
                  <c:v>0.11578501997911882</c:v>
                </c:pt>
                <c:pt idx="906">
                  <c:v>0.11578501997911882</c:v>
                </c:pt>
                <c:pt idx="907">
                  <c:v>0.11578501997911882</c:v>
                </c:pt>
                <c:pt idx="908">
                  <c:v>0.11578501997911882</c:v>
                </c:pt>
                <c:pt idx="909">
                  <c:v>0.12956927093944998</c:v>
                </c:pt>
                <c:pt idx="910">
                  <c:v>0.12956927093944998</c:v>
                </c:pt>
                <c:pt idx="911">
                  <c:v>0.12956927093944998</c:v>
                </c:pt>
                <c:pt idx="912">
                  <c:v>0.12956927093944998</c:v>
                </c:pt>
                <c:pt idx="913">
                  <c:v>0.12956927093944998</c:v>
                </c:pt>
                <c:pt idx="914">
                  <c:v>0.12956927093944998</c:v>
                </c:pt>
                <c:pt idx="915">
                  <c:v>0.12956927093944998</c:v>
                </c:pt>
                <c:pt idx="916">
                  <c:v>0.12956927093944998</c:v>
                </c:pt>
                <c:pt idx="917">
                  <c:v>0.12956927093944998</c:v>
                </c:pt>
                <c:pt idx="918">
                  <c:v>0.12956927093944998</c:v>
                </c:pt>
                <c:pt idx="919">
                  <c:v>0.12956927093944998</c:v>
                </c:pt>
                <c:pt idx="920">
                  <c:v>0.12956927093944998</c:v>
                </c:pt>
                <c:pt idx="921">
                  <c:v>0.14798710972583889</c:v>
                </c:pt>
                <c:pt idx="922">
                  <c:v>0.14798710972583889</c:v>
                </c:pt>
                <c:pt idx="923">
                  <c:v>0.14798710972583889</c:v>
                </c:pt>
                <c:pt idx="924">
                  <c:v>0.14798710972583889</c:v>
                </c:pt>
                <c:pt idx="925">
                  <c:v>0.14798710972583889</c:v>
                </c:pt>
                <c:pt idx="926">
                  <c:v>0.14798710972583889</c:v>
                </c:pt>
                <c:pt idx="927">
                  <c:v>0.14798710972583889</c:v>
                </c:pt>
                <c:pt idx="928">
                  <c:v>0.14798710972583889</c:v>
                </c:pt>
                <c:pt idx="929">
                  <c:v>0.14798710972583889</c:v>
                </c:pt>
                <c:pt idx="930">
                  <c:v>0.14798710972583889</c:v>
                </c:pt>
                <c:pt idx="931">
                  <c:v>0.16337348484333708</c:v>
                </c:pt>
                <c:pt idx="932">
                  <c:v>0.16337348484333708</c:v>
                </c:pt>
                <c:pt idx="933">
                  <c:v>0.16337348484333708</c:v>
                </c:pt>
                <c:pt idx="934">
                  <c:v>0.16337348484333708</c:v>
                </c:pt>
                <c:pt idx="935">
                  <c:v>0.16337348484333708</c:v>
                </c:pt>
                <c:pt idx="936">
                  <c:v>0.16337348484333708</c:v>
                </c:pt>
                <c:pt idx="937">
                  <c:v>0.16337348484333708</c:v>
                </c:pt>
                <c:pt idx="938">
                  <c:v>0.16337348484333708</c:v>
                </c:pt>
                <c:pt idx="939">
                  <c:v>0.16337348484333708</c:v>
                </c:pt>
                <c:pt idx="940">
                  <c:v>0.16337348484333708</c:v>
                </c:pt>
                <c:pt idx="941">
                  <c:v>0.16337348484333708</c:v>
                </c:pt>
                <c:pt idx="942">
                  <c:v>0.16337348484333708</c:v>
                </c:pt>
                <c:pt idx="943">
                  <c:v>0.16337348484333708</c:v>
                </c:pt>
                <c:pt idx="944">
                  <c:v>0.18343432307636306</c:v>
                </c:pt>
                <c:pt idx="945">
                  <c:v>0.18343432307636306</c:v>
                </c:pt>
                <c:pt idx="946">
                  <c:v>0.18343432307636306</c:v>
                </c:pt>
                <c:pt idx="947">
                  <c:v>0.18343432307636306</c:v>
                </c:pt>
                <c:pt idx="948">
                  <c:v>0.18343432307636306</c:v>
                </c:pt>
                <c:pt idx="949">
                  <c:v>0.18343432307636306</c:v>
                </c:pt>
                <c:pt idx="950">
                  <c:v>0.18343432307636306</c:v>
                </c:pt>
                <c:pt idx="951">
                  <c:v>0.18343432307636306</c:v>
                </c:pt>
                <c:pt idx="952">
                  <c:v>0.18343432307636306</c:v>
                </c:pt>
                <c:pt idx="953">
                  <c:v>0.18343432307636306</c:v>
                </c:pt>
                <c:pt idx="954">
                  <c:v>0.18343432307636306</c:v>
                </c:pt>
                <c:pt idx="955">
                  <c:v>0.18343432307636306</c:v>
                </c:pt>
                <c:pt idx="956">
                  <c:v>0.18343432307636306</c:v>
                </c:pt>
                <c:pt idx="957">
                  <c:v>0.18343432307636306</c:v>
                </c:pt>
                <c:pt idx="958">
                  <c:v>0.18343432307636306</c:v>
                </c:pt>
                <c:pt idx="959">
                  <c:v>0.206674078513852</c:v>
                </c:pt>
                <c:pt idx="960">
                  <c:v>0.206674078513852</c:v>
                </c:pt>
                <c:pt idx="961">
                  <c:v>0.206674078513852</c:v>
                </c:pt>
                <c:pt idx="962">
                  <c:v>0.206674078513852</c:v>
                </c:pt>
                <c:pt idx="963">
                  <c:v>0.206674078513852</c:v>
                </c:pt>
                <c:pt idx="964">
                  <c:v>0.206674078513852</c:v>
                </c:pt>
                <c:pt idx="965">
                  <c:v>0.206674078513852</c:v>
                </c:pt>
                <c:pt idx="966">
                  <c:v>0.206674078513852</c:v>
                </c:pt>
                <c:pt idx="967">
                  <c:v>0.206674078513852</c:v>
                </c:pt>
                <c:pt idx="968">
                  <c:v>0.206674078513852</c:v>
                </c:pt>
                <c:pt idx="969">
                  <c:v>0.22222871718700732</c:v>
                </c:pt>
                <c:pt idx="970">
                  <c:v>0.22222871718700732</c:v>
                </c:pt>
                <c:pt idx="971">
                  <c:v>0.22222871718700732</c:v>
                </c:pt>
                <c:pt idx="972">
                  <c:v>0.22222871718700732</c:v>
                </c:pt>
                <c:pt idx="973">
                  <c:v>0.22222871718700732</c:v>
                </c:pt>
                <c:pt idx="974">
                  <c:v>0.22222871718700732</c:v>
                </c:pt>
                <c:pt idx="975">
                  <c:v>0.22222871718700732</c:v>
                </c:pt>
                <c:pt idx="976">
                  <c:v>0.22222871718700732</c:v>
                </c:pt>
                <c:pt idx="977">
                  <c:v>0.22222871718700732</c:v>
                </c:pt>
                <c:pt idx="978">
                  <c:v>0.22222871718700732</c:v>
                </c:pt>
                <c:pt idx="979">
                  <c:v>0.22222871718700732</c:v>
                </c:pt>
                <c:pt idx="980">
                  <c:v>0.22222871718700732</c:v>
                </c:pt>
                <c:pt idx="981">
                  <c:v>0.22222871718700732</c:v>
                </c:pt>
                <c:pt idx="982">
                  <c:v>0.22222871718700732</c:v>
                </c:pt>
                <c:pt idx="983">
                  <c:v>0.22222871718700732</c:v>
                </c:pt>
                <c:pt idx="984">
                  <c:v>0.22222871718700732</c:v>
                </c:pt>
                <c:pt idx="985">
                  <c:v>0.22222871718700732</c:v>
                </c:pt>
                <c:pt idx="986">
                  <c:v>0.22222871718700732</c:v>
                </c:pt>
                <c:pt idx="987">
                  <c:v>0.22222871718700732</c:v>
                </c:pt>
                <c:pt idx="988">
                  <c:v>0.22222871718700732</c:v>
                </c:pt>
                <c:pt idx="989">
                  <c:v>0.22222871718700732</c:v>
                </c:pt>
                <c:pt idx="990">
                  <c:v>0.22222871718700732</c:v>
                </c:pt>
                <c:pt idx="991">
                  <c:v>0.22222871718700732</c:v>
                </c:pt>
                <c:pt idx="992">
                  <c:v>0.22222871718700732</c:v>
                </c:pt>
                <c:pt idx="993">
                  <c:v>0.22222871718700732</c:v>
                </c:pt>
                <c:pt idx="994">
                  <c:v>0.22222871718700732</c:v>
                </c:pt>
                <c:pt idx="995">
                  <c:v>0.22222871718700732</c:v>
                </c:pt>
                <c:pt idx="996">
                  <c:v>0.22222871718700732</c:v>
                </c:pt>
                <c:pt idx="997">
                  <c:v>0.22222871718700732</c:v>
                </c:pt>
                <c:pt idx="998">
                  <c:v>0.22222871718700732</c:v>
                </c:pt>
                <c:pt idx="999">
                  <c:v>0.22222871718700732</c:v>
                </c:pt>
                <c:pt idx="1000">
                  <c:v>0.22222871718700732</c:v>
                </c:pt>
                <c:pt idx="1001">
                  <c:v>0.22222871718700732</c:v>
                </c:pt>
                <c:pt idx="1002">
                  <c:v>0.22222871718700732</c:v>
                </c:pt>
                <c:pt idx="1003">
                  <c:v>0.22222871718700732</c:v>
                </c:pt>
                <c:pt idx="1004">
                  <c:v>0.22222871718700732</c:v>
                </c:pt>
                <c:pt idx="1005">
                  <c:v>0.27870266916975811</c:v>
                </c:pt>
                <c:pt idx="1006">
                  <c:v>0.27870266916975811</c:v>
                </c:pt>
                <c:pt idx="1007">
                  <c:v>0.27870266916975811</c:v>
                </c:pt>
                <c:pt idx="1008">
                  <c:v>0.27870266916975811</c:v>
                </c:pt>
                <c:pt idx="1009">
                  <c:v>0.27870266916975811</c:v>
                </c:pt>
                <c:pt idx="1010">
                  <c:v>0.27870266916975811</c:v>
                </c:pt>
                <c:pt idx="1011">
                  <c:v>0.27870266916975811</c:v>
                </c:pt>
                <c:pt idx="1012">
                  <c:v>0.27870266916975811</c:v>
                </c:pt>
                <c:pt idx="1013">
                  <c:v>0.27870266916975811</c:v>
                </c:pt>
                <c:pt idx="1014">
                  <c:v>0.29295400660571058</c:v>
                </c:pt>
                <c:pt idx="1015">
                  <c:v>0.29295400660571058</c:v>
                </c:pt>
                <c:pt idx="1016">
                  <c:v>0.29295400660571058</c:v>
                </c:pt>
                <c:pt idx="1017">
                  <c:v>0.29295400660571058</c:v>
                </c:pt>
                <c:pt idx="1018">
                  <c:v>0.29295400660571058</c:v>
                </c:pt>
                <c:pt idx="1019">
                  <c:v>0.29295400660571058</c:v>
                </c:pt>
                <c:pt idx="1020">
                  <c:v>0.29295400660571058</c:v>
                </c:pt>
                <c:pt idx="1021">
                  <c:v>0.29295400660571058</c:v>
                </c:pt>
                <c:pt idx="1022">
                  <c:v>0.29295400660571058</c:v>
                </c:pt>
                <c:pt idx="1023">
                  <c:v>0.29295400660571058</c:v>
                </c:pt>
                <c:pt idx="1024">
                  <c:v>0.29295400660571058</c:v>
                </c:pt>
                <c:pt idx="1025">
                  <c:v>0.29295400660571058</c:v>
                </c:pt>
                <c:pt idx="1026">
                  <c:v>0.29295400660571058</c:v>
                </c:pt>
                <c:pt idx="1027">
                  <c:v>0.29295400660571058</c:v>
                </c:pt>
                <c:pt idx="1028">
                  <c:v>0.3152427890443939</c:v>
                </c:pt>
                <c:pt idx="1029">
                  <c:v>0.3152427890443939</c:v>
                </c:pt>
                <c:pt idx="1030">
                  <c:v>0.3152427890443939</c:v>
                </c:pt>
                <c:pt idx="1031">
                  <c:v>0.3152427890443939</c:v>
                </c:pt>
                <c:pt idx="1032">
                  <c:v>0.3152427890443939</c:v>
                </c:pt>
                <c:pt idx="1033">
                  <c:v>0.3152427890443939</c:v>
                </c:pt>
                <c:pt idx="1034">
                  <c:v>0.3152427890443939</c:v>
                </c:pt>
                <c:pt idx="1035">
                  <c:v>0.3152427890443939</c:v>
                </c:pt>
                <c:pt idx="1036">
                  <c:v>0.3152427890443939</c:v>
                </c:pt>
                <c:pt idx="1037">
                  <c:v>0.3152427890443939</c:v>
                </c:pt>
                <c:pt idx="1038">
                  <c:v>0.3152427890443939</c:v>
                </c:pt>
                <c:pt idx="1039">
                  <c:v>0.33286538375086522</c:v>
                </c:pt>
                <c:pt idx="1040">
                  <c:v>0.33286538375086522</c:v>
                </c:pt>
                <c:pt idx="1041">
                  <c:v>0.33286538375086522</c:v>
                </c:pt>
                <c:pt idx="1042">
                  <c:v>0.33286538375086522</c:v>
                </c:pt>
                <c:pt idx="1043">
                  <c:v>0.33286538375086522</c:v>
                </c:pt>
                <c:pt idx="1044">
                  <c:v>0.33286538375086522</c:v>
                </c:pt>
                <c:pt idx="1045">
                  <c:v>0.33286538375086522</c:v>
                </c:pt>
                <c:pt idx="1046">
                  <c:v>0.33286538375086522</c:v>
                </c:pt>
                <c:pt idx="1047">
                  <c:v>0.33286538375086522</c:v>
                </c:pt>
                <c:pt idx="1048">
                  <c:v>0.33286538375086522</c:v>
                </c:pt>
                <c:pt idx="1049">
                  <c:v>0.33286538375086522</c:v>
                </c:pt>
                <c:pt idx="1050">
                  <c:v>0.33286538375086522</c:v>
                </c:pt>
                <c:pt idx="1051">
                  <c:v>0.35220887014201224</c:v>
                </c:pt>
                <c:pt idx="1052">
                  <c:v>0.35220887014201224</c:v>
                </c:pt>
                <c:pt idx="1053">
                  <c:v>0.35220887014201224</c:v>
                </c:pt>
                <c:pt idx="1054">
                  <c:v>0.35220887014201224</c:v>
                </c:pt>
                <c:pt idx="1055">
                  <c:v>0.35220887014201224</c:v>
                </c:pt>
                <c:pt idx="1056">
                  <c:v>0.35220887014201224</c:v>
                </c:pt>
                <c:pt idx="1057">
                  <c:v>0.35220887014201224</c:v>
                </c:pt>
                <c:pt idx="1058">
                  <c:v>0.35220887014201224</c:v>
                </c:pt>
                <c:pt idx="1059">
                  <c:v>0.35220887014201224</c:v>
                </c:pt>
                <c:pt idx="1060">
                  <c:v>0.35220887014201224</c:v>
                </c:pt>
                <c:pt idx="1061">
                  <c:v>0.35220887014201224</c:v>
                </c:pt>
                <c:pt idx="1062">
                  <c:v>0.35220887014201224</c:v>
                </c:pt>
                <c:pt idx="1063">
                  <c:v>0.3716850598056044</c:v>
                </c:pt>
                <c:pt idx="1064">
                  <c:v>0.3716850598056044</c:v>
                </c:pt>
                <c:pt idx="1065">
                  <c:v>0.3716850598056044</c:v>
                </c:pt>
                <c:pt idx="1066">
                  <c:v>0.3716850598056044</c:v>
                </c:pt>
                <c:pt idx="1067">
                  <c:v>0.3716850598056044</c:v>
                </c:pt>
                <c:pt idx="1068">
                  <c:v>0.3716850598056044</c:v>
                </c:pt>
                <c:pt idx="1069">
                  <c:v>0.3716850598056044</c:v>
                </c:pt>
                <c:pt idx="1070">
                  <c:v>0.3716850598056044</c:v>
                </c:pt>
                <c:pt idx="1071">
                  <c:v>0.3716850598056044</c:v>
                </c:pt>
                <c:pt idx="1072">
                  <c:v>0.3716850598056044</c:v>
                </c:pt>
                <c:pt idx="1073">
                  <c:v>0.3716850598056044</c:v>
                </c:pt>
                <c:pt idx="1074">
                  <c:v>0.3716850598056044</c:v>
                </c:pt>
                <c:pt idx="1075">
                  <c:v>0.3716850598056044</c:v>
                </c:pt>
                <c:pt idx="1076">
                  <c:v>0.3716850598056044</c:v>
                </c:pt>
                <c:pt idx="1077">
                  <c:v>0.3716850598056044</c:v>
                </c:pt>
                <c:pt idx="1078">
                  <c:v>0.3716850598056044</c:v>
                </c:pt>
                <c:pt idx="1079">
                  <c:v>0.39787592189543292</c:v>
                </c:pt>
                <c:pt idx="1080">
                  <c:v>0.39787592189543292</c:v>
                </c:pt>
                <c:pt idx="1081">
                  <c:v>0.39787592189543292</c:v>
                </c:pt>
                <c:pt idx="1082">
                  <c:v>0.39787592189543292</c:v>
                </c:pt>
                <c:pt idx="1083">
                  <c:v>0.39787592189543292</c:v>
                </c:pt>
                <c:pt idx="1084">
                  <c:v>0.39787592189543292</c:v>
                </c:pt>
                <c:pt idx="1085">
                  <c:v>0.39787592189543292</c:v>
                </c:pt>
                <c:pt idx="1086">
                  <c:v>0.39787592189543292</c:v>
                </c:pt>
                <c:pt idx="1087">
                  <c:v>0.39787592189543292</c:v>
                </c:pt>
                <c:pt idx="1088">
                  <c:v>0.39787592189543292</c:v>
                </c:pt>
                <c:pt idx="1089">
                  <c:v>0.4143837514429769</c:v>
                </c:pt>
                <c:pt idx="1090">
                  <c:v>0.4143837514429769</c:v>
                </c:pt>
                <c:pt idx="1091">
                  <c:v>0.4143837514429769</c:v>
                </c:pt>
                <c:pt idx="1092">
                  <c:v>0.4143837514429769</c:v>
                </c:pt>
                <c:pt idx="1093">
                  <c:v>0.4143837514429769</c:v>
                </c:pt>
                <c:pt idx="1094">
                  <c:v>0.4143837514429769</c:v>
                </c:pt>
                <c:pt idx="1095">
                  <c:v>0.4143837514429769</c:v>
                </c:pt>
                <c:pt idx="1096">
                  <c:v>0.4143837514429769</c:v>
                </c:pt>
                <c:pt idx="1097">
                  <c:v>0.4143837514429769</c:v>
                </c:pt>
                <c:pt idx="1098">
                  <c:v>0.4143837514429769</c:v>
                </c:pt>
                <c:pt idx="1099">
                  <c:v>0.4143837514429769</c:v>
                </c:pt>
                <c:pt idx="1100">
                  <c:v>0.4143837514429769</c:v>
                </c:pt>
                <c:pt idx="1101">
                  <c:v>0.43434378704136062</c:v>
                </c:pt>
                <c:pt idx="1102">
                  <c:v>0.43434378704136062</c:v>
                </c:pt>
                <c:pt idx="1103">
                  <c:v>0.43434378704136062</c:v>
                </c:pt>
                <c:pt idx="1104">
                  <c:v>0.43434378704136062</c:v>
                </c:pt>
                <c:pt idx="1105">
                  <c:v>0.43434378704136062</c:v>
                </c:pt>
                <c:pt idx="1106">
                  <c:v>0.43434378704136062</c:v>
                </c:pt>
                <c:pt idx="1107">
                  <c:v>0.43434378704136062</c:v>
                </c:pt>
                <c:pt idx="1108">
                  <c:v>0.43434378704136062</c:v>
                </c:pt>
                <c:pt idx="1109">
                  <c:v>0.43434378704136062</c:v>
                </c:pt>
                <c:pt idx="1110">
                  <c:v>0.43434378704136062</c:v>
                </c:pt>
                <c:pt idx="1111">
                  <c:v>0.43434378704136062</c:v>
                </c:pt>
                <c:pt idx="1112">
                  <c:v>0.43434378704136062</c:v>
                </c:pt>
                <c:pt idx="1113">
                  <c:v>0.43434378704136062</c:v>
                </c:pt>
                <c:pt idx="1114">
                  <c:v>0.43434378704136062</c:v>
                </c:pt>
                <c:pt idx="1115">
                  <c:v>0.43434378704136062</c:v>
                </c:pt>
                <c:pt idx="1116">
                  <c:v>0.43434378704136062</c:v>
                </c:pt>
                <c:pt idx="1117">
                  <c:v>0.43434378704136062</c:v>
                </c:pt>
                <c:pt idx="1118">
                  <c:v>0.43434378704136062</c:v>
                </c:pt>
                <c:pt idx="1119">
                  <c:v>0.43434378704136062</c:v>
                </c:pt>
                <c:pt idx="1120">
                  <c:v>0.4663087141536239</c:v>
                </c:pt>
                <c:pt idx="1121">
                  <c:v>0.4663087141536239</c:v>
                </c:pt>
                <c:pt idx="1122">
                  <c:v>0.4663087141536239</c:v>
                </c:pt>
                <c:pt idx="1123">
                  <c:v>0.4663087141536239</c:v>
                </c:pt>
                <c:pt idx="1124">
                  <c:v>0.4663087141536239</c:v>
                </c:pt>
                <c:pt idx="1125">
                  <c:v>0.4663087141536239</c:v>
                </c:pt>
                <c:pt idx="1126">
                  <c:v>0.4663087141536239</c:v>
                </c:pt>
                <c:pt idx="1127">
                  <c:v>0.4663087141536239</c:v>
                </c:pt>
                <c:pt idx="1128">
                  <c:v>0.4663087141536239</c:v>
                </c:pt>
                <c:pt idx="1129">
                  <c:v>0.48161589062349974</c:v>
                </c:pt>
                <c:pt idx="1130">
                  <c:v>0.48161589062349974</c:v>
                </c:pt>
                <c:pt idx="1131">
                  <c:v>0.48161589062349974</c:v>
                </c:pt>
                <c:pt idx="1132">
                  <c:v>0.48161589062349974</c:v>
                </c:pt>
                <c:pt idx="1133">
                  <c:v>0.48161589062349974</c:v>
                </c:pt>
                <c:pt idx="1134">
                  <c:v>0.48161589062349974</c:v>
                </c:pt>
                <c:pt idx="1135">
                  <c:v>0.48161589062349974</c:v>
                </c:pt>
                <c:pt idx="1136">
                  <c:v>0.48161589062349974</c:v>
                </c:pt>
                <c:pt idx="1137">
                  <c:v>0.48161589062349974</c:v>
                </c:pt>
                <c:pt idx="1138">
                  <c:v>0.48161589062349974</c:v>
                </c:pt>
                <c:pt idx="1139">
                  <c:v>0.48161589062349974</c:v>
                </c:pt>
                <c:pt idx="1140">
                  <c:v>0.48161589062349974</c:v>
                </c:pt>
                <c:pt idx="1141">
                  <c:v>0.48161589062349974</c:v>
                </c:pt>
                <c:pt idx="1142">
                  <c:v>0.5039283835636299</c:v>
                </c:pt>
                <c:pt idx="1143">
                  <c:v>0.5039283835636299</c:v>
                </c:pt>
                <c:pt idx="1144">
                  <c:v>0.5039283835636299</c:v>
                </c:pt>
                <c:pt idx="1145">
                  <c:v>0.5039283835636299</c:v>
                </c:pt>
                <c:pt idx="1146">
                  <c:v>0.5039283835636299</c:v>
                </c:pt>
                <c:pt idx="1147">
                  <c:v>0.5039283835636299</c:v>
                </c:pt>
                <c:pt idx="1148">
                  <c:v>0.5039283835636299</c:v>
                </c:pt>
                <c:pt idx="1149">
                  <c:v>0.5039283835636299</c:v>
                </c:pt>
                <c:pt idx="1150">
                  <c:v>0.5039283835636299</c:v>
                </c:pt>
                <c:pt idx="1151">
                  <c:v>0.5039283835636299</c:v>
                </c:pt>
                <c:pt idx="1152">
                  <c:v>0.5039283835636299</c:v>
                </c:pt>
                <c:pt idx="1153">
                  <c:v>0.5039283835636299</c:v>
                </c:pt>
                <c:pt idx="1154">
                  <c:v>0.5039283835636299</c:v>
                </c:pt>
                <c:pt idx="1155">
                  <c:v>0.5039283835636299</c:v>
                </c:pt>
                <c:pt idx="1156">
                  <c:v>0.52824151828033117</c:v>
                </c:pt>
                <c:pt idx="1157">
                  <c:v>0.52824151828033117</c:v>
                </c:pt>
                <c:pt idx="1158">
                  <c:v>0.52824151828033117</c:v>
                </c:pt>
                <c:pt idx="1159">
                  <c:v>0.52824151828033117</c:v>
                </c:pt>
                <c:pt idx="1160">
                  <c:v>0.52824151828033117</c:v>
                </c:pt>
                <c:pt idx="1161">
                  <c:v>0.52824151828033117</c:v>
                </c:pt>
                <c:pt idx="1162">
                  <c:v>0.52824151828033117</c:v>
                </c:pt>
                <c:pt idx="1163">
                  <c:v>0.54051528578164909</c:v>
                </c:pt>
                <c:pt idx="1164">
                  <c:v>0.54051528578164909</c:v>
                </c:pt>
                <c:pt idx="1165">
                  <c:v>0.54051528578164909</c:v>
                </c:pt>
                <c:pt idx="1166">
                  <c:v>0.54051528578164909</c:v>
                </c:pt>
                <c:pt idx="1167">
                  <c:v>0.54051528578164909</c:v>
                </c:pt>
                <c:pt idx="1168">
                  <c:v>0.54051528578164909</c:v>
                </c:pt>
                <c:pt idx="1169">
                  <c:v>0.54051528578164909</c:v>
                </c:pt>
                <c:pt idx="1170">
                  <c:v>0.54051528578164909</c:v>
                </c:pt>
                <c:pt idx="1171">
                  <c:v>0.54051528578164909</c:v>
                </c:pt>
                <c:pt idx="1172">
                  <c:v>0.54051528578164909</c:v>
                </c:pt>
                <c:pt idx="1173">
                  <c:v>0.54051528578164909</c:v>
                </c:pt>
                <c:pt idx="1174">
                  <c:v>0.54051528578164909</c:v>
                </c:pt>
                <c:pt idx="1175">
                  <c:v>0.54051528578164909</c:v>
                </c:pt>
                <c:pt idx="1176">
                  <c:v>0.54051528578164909</c:v>
                </c:pt>
                <c:pt idx="1177">
                  <c:v>0.56531175535073552</c:v>
                </c:pt>
                <c:pt idx="1178">
                  <c:v>0.56531175535073552</c:v>
                </c:pt>
                <c:pt idx="1179">
                  <c:v>0.56531175535073552</c:v>
                </c:pt>
                <c:pt idx="1180">
                  <c:v>0.56531175535073552</c:v>
                </c:pt>
                <c:pt idx="1181">
                  <c:v>0.56531175535073552</c:v>
                </c:pt>
                <c:pt idx="1182">
                  <c:v>0.56531175535073552</c:v>
                </c:pt>
                <c:pt idx="1183">
                  <c:v>0.56531175535073552</c:v>
                </c:pt>
                <c:pt idx="1184">
                  <c:v>0.56531175535073552</c:v>
                </c:pt>
                <c:pt idx="1185">
                  <c:v>0.56531175535073552</c:v>
                </c:pt>
                <c:pt idx="1186">
                  <c:v>0.56531175535073552</c:v>
                </c:pt>
                <c:pt idx="1187">
                  <c:v>0.56531175535073552</c:v>
                </c:pt>
                <c:pt idx="1188">
                  <c:v>0.56531175535073552</c:v>
                </c:pt>
                <c:pt idx="1189">
                  <c:v>0.56531175535073552</c:v>
                </c:pt>
                <c:pt idx="1190">
                  <c:v>0.56531175535073552</c:v>
                </c:pt>
                <c:pt idx="1191">
                  <c:v>0.56531175535073552</c:v>
                </c:pt>
                <c:pt idx="1192">
                  <c:v>0.56531175535073552</c:v>
                </c:pt>
                <c:pt idx="1193">
                  <c:v>0.56531175535073552</c:v>
                </c:pt>
                <c:pt idx="1194">
                  <c:v>0.59589828697336056</c:v>
                </c:pt>
                <c:pt idx="1195">
                  <c:v>0.59589828697336056</c:v>
                </c:pt>
                <c:pt idx="1196">
                  <c:v>0.59589828697336056</c:v>
                </c:pt>
                <c:pt idx="1197">
                  <c:v>0.59589828697336056</c:v>
                </c:pt>
                <c:pt idx="1198">
                  <c:v>0.59589828697336056</c:v>
                </c:pt>
                <c:pt idx="1199">
                  <c:v>0.59589828697336056</c:v>
                </c:pt>
                <c:pt idx="1200">
                  <c:v>0.59589828697336056</c:v>
                </c:pt>
                <c:pt idx="1201">
                  <c:v>0.59589828697336056</c:v>
                </c:pt>
                <c:pt idx="1202">
                  <c:v>0.59589828697336056</c:v>
                </c:pt>
                <c:pt idx="1203">
                  <c:v>0.59589828697336056</c:v>
                </c:pt>
                <c:pt idx="1204">
                  <c:v>0.61415241452626612</c:v>
                </c:pt>
                <c:pt idx="1205">
                  <c:v>0.61415241452626612</c:v>
                </c:pt>
                <c:pt idx="1206">
                  <c:v>0.61415241452626612</c:v>
                </c:pt>
                <c:pt idx="1207">
                  <c:v>0.61415241452626612</c:v>
                </c:pt>
                <c:pt idx="1208">
                  <c:v>0.61415241452626612</c:v>
                </c:pt>
                <c:pt idx="1209">
                  <c:v>0.61415241452626612</c:v>
                </c:pt>
                <c:pt idx="1210">
                  <c:v>0.61415241452626612</c:v>
                </c:pt>
                <c:pt idx="1211">
                  <c:v>0.61415241452626612</c:v>
                </c:pt>
                <c:pt idx="1212">
                  <c:v>0.61415241452626612</c:v>
                </c:pt>
                <c:pt idx="1213">
                  <c:v>0.61415241452626612</c:v>
                </c:pt>
                <c:pt idx="1214">
                  <c:v>0.63261352584071384</c:v>
                </c:pt>
                <c:pt idx="1215">
                  <c:v>0.63261352584071384</c:v>
                </c:pt>
                <c:pt idx="1216">
                  <c:v>0.63261352584071384</c:v>
                </c:pt>
                <c:pt idx="1217">
                  <c:v>0.63261352584071384</c:v>
                </c:pt>
                <c:pt idx="1218">
                  <c:v>0.63261352584071384</c:v>
                </c:pt>
                <c:pt idx="1219">
                  <c:v>0.63261352584071384</c:v>
                </c:pt>
                <c:pt idx="1220">
                  <c:v>0.63261352584071384</c:v>
                </c:pt>
                <c:pt idx="1221">
                  <c:v>0.63261352584071384</c:v>
                </c:pt>
                <c:pt idx="1222">
                  <c:v>0.63261352584071384</c:v>
                </c:pt>
                <c:pt idx="1223">
                  <c:v>0.64941472986293525</c:v>
                </c:pt>
                <c:pt idx="1224">
                  <c:v>0.64941472986293525</c:v>
                </c:pt>
                <c:pt idx="1225">
                  <c:v>0.64941472986293525</c:v>
                </c:pt>
                <c:pt idx="1226">
                  <c:v>0.64941472986293525</c:v>
                </c:pt>
                <c:pt idx="1227">
                  <c:v>0.64941472986293525</c:v>
                </c:pt>
                <c:pt idx="1228">
                  <c:v>0.64941472986293525</c:v>
                </c:pt>
                <c:pt idx="1229">
                  <c:v>0.64941472986293525</c:v>
                </c:pt>
                <c:pt idx="1230">
                  <c:v>0.64941472986293525</c:v>
                </c:pt>
                <c:pt idx="1231">
                  <c:v>0.64941472986293525</c:v>
                </c:pt>
                <c:pt idx="1232">
                  <c:v>0.64941472986293525</c:v>
                </c:pt>
                <c:pt idx="1233">
                  <c:v>0.64941472986293525</c:v>
                </c:pt>
                <c:pt idx="1234">
                  <c:v>0.67020216077934069</c:v>
                </c:pt>
                <c:pt idx="1235">
                  <c:v>0.67020216077934069</c:v>
                </c:pt>
                <c:pt idx="1236">
                  <c:v>0.67020216077934069</c:v>
                </c:pt>
                <c:pt idx="1237">
                  <c:v>0.67020216077934069</c:v>
                </c:pt>
                <c:pt idx="1238">
                  <c:v>0.67020216077934069</c:v>
                </c:pt>
                <c:pt idx="1239">
                  <c:v>0.67020216077934069</c:v>
                </c:pt>
                <c:pt idx="1240">
                  <c:v>0.67020216077934069</c:v>
                </c:pt>
                <c:pt idx="1241">
                  <c:v>0.67020216077934069</c:v>
                </c:pt>
                <c:pt idx="1242">
                  <c:v>0.67020216077934069</c:v>
                </c:pt>
                <c:pt idx="1243">
                  <c:v>0.67020216077934069</c:v>
                </c:pt>
                <c:pt idx="1244">
                  <c:v>0.67020216077934069</c:v>
                </c:pt>
                <c:pt idx="1245">
                  <c:v>0.67020216077934069</c:v>
                </c:pt>
                <c:pt idx="1246">
                  <c:v>0.67020216077934069</c:v>
                </c:pt>
                <c:pt idx="1247">
                  <c:v>0.67020216077934069</c:v>
                </c:pt>
                <c:pt idx="1248">
                  <c:v>0.67020216077934069</c:v>
                </c:pt>
                <c:pt idx="1249">
                  <c:v>0.67020216077934069</c:v>
                </c:pt>
                <c:pt idx="1250">
                  <c:v>0.67020216077934069</c:v>
                </c:pt>
                <c:pt idx="1251">
                  <c:v>0.67020216077934069</c:v>
                </c:pt>
                <c:pt idx="1252">
                  <c:v>0.67020216077934069</c:v>
                </c:pt>
                <c:pt idx="1253">
                  <c:v>0.67020216077934069</c:v>
                </c:pt>
                <c:pt idx="1254">
                  <c:v>0.70876261491573156</c:v>
                </c:pt>
                <c:pt idx="1255">
                  <c:v>0.70876261491573156</c:v>
                </c:pt>
                <c:pt idx="1256">
                  <c:v>0.70876261491573156</c:v>
                </c:pt>
                <c:pt idx="1257">
                  <c:v>0.70876261491573156</c:v>
                </c:pt>
                <c:pt idx="1258">
                  <c:v>0.71660092108895201</c:v>
                </c:pt>
                <c:pt idx="1259">
                  <c:v>0.71660092108895201</c:v>
                </c:pt>
                <c:pt idx="1260">
                  <c:v>0.71660092108895201</c:v>
                </c:pt>
                <c:pt idx="1261">
                  <c:v>0.71660092108895201</c:v>
                </c:pt>
                <c:pt idx="1262">
                  <c:v>0.71660092108895201</c:v>
                </c:pt>
                <c:pt idx="1263">
                  <c:v>0.71660092108895201</c:v>
                </c:pt>
                <c:pt idx="1264">
                  <c:v>0.72844171022016913</c:v>
                </c:pt>
                <c:pt idx="1265">
                  <c:v>0.72844171022016913</c:v>
                </c:pt>
                <c:pt idx="1266">
                  <c:v>0.72844171022016913</c:v>
                </c:pt>
                <c:pt idx="1267">
                  <c:v>0.72844171022016913</c:v>
                </c:pt>
                <c:pt idx="1268">
                  <c:v>0.72844171022016913</c:v>
                </c:pt>
                <c:pt idx="1269">
                  <c:v>0.72844171022016913</c:v>
                </c:pt>
                <c:pt idx="1270">
                  <c:v>0.72844171022016913</c:v>
                </c:pt>
                <c:pt idx="1271">
                  <c:v>0.72844171022016913</c:v>
                </c:pt>
                <c:pt idx="1272">
                  <c:v>0.72844171022016913</c:v>
                </c:pt>
                <c:pt idx="1273">
                  <c:v>0.72844171022016913</c:v>
                </c:pt>
                <c:pt idx="1274">
                  <c:v>0.74840704313415274</c:v>
                </c:pt>
                <c:pt idx="1275">
                  <c:v>0.74840704313415274</c:v>
                </c:pt>
                <c:pt idx="1276">
                  <c:v>0.74840704313415274</c:v>
                </c:pt>
                <c:pt idx="1277">
                  <c:v>0.74840704313415274</c:v>
                </c:pt>
                <c:pt idx="1278">
                  <c:v>0.74840704313415274</c:v>
                </c:pt>
                <c:pt idx="1279">
                  <c:v>0.74840704313415274</c:v>
                </c:pt>
                <c:pt idx="1280">
                  <c:v>0.74840704313415274</c:v>
                </c:pt>
                <c:pt idx="1281">
                  <c:v>0.74840704313415274</c:v>
                </c:pt>
                <c:pt idx="1282">
                  <c:v>0.74840704313415274</c:v>
                </c:pt>
                <c:pt idx="1283">
                  <c:v>0.74840704313415274</c:v>
                </c:pt>
                <c:pt idx="1284">
                  <c:v>0.74840704313415274</c:v>
                </c:pt>
                <c:pt idx="1285">
                  <c:v>0.74840704313415274</c:v>
                </c:pt>
                <c:pt idx="1286">
                  <c:v>0.77276680816182786</c:v>
                </c:pt>
                <c:pt idx="1287">
                  <c:v>0.77276680816182786</c:v>
                </c:pt>
                <c:pt idx="1288">
                  <c:v>0.77276680816182786</c:v>
                </c:pt>
                <c:pt idx="1289">
                  <c:v>0.77276680816182786</c:v>
                </c:pt>
                <c:pt idx="1290">
                  <c:v>0.77276680816182786</c:v>
                </c:pt>
                <c:pt idx="1291">
                  <c:v>0.77276680816182786</c:v>
                </c:pt>
                <c:pt idx="1292">
                  <c:v>0.77276680816182786</c:v>
                </c:pt>
                <c:pt idx="1293">
                  <c:v>0.78719041678006285</c:v>
                </c:pt>
                <c:pt idx="1294">
                  <c:v>0.78719041678006285</c:v>
                </c:pt>
                <c:pt idx="1295">
                  <c:v>0.78719041678006285</c:v>
                </c:pt>
                <c:pt idx="1296">
                  <c:v>0.78719041678006285</c:v>
                </c:pt>
                <c:pt idx="1297">
                  <c:v>0.78719041678006285</c:v>
                </c:pt>
                <c:pt idx="1298">
                  <c:v>0.78719041678006285</c:v>
                </c:pt>
                <c:pt idx="1299">
                  <c:v>0.78719041678006285</c:v>
                </c:pt>
                <c:pt idx="1300">
                  <c:v>0.80177968430189828</c:v>
                </c:pt>
                <c:pt idx="1301">
                  <c:v>0.80177968430189828</c:v>
                </c:pt>
                <c:pt idx="1302">
                  <c:v>0.80177968430189828</c:v>
                </c:pt>
                <c:pt idx="1303">
                  <c:v>0.80177968430189828</c:v>
                </c:pt>
                <c:pt idx="1304">
                  <c:v>0.80177968430189828</c:v>
                </c:pt>
                <c:pt idx="1305">
                  <c:v>0.80177968430189828</c:v>
                </c:pt>
                <c:pt idx="1306">
                  <c:v>0.81442193874053515</c:v>
                </c:pt>
                <c:pt idx="1307">
                  <c:v>0.81442193874053515</c:v>
                </c:pt>
                <c:pt idx="1308">
                  <c:v>0.81442193874053515</c:v>
                </c:pt>
                <c:pt idx="1309">
                  <c:v>0.81442193874053515</c:v>
                </c:pt>
                <c:pt idx="1310">
                  <c:v>0.81442193874053515</c:v>
                </c:pt>
                <c:pt idx="1311">
                  <c:v>0.81442193874053515</c:v>
                </c:pt>
                <c:pt idx="1312">
                  <c:v>0.81442193874053515</c:v>
                </c:pt>
                <c:pt idx="1313">
                  <c:v>0.82933781119598415</c:v>
                </c:pt>
                <c:pt idx="1314">
                  <c:v>0.82933781119598415</c:v>
                </c:pt>
                <c:pt idx="1315">
                  <c:v>0.82933781119598415</c:v>
                </c:pt>
                <c:pt idx="1316">
                  <c:v>0.82933781119598415</c:v>
                </c:pt>
                <c:pt idx="1317">
                  <c:v>0.83794453378675593</c:v>
                </c:pt>
                <c:pt idx="1318">
                  <c:v>0.83794453378675593</c:v>
                </c:pt>
                <c:pt idx="1319">
                  <c:v>0.83794453378675593</c:v>
                </c:pt>
                <c:pt idx="1320">
                  <c:v>0.83794453378675593</c:v>
                </c:pt>
                <c:pt idx="1321">
                  <c:v>0.83794453378675593</c:v>
                </c:pt>
                <c:pt idx="1322">
                  <c:v>0.83794453378675593</c:v>
                </c:pt>
                <c:pt idx="1323">
                  <c:v>0.83794453378675593</c:v>
                </c:pt>
                <c:pt idx="1324">
                  <c:v>0.83794453378675593</c:v>
                </c:pt>
                <c:pt idx="1325">
                  <c:v>0.83794453378675593</c:v>
                </c:pt>
                <c:pt idx="1326">
                  <c:v>0.83794453378675593</c:v>
                </c:pt>
                <c:pt idx="1327">
                  <c:v>0.83794453378675593</c:v>
                </c:pt>
                <c:pt idx="1328">
                  <c:v>0.83794453378675593</c:v>
                </c:pt>
                <c:pt idx="1329">
                  <c:v>0.83794453378675593</c:v>
                </c:pt>
                <c:pt idx="1330">
                  <c:v>0.83794453378675593</c:v>
                </c:pt>
                <c:pt idx="1331">
                  <c:v>0.83794453378675593</c:v>
                </c:pt>
                <c:pt idx="1332">
                  <c:v>0.83794453378675593</c:v>
                </c:pt>
                <c:pt idx="1333">
                  <c:v>0.873012700415573</c:v>
                </c:pt>
                <c:pt idx="1334">
                  <c:v>0.873012700415573</c:v>
                </c:pt>
                <c:pt idx="1335">
                  <c:v>0.873012700415573</c:v>
                </c:pt>
                <c:pt idx="1336">
                  <c:v>0.873012700415573</c:v>
                </c:pt>
                <c:pt idx="1337">
                  <c:v>0.88194836619248052</c:v>
                </c:pt>
                <c:pt idx="1338">
                  <c:v>0.88194836619248052</c:v>
                </c:pt>
                <c:pt idx="1339">
                  <c:v>0.88194836619248052</c:v>
                </c:pt>
                <c:pt idx="1340">
                  <c:v>0.88194836619248052</c:v>
                </c:pt>
                <c:pt idx="1341">
                  <c:v>0.89095501331493132</c:v>
                </c:pt>
                <c:pt idx="1342">
                  <c:v>0.89095501331493132</c:v>
                </c:pt>
                <c:pt idx="1343">
                  <c:v>0.89095501331493132</c:v>
                </c:pt>
                <c:pt idx="1344">
                  <c:v>0.89095501331493132</c:v>
                </c:pt>
                <c:pt idx="1345">
                  <c:v>0.89095501331493132</c:v>
                </c:pt>
                <c:pt idx="1346">
                  <c:v>0.89095501331493132</c:v>
                </c:pt>
                <c:pt idx="1347">
                  <c:v>0.90460220385671419</c:v>
                </c:pt>
                <c:pt idx="1348">
                  <c:v>0.90460220385671419</c:v>
                </c:pt>
                <c:pt idx="1349">
                  <c:v>0.90460220385671419</c:v>
                </c:pt>
                <c:pt idx="1350">
                  <c:v>0.91148934236618206</c:v>
                </c:pt>
                <c:pt idx="1351">
                  <c:v>0.91148934236618206</c:v>
                </c:pt>
                <c:pt idx="1352">
                  <c:v>0.91148934236618206</c:v>
                </c:pt>
                <c:pt idx="1353">
                  <c:v>0.91841998904288702</c:v>
                </c:pt>
                <c:pt idx="1354">
                  <c:v>0.91841998904288702</c:v>
                </c:pt>
                <c:pt idx="1355">
                  <c:v>0.91841998904288702</c:v>
                </c:pt>
                <c:pt idx="1356">
                  <c:v>0.91841998904288702</c:v>
                </c:pt>
                <c:pt idx="1357">
                  <c:v>0.91841998904288702</c:v>
                </c:pt>
                <c:pt idx="1358">
                  <c:v>0.91841998904288702</c:v>
                </c:pt>
                <c:pt idx="1359">
                  <c:v>0.93241539434320941</c:v>
                </c:pt>
                <c:pt idx="1360">
                  <c:v>0.93241539434320941</c:v>
                </c:pt>
                <c:pt idx="1361">
                  <c:v>0.93712127394454448</c:v>
                </c:pt>
                <c:pt idx="1362">
                  <c:v>0.93712127394454448</c:v>
                </c:pt>
                <c:pt idx="1363">
                  <c:v>0.93712127394454448</c:v>
                </c:pt>
                <c:pt idx="1364">
                  <c:v>0.93712127394454448</c:v>
                </c:pt>
                <c:pt idx="1365">
                  <c:v>0.93712127394454448</c:v>
                </c:pt>
                <c:pt idx="1366">
                  <c:v>0.94897780985887181</c:v>
                </c:pt>
                <c:pt idx="1367">
                  <c:v>0.94897780985887181</c:v>
                </c:pt>
                <c:pt idx="1368">
                  <c:v>0.94897780985887181</c:v>
                </c:pt>
                <c:pt idx="1369">
                  <c:v>0.94897780985887181</c:v>
                </c:pt>
                <c:pt idx="1370">
                  <c:v>0.95855995741850497</c:v>
                </c:pt>
                <c:pt idx="1371">
                  <c:v>0.95855995741850497</c:v>
                </c:pt>
                <c:pt idx="1372">
                  <c:v>0.95855995741850497</c:v>
                </c:pt>
                <c:pt idx="1373">
                  <c:v>0.95855995741850497</c:v>
                </c:pt>
                <c:pt idx="1374">
                  <c:v>0.95855995741850497</c:v>
                </c:pt>
                <c:pt idx="1375">
                  <c:v>0.95855995741850497</c:v>
                </c:pt>
                <c:pt idx="1376">
                  <c:v>0.95855995741850497</c:v>
                </c:pt>
                <c:pt idx="1377">
                  <c:v>0.95855995741850497</c:v>
                </c:pt>
                <c:pt idx="1378">
                  <c:v>0.95855995741850497</c:v>
                </c:pt>
                <c:pt idx="1379">
                  <c:v>0.95855995741850497</c:v>
                </c:pt>
                <c:pt idx="1380">
                  <c:v>0.95855995741850497</c:v>
                </c:pt>
                <c:pt idx="1381">
                  <c:v>0.98537673313779217</c:v>
                </c:pt>
                <c:pt idx="1382">
                  <c:v>0.98537673313779217</c:v>
                </c:pt>
                <c:pt idx="1383">
                  <c:v>0.99032898964496086</c:v>
                </c:pt>
                <c:pt idx="1384">
                  <c:v>0.99032898964496086</c:v>
                </c:pt>
                <c:pt idx="1385">
                  <c:v>0.99032898964496086</c:v>
                </c:pt>
                <c:pt idx="1386">
                  <c:v>0.99032898964496086</c:v>
                </c:pt>
                <c:pt idx="1387">
                  <c:v>1.0003070916314494</c:v>
                </c:pt>
                <c:pt idx="1388">
                  <c:v>1.0003070916314494</c:v>
                </c:pt>
                <c:pt idx="1389">
                  <c:v>1.0003070916314494</c:v>
                </c:pt>
                <c:pt idx="1390">
                  <c:v>1.0003070916314494</c:v>
                </c:pt>
                <c:pt idx="1391">
                  <c:v>1.0003070916314494</c:v>
                </c:pt>
                <c:pt idx="1392">
                  <c:v>1.0129215482717411</c:v>
                </c:pt>
                <c:pt idx="1393">
                  <c:v>1.0129215482717411</c:v>
                </c:pt>
                <c:pt idx="1394">
                  <c:v>1.0129215482717411</c:v>
                </c:pt>
                <c:pt idx="1395">
                  <c:v>1.0205681915260707</c:v>
                </c:pt>
                <c:pt idx="1396">
                  <c:v>1.0205681915260707</c:v>
                </c:pt>
                <c:pt idx="1397">
                  <c:v>1.0205681915260707</c:v>
                </c:pt>
                <c:pt idx="1398">
                  <c:v>1.0205681915260707</c:v>
                </c:pt>
                <c:pt idx="1399">
                  <c:v>1.0308575175648222</c:v>
                </c:pt>
                <c:pt idx="1400">
                  <c:v>1.0308575175648222</c:v>
                </c:pt>
                <c:pt idx="1401">
                  <c:v>1.0308575175648222</c:v>
                </c:pt>
                <c:pt idx="1402">
                  <c:v>1.0386467129748296</c:v>
                </c:pt>
                <c:pt idx="1403">
                  <c:v>1.0386467129748296</c:v>
                </c:pt>
                <c:pt idx="1404">
                  <c:v>1.0386467129748296</c:v>
                </c:pt>
                <c:pt idx="1405">
                  <c:v>1.0464994400123697</c:v>
                </c:pt>
                <c:pt idx="1406">
                  <c:v>1.0491313979639725</c:v>
                </c:pt>
                <c:pt idx="1407">
                  <c:v>1.0491313979639725</c:v>
                </c:pt>
                <c:pt idx="1408">
                  <c:v>1.0491313979639725</c:v>
                </c:pt>
                <c:pt idx="1409">
                  <c:v>1.0491313979639725</c:v>
                </c:pt>
                <c:pt idx="1410">
                  <c:v>1.0491313979639725</c:v>
                </c:pt>
                <c:pt idx="1411">
                  <c:v>1.0491313979639725</c:v>
                </c:pt>
                <c:pt idx="1412">
                  <c:v>1.0491313979639725</c:v>
                </c:pt>
                <c:pt idx="1413">
                  <c:v>1.0491313979639725</c:v>
                </c:pt>
                <c:pt idx="1414">
                  <c:v>1.0491313979639725</c:v>
                </c:pt>
                <c:pt idx="1415">
                  <c:v>1.0491313979639725</c:v>
                </c:pt>
                <c:pt idx="1416">
                  <c:v>1.0491313979639725</c:v>
                </c:pt>
                <c:pt idx="1417">
                  <c:v>1.0491313979639725</c:v>
                </c:pt>
                <c:pt idx="1418">
                  <c:v>1.0491313979639725</c:v>
                </c:pt>
                <c:pt idx="1419">
                  <c:v>1.0491313979639725</c:v>
                </c:pt>
                <c:pt idx="1420">
                  <c:v>1.0491313979639725</c:v>
                </c:pt>
                <c:pt idx="1421">
                  <c:v>1.0491313979639725</c:v>
                </c:pt>
                <c:pt idx="1422">
                  <c:v>1.0491313979639725</c:v>
                </c:pt>
                <c:pt idx="1423">
                  <c:v>1.0950400512086551</c:v>
                </c:pt>
                <c:pt idx="1424">
                  <c:v>1.0950400512086551</c:v>
                </c:pt>
                <c:pt idx="1425">
                  <c:v>1.0950400512086551</c:v>
                </c:pt>
                <c:pt idx="1426">
                  <c:v>1.1033838166983498</c:v>
                </c:pt>
                <c:pt idx="1427">
                  <c:v>1.1033838166983498</c:v>
                </c:pt>
                <c:pt idx="1428">
                  <c:v>1.1033838166983498</c:v>
                </c:pt>
                <c:pt idx="1429">
                  <c:v>1.1118051137279645</c:v>
                </c:pt>
                <c:pt idx="1430">
                  <c:v>1.1118051137279645</c:v>
                </c:pt>
                <c:pt idx="1431">
                  <c:v>1.1118051137279645</c:v>
                </c:pt>
                <c:pt idx="1432">
                  <c:v>1.1118051137279645</c:v>
                </c:pt>
                <c:pt idx="1433">
                  <c:v>1.1231576917613038</c:v>
                </c:pt>
                <c:pt idx="1434">
                  <c:v>1.1231576917613038</c:v>
                </c:pt>
                <c:pt idx="1435">
                  <c:v>1.128888636463274</c:v>
                </c:pt>
                <c:pt idx="1436">
                  <c:v>1.128888636463274</c:v>
                </c:pt>
                <c:pt idx="1437">
                  <c:v>1.128888636463274</c:v>
                </c:pt>
                <c:pt idx="1438">
                  <c:v>1.128888636463274</c:v>
                </c:pt>
                <c:pt idx="1439">
                  <c:v>1.1404631659072275</c:v>
                </c:pt>
                <c:pt idx="1440">
                  <c:v>1.1404631659072275</c:v>
                </c:pt>
                <c:pt idx="1441">
                  <c:v>1.1404631659072275</c:v>
                </c:pt>
                <c:pt idx="1442">
                  <c:v>1.1404631659072275</c:v>
                </c:pt>
                <c:pt idx="1443">
                  <c:v>1.1521925343545227</c:v>
                </c:pt>
                <c:pt idx="1444">
                  <c:v>1.1521925343545227</c:v>
                </c:pt>
                <c:pt idx="1445">
                  <c:v>1.1521925343545227</c:v>
                </c:pt>
                <c:pt idx="1446">
                  <c:v>1.1521925343545227</c:v>
                </c:pt>
                <c:pt idx="1447">
                  <c:v>1.1521925343545227</c:v>
                </c:pt>
                <c:pt idx="1448">
                  <c:v>1.1521925343545227</c:v>
                </c:pt>
                <c:pt idx="1449">
                  <c:v>1.1700898139672218</c:v>
                </c:pt>
                <c:pt idx="1450">
                  <c:v>1.1700898139672218</c:v>
                </c:pt>
                <c:pt idx="1451">
                  <c:v>1.1700898139672218</c:v>
                </c:pt>
                <c:pt idx="1452">
                  <c:v>1.1700898139672218</c:v>
                </c:pt>
                <c:pt idx="1453">
                  <c:v>1.1700898139672218</c:v>
                </c:pt>
                <c:pt idx="1454">
                  <c:v>1.1852957183684145</c:v>
                </c:pt>
                <c:pt idx="1455">
                  <c:v>1.1852957183684145</c:v>
                </c:pt>
                <c:pt idx="1456">
                  <c:v>1.1852957183684145</c:v>
                </c:pt>
                <c:pt idx="1457">
                  <c:v>1.1852957183684145</c:v>
                </c:pt>
                <c:pt idx="1458">
                  <c:v>1.1852957183684145</c:v>
                </c:pt>
                <c:pt idx="1459">
                  <c:v>1.1852957183684145</c:v>
                </c:pt>
                <c:pt idx="1460">
                  <c:v>1.1852957183684145</c:v>
                </c:pt>
                <c:pt idx="1461">
                  <c:v>1.2070560687293583</c:v>
                </c:pt>
                <c:pt idx="1462">
                  <c:v>1.2070560687293583</c:v>
                </c:pt>
                <c:pt idx="1463">
                  <c:v>1.2070560687293583</c:v>
                </c:pt>
                <c:pt idx="1464">
                  <c:v>1.2070560687293583</c:v>
                </c:pt>
                <c:pt idx="1465">
                  <c:v>1.2070560687293583</c:v>
                </c:pt>
                <c:pt idx="1466">
                  <c:v>1.2070560687293583</c:v>
                </c:pt>
                <c:pt idx="1467">
                  <c:v>1.2070560687293583</c:v>
                </c:pt>
                <c:pt idx="1468">
                  <c:v>1.2294035019788656</c:v>
                </c:pt>
                <c:pt idx="1469">
                  <c:v>1.2294035019788656</c:v>
                </c:pt>
                <c:pt idx="1470">
                  <c:v>1.2294035019788656</c:v>
                </c:pt>
                <c:pt idx="1471">
                  <c:v>1.2294035019788656</c:v>
                </c:pt>
                <c:pt idx="1472">
                  <c:v>1.2294035019788656</c:v>
                </c:pt>
                <c:pt idx="1473">
                  <c:v>1.2457497672431228</c:v>
                </c:pt>
                <c:pt idx="1474">
                  <c:v>1.2457497672431228</c:v>
                </c:pt>
                <c:pt idx="1475">
                  <c:v>1.2457497672431228</c:v>
                </c:pt>
                <c:pt idx="1476">
                  <c:v>1.2457497672431228</c:v>
                </c:pt>
                <c:pt idx="1477">
                  <c:v>1.2457497672431228</c:v>
                </c:pt>
                <c:pt idx="1478">
                  <c:v>1.262435852359769</c:v>
                </c:pt>
                <c:pt idx="1479">
                  <c:v>1.262435852359769</c:v>
                </c:pt>
                <c:pt idx="1480">
                  <c:v>1.262435852359769</c:v>
                </c:pt>
                <c:pt idx="1481">
                  <c:v>1.262435852359769</c:v>
                </c:pt>
                <c:pt idx="1482">
                  <c:v>1.262435852359769</c:v>
                </c:pt>
                <c:pt idx="1483">
                  <c:v>1.262435852359769</c:v>
                </c:pt>
                <c:pt idx="1484">
                  <c:v>1.262435852359769</c:v>
                </c:pt>
                <c:pt idx="1485">
                  <c:v>1.262435852359769</c:v>
                </c:pt>
                <c:pt idx="1486">
                  <c:v>1.262435852359769</c:v>
                </c:pt>
                <c:pt idx="1487">
                  <c:v>1.2933897637306977</c:v>
                </c:pt>
                <c:pt idx="1488">
                  <c:v>1.2933897637306977</c:v>
                </c:pt>
                <c:pt idx="1489">
                  <c:v>1.2933897637306977</c:v>
                </c:pt>
                <c:pt idx="1490">
                  <c:v>1.2933897637306977</c:v>
                </c:pt>
                <c:pt idx="1491">
                  <c:v>1.2933897637306977</c:v>
                </c:pt>
                <c:pt idx="1492">
                  <c:v>1.2933897637306977</c:v>
                </c:pt>
                <c:pt idx="1493">
                  <c:v>1.2933897637306977</c:v>
                </c:pt>
                <c:pt idx="1494">
                  <c:v>1.2933897637306977</c:v>
                </c:pt>
                <c:pt idx="1495">
                  <c:v>1.3219841213691266</c:v>
                </c:pt>
                <c:pt idx="1496">
                  <c:v>1.3219841213691266</c:v>
                </c:pt>
                <c:pt idx="1497">
                  <c:v>1.3219841213691266</c:v>
                </c:pt>
                <c:pt idx="1498">
                  <c:v>1.3219841213691266</c:v>
                </c:pt>
                <c:pt idx="1499">
                  <c:v>1.3219841213691266</c:v>
                </c:pt>
                <c:pt idx="1500">
                  <c:v>1.3404190152831756</c:v>
                </c:pt>
                <c:pt idx="1501">
                  <c:v>1.3404190152831756</c:v>
                </c:pt>
                <c:pt idx="1502">
                  <c:v>1.3404190152831756</c:v>
                </c:pt>
                <c:pt idx="1503">
                  <c:v>1.3404190152831756</c:v>
                </c:pt>
                <c:pt idx="1504">
                  <c:v>1.3555018111021329</c:v>
                </c:pt>
                <c:pt idx="1505">
                  <c:v>1.3555018111021329</c:v>
                </c:pt>
                <c:pt idx="1506">
                  <c:v>1.3555018111021329</c:v>
                </c:pt>
                <c:pt idx="1507">
                  <c:v>1.3555018111021329</c:v>
                </c:pt>
                <c:pt idx="1508">
                  <c:v>1.3555018111021329</c:v>
                </c:pt>
                <c:pt idx="1509">
                  <c:v>1.3748000243745633</c:v>
                </c:pt>
                <c:pt idx="1510">
                  <c:v>1.3748000243745633</c:v>
                </c:pt>
                <c:pt idx="1511">
                  <c:v>1.3748000243745633</c:v>
                </c:pt>
                <c:pt idx="1512">
                  <c:v>1.3748000243745633</c:v>
                </c:pt>
                <c:pt idx="1513">
                  <c:v>1.3748000243745633</c:v>
                </c:pt>
                <c:pt idx="1514">
                  <c:v>1.3946242806491955</c:v>
                </c:pt>
                <c:pt idx="1515">
                  <c:v>1.3946242806491955</c:v>
                </c:pt>
                <c:pt idx="1516">
                  <c:v>1.3946242806491955</c:v>
                </c:pt>
                <c:pt idx="1517">
                  <c:v>1.3946242806491955</c:v>
                </c:pt>
                <c:pt idx="1518">
                  <c:v>1.3946242806491955</c:v>
                </c:pt>
                <c:pt idx="1519">
                  <c:v>1.3946242806491955</c:v>
                </c:pt>
                <c:pt idx="1520">
                  <c:v>1.4191611772342045</c:v>
                </c:pt>
                <c:pt idx="1521">
                  <c:v>1.4191611772342045</c:v>
                </c:pt>
                <c:pt idx="1522">
                  <c:v>1.4191611772342045</c:v>
                </c:pt>
                <c:pt idx="1523">
                  <c:v>1.4191611772342045</c:v>
                </c:pt>
                <c:pt idx="1524">
                  <c:v>1.4191611772342045</c:v>
                </c:pt>
                <c:pt idx="1525">
                  <c:v>1.4191611772342045</c:v>
                </c:pt>
                <c:pt idx="1526">
                  <c:v>1.4191611772342045</c:v>
                </c:pt>
                <c:pt idx="1527">
                  <c:v>1.4191611772342045</c:v>
                </c:pt>
                <c:pt idx="1528">
                  <c:v>1.4191611772342045</c:v>
                </c:pt>
                <c:pt idx="1529">
                  <c:v>1.4576525936309466</c:v>
                </c:pt>
                <c:pt idx="1530">
                  <c:v>1.4576525936309466</c:v>
                </c:pt>
                <c:pt idx="1531">
                  <c:v>1.4576525936309466</c:v>
                </c:pt>
                <c:pt idx="1532">
                  <c:v>1.4576525936309466</c:v>
                </c:pt>
                <c:pt idx="1533">
                  <c:v>1.4576525936309466</c:v>
                </c:pt>
                <c:pt idx="1534">
                  <c:v>1.4576525936309466</c:v>
                </c:pt>
                <c:pt idx="1535">
                  <c:v>1.4576525936309466</c:v>
                </c:pt>
                <c:pt idx="1536">
                  <c:v>1.4576525936309466</c:v>
                </c:pt>
                <c:pt idx="1537">
                  <c:v>1.4576525936309466</c:v>
                </c:pt>
                <c:pt idx="1538">
                  <c:v>1.4576525936309466</c:v>
                </c:pt>
                <c:pt idx="1539">
                  <c:v>1.4576525936309466</c:v>
                </c:pt>
                <c:pt idx="1540">
                  <c:v>1.4576525936309466</c:v>
                </c:pt>
                <c:pt idx="1541">
                  <c:v>1.4576525936309466</c:v>
                </c:pt>
                <c:pt idx="1542">
                  <c:v>1.4576525936309466</c:v>
                </c:pt>
                <c:pt idx="1543">
                  <c:v>1.5222105313262397</c:v>
                </c:pt>
                <c:pt idx="1544">
                  <c:v>1.5222105313262397</c:v>
                </c:pt>
                <c:pt idx="1545">
                  <c:v>1.5222105313262397</c:v>
                </c:pt>
                <c:pt idx="1546">
                  <c:v>1.5222105313262397</c:v>
                </c:pt>
                <c:pt idx="1547">
                  <c:v>1.5222105313262397</c:v>
                </c:pt>
                <c:pt idx="1548">
                  <c:v>1.5222105313262397</c:v>
                </c:pt>
                <c:pt idx="1549">
                  <c:v>1.5519290565282795</c:v>
                </c:pt>
                <c:pt idx="1550">
                  <c:v>1.5519290565282795</c:v>
                </c:pt>
                <c:pt idx="1551">
                  <c:v>1.5519290565282795</c:v>
                </c:pt>
                <c:pt idx="1552">
                  <c:v>1.5519290565282795</c:v>
                </c:pt>
                <c:pt idx="1553">
                  <c:v>1.5725296242490356</c:v>
                </c:pt>
                <c:pt idx="1554">
                  <c:v>1.5725296242490356</c:v>
                </c:pt>
                <c:pt idx="1555">
                  <c:v>1.5725296242490356</c:v>
                </c:pt>
                <c:pt idx="1556">
                  <c:v>1.5725296242490356</c:v>
                </c:pt>
                <c:pt idx="1557">
                  <c:v>1.5725296242490356</c:v>
                </c:pt>
                <c:pt idx="1558">
                  <c:v>1.5992570753291051</c:v>
                </c:pt>
                <c:pt idx="1559">
                  <c:v>1.5992570753291051</c:v>
                </c:pt>
                <c:pt idx="1560">
                  <c:v>1.5992570753291051</c:v>
                </c:pt>
                <c:pt idx="1561">
                  <c:v>1.5992570753291051</c:v>
                </c:pt>
                <c:pt idx="1562">
                  <c:v>1.6214924498394727</c:v>
                </c:pt>
                <c:pt idx="1563">
                  <c:v>1.6214924498394727</c:v>
                </c:pt>
                <c:pt idx="1564">
                  <c:v>1.6214924498394727</c:v>
                </c:pt>
                <c:pt idx="1565">
                  <c:v>1.6214924498394727</c:v>
                </c:pt>
                <c:pt idx="1566">
                  <c:v>1.6445597025796697</c:v>
                </c:pt>
                <c:pt idx="1567">
                  <c:v>1.6445597025796697</c:v>
                </c:pt>
                <c:pt idx="1568">
                  <c:v>1.6445597025796697</c:v>
                </c:pt>
                <c:pt idx="1569">
                  <c:v>1.6624525291871317</c:v>
                </c:pt>
                <c:pt idx="1570">
                  <c:v>1.6624525291871317</c:v>
                </c:pt>
                <c:pt idx="1571">
                  <c:v>1.6624525291871317</c:v>
                </c:pt>
                <c:pt idx="1572">
                  <c:v>1.6624525291871317</c:v>
                </c:pt>
                <c:pt idx="1573">
                  <c:v>1.6624525291871317</c:v>
                </c:pt>
                <c:pt idx="1574">
                  <c:v>1.6624525291871317</c:v>
                </c:pt>
                <c:pt idx="1575">
                  <c:v>1.6624525291871317</c:v>
                </c:pt>
                <c:pt idx="1576">
                  <c:v>1.7064083338107217</c:v>
                </c:pt>
                <c:pt idx="1577">
                  <c:v>1.7064083338107217</c:v>
                </c:pt>
                <c:pt idx="1578">
                  <c:v>1.7064083338107217</c:v>
                </c:pt>
                <c:pt idx="1579">
                  <c:v>1.7064083338107217</c:v>
                </c:pt>
                <c:pt idx="1580">
                  <c:v>1.7330844772440364</c:v>
                </c:pt>
                <c:pt idx="1581">
                  <c:v>1.7330844772440364</c:v>
                </c:pt>
                <c:pt idx="1582">
                  <c:v>1.7330844772440364</c:v>
                </c:pt>
                <c:pt idx="1583">
                  <c:v>1.7539324289023792</c:v>
                </c:pt>
                <c:pt idx="1584">
                  <c:v>1.7539324289023792</c:v>
                </c:pt>
                <c:pt idx="1585">
                  <c:v>1.7539324289023792</c:v>
                </c:pt>
                <c:pt idx="1586">
                  <c:v>1.7539324289023792</c:v>
                </c:pt>
                <c:pt idx="1587">
                  <c:v>1.7539324289023792</c:v>
                </c:pt>
                <c:pt idx="1588">
                  <c:v>1.7539324289023792</c:v>
                </c:pt>
                <c:pt idx="1589">
                  <c:v>1.7539324289023792</c:v>
                </c:pt>
                <c:pt idx="1590">
                  <c:v>1.7539324289023792</c:v>
                </c:pt>
                <c:pt idx="1591">
                  <c:v>1.7539324289023792</c:v>
                </c:pt>
                <c:pt idx="1592">
                  <c:v>1.7539324289023792</c:v>
                </c:pt>
                <c:pt idx="1593">
                  <c:v>1.8295749434197284</c:v>
                </c:pt>
                <c:pt idx="1594">
                  <c:v>1.8295749434197284</c:v>
                </c:pt>
                <c:pt idx="1595">
                  <c:v>1.8460302671294702</c:v>
                </c:pt>
                <c:pt idx="1596">
                  <c:v>1.8460302671294702</c:v>
                </c:pt>
                <c:pt idx="1597">
                  <c:v>1.8630011940066851</c:v>
                </c:pt>
                <c:pt idx="1598">
                  <c:v>1.8630011940066851</c:v>
                </c:pt>
                <c:pt idx="1599">
                  <c:v>1.8630011940066851</c:v>
                </c:pt>
                <c:pt idx="1600">
                  <c:v>1.8895099603334296</c:v>
                </c:pt>
                <c:pt idx="1601">
                  <c:v>1.898648757670367</c:v>
                </c:pt>
                <c:pt idx="1602">
                  <c:v>1.898648757670367</c:v>
                </c:pt>
                <c:pt idx="1603">
                  <c:v>1.917417123160428</c:v>
                </c:pt>
                <c:pt idx="1604">
                  <c:v>1.9270603903023944</c:v>
                </c:pt>
                <c:pt idx="1605">
                  <c:v>1.9368862628682144</c:v>
                </c:pt>
                <c:pt idx="1606">
                  <c:v>1.9368862628682144</c:v>
                </c:pt>
                <c:pt idx="1607">
                  <c:v>1.9368862628682144</c:v>
                </c:pt>
                <c:pt idx="1608">
                  <c:v>1.9368862628682144</c:v>
                </c:pt>
                <c:pt idx="1609">
                  <c:v>1.9368862628682144</c:v>
                </c:pt>
                <c:pt idx="1610">
                  <c:v>1.9368862628682144</c:v>
                </c:pt>
                <c:pt idx="1611">
                  <c:v>1.9368862628682144</c:v>
                </c:pt>
                <c:pt idx="1612">
                  <c:v>1.9368862628682144</c:v>
                </c:pt>
                <c:pt idx="1613">
                  <c:v>1.9368862628682144</c:v>
                </c:pt>
                <c:pt idx="1614">
                  <c:v>2.0350728680272758</c:v>
                </c:pt>
                <c:pt idx="1615">
                  <c:v>2.0350728680272758</c:v>
                </c:pt>
                <c:pt idx="1616">
                  <c:v>2.0350728680272758</c:v>
                </c:pt>
                <c:pt idx="1617">
                  <c:v>2.0350728680272758</c:v>
                </c:pt>
                <c:pt idx="1618">
                  <c:v>2.0350728680272758</c:v>
                </c:pt>
                <c:pt idx="1619">
                  <c:v>2.0350728680272758</c:v>
                </c:pt>
                <c:pt idx="1620">
                  <c:v>2.1134016615055304</c:v>
                </c:pt>
                <c:pt idx="1621">
                  <c:v>2.1134016615055304</c:v>
                </c:pt>
                <c:pt idx="1622">
                  <c:v>2.1134016615055304</c:v>
                </c:pt>
                <c:pt idx="1623">
                  <c:v>2.1134016615055304</c:v>
                </c:pt>
                <c:pt idx="1624">
                  <c:v>2.1134016615055304</c:v>
                </c:pt>
                <c:pt idx="1625">
                  <c:v>2.190305027167327</c:v>
                </c:pt>
                <c:pt idx="1626">
                  <c:v>2.190305027167327</c:v>
                </c:pt>
                <c:pt idx="1627">
                  <c:v>2.190305027167327</c:v>
                </c:pt>
                <c:pt idx="1628">
                  <c:v>2.190305027167327</c:v>
                </c:pt>
                <c:pt idx="1629">
                  <c:v>2.190305027167327</c:v>
                </c:pt>
                <c:pt idx="1630">
                  <c:v>2.190305027167327</c:v>
                </c:pt>
                <c:pt idx="1631">
                  <c:v>2.190305027167327</c:v>
                </c:pt>
                <c:pt idx="1632">
                  <c:v>2.190305027167327</c:v>
                </c:pt>
                <c:pt idx="1633">
                  <c:v>2.349487559997844</c:v>
                </c:pt>
                <c:pt idx="1634">
                  <c:v>2.349487559997844</c:v>
                </c:pt>
                <c:pt idx="1635">
                  <c:v>2.349487559997844</c:v>
                </c:pt>
                <c:pt idx="1636">
                  <c:v>2.428517260365656</c:v>
                </c:pt>
                <c:pt idx="1637">
                  <c:v>2.428517260365656</c:v>
                </c:pt>
                <c:pt idx="1638">
                  <c:v>2.428517260365656</c:v>
                </c:pt>
                <c:pt idx="1639">
                  <c:v>2.428517260365656</c:v>
                </c:pt>
                <c:pt idx="1640">
                  <c:v>2.428517260365656</c:v>
                </c:pt>
                <c:pt idx="1641">
                  <c:v>2.428517260365656</c:v>
                </c:pt>
                <c:pt idx="1642">
                  <c:v>2.6570161854420777</c:v>
                </c:pt>
                <c:pt idx="1643">
                  <c:v>2.6570161854420777</c:v>
                </c:pt>
                <c:pt idx="1644">
                  <c:v>2.6570161854420777</c:v>
                </c:pt>
                <c:pt idx="1645">
                  <c:v>2.6570161854420777</c:v>
                </c:pt>
                <c:pt idx="1646">
                  <c:v>2.6570161854420777</c:v>
                </c:pt>
                <c:pt idx="1647">
                  <c:v>2.6570161854420777</c:v>
                </c:pt>
                <c:pt idx="1648">
                  <c:v>2.6570161854420777</c:v>
                </c:pt>
              </c:numCache>
            </c:numRef>
          </c:xVal>
          <c:yVal>
            <c:numRef>
              <c:f>Regression!RegChartQQY</c:f>
              <c:numCache>
                <c:formatCode>0.0000</c:formatCode>
                <c:ptCount val="1649"/>
                <c:pt idx="0">
                  <c:v>-5.090603373422125</c:v>
                </c:pt>
                <c:pt idx="1">
                  <c:v>-5.0186087480358799</c:v>
                </c:pt>
                <c:pt idx="2">
                  <c:v>-4.8399698613468338</c:v>
                </c:pt>
                <c:pt idx="3">
                  <c:v>-4.8060760954125472</c:v>
                </c:pt>
                <c:pt idx="4">
                  <c:v>-4.6647744867052019</c:v>
                </c:pt>
                <c:pt idx="5">
                  <c:v>-4.5685490958187227</c:v>
                </c:pt>
                <c:pt idx="6">
                  <c:v>-4.5520261578725201</c:v>
                </c:pt>
                <c:pt idx="7">
                  <c:v>-4.5283334552984842</c:v>
                </c:pt>
                <c:pt idx="8">
                  <c:v>-4.5070349361713768</c:v>
                </c:pt>
                <c:pt idx="9">
                  <c:v>-4.4245763152790198</c:v>
                </c:pt>
                <c:pt idx="10">
                  <c:v>-4.1112935034890921</c:v>
                </c:pt>
                <c:pt idx="11">
                  <c:v>-4.0077086623581017</c:v>
                </c:pt>
                <c:pt idx="12">
                  <c:v>-3.9316885335958589</c:v>
                </c:pt>
                <c:pt idx="13">
                  <c:v>-3.8321370415645561</c:v>
                </c:pt>
                <c:pt idx="14">
                  <c:v>-3.7718700884359926</c:v>
                </c:pt>
                <c:pt idx="15">
                  <c:v>-3.7118441276910392</c:v>
                </c:pt>
                <c:pt idx="16">
                  <c:v>-3.6323240921119693</c:v>
                </c:pt>
                <c:pt idx="17">
                  <c:v>-3.6317701711704542</c:v>
                </c:pt>
                <c:pt idx="18">
                  <c:v>-3.6062587910499762</c:v>
                </c:pt>
                <c:pt idx="19">
                  <c:v>-3.5437982359325448</c:v>
                </c:pt>
                <c:pt idx="20">
                  <c:v>-3.4707048144716066</c:v>
                </c:pt>
                <c:pt idx="21">
                  <c:v>-3.4001804220186185</c:v>
                </c:pt>
                <c:pt idx="22">
                  <c:v>-3.4001804220186185</c:v>
                </c:pt>
                <c:pt idx="23">
                  <c:v>-3.3962092965655502</c:v>
                </c:pt>
                <c:pt idx="24">
                  <c:v>-3.3522462730595386</c:v>
                </c:pt>
                <c:pt idx="25">
                  <c:v>-3.3037529498802205</c:v>
                </c:pt>
                <c:pt idx="26">
                  <c:v>-3.2872193538934882</c:v>
                </c:pt>
                <c:pt idx="27">
                  <c:v>-3.2714250471124533</c:v>
                </c:pt>
                <c:pt idx="28">
                  <c:v>-3.2714250471124533</c:v>
                </c:pt>
                <c:pt idx="29">
                  <c:v>-3.2644608267972202</c:v>
                </c:pt>
                <c:pt idx="30">
                  <c:v>-3.2319428838542046</c:v>
                </c:pt>
                <c:pt idx="31">
                  <c:v>-3.2078818875754722</c:v>
                </c:pt>
                <c:pt idx="32">
                  <c:v>-3.200360799050066</c:v>
                </c:pt>
                <c:pt idx="33">
                  <c:v>-3.1443432171097596</c:v>
                </c:pt>
                <c:pt idx="34">
                  <c:v>-3.103554071665271</c:v>
                </c:pt>
                <c:pt idx="35">
                  <c:v>-3.0800538045024748</c:v>
                </c:pt>
                <c:pt idx="36">
                  <c:v>-3.0633271047677773</c:v>
                </c:pt>
                <c:pt idx="37">
                  <c:v>-3.0633271047677773</c:v>
                </c:pt>
                <c:pt idx="38">
                  <c:v>-3.0467912317479118</c:v>
                </c:pt>
                <c:pt idx="39">
                  <c:v>-2.9997849383810853</c:v>
                </c:pt>
                <c:pt idx="40">
                  <c:v>-2.9512859392292996</c:v>
                </c:pt>
                <c:pt idx="41">
                  <c:v>-2.8954520560083385</c:v>
                </c:pt>
                <c:pt idx="42">
                  <c:v>-2.8871813475173873</c:v>
                </c:pt>
                <c:pt idx="43">
                  <c:v>-2.8480807275711038</c:v>
                </c:pt>
                <c:pt idx="44">
                  <c:v>-2.8157445372861303</c:v>
                </c:pt>
                <c:pt idx="45">
                  <c:v>-2.8157445372861303</c:v>
                </c:pt>
                <c:pt idx="46">
                  <c:v>-2.775702235955797</c:v>
                </c:pt>
                <c:pt idx="47">
                  <c:v>-2.7591571331065561</c:v>
                </c:pt>
                <c:pt idx="48">
                  <c:v>-2.7443141624135095</c:v>
                </c:pt>
                <c:pt idx="49">
                  <c:v>-2.6399747003418512</c:v>
                </c:pt>
                <c:pt idx="50">
                  <c:v>-2.6074451336230413</c:v>
                </c:pt>
                <c:pt idx="51">
                  <c:v>-2.5614299253926456</c:v>
                </c:pt>
                <c:pt idx="52">
                  <c:v>-2.3598578889268222</c:v>
                </c:pt>
                <c:pt idx="53">
                  <c:v>-2.3333157277754304</c:v>
                </c:pt>
                <c:pt idx="54">
                  <c:v>-2.311919392691316</c:v>
                </c:pt>
                <c:pt idx="55">
                  <c:v>-2.296133498507543</c:v>
                </c:pt>
                <c:pt idx="56">
                  <c:v>-2.2953611887930139</c:v>
                </c:pt>
                <c:pt idx="57">
                  <c:v>-2.2728457595787162</c:v>
                </c:pt>
                <c:pt idx="58">
                  <c:v>-2.2455091550245032</c:v>
                </c:pt>
                <c:pt idx="59">
                  <c:v>-2.1840834027299669</c:v>
                </c:pt>
                <c:pt idx="60">
                  <c:v>-2.1600167498128151</c:v>
                </c:pt>
                <c:pt idx="61">
                  <c:v>-2.1598221879763635</c:v>
                </c:pt>
                <c:pt idx="62">
                  <c:v>-2.1278626684219897</c:v>
                </c:pt>
                <c:pt idx="63">
                  <c:v>-2.1195808985303</c:v>
                </c:pt>
                <c:pt idx="64">
                  <c:v>-1.967672657144468</c:v>
                </c:pt>
                <c:pt idx="65">
                  <c:v>-1.9516925406470689</c:v>
                </c:pt>
                <c:pt idx="66">
                  <c:v>-1.9018004067957479</c:v>
                </c:pt>
                <c:pt idx="67">
                  <c:v>-1.8877720746574678</c:v>
                </c:pt>
                <c:pt idx="68">
                  <c:v>-1.8812668436048663</c:v>
                </c:pt>
                <c:pt idx="69">
                  <c:v>-1.8798805027175081</c:v>
                </c:pt>
                <c:pt idx="70">
                  <c:v>-1.8378722110950534</c:v>
                </c:pt>
                <c:pt idx="71">
                  <c:v>-1.8317429801086713</c:v>
                </c:pt>
                <c:pt idx="72">
                  <c:v>-1.8244454619551473</c:v>
                </c:pt>
                <c:pt idx="73">
                  <c:v>-1.8242472326554431</c:v>
                </c:pt>
                <c:pt idx="74">
                  <c:v>-1.8240492815841334</c:v>
                </c:pt>
                <c:pt idx="75">
                  <c:v>-1.8218901621698806</c:v>
                </c:pt>
                <c:pt idx="76">
                  <c:v>-1.7920894077890441</c:v>
                </c:pt>
                <c:pt idx="77">
                  <c:v>-1.7763079533238837</c:v>
                </c:pt>
                <c:pt idx="78">
                  <c:v>-1.7660507627157325</c:v>
                </c:pt>
                <c:pt idx="79">
                  <c:v>-1.7605271214108287</c:v>
                </c:pt>
                <c:pt idx="80">
                  <c:v>-1.7524377878618098</c:v>
                </c:pt>
                <c:pt idx="81">
                  <c:v>-1.752040291617353</c:v>
                </c:pt>
                <c:pt idx="82">
                  <c:v>-1.7439510261808686</c:v>
                </c:pt>
                <c:pt idx="83">
                  <c:v>-1.7432296978307229</c:v>
                </c:pt>
                <c:pt idx="84">
                  <c:v>-1.7340743652785982</c:v>
                </c:pt>
                <c:pt idx="85">
                  <c:v>-1.7285679511386691</c:v>
                </c:pt>
                <c:pt idx="86">
                  <c:v>-1.7283686739923243</c:v>
                </c:pt>
                <c:pt idx="87">
                  <c:v>-1.7214785443511207</c:v>
                </c:pt>
                <c:pt idx="88">
                  <c:v>-1.7206779391200755</c:v>
                </c:pt>
                <c:pt idx="89">
                  <c:v>-1.7200802388423135</c:v>
                </c:pt>
                <c:pt idx="90">
                  <c:v>-1.7198815295181473</c:v>
                </c:pt>
                <c:pt idx="91">
                  <c:v>-1.7121897233013219</c:v>
                </c:pt>
                <c:pt idx="92">
                  <c:v>-1.7119907931860681</c:v>
                </c:pt>
                <c:pt idx="93">
                  <c:v>-1.7119907931860681</c:v>
                </c:pt>
                <c:pt idx="94">
                  <c:v>-1.7044987714215842</c:v>
                </c:pt>
                <c:pt idx="95">
                  <c:v>-1.6976107915863301</c:v>
                </c:pt>
                <c:pt idx="96">
                  <c:v>-1.6947792083637481</c:v>
                </c:pt>
                <c:pt idx="97">
                  <c:v>-1.6879211150637115</c:v>
                </c:pt>
                <c:pt idx="98">
                  <c:v>-1.6723396660851166</c:v>
                </c:pt>
                <c:pt idx="99">
                  <c:v>-1.6644496348835769</c:v>
                </c:pt>
                <c:pt idx="100">
                  <c:v>-1.648070327196467</c:v>
                </c:pt>
                <c:pt idx="101">
                  <c:v>-1.6465765432582504</c:v>
                </c:pt>
                <c:pt idx="102">
                  <c:v>-1.6322900388135997</c:v>
                </c:pt>
                <c:pt idx="103">
                  <c:v>-1.6298605053698323</c:v>
                </c:pt>
                <c:pt idx="104">
                  <c:v>-1.6240002861548399</c:v>
                </c:pt>
                <c:pt idx="105">
                  <c:v>-1.6084202739753426</c:v>
                </c:pt>
                <c:pt idx="106">
                  <c:v>-1.6001299777042672</c:v>
                </c:pt>
                <c:pt idx="107">
                  <c:v>-1.5981329017172361</c:v>
                </c:pt>
                <c:pt idx="108">
                  <c:v>-1.5821594282922791</c:v>
                </c:pt>
                <c:pt idx="109">
                  <c:v>-1.5821594282922791</c:v>
                </c:pt>
                <c:pt idx="110">
                  <c:v>-1.5438987861058364</c:v>
                </c:pt>
                <c:pt idx="111">
                  <c:v>-1.5435512845633101</c:v>
                </c:pt>
                <c:pt idx="112">
                  <c:v>-1.5119380050122544</c:v>
                </c:pt>
                <c:pt idx="113">
                  <c:v>-1.4969649566877159</c:v>
                </c:pt>
                <c:pt idx="114">
                  <c:v>-1.4961586283370989</c:v>
                </c:pt>
                <c:pt idx="115">
                  <c:v>-1.4959576144654645</c:v>
                </c:pt>
                <c:pt idx="116">
                  <c:v>-1.4639968333718825</c:v>
                </c:pt>
                <c:pt idx="117">
                  <c:v>-1.4625730471421043</c:v>
                </c:pt>
                <c:pt idx="118">
                  <c:v>-1.4531681120884554</c:v>
                </c:pt>
                <c:pt idx="119">
                  <c:v>-1.4490264604522103</c:v>
                </c:pt>
                <c:pt idx="120">
                  <c:v>-1.4405307960430658</c:v>
                </c:pt>
                <c:pt idx="121">
                  <c:v>-1.437080119871484</c:v>
                </c:pt>
                <c:pt idx="122">
                  <c:v>-1.4058282040397625</c:v>
                </c:pt>
                <c:pt idx="123">
                  <c:v>-1.3962862148885022</c:v>
                </c:pt>
                <c:pt idx="124">
                  <c:v>-1.3885642662648245</c:v>
                </c:pt>
                <c:pt idx="125">
                  <c:v>-1.3764083467406656</c:v>
                </c:pt>
                <c:pt idx="126">
                  <c:v>-1.3734919661747749</c:v>
                </c:pt>
                <c:pt idx="127">
                  <c:v>-1.3698330492292075</c:v>
                </c:pt>
                <c:pt idx="128">
                  <c:v>-1.3604282302432664</c:v>
                </c:pt>
                <c:pt idx="129">
                  <c:v>-1.3502385381861897</c:v>
                </c:pt>
                <c:pt idx="130">
                  <c:v>-1.3424286944146775</c:v>
                </c:pt>
                <c:pt idx="131">
                  <c:v>-1.340172278533166</c:v>
                </c:pt>
                <c:pt idx="132">
                  <c:v>-1.3363565560649222</c:v>
                </c:pt>
                <c:pt idx="133">
                  <c:v>-1.3221067507234172</c:v>
                </c:pt>
                <c:pt idx="134">
                  <c:v>-1.311878812474371</c:v>
                </c:pt>
                <c:pt idx="135">
                  <c:v>-1.3043961416104866</c:v>
                </c:pt>
                <c:pt idx="136">
                  <c:v>-1.2927921141629415</c:v>
                </c:pt>
                <c:pt idx="137">
                  <c:v>-1.2848252009044432</c:v>
                </c:pt>
                <c:pt idx="138">
                  <c:v>-1.2784232539303146</c:v>
                </c:pt>
                <c:pt idx="139">
                  <c:v>-1.276034470220579</c:v>
                </c:pt>
                <c:pt idx="140">
                  <c:v>-1.2540188467665625</c:v>
                </c:pt>
                <c:pt idx="141">
                  <c:v>-1.2371216807998753</c:v>
                </c:pt>
                <c:pt idx="142">
                  <c:v>-1.2321792209544196</c:v>
                </c:pt>
                <c:pt idx="143">
                  <c:v>-1.2307039057923432</c:v>
                </c:pt>
                <c:pt idx="144">
                  <c:v>-1.2199787232510317</c:v>
                </c:pt>
                <c:pt idx="145">
                  <c:v>-1.219772379620768</c:v>
                </c:pt>
                <c:pt idx="146">
                  <c:v>-1.2170163611223521</c:v>
                </c:pt>
                <c:pt idx="147">
                  <c:v>-1.2093339792746807</c:v>
                </c:pt>
                <c:pt idx="148">
                  <c:v>-1.2087193944416905</c:v>
                </c:pt>
                <c:pt idx="149">
                  <c:v>-1.2026584082148053</c:v>
                </c:pt>
                <c:pt idx="150">
                  <c:v>-1.1929442252618014</c:v>
                </c:pt>
                <c:pt idx="151">
                  <c:v>-1.1918061564755471</c:v>
                </c:pt>
                <c:pt idx="152">
                  <c:v>-1.1891885095650812</c:v>
                </c:pt>
                <c:pt idx="153">
                  <c:v>-1.1875909102902633</c:v>
                </c:pt>
                <c:pt idx="154">
                  <c:v>-1.1759409755051289</c:v>
                </c:pt>
                <c:pt idx="155">
                  <c:v>-1.1746357157037068</c:v>
                </c:pt>
                <c:pt idx="156">
                  <c:v>-1.1655651364061936</c:v>
                </c:pt>
                <c:pt idx="157">
                  <c:v>-1.1646088029832677</c:v>
                </c:pt>
                <c:pt idx="158">
                  <c:v>-1.160369412982857</c:v>
                </c:pt>
                <c:pt idx="159">
                  <c:v>-1.1601647244481175</c:v>
                </c:pt>
                <c:pt idx="160">
                  <c:v>-1.1436089928242146</c:v>
                </c:pt>
                <c:pt idx="161">
                  <c:v>-1.1421933710374781</c:v>
                </c:pt>
                <c:pt idx="162">
                  <c:v>-1.1336092502192765</c:v>
                </c:pt>
                <c:pt idx="163">
                  <c:v>-1.1252776145853569</c:v>
                </c:pt>
                <c:pt idx="164">
                  <c:v>-1.1213437159676498</c:v>
                </c:pt>
                <c:pt idx="165">
                  <c:v>-1.1207264827822656</c:v>
                </c:pt>
                <c:pt idx="166">
                  <c:v>-1.1135468703960003</c:v>
                </c:pt>
                <c:pt idx="167">
                  <c:v>-1.1134354575333176</c:v>
                </c:pt>
                <c:pt idx="168">
                  <c:v>-1.1124282413424851</c:v>
                </c:pt>
                <c:pt idx="169">
                  <c:v>-1.1043353558615385</c:v>
                </c:pt>
                <c:pt idx="170">
                  <c:v>-1.0877737008270314</c:v>
                </c:pt>
                <c:pt idx="171">
                  <c:v>-1.0852193527501155</c:v>
                </c:pt>
                <c:pt idx="172">
                  <c:v>-1.0775724046239485</c:v>
                </c:pt>
                <c:pt idx="173">
                  <c:v>-1.0771166529986758</c:v>
                </c:pt>
                <c:pt idx="174">
                  <c:v>-1.0762071985122057</c:v>
                </c:pt>
                <c:pt idx="175">
                  <c:v>-1.073404960559412</c:v>
                </c:pt>
                <c:pt idx="176">
                  <c:v>-1.0729922473995437</c:v>
                </c:pt>
                <c:pt idx="177">
                  <c:v>-1.0729069924714176</c:v>
                </c:pt>
                <c:pt idx="178">
                  <c:v>-1.0663156610634554</c:v>
                </c:pt>
                <c:pt idx="179">
                  <c:v>-1.0651036684463311</c:v>
                </c:pt>
                <c:pt idx="180">
                  <c:v>-1.0568060167926645</c:v>
                </c:pt>
                <c:pt idx="181">
                  <c:v>-1.0451614917824033</c:v>
                </c:pt>
                <c:pt idx="182">
                  <c:v>-1.0414457902872525</c:v>
                </c:pt>
                <c:pt idx="183">
                  <c:v>-1.0317027654516477</c:v>
                </c:pt>
                <c:pt idx="184">
                  <c:v>-1.0264682909085179</c:v>
                </c:pt>
                <c:pt idx="185">
                  <c:v>-1.024264416034093</c:v>
                </c:pt>
                <c:pt idx="186">
                  <c:v>-1.0199479245186516</c:v>
                </c:pt>
                <c:pt idx="187">
                  <c:v>-1.0179175881722942</c:v>
                </c:pt>
                <c:pt idx="188">
                  <c:v>-1.0161853970524937</c:v>
                </c:pt>
                <c:pt idx="189">
                  <c:v>-1.0145720549218116</c:v>
                </c:pt>
                <c:pt idx="190">
                  <c:v>-1.0127523775481819</c:v>
                </c:pt>
                <c:pt idx="191">
                  <c:v>-1.0084717513234311</c:v>
                </c:pt>
                <c:pt idx="192">
                  <c:v>-1.0069037241178576</c:v>
                </c:pt>
                <c:pt idx="193">
                  <c:v>-1.0046503729510565</c:v>
                </c:pt>
                <c:pt idx="194">
                  <c:v>-1.0016004955874864</c:v>
                </c:pt>
                <c:pt idx="195">
                  <c:v>-0.99791044969415788</c:v>
                </c:pt>
                <c:pt idx="196">
                  <c:v>-0.98238738877588683</c:v>
                </c:pt>
                <c:pt idx="197">
                  <c:v>-0.98234217360607023</c:v>
                </c:pt>
                <c:pt idx="198">
                  <c:v>-0.97764139734146027</c:v>
                </c:pt>
                <c:pt idx="199">
                  <c:v>-0.95917963446222898</c:v>
                </c:pt>
                <c:pt idx="200">
                  <c:v>-0.95191793309764339</c:v>
                </c:pt>
                <c:pt idx="201">
                  <c:v>-0.95020349627913359</c:v>
                </c:pt>
                <c:pt idx="202">
                  <c:v>-0.94952265339111408</c:v>
                </c:pt>
                <c:pt idx="203">
                  <c:v>-0.94839093594314117</c:v>
                </c:pt>
                <c:pt idx="204">
                  <c:v>-0.94569014322312428</c:v>
                </c:pt>
                <c:pt idx="205">
                  <c:v>-0.94287747128534138</c:v>
                </c:pt>
                <c:pt idx="206">
                  <c:v>-0.93602249676892135</c:v>
                </c:pt>
                <c:pt idx="207">
                  <c:v>-0.9187011954466564</c:v>
                </c:pt>
                <c:pt idx="208">
                  <c:v>-0.91688856697026644</c:v>
                </c:pt>
                <c:pt idx="209">
                  <c:v>-0.91373888910478707</c:v>
                </c:pt>
                <c:pt idx="210">
                  <c:v>-0.91329125044337389</c:v>
                </c:pt>
                <c:pt idx="211">
                  <c:v>-0.91029320080040754</c:v>
                </c:pt>
                <c:pt idx="212">
                  <c:v>-0.90967312088099062</c:v>
                </c:pt>
                <c:pt idx="213">
                  <c:v>-0.90294979849790091</c:v>
                </c:pt>
                <c:pt idx="214">
                  <c:v>-0.90000898223085912</c:v>
                </c:pt>
                <c:pt idx="215">
                  <c:v>-0.89419955793668637</c:v>
                </c:pt>
                <c:pt idx="216">
                  <c:v>-0.88674424228827065</c:v>
                </c:pt>
                <c:pt idx="217">
                  <c:v>-0.88019297498478399</c:v>
                </c:pt>
                <c:pt idx="218">
                  <c:v>-0.87800377633070903</c:v>
                </c:pt>
                <c:pt idx="219">
                  <c:v>-0.87391169260395951</c:v>
                </c:pt>
                <c:pt idx="220">
                  <c:v>-0.87288264479525313</c:v>
                </c:pt>
                <c:pt idx="221">
                  <c:v>-0.87031265620612519</c:v>
                </c:pt>
                <c:pt idx="222">
                  <c:v>-0.85695033924839226</c:v>
                </c:pt>
                <c:pt idx="223">
                  <c:v>-0.85388223361001803</c:v>
                </c:pt>
                <c:pt idx="224">
                  <c:v>-0.84948188624706056</c:v>
                </c:pt>
                <c:pt idx="225">
                  <c:v>-0.8458340665571934</c:v>
                </c:pt>
                <c:pt idx="226">
                  <c:v>-0.84566119282245811</c:v>
                </c:pt>
                <c:pt idx="227">
                  <c:v>-0.84532892734159548</c:v>
                </c:pt>
                <c:pt idx="228">
                  <c:v>-0.84117878752874364</c:v>
                </c:pt>
                <c:pt idx="229">
                  <c:v>-0.83245870718008408</c:v>
                </c:pt>
                <c:pt idx="230">
                  <c:v>-0.83245870718008408</c:v>
                </c:pt>
                <c:pt idx="231">
                  <c:v>-0.83074530231068966</c:v>
                </c:pt>
                <c:pt idx="232">
                  <c:v>-0.8212499942925604</c:v>
                </c:pt>
                <c:pt idx="233">
                  <c:v>-0.8212499942925604</c:v>
                </c:pt>
                <c:pt idx="234">
                  <c:v>-0.8171042693316638</c:v>
                </c:pt>
                <c:pt idx="235">
                  <c:v>-0.81179999295612559</c:v>
                </c:pt>
                <c:pt idx="236">
                  <c:v>-0.80921873475370421</c:v>
                </c:pt>
                <c:pt idx="237">
                  <c:v>-0.80578811255324434</c:v>
                </c:pt>
                <c:pt idx="238">
                  <c:v>-0.80504745462936589</c:v>
                </c:pt>
                <c:pt idx="239">
                  <c:v>-0.79888941148836567</c:v>
                </c:pt>
                <c:pt idx="240">
                  <c:v>-0.79807244525663834</c:v>
                </c:pt>
                <c:pt idx="241">
                  <c:v>-0.79461081990729665</c:v>
                </c:pt>
                <c:pt idx="242">
                  <c:v>-0.7895931279137729</c:v>
                </c:pt>
                <c:pt idx="243">
                  <c:v>-0.78817156576331404</c:v>
                </c:pt>
                <c:pt idx="244">
                  <c:v>-0.78514403633686558</c:v>
                </c:pt>
                <c:pt idx="245">
                  <c:v>-0.77841818793396456</c:v>
                </c:pt>
                <c:pt idx="246">
                  <c:v>-0.77822981255609636</c:v>
                </c:pt>
                <c:pt idx="247">
                  <c:v>-0.77600414120902439</c:v>
                </c:pt>
                <c:pt idx="248">
                  <c:v>-0.77264357491067825</c:v>
                </c:pt>
                <c:pt idx="249">
                  <c:v>-0.76937344634620053</c:v>
                </c:pt>
                <c:pt idx="250">
                  <c:v>-0.76566631541022234</c:v>
                </c:pt>
                <c:pt idx="251">
                  <c:v>-0.76127865559114638</c:v>
                </c:pt>
                <c:pt idx="252">
                  <c:v>-0.76065031578575482</c:v>
                </c:pt>
                <c:pt idx="253">
                  <c:v>-0.75936786700706227</c:v>
                </c:pt>
                <c:pt idx="254">
                  <c:v>-0.75689098523959408</c:v>
                </c:pt>
                <c:pt idx="255">
                  <c:v>-0.75580392032746913</c:v>
                </c:pt>
                <c:pt idx="256">
                  <c:v>-0.75276472685611406</c:v>
                </c:pt>
                <c:pt idx="257">
                  <c:v>-0.75255535629770287</c:v>
                </c:pt>
                <c:pt idx="258">
                  <c:v>-0.74834168509972387</c:v>
                </c:pt>
                <c:pt idx="259">
                  <c:v>-0.7443264543286473</c:v>
                </c:pt>
                <c:pt idx="260">
                  <c:v>-0.74024124442007944</c:v>
                </c:pt>
                <c:pt idx="261">
                  <c:v>-0.73860358062600562</c:v>
                </c:pt>
                <c:pt idx="262">
                  <c:v>-0.73636523771301765</c:v>
                </c:pt>
                <c:pt idx="263">
                  <c:v>-0.73005984261009271</c:v>
                </c:pt>
                <c:pt idx="264">
                  <c:v>-0.72887771762379494</c:v>
                </c:pt>
                <c:pt idx="265">
                  <c:v>-0.72847956596066232</c:v>
                </c:pt>
                <c:pt idx="266">
                  <c:v>-0.72586134921110179</c:v>
                </c:pt>
                <c:pt idx="267">
                  <c:v>-0.72404064129541879</c:v>
                </c:pt>
                <c:pt idx="268">
                  <c:v>-0.72238282658918651</c:v>
                </c:pt>
                <c:pt idx="269">
                  <c:v>-0.71638800987396722</c:v>
                </c:pt>
                <c:pt idx="270">
                  <c:v>-0.71594047696680008</c:v>
                </c:pt>
                <c:pt idx="271">
                  <c:v>-0.71594047696680008</c:v>
                </c:pt>
                <c:pt idx="272">
                  <c:v>-0.71571688197161154</c:v>
                </c:pt>
                <c:pt idx="273">
                  <c:v>-0.71249880133407295</c:v>
                </c:pt>
                <c:pt idx="274">
                  <c:v>-0.71207954669302875</c:v>
                </c:pt>
                <c:pt idx="275">
                  <c:v>-0.70853971013821226</c:v>
                </c:pt>
                <c:pt idx="276">
                  <c:v>-0.70599020072864827</c:v>
                </c:pt>
                <c:pt idx="277">
                  <c:v>-0.70545369875602182</c:v>
                </c:pt>
                <c:pt idx="278">
                  <c:v>-0.70386265811140103</c:v>
                </c:pt>
                <c:pt idx="279">
                  <c:v>-0.6979366365558497</c:v>
                </c:pt>
                <c:pt idx="280">
                  <c:v>-0.69231092307684594</c:v>
                </c:pt>
                <c:pt idx="281">
                  <c:v>-0.69164699792778306</c:v>
                </c:pt>
                <c:pt idx="282">
                  <c:v>-0.68884279430967243</c:v>
                </c:pt>
                <c:pt idx="283">
                  <c:v>-0.68218221478947283</c:v>
                </c:pt>
                <c:pt idx="284">
                  <c:v>-0.68192060435837376</c:v>
                </c:pt>
                <c:pt idx="285">
                  <c:v>-0.68011724943502982</c:v>
                </c:pt>
                <c:pt idx="286">
                  <c:v>-0.67294897606753556</c:v>
                </c:pt>
                <c:pt idx="287">
                  <c:v>-0.6722316916133213</c:v>
                </c:pt>
                <c:pt idx="288">
                  <c:v>-0.67092245477072432</c:v>
                </c:pt>
                <c:pt idx="289">
                  <c:v>-0.66572858584367223</c:v>
                </c:pt>
                <c:pt idx="290">
                  <c:v>-0.65667133523884413</c:v>
                </c:pt>
                <c:pt idx="291">
                  <c:v>-0.65516863398000202</c:v>
                </c:pt>
                <c:pt idx="292">
                  <c:v>-0.6481549521770309</c:v>
                </c:pt>
                <c:pt idx="293">
                  <c:v>-0.64616993195422567</c:v>
                </c:pt>
                <c:pt idx="294">
                  <c:v>-0.64259788244975213</c:v>
                </c:pt>
                <c:pt idx="295">
                  <c:v>-0.64144078064204813</c:v>
                </c:pt>
                <c:pt idx="296">
                  <c:v>-0.64048007953183794</c:v>
                </c:pt>
                <c:pt idx="297">
                  <c:v>-0.64048007953183794</c:v>
                </c:pt>
                <c:pt idx="298">
                  <c:v>-0.64026958821725055</c:v>
                </c:pt>
                <c:pt idx="299">
                  <c:v>-0.63829301432204888</c:v>
                </c:pt>
                <c:pt idx="300">
                  <c:v>-0.63128522212847438</c:v>
                </c:pt>
                <c:pt idx="301">
                  <c:v>-0.63021433496384482</c:v>
                </c:pt>
                <c:pt idx="302">
                  <c:v>-0.62617760203975692</c:v>
                </c:pt>
                <c:pt idx="303">
                  <c:v>-0.62492086176323303</c:v>
                </c:pt>
                <c:pt idx="304">
                  <c:v>-0.62492086176323303</c:v>
                </c:pt>
                <c:pt idx="305">
                  <c:v>-0.62492086176323303</c:v>
                </c:pt>
                <c:pt idx="306">
                  <c:v>-0.62449921983497569</c:v>
                </c:pt>
                <c:pt idx="307">
                  <c:v>-0.62449921983497569</c:v>
                </c:pt>
                <c:pt idx="308">
                  <c:v>-0.6169351468883435</c:v>
                </c:pt>
                <c:pt idx="309">
                  <c:v>-0.61640338902223546</c:v>
                </c:pt>
                <c:pt idx="310">
                  <c:v>-0.61619265491903197</c:v>
                </c:pt>
                <c:pt idx="311">
                  <c:v>-0.61533437610161368</c:v>
                </c:pt>
                <c:pt idx="312">
                  <c:v>-0.61399045474755976</c:v>
                </c:pt>
                <c:pt idx="313">
                  <c:v>-0.61083215412980107</c:v>
                </c:pt>
                <c:pt idx="314">
                  <c:v>-0.60872932470941588</c:v>
                </c:pt>
                <c:pt idx="315">
                  <c:v>-0.60723296817394412</c:v>
                </c:pt>
                <c:pt idx="316">
                  <c:v>-0.60380387361883947</c:v>
                </c:pt>
                <c:pt idx="317">
                  <c:v>-0.60299164062897204</c:v>
                </c:pt>
                <c:pt idx="318">
                  <c:v>-0.6008445523208098</c:v>
                </c:pt>
                <c:pt idx="319">
                  <c:v>-0.6008445523208098</c:v>
                </c:pt>
                <c:pt idx="320">
                  <c:v>-0.6008445523208098</c:v>
                </c:pt>
                <c:pt idx="321">
                  <c:v>-0.60074365576127731</c:v>
                </c:pt>
                <c:pt idx="322">
                  <c:v>-0.59274865453294057</c:v>
                </c:pt>
                <c:pt idx="323">
                  <c:v>-0.5925375004412492</c:v>
                </c:pt>
                <c:pt idx="324">
                  <c:v>-0.59172971981009248</c:v>
                </c:pt>
                <c:pt idx="325">
                  <c:v>-0.59134939214109739</c:v>
                </c:pt>
                <c:pt idx="326">
                  <c:v>-0.58568416066780149</c:v>
                </c:pt>
                <c:pt idx="327">
                  <c:v>-0.58507535329839033</c:v>
                </c:pt>
                <c:pt idx="328">
                  <c:v>-0.58329761910489852</c:v>
                </c:pt>
                <c:pt idx="329">
                  <c:v>-0.57655664074438695</c:v>
                </c:pt>
                <c:pt idx="330">
                  <c:v>-0.56888339962782042</c:v>
                </c:pt>
                <c:pt idx="331">
                  <c:v>-0.56867191969478126</c:v>
                </c:pt>
                <c:pt idx="332">
                  <c:v>-0.56857873088201927</c:v>
                </c:pt>
                <c:pt idx="333">
                  <c:v>-0.56824920903203457</c:v>
                </c:pt>
                <c:pt idx="334">
                  <c:v>-0.56650397859925816</c:v>
                </c:pt>
                <c:pt idx="335">
                  <c:v>-0.56142240537326393</c:v>
                </c:pt>
                <c:pt idx="336">
                  <c:v>-0.56116765033725313</c:v>
                </c:pt>
                <c:pt idx="337">
                  <c:v>-0.5595302688831465</c:v>
                </c:pt>
                <c:pt idx="338">
                  <c:v>-0.5536963695138879</c:v>
                </c:pt>
                <c:pt idx="339">
                  <c:v>-0.55269115506819189</c:v>
                </c:pt>
                <c:pt idx="340">
                  <c:v>-0.55121172970843946</c:v>
                </c:pt>
                <c:pt idx="341">
                  <c:v>-0.55119623412522445</c:v>
                </c:pt>
                <c:pt idx="342">
                  <c:v>-0.54763070678851689</c:v>
                </c:pt>
                <c:pt idx="343">
                  <c:v>-0.54669196690410149</c:v>
                </c:pt>
                <c:pt idx="344">
                  <c:v>-0.54565432978057737</c:v>
                </c:pt>
                <c:pt idx="345">
                  <c:v>-0.54480664400351009</c:v>
                </c:pt>
                <c:pt idx="346">
                  <c:v>-0.54475032739494167</c:v>
                </c:pt>
                <c:pt idx="347">
                  <c:v>-0.54450953155090187</c:v>
                </c:pt>
                <c:pt idx="348">
                  <c:v>-0.53671039044160462</c:v>
                </c:pt>
                <c:pt idx="349">
                  <c:v>-0.53671039044160462</c:v>
                </c:pt>
                <c:pt idx="350">
                  <c:v>-0.53098874703875076</c:v>
                </c:pt>
                <c:pt idx="351">
                  <c:v>-0.52861406165379821</c:v>
                </c:pt>
                <c:pt idx="352">
                  <c:v>-0.52679050286140183</c:v>
                </c:pt>
                <c:pt idx="353">
                  <c:v>-0.52673891834562059</c:v>
                </c:pt>
                <c:pt idx="354">
                  <c:v>-0.52304679160333711</c:v>
                </c:pt>
                <c:pt idx="355">
                  <c:v>-0.52072962581501747</c:v>
                </c:pt>
                <c:pt idx="356">
                  <c:v>-0.52072962581501747</c:v>
                </c:pt>
                <c:pt idx="357">
                  <c:v>-0.52051765669822836</c:v>
                </c:pt>
                <c:pt idx="358">
                  <c:v>-0.51899977213893989</c:v>
                </c:pt>
                <c:pt idx="359">
                  <c:v>-0.5180960108760565</c:v>
                </c:pt>
                <c:pt idx="360">
                  <c:v>-0.51567813598723522</c:v>
                </c:pt>
                <c:pt idx="361">
                  <c:v>-0.51263320195693374</c:v>
                </c:pt>
                <c:pt idx="362">
                  <c:v>-0.51235888446310318</c:v>
                </c:pt>
                <c:pt idx="363">
                  <c:v>-0.51136163656183053</c:v>
                </c:pt>
                <c:pt idx="364">
                  <c:v>-0.50846005434614239</c:v>
                </c:pt>
                <c:pt idx="365">
                  <c:v>-0.50669252272395404</c:v>
                </c:pt>
                <c:pt idx="366">
                  <c:v>-0.50573102345726173</c:v>
                </c:pt>
                <c:pt idx="367">
                  <c:v>-0.50517340056443649</c:v>
                </c:pt>
                <c:pt idx="368">
                  <c:v>-0.50453670131089501</c:v>
                </c:pt>
                <c:pt idx="369">
                  <c:v>-0.50432461451603672</c:v>
                </c:pt>
                <c:pt idx="370">
                  <c:v>-0.50426117706423856</c:v>
                </c:pt>
                <c:pt idx="371">
                  <c:v>-0.4972428447900426</c:v>
                </c:pt>
                <c:pt idx="372">
                  <c:v>-0.49686463347408188</c:v>
                </c:pt>
                <c:pt idx="373">
                  <c:v>-0.4966523422600716</c:v>
                </c:pt>
                <c:pt idx="374">
                  <c:v>-0.49550235558871836</c:v>
                </c:pt>
                <c:pt idx="375">
                  <c:v>-0.48898051789534785</c:v>
                </c:pt>
                <c:pt idx="376">
                  <c:v>-0.48630496034518406</c:v>
                </c:pt>
                <c:pt idx="377">
                  <c:v>-0.48261819863049782</c:v>
                </c:pt>
                <c:pt idx="378">
                  <c:v>-0.48121782882243275</c:v>
                </c:pt>
                <c:pt idx="379">
                  <c:v>-0.48018880142942427</c:v>
                </c:pt>
                <c:pt idx="380">
                  <c:v>-0.47996840782585676</c:v>
                </c:pt>
                <c:pt idx="381">
                  <c:v>-0.47622381355522725</c:v>
                </c:pt>
                <c:pt idx="382">
                  <c:v>-0.47426466175117726</c:v>
                </c:pt>
                <c:pt idx="383">
                  <c:v>-0.47155479975703879</c:v>
                </c:pt>
                <c:pt idx="384">
                  <c:v>-0.46752776657117129</c:v>
                </c:pt>
                <c:pt idx="385">
                  <c:v>-0.45777872916734219</c:v>
                </c:pt>
                <c:pt idx="386">
                  <c:v>-0.4569820350949822</c:v>
                </c:pt>
                <c:pt idx="387">
                  <c:v>-0.45680656730866409</c:v>
                </c:pt>
                <c:pt idx="388">
                  <c:v>-0.45680656730866409</c:v>
                </c:pt>
                <c:pt idx="389">
                  <c:v>-0.45654623653741894</c:v>
                </c:pt>
                <c:pt idx="390">
                  <c:v>-0.45589631848913981</c:v>
                </c:pt>
                <c:pt idx="391">
                  <c:v>-0.45528351252968602</c:v>
                </c:pt>
                <c:pt idx="392">
                  <c:v>-0.45457638211201806</c:v>
                </c:pt>
                <c:pt idx="393">
                  <c:v>-0.45413697997707825</c:v>
                </c:pt>
                <c:pt idx="394">
                  <c:v>-0.45288108057409915</c:v>
                </c:pt>
                <c:pt idx="395">
                  <c:v>-0.45155159707920461</c:v>
                </c:pt>
                <c:pt idx="396">
                  <c:v>-0.44870976316948286</c:v>
                </c:pt>
                <c:pt idx="397">
                  <c:v>-0.44823934605122023</c:v>
                </c:pt>
                <c:pt idx="398">
                  <c:v>-0.446040136538426</c:v>
                </c:pt>
                <c:pt idx="399">
                  <c:v>-0.44363863533804809</c:v>
                </c:pt>
                <c:pt idx="400">
                  <c:v>-0.44268831672582409</c:v>
                </c:pt>
                <c:pt idx="401">
                  <c:v>-0.44061287976155689</c:v>
                </c:pt>
                <c:pt idx="402">
                  <c:v>-0.43948157921561926</c:v>
                </c:pt>
                <c:pt idx="403">
                  <c:v>-0.4342492178854403</c:v>
                </c:pt>
                <c:pt idx="404">
                  <c:v>-0.43272890347261844</c:v>
                </c:pt>
                <c:pt idx="405">
                  <c:v>-0.42946996338172638</c:v>
                </c:pt>
                <c:pt idx="406">
                  <c:v>-0.42789841310832766</c:v>
                </c:pt>
                <c:pt idx="407">
                  <c:v>-0.42699947811500644</c:v>
                </c:pt>
                <c:pt idx="408">
                  <c:v>-0.42481706335253011</c:v>
                </c:pt>
                <c:pt idx="409">
                  <c:v>-0.42463192437422348</c:v>
                </c:pt>
                <c:pt idx="410">
                  <c:v>-0.42350710789338514</c:v>
                </c:pt>
                <c:pt idx="411">
                  <c:v>-0.41653486444475751</c:v>
                </c:pt>
                <c:pt idx="412">
                  <c:v>-0.41653486444475751</c:v>
                </c:pt>
                <c:pt idx="413">
                  <c:v>-0.41498033570482684</c:v>
                </c:pt>
                <c:pt idx="414">
                  <c:v>-0.41238534300060342</c:v>
                </c:pt>
                <c:pt idx="415">
                  <c:v>-0.41080737818231899</c:v>
                </c:pt>
                <c:pt idx="416">
                  <c:v>-0.40886427342890025</c:v>
                </c:pt>
                <c:pt idx="417">
                  <c:v>-0.4073128142432364</c:v>
                </c:pt>
                <c:pt idx="418">
                  <c:v>-0.40424206282635072</c:v>
                </c:pt>
                <c:pt idx="419">
                  <c:v>-0.40384413818274656</c:v>
                </c:pt>
                <c:pt idx="420">
                  <c:v>-0.40340210466456117</c:v>
                </c:pt>
                <c:pt idx="421">
                  <c:v>-0.40031217383954465</c:v>
                </c:pt>
                <c:pt idx="422">
                  <c:v>-0.39899604892217266</c:v>
                </c:pt>
                <c:pt idx="423">
                  <c:v>-0.39833066281058521</c:v>
                </c:pt>
                <c:pt idx="424">
                  <c:v>-0.39618760390725127</c:v>
                </c:pt>
                <c:pt idx="425">
                  <c:v>-0.39265213136956634</c:v>
                </c:pt>
                <c:pt idx="426">
                  <c:v>-0.39044158487358432</c:v>
                </c:pt>
                <c:pt idx="427">
                  <c:v>-0.38786785278210512</c:v>
                </c:pt>
                <c:pt idx="428">
                  <c:v>-0.38676381504153295</c:v>
                </c:pt>
                <c:pt idx="429">
                  <c:v>-0.38651940510249733</c:v>
                </c:pt>
                <c:pt idx="430">
                  <c:v>-0.38588171491464868</c:v>
                </c:pt>
                <c:pt idx="431">
                  <c:v>-0.38544103923554146</c:v>
                </c:pt>
                <c:pt idx="432">
                  <c:v>-0.38457276104868904</c:v>
                </c:pt>
                <c:pt idx="433">
                  <c:v>-0.38457276104868904</c:v>
                </c:pt>
                <c:pt idx="434">
                  <c:v>-0.38436868029226995</c:v>
                </c:pt>
                <c:pt idx="435">
                  <c:v>-0.38435750892062887</c:v>
                </c:pt>
                <c:pt idx="436">
                  <c:v>-0.38280217401658212</c:v>
                </c:pt>
                <c:pt idx="437">
                  <c:v>-0.38264592482670551</c:v>
                </c:pt>
                <c:pt idx="438">
                  <c:v>-0.38080022989733309</c:v>
                </c:pt>
                <c:pt idx="439">
                  <c:v>-0.37712318841343073</c:v>
                </c:pt>
                <c:pt idx="440">
                  <c:v>-0.37646076066191769</c:v>
                </c:pt>
                <c:pt idx="441">
                  <c:v>-0.37536400697028866</c:v>
                </c:pt>
                <c:pt idx="442">
                  <c:v>-0.37010925216184482</c:v>
                </c:pt>
                <c:pt idx="443">
                  <c:v>-0.3685917093506525</c:v>
                </c:pt>
                <c:pt idx="444">
                  <c:v>-0.3685917093506525</c:v>
                </c:pt>
                <c:pt idx="445">
                  <c:v>-0.36682792878064346</c:v>
                </c:pt>
                <c:pt idx="446">
                  <c:v>-0.36660848052596284</c:v>
                </c:pt>
                <c:pt idx="447">
                  <c:v>-0.36335163660724096</c:v>
                </c:pt>
                <c:pt idx="448">
                  <c:v>-0.36313102524046903</c:v>
                </c:pt>
                <c:pt idx="449">
                  <c:v>-0.36291047306660845</c:v>
                </c:pt>
                <c:pt idx="450">
                  <c:v>-0.36070810282488541</c:v>
                </c:pt>
                <c:pt idx="451">
                  <c:v>-0.36046021706040732</c:v>
                </c:pt>
                <c:pt idx="452">
                  <c:v>-0.35942590498044991</c:v>
                </c:pt>
                <c:pt idx="453">
                  <c:v>-0.35851169946196043</c:v>
                </c:pt>
                <c:pt idx="454">
                  <c:v>-0.35357313749803299</c:v>
                </c:pt>
                <c:pt idx="455">
                  <c:v>-0.35305066895935888</c:v>
                </c:pt>
                <c:pt idx="456">
                  <c:v>-0.35282460498830309</c:v>
                </c:pt>
                <c:pt idx="457">
                  <c:v>-0.35261065765261829</c:v>
                </c:pt>
                <c:pt idx="458">
                  <c:v>-0.35195604385245993</c:v>
                </c:pt>
                <c:pt idx="459">
                  <c:v>-0.35041496093258362</c:v>
                </c:pt>
                <c:pt idx="460">
                  <c:v>-0.35019568326473505</c:v>
                </c:pt>
                <c:pt idx="461">
                  <c:v>-0.34888118171645116</c:v>
                </c:pt>
                <c:pt idx="462">
                  <c:v>-0.34880935652316752</c:v>
                </c:pt>
                <c:pt idx="463">
                  <c:v>-0.34791810603437817</c:v>
                </c:pt>
                <c:pt idx="464">
                  <c:v>-0.34765989062807634</c:v>
                </c:pt>
                <c:pt idx="465">
                  <c:v>-0.34747283928670414</c:v>
                </c:pt>
                <c:pt idx="466">
                  <c:v>-0.3470278103858484</c:v>
                </c:pt>
                <c:pt idx="467">
                  <c:v>-0.34671430146147025</c:v>
                </c:pt>
                <c:pt idx="468">
                  <c:v>-0.34636071111337657</c:v>
                </c:pt>
                <c:pt idx="469">
                  <c:v>-0.34472714743755201</c:v>
                </c:pt>
                <c:pt idx="470">
                  <c:v>-0.34407811717916142</c:v>
                </c:pt>
                <c:pt idx="471">
                  <c:v>-0.34297626128196762</c:v>
                </c:pt>
                <c:pt idx="472">
                  <c:v>-0.34231826399817927</c:v>
                </c:pt>
                <c:pt idx="473">
                  <c:v>-0.33905698684479219</c:v>
                </c:pt>
                <c:pt idx="474">
                  <c:v>-0.3364180040769878</c:v>
                </c:pt>
                <c:pt idx="475">
                  <c:v>-0.3302982178788868</c:v>
                </c:pt>
                <c:pt idx="476">
                  <c:v>-0.3302982178788868</c:v>
                </c:pt>
                <c:pt idx="477">
                  <c:v>-0.32874619205021638</c:v>
                </c:pt>
                <c:pt idx="478">
                  <c:v>-0.32874619205021638</c:v>
                </c:pt>
                <c:pt idx="479">
                  <c:v>-0.32762196893777162</c:v>
                </c:pt>
                <c:pt idx="480">
                  <c:v>-0.32371751542816551</c:v>
                </c:pt>
                <c:pt idx="481">
                  <c:v>-0.32064855425654754</c:v>
                </c:pt>
                <c:pt idx="482">
                  <c:v>-0.3187341524528699</c:v>
                </c:pt>
                <c:pt idx="483">
                  <c:v>-0.31824753217350399</c:v>
                </c:pt>
                <c:pt idx="484">
                  <c:v>-0.31775798237342578</c:v>
                </c:pt>
                <c:pt idx="485">
                  <c:v>-0.31213098888288698</c:v>
                </c:pt>
                <c:pt idx="486">
                  <c:v>-0.31151908543733442</c:v>
                </c:pt>
                <c:pt idx="487">
                  <c:v>-0.30861849504168454</c:v>
                </c:pt>
                <c:pt idx="488">
                  <c:v>-0.30618328992364463</c:v>
                </c:pt>
                <c:pt idx="489">
                  <c:v>-0.30556530691658124</c:v>
                </c:pt>
                <c:pt idx="490">
                  <c:v>-0.30466750255851327</c:v>
                </c:pt>
                <c:pt idx="491">
                  <c:v>-0.30381759926287161</c:v>
                </c:pt>
                <c:pt idx="492">
                  <c:v>-0.30145524897740011</c:v>
                </c:pt>
                <c:pt idx="493">
                  <c:v>-0.30086049791269542</c:v>
                </c:pt>
                <c:pt idx="494">
                  <c:v>-0.30052226035981566</c:v>
                </c:pt>
                <c:pt idx="495">
                  <c:v>-0.29790113636933752</c:v>
                </c:pt>
                <c:pt idx="496">
                  <c:v>-0.29680879661788373</c:v>
                </c:pt>
                <c:pt idx="497">
                  <c:v>-0.29549729673778596</c:v>
                </c:pt>
                <c:pt idx="498">
                  <c:v>-0.29177025323163375</c:v>
                </c:pt>
                <c:pt idx="499">
                  <c:v>-0.29002972721922066</c:v>
                </c:pt>
                <c:pt idx="500">
                  <c:v>-0.28695670260094563</c:v>
                </c:pt>
                <c:pt idx="501">
                  <c:v>-0.28677826626595154</c:v>
                </c:pt>
                <c:pt idx="502">
                  <c:v>-0.28651844238208157</c:v>
                </c:pt>
                <c:pt idx="503">
                  <c:v>-0.27982466288926972</c:v>
                </c:pt>
                <c:pt idx="504">
                  <c:v>-0.27623372290357795</c:v>
                </c:pt>
                <c:pt idx="505">
                  <c:v>-0.2732811854130352</c:v>
                </c:pt>
                <c:pt idx="506">
                  <c:v>-0.27295627687755103</c:v>
                </c:pt>
                <c:pt idx="507">
                  <c:v>-0.2711155056293979</c:v>
                </c:pt>
                <c:pt idx="508">
                  <c:v>-0.27057969239537133</c:v>
                </c:pt>
                <c:pt idx="509">
                  <c:v>-0.26793567451673944</c:v>
                </c:pt>
                <c:pt idx="510">
                  <c:v>-0.26460738508104797</c:v>
                </c:pt>
                <c:pt idx="511">
                  <c:v>-0.26314227165126108</c:v>
                </c:pt>
                <c:pt idx="512">
                  <c:v>-0.26079225006099244</c:v>
                </c:pt>
                <c:pt idx="513">
                  <c:v>-0.25829872698135492</c:v>
                </c:pt>
                <c:pt idx="514">
                  <c:v>-0.25763986752520551</c:v>
                </c:pt>
                <c:pt idx="515">
                  <c:v>-0.25611460813681047</c:v>
                </c:pt>
                <c:pt idx="516">
                  <c:v>-0.25478917711867527</c:v>
                </c:pt>
                <c:pt idx="517">
                  <c:v>-0.25194541560616057</c:v>
                </c:pt>
                <c:pt idx="518">
                  <c:v>-0.24826458178781602</c:v>
                </c:pt>
                <c:pt idx="519">
                  <c:v>-0.24780114723486452</c:v>
                </c:pt>
                <c:pt idx="520">
                  <c:v>-0.24650280861414395</c:v>
                </c:pt>
                <c:pt idx="521">
                  <c:v>-0.24509288997568532</c:v>
                </c:pt>
                <c:pt idx="522">
                  <c:v>-0.24472350054359665</c:v>
                </c:pt>
                <c:pt idx="523">
                  <c:v>-0.24428635306393784</c:v>
                </c:pt>
                <c:pt idx="524">
                  <c:v>-0.24100650131459608</c:v>
                </c:pt>
                <c:pt idx="525">
                  <c:v>-0.23459440588350627</c:v>
                </c:pt>
                <c:pt idx="526">
                  <c:v>-0.23350676126899303</c:v>
                </c:pt>
                <c:pt idx="527">
                  <c:v>-0.2328165886167213</c:v>
                </c:pt>
                <c:pt idx="528">
                  <c:v>-0.23264508782305127</c:v>
                </c:pt>
                <c:pt idx="529">
                  <c:v>-0.22853119192202143</c:v>
                </c:pt>
                <c:pt idx="530">
                  <c:v>-0.22605559182968829</c:v>
                </c:pt>
                <c:pt idx="531">
                  <c:v>-0.22519324047398548</c:v>
                </c:pt>
                <c:pt idx="532">
                  <c:v>-0.22497772741339894</c:v>
                </c:pt>
                <c:pt idx="533">
                  <c:v>-0.22471207324930675</c:v>
                </c:pt>
                <c:pt idx="534">
                  <c:v>-0.22393575202364557</c:v>
                </c:pt>
                <c:pt idx="535">
                  <c:v>-0.22284080471659504</c:v>
                </c:pt>
                <c:pt idx="536">
                  <c:v>-0.22242615193240281</c:v>
                </c:pt>
                <c:pt idx="537">
                  <c:v>-0.22240307889981301</c:v>
                </c:pt>
                <c:pt idx="538">
                  <c:v>-0.21999812835190627</c:v>
                </c:pt>
                <c:pt idx="539">
                  <c:v>-0.219342967767441</c:v>
                </c:pt>
                <c:pt idx="540">
                  <c:v>-0.21784693648203454</c:v>
                </c:pt>
                <c:pt idx="541">
                  <c:v>-0.21549944480501243</c:v>
                </c:pt>
                <c:pt idx="542">
                  <c:v>-0.21505642593531299</c:v>
                </c:pt>
                <c:pt idx="543">
                  <c:v>-0.21498759474415374</c:v>
                </c:pt>
                <c:pt idx="544">
                  <c:v>-0.2141072762855499</c:v>
                </c:pt>
                <c:pt idx="545">
                  <c:v>-0.21218066591592155</c:v>
                </c:pt>
                <c:pt idx="546">
                  <c:v>-0.21168370521389407</c:v>
                </c:pt>
                <c:pt idx="547">
                  <c:v>-0.20950159698972454</c:v>
                </c:pt>
                <c:pt idx="548">
                  <c:v>-0.20878119237030099</c:v>
                </c:pt>
                <c:pt idx="549">
                  <c:v>-0.2079893114358472</c:v>
                </c:pt>
                <c:pt idx="550">
                  <c:v>-0.20708547642124775</c:v>
                </c:pt>
                <c:pt idx="551">
                  <c:v>-0.20534899975215445</c:v>
                </c:pt>
                <c:pt idx="552">
                  <c:v>-0.20447003706863462</c:v>
                </c:pt>
                <c:pt idx="553">
                  <c:v>-0.2044613756328805</c:v>
                </c:pt>
                <c:pt idx="554">
                  <c:v>-0.20402448472478024</c:v>
                </c:pt>
                <c:pt idx="555">
                  <c:v>-0.20133014365844731</c:v>
                </c:pt>
                <c:pt idx="556">
                  <c:v>-0.20089854895154247</c:v>
                </c:pt>
                <c:pt idx="557">
                  <c:v>-0.20046705802554837</c:v>
                </c:pt>
                <c:pt idx="558">
                  <c:v>-0.19944476553286963</c:v>
                </c:pt>
                <c:pt idx="559">
                  <c:v>-0.19702077987082353</c:v>
                </c:pt>
                <c:pt idx="560">
                  <c:v>-0.19352010146208923</c:v>
                </c:pt>
                <c:pt idx="561">
                  <c:v>-0.19309204437508232</c:v>
                </c:pt>
                <c:pt idx="562">
                  <c:v>-0.19025101864005389</c:v>
                </c:pt>
                <c:pt idx="563">
                  <c:v>-0.18981145939450556</c:v>
                </c:pt>
                <c:pt idx="564">
                  <c:v>-0.18964229599538671</c:v>
                </c:pt>
                <c:pt idx="565">
                  <c:v>-0.18942143782233006</c:v>
                </c:pt>
                <c:pt idx="566">
                  <c:v>-0.18260019955176843</c:v>
                </c:pt>
                <c:pt idx="567">
                  <c:v>-0.18061004531174771</c:v>
                </c:pt>
                <c:pt idx="568">
                  <c:v>-0.17681908897423024</c:v>
                </c:pt>
                <c:pt idx="569">
                  <c:v>-0.17142223461031084</c:v>
                </c:pt>
                <c:pt idx="570">
                  <c:v>-0.16551632770762573</c:v>
                </c:pt>
                <c:pt idx="571">
                  <c:v>-0.164417928464833</c:v>
                </c:pt>
                <c:pt idx="572">
                  <c:v>-0.16376288153317697</c:v>
                </c:pt>
                <c:pt idx="573">
                  <c:v>-0.16181220601800564</c:v>
                </c:pt>
                <c:pt idx="574">
                  <c:v>-0.15951798563254801</c:v>
                </c:pt>
                <c:pt idx="575">
                  <c:v>-0.15918393405728543</c:v>
                </c:pt>
                <c:pt idx="576">
                  <c:v>-0.15695833107859</c:v>
                </c:pt>
                <c:pt idx="577">
                  <c:v>-0.1564194106754602</c:v>
                </c:pt>
                <c:pt idx="578">
                  <c:v>-0.15239534740151697</c:v>
                </c:pt>
                <c:pt idx="579">
                  <c:v>-0.15237865040876719</c:v>
                </c:pt>
                <c:pt idx="580">
                  <c:v>-0.15128495311931919</c:v>
                </c:pt>
                <c:pt idx="581">
                  <c:v>-0.14493833498342898</c:v>
                </c:pt>
                <c:pt idx="582">
                  <c:v>-0.14318849547748858</c:v>
                </c:pt>
                <c:pt idx="583">
                  <c:v>-0.14318849547748858</c:v>
                </c:pt>
                <c:pt idx="584">
                  <c:v>-0.14059078313859988</c:v>
                </c:pt>
                <c:pt idx="585">
                  <c:v>-0.14034823184707976</c:v>
                </c:pt>
                <c:pt idx="586">
                  <c:v>-0.14034823184707976</c:v>
                </c:pt>
                <c:pt idx="587">
                  <c:v>-0.13969333398032444</c:v>
                </c:pt>
                <c:pt idx="588">
                  <c:v>-0.13762441798824934</c:v>
                </c:pt>
                <c:pt idx="589">
                  <c:v>-0.1375125266407887</c:v>
                </c:pt>
                <c:pt idx="590">
                  <c:v>-0.13749797329965918</c:v>
                </c:pt>
                <c:pt idx="591">
                  <c:v>-0.13740783827246839</c:v>
                </c:pt>
                <c:pt idx="592">
                  <c:v>-0.13334303930465358</c:v>
                </c:pt>
                <c:pt idx="593">
                  <c:v>-0.13247055862519061</c:v>
                </c:pt>
                <c:pt idx="594">
                  <c:v>-0.13224728637184727</c:v>
                </c:pt>
                <c:pt idx="595">
                  <c:v>-0.13094276860157744</c:v>
                </c:pt>
                <c:pt idx="596">
                  <c:v>-0.12940106745118088</c:v>
                </c:pt>
                <c:pt idx="597">
                  <c:v>-0.12832602718261343</c:v>
                </c:pt>
                <c:pt idx="598">
                  <c:v>-0.12809573890645962</c:v>
                </c:pt>
                <c:pt idx="599">
                  <c:v>-0.12765690546252034</c:v>
                </c:pt>
                <c:pt idx="600">
                  <c:v>-0.12765143979154384</c:v>
                </c:pt>
                <c:pt idx="601">
                  <c:v>-0.12465456830957675</c:v>
                </c:pt>
                <c:pt idx="602">
                  <c:v>-0.12393799177410744</c:v>
                </c:pt>
                <c:pt idx="603">
                  <c:v>-0.12350150145318071</c:v>
                </c:pt>
                <c:pt idx="604">
                  <c:v>-0.12350150145318071</c:v>
                </c:pt>
                <c:pt idx="605">
                  <c:v>-0.11933640175887968</c:v>
                </c:pt>
                <c:pt idx="606">
                  <c:v>-0.11562382307168499</c:v>
                </c:pt>
                <c:pt idx="607">
                  <c:v>-0.11500531692795446</c:v>
                </c:pt>
                <c:pt idx="608">
                  <c:v>-0.11431479757712931</c:v>
                </c:pt>
                <c:pt idx="609">
                  <c:v>-0.11344247142886124</c:v>
                </c:pt>
                <c:pt idx="610">
                  <c:v>-0.11255142674536274</c:v>
                </c:pt>
                <c:pt idx="611">
                  <c:v>-0.11104499085087131</c:v>
                </c:pt>
                <c:pt idx="612">
                  <c:v>-0.1059853293581956</c:v>
                </c:pt>
                <c:pt idx="613">
                  <c:v>-0.10501281662753761</c:v>
                </c:pt>
                <c:pt idx="614">
                  <c:v>-9.9650235912127488E-2</c:v>
                </c:pt>
                <c:pt idx="615">
                  <c:v>-9.8763172018455636E-2</c:v>
                </c:pt>
                <c:pt idx="616">
                  <c:v>-9.8575544529416456E-2</c:v>
                </c:pt>
                <c:pt idx="617">
                  <c:v>-9.7451124378583373E-2</c:v>
                </c:pt>
                <c:pt idx="618">
                  <c:v>-9.6554061358735802E-2</c:v>
                </c:pt>
                <c:pt idx="619">
                  <c:v>-9.5921192473454056E-2</c:v>
                </c:pt>
                <c:pt idx="620">
                  <c:v>-9.4823933733695909E-2</c:v>
                </c:pt>
                <c:pt idx="621">
                  <c:v>-9.220897933489125E-2</c:v>
                </c:pt>
                <c:pt idx="622">
                  <c:v>-9.1554346015093185E-2</c:v>
                </c:pt>
                <c:pt idx="623">
                  <c:v>-8.7387850398437897E-2</c:v>
                </c:pt>
                <c:pt idx="624">
                  <c:v>-8.7163455160480033E-2</c:v>
                </c:pt>
                <c:pt idx="625">
                  <c:v>-8.3676648752572247E-2</c:v>
                </c:pt>
                <c:pt idx="626">
                  <c:v>-8.1346465487333708E-2</c:v>
                </c:pt>
                <c:pt idx="627">
                  <c:v>-8.0383653407703093E-2</c:v>
                </c:pt>
                <c:pt idx="628">
                  <c:v>-7.9533420593903323E-2</c:v>
                </c:pt>
                <c:pt idx="629">
                  <c:v>-7.7752035602201869E-2</c:v>
                </c:pt>
                <c:pt idx="630">
                  <c:v>-7.5144451134394746E-2</c:v>
                </c:pt>
                <c:pt idx="631">
                  <c:v>-7.3835784078024644E-2</c:v>
                </c:pt>
                <c:pt idx="632">
                  <c:v>-7.2942473867271124E-2</c:v>
                </c:pt>
                <c:pt idx="633">
                  <c:v>-7.2833601533058762E-2</c:v>
                </c:pt>
                <c:pt idx="634">
                  <c:v>-7.0550504643360767E-2</c:v>
                </c:pt>
                <c:pt idx="635">
                  <c:v>-6.8779417216605104E-2</c:v>
                </c:pt>
                <c:pt idx="636">
                  <c:v>-6.8342144769281674E-2</c:v>
                </c:pt>
                <c:pt idx="637">
                  <c:v>-6.7467764461407426E-2</c:v>
                </c:pt>
                <c:pt idx="638">
                  <c:v>-6.5501181305985867E-2</c:v>
                </c:pt>
                <c:pt idx="639">
                  <c:v>-6.495172708798598E-2</c:v>
                </c:pt>
                <c:pt idx="640">
                  <c:v>-6.0261692080636926E-2</c:v>
                </c:pt>
                <c:pt idx="641">
                  <c:v>-5.7722465254295516E-2</c:v>
                </c:pt>
                <c:pt idx="642">
                  <c:v>-5.739670629987955E-2</c:v>
                </c:pt>
                <c:pt idx="643">
                  <c:v>-5.6967707082199184E-2</c:v>
                </c:pt>
                <c:pt idx="644">
                  <c:v>-4.9330345075884942E-2</c:v>
                </c:pt>
                <c:pt idx="645">
                  <c:v>-4.5602334934591121E-2</c:v>
                </c:pt>
                <c:pt idx="646">
                  <c:v>-4.4069895838697484E-2</c:v>
                </c:pt>
                <c:pt idx="647">
                  <c:v>-4.363361285796305E-2</c:v>
                </c:pt>
                <c:pt idx="648">
                  <c:v>-4.2302913418611393E-2</c:v>
                </c:pt>
                <c:pt idx="649">
                  <c:v>-4.1452616607229285E-2</c:v>
                </c:pt>
                <c:pt idx="650">
                  <c:v>-3.7263198052648945E-2</c:v>
                </c:pt>
                <c:pt idx="651">
                  <c:v>-3.6220577129980308E-2</c:v>
                </c:pt>
                <c:pt idx="652">
                  <c:v>-3.3753033775846444E-2</c:v>
                </c:pt>
                <c:pt idx="653">
                  <c:v>-3.3425198356272542E-2</c:v>
                </c:pt>
                <c:pt idx="654">
                  <c:v>-3.3332960155392548E-2</c:v>
                </c:pt>
                <c:pt idx="655">
                  <c:v>-3.2920697704848345E-2</c:v>
                </c:pt>
                <c:pt idx="656">
                  <c:v>-3.2459920950662358E-2</c:v>
                </c:pt>
                <c:pt idx="657">
                  <c:v>-3.1150570304102371E-2</c:v>
                </c:pt>
                <c:pt idx="658">
                  <c:v>-2.8929219116197454E-2</c:v>
                </c:pt>
                <c:pt idx="659">
                  <c:v>-2.7878153456206617E-2</c:v>
                </c:pt>
                <c:pt idx="660">
                  <c:v>-2.4890155646059189E-2</c:v>
                </c:pt>
                <c:pt idx="661">
                  <c:v>-2.4672270155170199E-2</c:v>
                </c:pt>
                <c:pt idx="662">
                  <c:v>-2.2557628782060461E-2</c:v>
                </c:pt>
                <c:pt idx="663">
                  <c:v>-2.1035350633672317E-2</c:v>
                </c:pt>
                <c:pt idx="664">
                  <c:v>-1.6225638825576223E-2</c:v>
                </c:pt>
                <c:pt idx="665">
                  <c:v>-1.5808115899066097E-2</c:v>
                </c:pt>
                <c:pt idx="666">
                  <c:v>-1.5759403696945132E-2</c:v>
                </c:pt>
                <c:pt idx="667">
                  <c:v>-1.2970693045081264E-2</c:v>
                </c:pt>
                <c:pt idx="668">
                  <c:v>-1.2776976599619723E-2</c:v>
                </c:pt>
                <c:pt idx="669">
                  <c:v>-1.1686457419875531E-2</c:v>
                </c:pt>
                <c:pt idx="670">
                  <c:v>-1.1686457419875531E-2</c:v>
                </c:pt>
                <c:pt idx="671">
                  <c:v>-1.1443240570873769E-2</c:v>
                </c:pt>
                <c:pt idx="672">
                  <c:v>-9.9417413944591915E-3</c:v>
                </c:pt>
                <c:pt idx="673">
                  <c:v>-9.8510089020517697E-3</c:v>
                </c:pt>
                <c:pt idx="674">
                  <c:v>-9.0434067269810868E-3</c:v>
                </c:pt>
                <c:pt idx="675">
                  <c:v>-7.8185596458027265E-3</c:v>
                </c:pt>
                <c:pt idx="676">
                  <c:v>-7.1705443871609501E-3</c:v>
                </c:pt>
                <c:pt idx="677">
                  <c:v>-6.2344733757536382E-3</c:v>
                </c:pt>
                <c:pt idx="678">
                  <c:v>-4.6810792666232863E-3</c:v>
                </c:pt>
                <c:pt idx="679">
                  <c:v>-4.2448934628521902E-3</c:v>
                </c:pt>
                <c:pt idx="680">
                  <c:v>-2.6918885571507044E-3</c:v>
                </c:pt>
                <c:pt idx="681">
                  <c:v>-1.409778642819151E-3</c:v>
                </c:pt>
                <c:pt idx="682">
                  <c:v>3.6161963791983911E-4</c:v>
                </c:pt>
                <c:pt idx="683">
                  <c:v>4.5051997834819864E-3</c:v>
                </c:pt>
                <c:pt idx="684">
                  <c:v>7.5635760811150424E-3</c:v>
                </c:pt>
                <c:pt idx="685">
                  <c:v>7.7101732525431269E-3</c:v>
                </c:pt>
                <c:pt idx="686">
                  <c:v>9.5213060344802036E-3</c:v>
                </c:pt>
                <c:pt idx="687">
                  <c:v>1.1946805296111499E-2</c:v>
                </c:pt>
                <c:pt idx="688">
                  <c:v>1.2694197269849505E-2</c:v>
                </c:pt>
                <c:pt idx="689">
                  <c:v>1.4735168039547136E-2</c:v>
                </c:pt>
                <c:pt idx="690">
                  <c:v>1.4953531402189789E-2</c:v>
                </c:pt>
                <c:pt idx="691">
                  <c:v>1.6117896693126171E-2</c:v>
                </c:pt>
                <c:pt idx="692">
                  <c:v>1.6117896693126171E-2</c:v>
                </c:pt>
                <c:pt idx="693">
                  <c:v>1.8271721143007399E-2</c:v>
                </c:pt>
                <c:pt idx="694">
                  <c:v>1.8516284732226374E-2</c:v>
                </c:pt>
                <c:pt idx="695">
                  <c:v>2.06968256669284E-2</c:v>
                </c:pt>
                <c:pt idx="696">
                  <c:v>2.359309062089248E-2</c:v>
                </c:pt>
                <c:pt idx="697">
                  <c:v>2.5416819425706519E-2</c:v>
                </c:pt>
                <c:pt idx="698">
                  <c:v>2.6585989915189717E-2</c:v>
                </c:pt>
                <c:pt idx="699">
                  <c:v>2.8138461364321184E-2</c:v>
                </c:pt>
                <c:pt idx="700">
                  <c:v>2.8356513358735447E-2</c:v>
                </c:pt>
                <c:pt idx="701">
                  <c:v>2.9603790189802748E-2</c:v>
                </c:pt>
                <c:pt idx="702">
                  <c:v>3.0658756343039967E-2</c:v>
                </c:pt>
                <c:pt idx="703">
                  <c:v>3.0716027736409302E-2</c:v>
                </c:pt>
                <c:pt idx="704">
                  <c:v>3.0934583100226305E-2</c:v>
                </c:pt>
                <c:pt idx="705">
                  <c:v>3.6234275737254608E-2</c:v>
                </c:pt>
                <c:pt idx="706">
                  <c:v>3.7791396312061236E-2</c:v>
                </c:pt>
                <c:pt idx="707">
                  <c:v>3.9297976429623856E-2</c:v>
                </c:pt>
                <c:pt idx="708">
                  <c:v>4.2778314418602713E-2</c:v>
                </c:pt>
                <c:pt idx="709">
                  <c:v>4.4112048523876415E-2</c:v>
                </c:pt>
                <c:pt idx="710">
                  <c:v>4.5452229714775673E-2</c:v>
                </c:pt>
                <c:pt idx="711">
                  <c:v>4.6915634798260546E-2</c:v>
                </c:pt>
                <c:pt idx="712">
                  <c:v>4.7353167311330539E-2</c:v>
                </c:pt>
                <c:pt idx="713">
                  <c:v>4.850244735378674E-2</c:v>
                </c:pt>
                <c:pt idx="714">
                  <c:v>4.9783265868624915E-2</c:v>
                </c:pt>
                <c:pt idx="715">
                  <c:v>5.0656251638726661E-2</c:v>
                </c:pt>
                <c:pt idx="716">
                  <c:v>5.1323736485835401E-2</c:v>
                </c:pt>
                <c:pt idx="717">
                  <c:v>5.2643917934033849E-2</c:v>
                </c:pt>
                <c:pt idx="718">
                  <c:v>5.3298073242605812E-2</c:v>
                </c:pt>
                <c:pt idx="719">
                  <c:v>5.3734217022999679E-2</c:v>
                </c:pt>
                <c:pt idx="720">
                  <c:v>5.8752456024557628E-2</c:v>
                </c:pt>
                <c:pt idx="721">
                  <c:v>5.8777723322315095E-2</c:v>
                </c:pt>
                <c:pt idx="722">
                  <c:v>5.9468138435847258E-2</c:v>
                </c:pt>
                <c:pt idx="723">
                  <c:v>6.0957751131657849E-2</c:v>
                </c:pt>
                <c:pt idx="724">
                  <c:v>6.3823179230292765E-2</c:v>
                </c:pt>
                <c:pt idx="725">
                  <c:v>6.5102412748285224E-2</c:v>
                </c:pt>
                <c:pt idx="726">
                  <c:v>6.5171581673500706E-2</c:v>
                </c:pt>
                <c:pt idx="727">
                  <c:v>6.6259441506857322E-2</c:v>
                </c:pt>
                <c:pt idx="728">
                  <c:v>6.750373892081496E-2</c:v>
                </c:pt>
                <c:pt idx="729">
                  <c:v>7.0070228801718384E-2</c:v>
                </c:pt>
                <c:pt idx="730">
                  <c:v>7.0143907348106438E-2</c:v>
                </c:pt>
                <c:pt idx="731">
                  <c:v>7.0339654231959689E-2</c:v>
                </c:pt>
                <c:pt idx="732">
                  <c:v>7.0558665368742973E-2</c:v>
                </c:pt>
                <c:pt idx="733">
                  <c:v>7.209220065752607E-2</c:v>
                </c:pt>
                <c:pt idx="734">
                  <c:v>7.209220065752607E-2</c:v>
                </c:pt>
                <c:pt idx="735">
                  <c:v>7.2354906403768765E-2</c:v>
                </c:pt>
                <c:pt idx="736">
                  <c:v>8.023315334993833E-2</c:v>
                </c:pt>
                <c:pt idx="737">
                  <c:v>8.6977884756933743E-2</c:v>
                </c:pt>
                <c:pt idx="738">
                  <c:v>8.8299157240555343E-2</c:v>
                </c:pt>
                <c:pt idx="739">
                  <c:v>8.8546941812676569E-2</c:v>
                </c:pt>
                <c:pt idx="740">
                  <c:v>8.8735674585821572E-2</c:v>
                </c:pt>
                <c:pt idx="741">
                  <c:v>9.0045581322698548E-2</c:v>
                </c:pt>
                <c:pt idx="742">
                  <c:v>9.0919156188083605E-2</c:v>
                </c:pt>
                <c:pt idx="743">
                  <c:v>9.6395126780995821E-2</c:v>
                </c:pt>
                <c:pt idx="744">
                  <c:v>9.6425183061604997E-2</c:v>
                </c:pt>
                <c:pt idx="745">
                  <c:v>9.7049997071335464E-2</c:v>
                </c:pt>
                <c:pt idx="746">
                  <c:v>9.804120624823956E-2</c:v>
                </c:pt>
                <c:pt idx="747">
                  <c:v>9.9889470835375208E-2</c:v>
                </c:pt>
                <c:pt idx="748">
                  <c:v>9.9889470835375208E-2</c:v>
                </c:pt>
                <c:pt idx="749">
                  <c:v>9.9910624285641347E-2</c:v>
                </c:pt>
                <c:pt idx="750">
                  <c:v>0.10023169578916899</c:v>
                </c:pt>
                <c:pt idx="751">
                  <c:v>0.10066560604465799</c:v>
                </c:pt>
                <c:pt idx="752">
                  <c:v>0.10142346496114826</c:v>
                </c:pt>
                <c:pt idx="753">
                  <c:v>0.10212724181411238</c:v>
                </c:pt>
                <c:pt idx="754">
                  <c:v>0.10295903338593436</c:v>
                </c:pt>
                <c:pt idx="755">
                  <c:v>0.10536441161696232</c:v>
                </c:pt>
                <c:pt idx="756">
                  <c:v>0.10536441161696232</c:v>
                </c:pt>
                <c:pt idx="757">
                  <c:v>0.10558277901327269</c:v>
                </c:pt>
                <c:pt idx="758">
                  <c:v>0.10800639716210189</c:v>
                </c:pt>
                <c:pt idx="759">
                  <c:v>0.11083984159040207</c:v>
                </c:pt>
                <c:pt idx="760">
                  <c:v>0.11223613855126145</c:v>
                </c:pt>
                <c:pt idx="761">
                  <c:v>0.11288741741192092</c:v>
                </c:pt>
                <c:pt idx="762">
                  <c:v>0.11332167075822226</c:v>
                </c:pt>
                <c:pt idx="763">
                  <c:v>0.1134605290091162</c:v>
                </c:pt>
                <c:pt idx="764">
                  <c:v>0.11397315393673892</c:v>
                </c:pt>
                <c:pt idx="765">
                  <c:v>0.11404634942881192</c:v>
                </c:pt>
                <c:pt idx="766">
                  <c:v>0.11435910206666261</c:v>
                </c:pt>
                <c:pt idx="767">
                  <c:v>0.11484199494068538</c:v>
                </c:pt>
                <c:pt idx="768">
                  <c:v>0.12177510186808888</c:v>
                </c:pt>
                <c:pt idx="769">
                  <c:v>0.12194399246830354</c:v>
                </c:pt>
                <c:pt idx="770">
                  <c:v>0.12250453975813076</c:v>
                </c:pt>
                <c:pt idx="771">
                  <c:v>0.12308610533613572</c:v>
                </c:pt>
                <c:pt idx="772">
                  <c:v>0.12682789379569709</c:v>
                </c:pt>
                <c:pt idx="773">
                  <c:v>0.12862634867128031</c:v>
                </c:pt>
                <c:pt idx="774">
                  <c:v>0.12908218914148026</c:v>
                </c:pt>
                <c:pt idx="775">
                  <c:v>0.12943440076465768</c:v>
                </c:pt>
                <c:pt idx="776">
                  <c:v>0.13055069160540933</c:v>
                </c:pt>
                <c:pt idx="777">
                  <c:v>0.13120416729721907</c:v>
                </c:pt>
                <c:pt idx="778">
                  <c:v>0.13183844326960098</c:v>
                </c:pt>
                <c:pt idx="779">
                  <c:v>0.13536104244468697</c:v>
                </c:pt>
                <c:pt idx="780">
                  <c:v>0.13796753676597143</c:v>
                </c:pt>
                <c:pt idx="781">
                  <c:v>0.13796753676597143</c:v>
                </c:pt>
                <c:pt idx="782">
                  <c:v>0.13816621097186754</c:v>
                </c:pt>
                <c:pt idx="783">
                  <c:v>0.13924144994964524</c:v>
                </c:pt>
                <c:pt idx="784">
                  <c:v>0.13995357148121462</c:v>
                </c:pt>
                <c:pt idx="785">
                  <c:v>0.14124776825014251</c:v>
                </c:pt>
                <c:pt idx="786">
                  <c:v>0.14239080544085833</c:v>
                </c:pt>
                <c:pt idx="787">
                  <c:v>0.14347788809380854</c:v>
                </c:pt>
                <c:pt idx="788">
                  <c:v>0.1456267574231698</c:v>
                </c:pt>
                <c:pt idx="789">
                  <c:v>0.14628235503663461</c:v>
                </c:pt>
                <c:pt idx="790">
                  <c:v>0.14650093554875349</c:v>
                </c:pt>
                <c:pt idx="791">
                  <c:v>0.14650093554875349</c:v>
                </c:pt>
                <c:pt idx="792">
                  <c:v>0.14826724600241126</c:v>
                </c:pt>
                <c:pt idx="793">
                  <c:v>0.14826724600241126</c:v>
                </c:pt>
                <c:pt idx="794">
                  <c:v>0.15048691465701367</c:v>
                </c:pt>
                <c:pt idx="795">
                  <c:v>0.15358852852406735</c:v>
                </c:pt>
                <c:pt idx="796">
                  <c:v>0.15416009122218632</c:v>
                </c:pt>
                <c:pt idx="797">
                  <c:v>0.15459730566027804</c:v>
                </c:pt>
                <c:pt idx="798">
                  <c:v>0.15592715864076986</c:v>
                </c:pt>
                <c:pt idx="799">
                  <c:v>0.15725064926897789</c:v>
                </c:pt>
                <c:pt idx="800">
                  <c:v>0.15988723317779846</c:v>
                </c:pt>
                <c:pt idx="801">
                  <c:v>0.16269371006258512</c:v>
                </c:pt>
                <c:pt idx="802">
                  <c:v>0.16464308947585463</c:v>
                </c:pt>
                <c:pt idx="803">
                  <c:v>0.16721921127327877</c:v>
                </c:pt>
                <c:pt idx="804">
                  <c:v>0.1682005604850941</c:v>
                </c:pt>
                <c:pt idx="805">
                  <c:v>0.17013412605138056</c:v>
                </c:pt>
                <c:pt idx="806">
                  <c:v>0.17035277275229596</c:v>
                </c:pt>
                <c:pt idx="807">
                  <c:v>0.17079014969522266</c:v>
                </c:pt>
                <c:pt idx="808">
                  <c:v>0.17102945485140875</c:v>
                </c:pt>
                <c:pt idx="809">
                  <c:v>0.17146504861807152</c:v>
                </c:pt>
                <c:pt idx="810">
                  <c:v>0.17168288423182912</c:v>
                </c:pt>
                <c:pt idx="811">
                  <c:v>0.17341679341502655</c:v>
                </c:pt>
                <c:pt idx="812">
                  <c:v>0.17454376500817786</c:v>
                </c:pt>
                <c:pt idx="813">
                  <c:v>0.17586160389831659</c:v>
                </c:pt>
                <c:pt idx="814">
                  <c:v>0.1764820132716288</c:v>
                </c:pt>
                <c:pt idx="815">
                  <c:v>0.17912517891091834</c:v>
                </c:pt>
                <c:pt idx="816">
                  <c:v>0.17934296232626709</c:v>
                </c:pt>
                <c:pt idx="817">
                  <c:v>0.18065023416382034</c:v>
                </c:pt>
                <c:pt idx="818">
                  <c:v>0.18417483616531388</c:v>
                </c:pt>
                <c:pt idx="819">
                  <c:v>0.18588949220924658</c:v>
                </c:pt>
                <c:pt idx="820">
                  <c:v>0.18676434839664957</c:v>
                </c:pt>
                <c:pt idx="821">
                  <c:v>0.18720195901367728</c:v>
                </c:pt>
                <c:pt idx="822">
                  <c:v>0.18771196946432159</c:v>
                </c:pt>
                <c:pt idx="823">
                  <c:v>0.18917273792208555</c:v>
                </c:pt>
                <c:pt idx="824">
                  <c:v>0.19030418411439559</c:v>
                </c:pt>
                <c:pt idx="825">
                  <c:v>0.1920533005467647</c:v>
                </c:pt>
                <c:pt idx="826">
                  <c:v>0.19225115458485478</c:v>
                </c:pt>
                <c:pt idx="827">
                  <c:v>0.19227065447724151</c:v>
                </c:pt>
                <c:pt idx="828">
                  <c:v>0.19444575598532307</c:v>
                </c:pt>
                <c:pt idx="829">
                  <c:v>0.19531660595339312</c:v>
                </c:pt>
                <c:pt idx="830">
                  <c:v>0.19748900850363002</c:v>
                </c:pt>
                <c:pt idx="831">
                  <c:v>0.19862856147896779</c:v>
                </c:pt>
                <c:pt idx="832">
                  <c:v>0.20014911184553363</c:v>
                </c:pt>
                <c:pt idx="833">
                  <c:v>0.20058381690214511</c:v>
                </c:pt>
                <c:pt idx="834">
                  <c:v>0.20065714402708432</c:v>
                </c:pt>
                <c:pt idx="835">
                  <c:v>0.20341231081460104</c:v>
                </c:pt>
                <c:pt idx="836">
                  <c:v>0.20580548719701283</c:v>
                </c:pt>
                <c:pt idx="837">
                  <c:v>0.20628485429087093</c:v>
                </c:pt>
                <c:pt idx="838">
                  <c:v>0.20629035656676589</c:v>
                </c:pt>
                <c:pt idx="839">
                  <c:v>0.20802760728916747</c:v>
                </c:pt>
                <c:pt idx="840">
                  <c:v>0.20889696083180087</c:v>
                </c:pt>
                <c:pt idx="841">
                  <c:v>0.20930375954236957</c:v>
                </c:pt>
                <c:pt idx="842">
                  <c:v>0.21041952208030321</c:v>
                </c:pt>
                <c:pt idx="843">
                  <c:v>0.21150801115461576</c:v>
                </c:pt>
                <c:pt idx="844">
                  <c:v>0.21434186772502414</c:v>
                </c:pt>
                <c:pt idx="845">
                  <c:v>0.21504789512261946</c:v>
                </c:pt>
                <c:pt idx="846">
                  <c:v>0.21654590719863157</c:v>
                </c:pt>
                <c:pt idx="847">
                  <c:v>0.21655797451254949</c:v>
                </c:pt>
                <c:pt idx="848">
                  <c:v>0.21871274579950567</c:v>
                </c:pt>
                <c:pt idx="849">
                  <c:v>0.21893165494655195</c:v>
                </c:pt>
                <c:pt idx="850">
                  <c:v>0.22440318062537842</c:v>
                </c:pt>
                <c:pt idx="851">
                  <c:v>0.22440318062537842</c:v>
                </c:pt>
                <c:pt idx="852">
                  <c:v>0.22615265801980058</c:v>
                </c:pt>
                <c:pt idx="853">
                  <c:v>0.22661088810903188</c:v>
                </c:pt>
                <c:pt idx="854">
                  <c:v>0.22673560567154058</c:v>
                </c:pt>
                <c:pt idx="855">
                  <c:v>0.22769940202749159</c:v>
                </c:pt>
                <c:pt idx="856">
                  <c:v>0.22921988243895547</c:v>
                </c:pt>
                <c:pt idx="857">
                  <c:v>0.23492419453069127</c:v>
                </c:pt>
                <c:pt idx="858">
                  <c:v>0.23709770759402632</c:v>
                </c:pt>
                <c:pt idx="859">
                  <c:v>0.23984626024597025</c:v>
                </c:pt>
                <c:pt idx="860">
                  <c:v>0.24145004751382065</c:v>
                </c:pt>
                <c:pt idx="861">
                  <c:v>0.24213010344240019</c:v>
                </c:pt>
                <c:pt idx="862">
                  <c:v>0.24214952517924501</c:v>
                </c:pt>
                <c:pt idx="863">
                  <c:v>0.24300255630701856</c:v>
                </c:pt>
                <c:pt idx="864">
                  <c:v>0.2454143713760818</c:v>
                </c:pt>
                <c:pt idx="865">
                  <c:v>0.24546300682257874</c:v>
                </c:pt>
                <c:pt idx="866">
                  <c:v>0.24607071845174688</c:v>
                </c:pt>
                <c:pt idx="867">
                  <c:v>0.2462286590059013</c:v>
                </c:pt>
                <c:pt idx="868">
                  <c:v>0.24698670232856398</c:v>
                </c:pt>
                <c:pt idx="869">
                  <c:v>0.24701058382632521</c:v>
                </c:pt>
                <c:pt idx="870">
                  <c:v>0.25109924024152469</c:v>
                </c:pt>
                <c:pt idx="871">
                  <c:v>0.25216347457117649</c:v>
                </c:pt>
                <c:pt idx="872">
                  <c:v>0.25464867226928345</c:v>
                </c:pt>
                <c:pt idx="873">
                  <c:v>0.25722537480899627</c:v>
                </c:pt>
                <c:pt idx="874">
                  <c:v>0.25744416423680705</c:v>
                </c:pt>
                <c:pt idx="875">
                  <c:v>0.26116994836179963</c:v>
                </c:pt>
                <c:pt idx="876">
                  <c:v>0.26299192817817696</c:v>
                </c:pt>
                <c:pt idx="877">
                  <c:v>0.26704022633522212</c:v>
                </c:pt>
                <c:pt idx="878">
                  <c:v>0.26926725331719881</c:v>
                </c:pt>
                <c:pt idx="879">
                  <c:v>0.27105705127726376</c:v>
                </c:pt>
                <c:pt idx="880">
                  <c:v>0.27298045704933743</c:v>
                </c:pt>
                <c:pt idx="881">
                  <c:v>0.27319924656453998</c:v>
                </c:pt>
                <c:pt idx="882">
                  <c:v>0.27429384742878699</c:v>
                </c:pt>
                <c:pt idx="883">
                  <c:v>0.27517031821126742</c:v>
                </c:pt>
                <c:pt idx="884">
                  <c:v>0.27568837411737407</c:v>
                </c:pt>
                <c:pt idx="885">
                  <c:v>0.27714498132322057</c:v>
                </c:pt>
                <c:pt idx="886">
                  <c:v>0.2782435958949096</c:v>
                </c:pt>
                <c:pt idx="887">
                  <c:v>0.27897327253003096</c:v>
                </c:pt>
                <c:pt idx="888">
                  <c:v>0.28107677185151592</c:v>
                </c:pt>
                <c:pt idx="889">
                  <c:v>0.28227227756891043</c:v>
                </c:pt>
                <c:pt idx="890">
                  <c:v>0.28326711921382952</c:v>
                </c:pt>
                <c:pt idx="891">
                  <c:v>0.2839676860035143</c:v>
                </c:pt>
                <c:pt idx="892">
                  <c:v>0.28546202922355424</c:v>
                </c:pt>
                <c:pt idx="893">
                  <c:v>0.2861136199555801</c:v>
                </c:pt>
                <c:pt idx="894">
                  <c:v>0.28616479547415208</c:v>
                </c:pt>
                <c:pt idx="895">
                  <c:v>0.28655015110793142</c:v>
                </c:pt>
                <c:pt idx="896">
                  <c:v>0.28724844292237545</c:v>
                </c:pt>
                <c:pt idx="897">
                  <c:v>0.28879577310398158</c:v>
                </c:pt>
                <c:pt idx="898">
                  <c:v>0.29273890277117282</c:v>
                </c:pt>
                <c:pt idx="899">
                  <c:v>0.29404395340985634</c:v>
                </c:pt>
                <c:pt idx="900">
                  <c:v>0.29451106805581972</c:v>
                </c:pt>
                <c:pt idx="901">
                  <c:v>0.29487911939316364</c:v>
                </c:pt>
                <c:pt idx="902">
                  <c:v>0.29705062278192884</c:v>
                </c:pt>
                <c:pt idx="903">
                  <c:v>0.29838395269014123</c:v>
                </c:pt>
                <c:pt idx="904">
                  <c:v>0.29858373930664472</c:v>
                </c:pt>
                <c:pt idx="905">
                  <c:v>0.30099658301947108</c:v>
                </c:pt>
                <c:pt idx="906">
                  <c:v>0.30165703272553451</c:v>
                </c:pt>
                <c:pt idx="907">
                  <c:v>0.30322294901443997</c:v>
                </c:pt>
                <c:pt idx="908">
                  <c:v>0.30440562819202882</c:v>
                </c:pt>
                <c:pt idx="909">
                  <c:v>0.30536591001407948</c:v>
                </c:pt>
                <c:pt idx="910">
                  <c:v>0.30733838249512757</c:v>
                </c:pt>
                <c:pt idx="911">
                  <c:v>0.30909234279436182</c:v>
                </c:pt>
                <c:pt idx="912">
                  <c:v>0.30953471348128808</c:v>
                </c:pt>
                <c:pt idx="913">
                  <c:v>0.30975462217559885</c:v>
                </c:pt>
                <c:pt idx="914">
                  <c:v>0.31061963536788106</c:v>
                </c:pt>
                <c:pt idx="915">
                  <c:v>0.31061963536788106</c:v>
                </c:pt>
                <c:pt idx="916">
                  <c:v>0.31083801289445695</c:v>
                </c:pt>
                <c:pt idx="917">
                  <c:v>0.31105643894383195</c:v>
                </c:pt>
                <c:pt idx="918">
                  <c:v>0.31105643894383195</c:v>
                </c:pt>
                <c:pt idx="919">
                  <c:v>0.31131857292937404</c:v>
                </c:pt>
                <c:pt idx="920">
                  <c:v>0.31149343701773291</c:v>
                </c:pt>
                <c:pt idx="921">
                  <c:v>0.31164150115117928</c:v>
                </c:pt>
                <c:pt idx="922">
                  <c:v>0.31236801991718083</c:v>
                </c:pt>
                <c:pt idx="923">
                  <c:v>0.31247097066852719</c:v>
                </c:pt>
                <c:pt idx="924">
                  <c:v>0.31543530679649878</c:v>
                </c:pt>
                <c:pt idx="925">
                  <c:v>0.31675213143494119</c:v>
                </c:pt>
                <c:pt idx="926">
                  <c:v>0.31763229031362034</c:v>
                </c:pt>
                <c:pt idx="927">
                  <c:v>0.31763229031362034</c:v>
                </c:pt>
                <c:pt idx="928">
                  <c:v>0.3191524659035998</c:v>
                </c:pt>
                <c:pt idx="929">
                  <c:v>0.31925987667659733</c:v>
                </c:pt>
                <c:pt idx="930">
                  <c:v>0.32090194921845744</c:v>
                </c:pt>
                <c:pt idx="931">
                  <c:v>0.32112086183116667</c:v>
                </c:pt>
                <c:pt idx="932">
                  <c:v>0.32112086183116667</c:v>
                </c:pt>
                <c:pt idx="933">
                  <c:v>0.32291748007169707</c:v>
                </c:pt>
                <c:pt idx="934">
                  <c:v>0.32550198269426794</c:v>
                </c:pt>
                <c:pt idx="935">
                  <c:v>0.32572012186596583</c:v>
                </c:pt>
                <c:pt idx="936">
                  <c:v>0.32647297883048876</c:v>
                </c:pt>
                <c:pt idx="937">
                  <c:v>0.32681157704259306</c:v>
                </c:pt>
                <c:pt idx="938">
                  <c:v>0.32724851535632282</c:v>
                </c:pt>
                <c:pt idx="939">
                  <c:v>0.32724851535632282</c:v>
                </c:pt>
                <c:pt idx="940">
                  <c:v>0.32837707778536879</c:v>
                </c:pt>
                <c:pt idx="941">
                  <c:v>0.32899832464275697</c:v>
                </c:pt>
                <c:pt idx="942">
                  <c:v>0.32943629505592842</c:v>
                </c:pt>
                <c:pt idx="943">
                  <c:v>0.33033144993918517</c:v>
                </c:pt>
                <c:pt idx="944">
                  <c:v>0.33272565198370274</c:v>
                </c:pt>
                <c:pt idx="945">
                  <c:v>0.33294764693790785</c:v>
                </c:pt>
                <c:pt idx="946">
                  <c:v>0.33316755991864849</c:v>
                </c:pt>
                <c:pt idx="947">
                  <c:v>0.33382762311185488</c:v>
                </c:pt>
                <c:pt idx="948">
                  <c:v>0.33538861112666279</c:v>
                </c:pt>
                <c:pt idx="949">
                  <c:v>0.33556317164743055</c:v>
                </c:pt>
                <c:pt idx="950">
                  <c:v>0.33578180763866605</c:v>
                </c:pt>
                <c:pt idx="951">
                  <c:v>0.33578180763866605</c:v>
                </c:pt>
                <c:pt idx="952">
                  <c:v>0.33582206122839892</c:v>
                </c:pt>
                <c:pt idx="953">
                  <c:v>0.33600049631688533</c:v>
                </c:pt>
                <c:pt idx="954">
                  <c:v>0.33855978344359972</c:v>
                </c:pt>
                <c:pt idx="955">
                  <c:v>0.33884829017939366</c:v>
                </c:pt>
                <c:pt idx="956">
                  <c:v>0.34038557463089314</c:v>
                </c:pt>
                <c:pt idx="957">
                  <c:v>0.34103936801350437</c:v>
                </c:pt>
                <c:pt idx="958">
                  <c:v>0.34267626282092312</c:v>
                </c:pt>
                <c:pt idx="959">
                  <c:v>0.34289864993744013</c:v>
                </c:pt>
                <c:pt idx="960">
                  <c:v>0.34344068549750978</c:v>
                </c:pt>
                <c:pt idx="961">
                  <c:v>0.34365930766946717</c:v>
                </c:pt>
                <c:pt idx="962">
                  <c:v>0.34387798371278494</c:v>
                </c:pt>
                <c:pt idx="963">
                  <c:v>0.3439175929675205</c:v>
                </c:pt>
                <c:pt idx="964">
                  <c:v>0.34475322864121632</c:v>
                </c:pt>
                <c:pt idx="965">
                  <c:v>0.34519117698975671</c:v>
                </c:pt>
                <c:pt idx="966">
                  <c:v>0.34584850917250121</c:v>
                </c:pt>
                <c:pt idx="967">
                  <c:v>0.34628700493172115</c:v>
                </c:pt>
                <c:pt idx="968">
                  <c:v>0.34650633541092773</c:v>
                </c:pt>
                <c:pt idx="969">
                  <c:v>0.34762985524455753</c:v>
                </c:pt>
                <c:pt idx="970">
                  <c:v>0.35002320102414686</c:v>
                </c:pt>
                <c:pt idx="971">
                  <c:v>0.35100058704372572</c:v>
                </c:pt>
                <c:pt idx="972">
                  <c:v>0.35197418761927929</c:v>
                </c:pt>
                <c:pt idx="973">
                  <c:v>0.35219296023537822</c:v>
                </c:pt>
                <c:pt idx="974">
                  <c:v>0.35263067165573281</c:v>
                </c:pt>
                <c:pt idx="975">
                  <c:v>0.35614129447155374</c:v>
                </c:pt>
                <c:pt idx="976">
                  <c:v>0.35766714868069882</c:v>
                </c:pt>
                <c:pt idx="977">
                  <c:v>0.35788534875246047</c:v>
                </c:pt>
                <c:pt idx="978">
                  <c:v>0.36028923677390273</c:v>
                </c:pt>
                <c:pt idx="979">
                  <c:v>0.36032539300617528</c:v>
                </c:pt>
                <c:pt idx="980">
                  <c:v>0.3605081098988604</c:v>
                </c:pt>
                <c:pt idx="981">
                  <c:v>0.3632330470110845</c:v>
                </c:pt>
                <c:pt idx="982">
                  <c:v>0.36554482530147131</c:v>
                </c:pt>
                <c:pt idx="983">
                  <c:v>0.36598123067735716</c:v>
                </c:pt>
                <c:pt idx="984">
                  <c:v>0.36688053502643092</c:v>
                </c:pt>
                <c:pt idx="985">
                  <c:v>0.36755405254454554</c:v>
                </c:pt>
                <c:pt idx="986">
                  <c:v>0.36777067471320446</c:v>
                </c:pt>
                <c:pt idx="987">
                  <c:v>0.36860446381725681</c:v>
                </c:pt>
                <c:pt idx="988">
                  <c:v>0.36882344138757517</c:v>
                </c:pt>
                <c:pt idx="989">
                  <c:v>0.36926157105044427</c:v>
                </c:pt>
                <c:pt idx="990">
                  <c:v>0.37101643172993937</c:v>
                </c:pt>
                <c:pt idx="991">
                  <c:v>0.37320442512220137</c:v>
                </c:pt>
                <c:pt idx="992">
                  <c:v>0.37364066208806418</c:v>
                </c:pt>
                <c:pt idx="993">
                  <c:v>0.37374807950905564</c:v>
                </c:pt>
                <c:pt idx="994">
                  <c:v>0.37409658192005008</c:v>
                </c:pt>
                <c:pt idx="995">
                  <c:v>0.37451383160316909</c:v>
                </c:pt>
                <c:pt idx="996">
                  <c:v>0.37626297572614187</c:v>
                </c:pt>
                <c:pt idx="997">
                  <c:v>0.37670085090804079</c:v>
                </c:pt>
                <c:pt idx="998">
                  <c:v>0.37670085090804079</c:v>
                </c:pt>
                <c:pt idx="999">
                  <c:v>0.37691987743399802</c:v>
                </c:pt>
                <c:pt idx="1000">
                  <c:v>0.37895105334748591</c:v>
                </c:pt>
                <c:pt idx="1001">
                  <c:v>0.37956006112400126</c:v>
                </c:pt>
                <c:pt idx="1002">
                  <c:v>0.38351877049590977</c:v>
                </c:pt>
                <c:pt idx="1003">
                  <c:v>0.3852354863095343</c:v>
                </c:pt>
                <c:pt idx="1004">
                  <c:v>0.3852354863095343</c:v>
                </c:pt>
                <c:pt idx="1005">
                  <c:v>0.38765298555621275</c:v>
                </c:pt>
                <c:pt idx="1006">
                  <c:v>0.38808838673866147</c:v>
                </c:pt>
                <c:pt idx="1007">
                  <c:v>0.38961417549543181</c:v>
                </c:pt>
                <c:pt idx="1008">
                  <c:v>0.39029264197184521</c:v>
                </c:pt>
                <c:pt idx="1009">
                  <c:v>0.39205703459412394</c:v>
                </c:pt>
                <c:pt idx="1010">
                  <c:v>0.39267466204145191</c:v>
                </c:pt>
                <c:pt idx="1011">
                  <c:v>0.39289372836441322</c:v>
                </c:pt>
                <c:pt idx="1012">
                  <c:v>0.39333204680603168</c:v>
                </c:pt>
                <c:pt idx="1013">
                  <c:v>0.39618404418157122</c:v>
                </c:pt>
                <c:pt idx="1014">
                  <c:v>0.39640185865642663</c:v>
                </c:pt>
                <c:pt idx="1015">
                  <c:v>0.39661973417875357</c:v>
                </c:pt>
                <c:pt idx="1016">
                  <c:v>0.3974918487620937</c:v>
                </c:pt>
                <c:pt idx="1017">
                  <c:v>0.39945771731551355</c:v>
                </c:pt>
                <c:pt idx="1018">
                  <c:v>0.39945771731551355</c:v>
                </c:pt>
                <c:pt idx="1019">
                  <c:v>0.4016479534527016</c:v>
                </c:pt>
                <c:pt idx="1020">
                  <c:v>0.40186732458276708</c:v>
                </c:pt>
                <c:pt idx="1021">
                  <c:v>0.40306586523781102</c:v>
                </c:pt>
                <c:pt idx="1022">
                  <c:v>0.40318489049038159</c:v>
                </c:pt>
                <c:pt idx="1023">
                  <c:v>0.40580590459562277</c:v>
                </c:pt>
                <c:pt idx="1024">
                  <c:v>0.40602418322857964</c:v>
                </c:pt>
                <c:pt idx="1025">
                  <c:v>0.40908674978348442</c:v>
                </c:pt>
                <c:pt idx="1026">
                  <c:v>0.40952528427785412</c:v>
                </c:pt>
                <c:pt idx="1027">
                  <c:v>0.40974464848927361</c:v>
                </c:pt>
                <c:pt idx="1028">
                  <c:v>0.41159201369580484</c:v>
                </c:pt>
                <c:pt idx="1029">
                  <c:v>0.41202271486650544</c:v>
                </c:pt>
                <c:pt idx="1030">
                  <c:v>0.41202271486650544</c:v>
                </c:pt>
                <c:pt idx="1031">
                  <c:v>0.41215758396288016</c:v>
                </c:pt>
                <c:pt idx="1032">
                  <c:v>0.41266922388217803</c:v>
                </c:pt>
                <c:pt idx="1033">
                  <c:v>0.4132472382691213</c:v>
                </c:pt>
                <c:pt idx="1034">
                  <c:v>0.41482824864838824</c:v>
                </c:pt>
                <c:pt idx="1035">
                  <c:v>0.41553551042802428</c:v>
                </c:pt>
                <c:pt idx="1036">
                  <c:v>0.4158689528288485</c:v>
                </c:pt>
                <c:pt idx="1037">
                  <c:v>0.41696409236442006</c:v>
                </c:pt>
                <c:pt idx="1038">
                  <c:v>0.41762196313227362</c:v>
                </c:pt>
                <c:pt idx="1039">
                  <c:v>0.41762196313227362</c:v>
                </c:pt>
                <c:pt idx="1040">
                  <c:v>0.41762196313227362</c:v>
                </c:pt>
                <c:pt idx="1041">
                  <c:v>0.41968761145274608</c:v>
                </c:pt>
                <c:pt idx="1042">
                  <c:v>0.41968761145274608</c:v>
                </c:pt>
                <c:pt idx="1043">
                  <c:v>0.41990290840116418</c:v>
                </c:pt>
                <c:pt idx="1044">
                  <c:v>0.42025324486442955</c:v>
                </c:pt>
                <c:pt idx="1045">
                  <c:v>0.42156734360487735</c:v>
                </c:pt>
                <c:pt idx="1046">
                  <c:v>0.42199770952054161</c:v>
                </c:pt>
                <c:pt idx="1047">
                  <c:v>0.42243447877963397</c:v>
                </c:pt>
                <c:pt idx="1048">
                  <c:v>0.4244386455714102</c:v>
                </c:pt>
                <c:pt idx="1049">
                  <c:v>0.42506064298191804</c:v>
                </c:pt>
                <c:pt idx="1050">
                  <c:v>0.42629843367895293</c:v>
                </c:pt>
                <c:pt idx="1051">
                  <c:v>0.42878470012611719</c:v>
                </c:pt>
                <c:pt idx="1052">
                  <c:v>0.43090780276277685</c:v>
                </c:pt>
                <c:pt idx="1053">
                  <c:v>0.43166861937682455</c:v>
                </c:pt>
                <c:pt idx="1054">
                  <c:v>0.43315723208680679</c:v>
                </c:pt>
                <c:pt idx="1055">
                  <c:v>0.43315723208680679</c:v>
                </c:pt>
                <c:pt idx="1056">
                  <c:v>0.43315723208680679</c:v>
                </c:pt>
                <c:pt idx="1057">
                  <c:v>0.43381544577603165</c:v>
                </c:pt>
                <c:pt idx="1058">
                  <c:v>0.43535368139474029</c:v>
                </c:pt>
                <c:pt idx="1059">
                  <c:v>0.43600902513932188</c:v>
                </c:pt>
                <c:pt idx="1060">
                  <c:v>0.43753471571753016</c:v>
                </c:pt>
                <c:pt idx="1061">
                  <c:v>0.43818959778333116</c:v>
                </c:pt>
                <c:pt idx="1062">
                  <c:v>0.43840802783845484</c:v>
                </c:pt>
                <c:pt idx="1063">
                  <c:v>0.43950120294046674</c:v>
                </c:pt>
                <c:pt idx="1064">
                  <c:v>0.44191225144460644</c:v>
                </c:pt>
                <c:pt idx="1065">
                  <c:v>0.44235152761949598</c:v>
                </c:pt>
                <c:pt idx="1066">
                  <c:v>0.44462007868520387</c:v>
                </c:pt>
                <c:pt idx="1067">
                  <c:v>0.44477257617243787</c:v>
                </c:pt>
                <c:pt idx="1068">
                  <c:v>0.44519425872733576</c:v>
                </c:pt>
                <c:pt idx="1069">
                  <c:v>0.44688924590658619</c:v>
                </c:pt>
                <c:pt idx="1070">
                  <c:v>0.45438157689727798</c:v>
                </c:pt>
                <c:pt idx="1071">
                  <c:v>0.45722779855613721</c:v>
                </c:pt>
                <c:pt idx="1072">
                  <c:v>0.45810599617339653</c:v>
                </c:pt>
                <c:pt idx="1073">
                  <c:v>0.45810599617339653</c:v>
                </c:pt>
                <c:pt idx="1074">
                  <c:v>0.45899040838685307</c:v>
                </c:pt>
                <c:pt idx="1075">
                  <c:v>0.4605594862738106</c:v>
                </c:pt>
                <c:pt idx="1076">
                  <c:v>0.46169555462833284</c:v>
                </c:pt>
                <c:pt idx="1077">
                  <c:v>0.46269615973055045</c:v>
                </c:pt>
                <c:pt idx="1078">
                  <c:v>0.46510506260498918</c:v>
                </c:pt>
                <c:pt idx="1079">
                  <c:v>0.46804530303146752</c:v>
                </c:pt>
                <c:pt idx="1080">
                  <c:v>0.46969997905317407</c:v>
                </c:pt>
                <c:pt idx="1081">
                  <c:v>0.47057365437582693</c:v>
                </c:pt>
                <c:pt idx="1082">
                  <c:v>0.4729823225772144</c:v>
                </c:pt>
                <c:pt idx="1083">
                  <c:v>0.47320173649366243</c:v>
                </c:pt>
                <c:pt idx="1084">
                  <c:v>0.47320173649366243</c:v>
                </c:pt>
                <c:pt idx="1085">
                  <c:v>0.4742999250223498</c:v>
                </c:pt>
                <c:pt idx="1086">
                  <c:v>0.47431229169530037</c:v>
                </c:pt>
                <c:pt idx="1087">
                  <c:v>0.47442242059021111</c:v>
                </c:pt>
                <c:pt idx="1088">
                  <c:v>0.47451978724099902</c:v>
                </c:pt>
                <c:pt idx="1089">
                  <c:v>0.47760578900898676</c:v>
                </c:pt>
                <c:pt idx="1090">
                  <c:v>0.47829485991671744</c:v>
                </c:pt>
                <c:pt idx="1091">
                  <c:v>0.47835541569093598</c:v>
                </c:pt>
                <c:pt idx="1092">
                  <c:v>0.47976371803841994</c:v>
                </c:pt>
                <c:pt idx="1093">
                  <c:v>0.48002338812921069</c:v>
                </c:pt>
                <c:pt idx="1094">
                  <c:v>0.48026286329094459</c:v>
                </c:pt>
                <c:pt idx="1095">
                  <c:v>0.48240772090296852</c:v>
                </c:pt>
                <c:pt idx="1096">
                  <c:v>0.48283689750172215</c:v>
                </c:pt>
                <c:pt idx="1097">
                  <c:v>0.48284219124167749</c:v>
                </c:pt>
                <c:pt idx="1098">
                  <c:v>0.48654721852396304</c:v>
                </c:pt>
                <c:pt idx="1099">
                  <c:v>0.48742215057596877</c:v>
                </c:pt>
                <c:pt idx="1100">
                  <c:v>0.48983451239030779</c:v>
                </c:pt>
                <c:pt idx="1101">
                  <c:v>0.49028600723205673</c:v>
                </c:pt>
                <c:pt idx="1102">
                  <c:v>0.49115427658746996</c:v>
                </c:pt>
                <c:pt idx="1103">
                  <c:v>0.49224303223493071</c:v>
                </c:pt>
                <c:pt idx="1104">
                  <c:v>0.49246085747132751</c:v>
                </c:pt>
                <c:pt idx="1105">
                  <c:v>0.49358114077533627</c:v>
                </c:pt>
                <c:pt idx="1106">
                  <c:v>0.49486197146337557</c:v>
                </c:pt>
                <c:pt idx="1107">
                  <c:v>0.49486197146337557</c:v>
                </c:pt>
                <c:pt idx="1108">
                  <c:v>0.49551843388196226</c:v>
                </c:pt>
                <c:pt idx="1109">
                  <c:v>0.49639480110945772</c:v>
                </c:pt>
                <c:pt idx="1110">
                  <c:v>0.49720958536886034</c:v>
                </c:pt>
                <c:pt idx="1111">
                  <c:v>0.49749201153012684</c:v>
                </c:pt>
                <c:pt idx="1112">
                  <c:v>0.49881583486880576</c:v>
                </c:pt>
                <c:pt idx="1113">
                  <c:v>0.49881583486880576</c:v>
                </c:pt>
                <c:pt idx="1114">
                  <c:v>0.50061765472530828</c:v>
                </c:pt>
                <c:pt idx="1115">
                  <c:v>0.50164701628194974</c:v>
                </c:pt>
                <c:pt idx="1116">
                  <c:v>0.50186534098035618</c:v>
                </c:pt>
                <c:pt idx="1117">
                  <c:v>0.50230222407374281</c:v>
                </c:pt>
                <c:pt idx="1118">
                  <c:v>0.50427207416520392</c:v>
                </c:pt>
                <c:pt idx="1119">
                  <c:v>0.50582572418823413</c:v>
                </c:pt>
                <c:pt idx="1120">
                  <c:v>0.50625972276881537</c:v>
                </c:pt>
                <c:pt idx="1121">
                  <c:v>0.50625972276881537</c:v>
                </c:pt>
                <c:pt idx="1122">
                  <c:v>0.50668836515290983</c:v>
                </c:pt>
                <c:pt idx="1123">
                  <c:v>0.5086522733177713</c:v>
                </c:pt>
                <c:pt idx="1124">
                  <c:v>0.51061687758837404</c:v>
                </c:pt>
                <c:pt idx="1125">
                  <c:v>0.51171110064320569</c:v>
                </c:pt>
                <c:pt idx="1126">
                  <c:v>0.51243839178127326</c:v>
                </c:pt>
                <c:pt idx="1127">
                  <c:v>0.51280732289767572</c:v>
                </c:pt>
                <c:pt idx="1128">
                  <c:v>0.51346602120969664</c:v>
                </c:pt>
                <c:pt idx="1129">
                  <c:v>0.51522611248030359</c:v>
                </c:pt>
                <c:pt idx="1130">
                  <c:v>0.51544160730856059</c:v>
                </c:pt>
                <c:pt idx="1131">
                  <c:v>0.51677047574454826</c:v>
                </c:pt>
                <c:pt idx="1132">
                  <c:v>0.51696601876684301</c:v>
                </c:pt>
                <c:pt idx="1133">
                  <c:v>0.51762053489633642</c:v>
                </c:pt>
                <c:pt idx="1134">
                  <c:v>0.51783886727232054</c:v>
                </c:pt>
                <c:pt idx="1135">
                  <c:v>0.52046515110874758</c:v>
                </c:pt>
                <c:pt idx="1136">
                  <c:v>0.52134318031215909</c:v>
                </c:pt>
                <c:pt idx="1137">
                  <c:v>0.52156289229362185</c:v>
                </c:pt>
                <c:pt idx="1138">
                  <c:v>0.52235199451434144</c:v>
                </c:pt>
                <c:pt idx="1139">
                  <c:v>0.52245052308747053</c:v>
                </c:pt>
                <c:pt idx="1140">
                  <c:v>0.524868479722993</c:v>
                </c:pt>
                <c:pt idx="1141">
                  <c:v>0.52492719932886034</c:v>
                </c:pt>
                <c:pt idx="1142">
                  <c:v>0.52527994260458089</c:v>
                </c:pt>
                <c:pt idx="1143">
                  <c:v>0.52527994260458089</c:v>
                </c:pt>
                <c:pt idx="1144">
                  <c:v>0.52615328771751624</c:v>
                </c:pt>
                <c:pt idx="1145">
                  <c:v>0.52724680865168183</c:v>
                </c:pt>
                <c:pt idx="1146">
                  <c:v>0.52746575913062199</c:v>
                </c:pt>
                <c:pt idx="1147">
                  <c:v>0.52834238543250567</c:v>
                </c:pt>
                <c:pt idx="1148">
                  <c:v>0.52944003088926639</c:v>
                </c:pt>
                <c:pt idx="1149">
                  <c:v>0.53076312212305776</c:v>
                </c:pt>
                <c:pt idx="1150">
                  <c:v>0.53098039489625559</c:v>
                </c:pt>
                <c:pt idx="1151">
                  <c:v>0.53381239356428256</c:v>
                </c:pt>
                <c:pt idx="1152">
                  <c:v>0.53385155862861911</c:v>
                </c:pt>
                <c:pt idx="1153">
                  <c:v>0.5340308164239479</c:v>
                </c:pt>
                <c:pt idx="1154">
                  <c:v>0.53468658285680748</c:v>
                </c:pt>
                <c:pt idx="1155">
                  <c:v>0.5347454234702177</c:v>
                </c:pt>
                <c:pt idx="1156">
                  <c:v>0.53556210356695833</c:v>
                </c:pt>
                <c:pt idx="1157">
                  <c:v>0.53885727628887647</c:v>
                </c:pt>
                <c:pt idx="1158">
                  <c:v>0.53907763198500969</c:v>
                </c:pt>
                <c:pt idx="1159">
                  <c:v>0.54125345433489092</c:v>
                </c:pt>
                <c:pt idx="1160">
                  <c:v>0.54147167235552685</c:v>
                </c:pt>
                <c:pt idx="1161">
                  <c:v>0.54431617759403195</c:v>
                </c:pt>
                <c:pt idx="1162">
                  <c:v>0.54563386995246443</c:v>
                </c:pt>
                <c:pt idx="1163">
                  <c:v>0.54673676575018615</c:v>
                </c:pt>
                <c:pt idx="1164">
                  <c:v>0.54749473581082408</c:v>
                </c:pt>
                <c:pt idx="1165">
                  <c:v>0.54847710906916225</c:v>
                </c:pt>
                <c:pt idx="1166">
                  <c:v>0.54916288487623555</c:v>
                </c:pt>
                <c:pt idx="1167">
                  <c:v>0.55000435286405214</c:v>
                </c:pt>
                <c:pt idx="1168">
                  <c:v>0.55093564276288243</c:v>
                </c:pt>
                <c:pt idx="1169">
                  <c:v>0.55175489911308739</c:v>
                </c:pt>
                <c:pt idx="1170">
                  <c:v>0.55249167546524558</c:v>
                </c:pt>
                <c:pt idx="1171">
                  <c:v>0.55285178856937578</c:v>
                </c:pt>
                <c:pt idx="1172">
                  <c:v>0.5548321949764462</c:v>
                </c:pt>
                <c:pt idx="1173">
                  <c:v>0.55494708091468237</c:v>
                </c:pt>
                <c:pt idx="1174">
                  <c:v>0.55591944199464671</c:v>
                </c:pt>
                <c:pt idx="1175">
                  <c:v>0.55919408148572447</c:v>
                </c:pt>
                <c:pt idx="1176">
                  <c:v>0.55941308437928172</c:v>
                </c:pt>
                <c:pt idx="1177">
                  <c:v>0.56028996975555589</c:v>
                </c:pt>
                <c:pt idx="1178">
                  <c:v>0.56160793054909897</c:v>
                </c:pt>
                <c:pt idx="1179">
                  <c:v>0.56390640399338365</c:v>
                </c:pt>
                <c:pt idx="1180">
                  <c:v>0.56597788930415416</c:v>
                </c:pt>
                <c:pt idx="1181">
                  <c:v>0.56602422032536559</c:v>
                </c:pt>
                <c:pt idx="1182">
                  <c:v>0.56619642030903083</c:v>
                </c:pt>
                <c:pt idx="1183">
                  <c:v>0.56619642030903083</c:v>
                </c:pt>
                <c:pt idx="1184">
                  <c:v>0.56647898451842893</c:v>
                </c:pt>
                <c:pt idx="1185">
                  <c:v>0.56669450642996722</c:v>
                </c:pt>
                <c:pt idx="1186">
                  <c:v>0.56729039663513581</c:v>
                </c:pt>
                <c:pt idx="1187">
                  <c:v>0.56816716939468825</c:v>
                </c:pt>
                <c:pt idx="1188">
                  <c:v>0.56921379726251486</c:v>
                </c:pt>
                <c:pt idx="1189">
                  <c:v>0.56926513575543192</c:v>
                </c:pt>
                <c:pt idx="1190">
                  <c:v>0.56926513575543192</c:v>
                </c:pt>
                <c:pt idx="1191">
                  <c:v>0.56948499678120235</c:v>
                </c:pt>
                <c:pt idx="1192">
                  <c:v>0.56964065148812748</c:v>
                </c:pt>
                <c:pt idx="1193">
                  <c:v>0.57407391503943506</c:v>
                </c:pt>
                <c:pt idx="1194">
                  <c:v>0.57407391503943506</c:v>
                </c:pt>
                <c:pt idx="1195">
                  <c:v>0.57451116806547142</c:v>
                </c:pt>
                <c:pt idx="1196">
                  <c:v>0.57626376191708217</c:v>
                </c:pt>
                <c:pt idx="1197">
                  <c:v>0.57666945983979889</c:v>
                </c:pt>
                <c:pt idx="1198">
                  <c:v>0.57709575336460062</c:v>
                </c:pt>
                <c:pt idx="1199">
                  <c:v>0.57758199114573128</c:v>
                </c:pt>
                <c:pt idx="1200">
                  <c:v>0.57890125245750113</c:v>
                </c:pt>
                <c:pt idx="1201">
                  <c:v>0.57911854081757286</c:v>
                </c:pt>
                <c:pt idx="1202">
                  <c:v>0.57998858533150233</c:v>
                </c:pt>
                <c:pt idx="1203">
                  <c:v>0.58151460935388766</c:v>
                </c:pt>
                <c:pt idx="1204">
                  <c:v>0.58173297244017086</c:v>
                </c:pt>
                <c:pt idx="1205">
                  <c:v>0.58260732798101578</c:v>
                </c:pt>
                <c:pt idx="1206">
                  <c:v>0.58466829441627532</c:v>
                </c:pt>
                <c:pt idx="1207">
                  <c:v>0.58523912090319108</c:v>
                </c:pt>
                <c:pt idx="1208">
                  <c:v>0.58545903161039425</c:v>
                </c:pt>
                <c:pt idx="1209">
                  <c:v>0.58545903161039425</c:v>
                </c:pt>
                <c:pt idx="1210">
                  <c:v>0.58589912902102448</c:v>
                </c:pt>
                <c:pt idx="1211">
                  <c:v>0.58612830045260189</c:v>
                </c:pt>
                <c:pt idx="1212">
                  <c:v>0.58699668946469397</c:v>
                </c:pt>
                <c:pt idx="1213">
                  <c:v>0.58699668946469397</c:v>
                </c:pt>
                <c:pt idx="1214">
                  <c:v>0.58721401194878609</c:v>
                </c:pt>
                <c:pt idx="1215">
                  <c:v>0.58743142472538334</c:v>
                </c:pt>
                <c:pt idx="1216">
                  <c:v>0.58830198076390372</c:v>
                </c:pt>
                <c:pt idx="1217">
                  <c:v>0.58895585078930979</c:v>
                </c:pt>
                <c:pt idx="1218">
                  <c:v>0.58917398952582334</c:v>
                </c:pt>
                <c:pt idx="1219">
                  <c:v>0.58947265168225282</c:v>
                </c:pt>
                <c:pt idx="1220">
                  <c:v>0.59026605322860637</c:v>
                </c:pt>
                <c:pt idx="1221">
                  <c:v>0.59033323271297533</c:v>
                </c:pt>
                <c:pt idx="1222">
                  <c:v>0.591141354319767</c:v>
                </c:pt>
                <c:pt idx="1223">
                  <c:v>0.59157955715516886</c:v>
                </c:pt>
                <c:pt idx="1224">
                  <c:v>0.59223755407860612</c:v>
                </c:pt>
                <c:pt idx="1225">
                  <c:v>0.59399629587105518</c:v>
                </c:pt>
                <c:pt idx="1226">
                  <c:v>0.59509213803530536</c:v>
                </c:pt>
                <c:pt idx="1227">
                  <c:v>0.59509213803530536</c:v>
                </c:pt>
                <c:pt idx="1228">
                  <c:v>0.59509213803530536</c:v>
                </c:pt>
                <c:pt idx="1229">
                  <c:v>0.59596211937820875</c:v>
                </c:pt>
                <c:pt idx="1230">
                  <c:v>0.59692310725194542</c:v>
                </c:pt>
                <c:pt idx="1231">
                  <c:v>0.59731010080117153</c:v>
                </c:pt>
                <c:pt idx="1232">
                  <c:v>0.59748812796827433</c:v>
                </c:pt>
                <c:pt idx="1233">
                  <c:v>0.59814351842667257</c:v>
                </c:pt>
                <c:pt idx="1234">
                  <c:v>0.59814351842667257</c:v>
                </c:pt>
                <c:pt idx="1235">
                  <c:v>0.59814351842667257</c:v>
                </c:pt>
                <c:pt idx="1236">
                  <c:v>0.59819737882400559</c:v>
                </c:pt>
                <c:pt idx="1237">
                  <c:v>0.59923769505880087</c:v>
                </c:pt>
                <c:pt idx="1238">
                  <c:v>0.59967601881699517</c:v>
                </c:pt>
                <c:pt idx="1239">
                  <c:v>0.60209351463377414</c:v>
                </c:pt>
                <c:pt idx="1240">
                  <c:v>0.60449336114775754</c:v>
                </c:pt>
                <c:pt idx="1241">
                  <c:v>0.60602099992071123</c:v>
                </c:pt>
                <c:pt idx="1242">
                  <c:v>0.60645831330402122</c:v>
                </c:pt>
                <c:pt idx="1243">
                  <c:v>0.60670367734468844</c:v>
                </c:pt>
                <c:pt idx="1244">
                  <c:v>0.60821134624013018</c:v>
                </c:pt>
                <c:pt idx="1245">
                  <c:v>0.6099704657158147</c:v>
                </c:pt>
                <c:pt idx="1246">
                  <c:v>0.61041428343421622</c:v>
                </c:pt>
                <c:pt idx="1247">
                  <c:v>0.61085232448010007</c:v>
                </c:pt>
                <c:pt idx="1248">
                  <c:v>0.61324336319855821</c:v>
                </c:pt>
                <c:pt idx="1249">
                  <c:v>0.61324336319855821</c:v>
                </c:pt>
                <c:pt idx="1250">
                  <c:v>0.61328540516926022</c:v>
                </c:pt>
                <c:pt idx="1251">
                  <c:v>0.61368002502409713</c:v>
                </c:pt>
                <c:pt idx="1252">
                  <c:v>0.61455449139715546</c:v>
                </c:pt>
                <c:pt idx="1253">
                  <c:v>0.61480731912971565</c:v>
                </c:pt>
                <c:pt idx="1254">
                  <c:v>0.61528487723323144</c:v>
                </c:pt>
                <c:pt idx="1255">
                  <c:v>0.61586906000974251</c:v>
                </c:pt>
                <c:pt idx="1256">
                  <c:v>0.61608849081680206</c:v>
                </c:pt>
                <c:pt idx="1257">
                  <c:v>0.61652764139020555</c:v>
                </c:pt>
                <c:pt idx="1258">
                  <c:v>0.6174071012687804</c:v>
                </c:pt>
                <c:pt idx="1259">
                  <c:v>0.61762720824551209</c:v>
                </c:pt>
                <c:pt idx="1260">
                  <c:v>0.61762720824551209</c:v>
                </c:pt>
                <c:pt idx="1261">
                  <c:v>0.61784741223293205</c:v>
                </c:pt>
                <c:pt idx="1262">
                  <c:v>0.61806771333520105</c:v>
                </c:pt>
                <c:pt idx="1263">
                  <c:v>0.61807573152611694</c:v>
                </c:pt>
                <c:pt idx="1264">
                  <c:v>0.62155758498704294</c:v>
                </c:pt>
                <c:pt idx="1265">
                  <c:v>0.62243188592329735</c:v>
                </c:pt>
                <c:pt idx="1266">
                  <c:v>0.62308862715380964</c:v>
                </c:pt>
                <c:pt idx="1267">
                  <c:v>0.62308862715380964</c:v>
                </c:pt>
                <c:pt idx="1268">
                  <c:v>0.62352693975995455</c:v>
                </c:pt>
                <c:pt idx="1269">
                  <c:v>0.6240069469625924</c:v>
                </c:pt>
                <c:pt idx="1270">
                  <c:v>0.62545329115776294</c:v>
                </c:pt>
                <c:pt idx="1271">
                  <c:v>0.62550417293563043</c:v>
                </c:pt>
                <c:pt idx="1272">
                  <c:v>0.62572435509888091</c:v>
                </c:pt>
                <c:pt idx="1273">
                  <c:v>0.62572435509888091</c:v>
                </c:pt>
                <c:pt idx="1274">
                  <c:v>0.62572435509888091</c:v>
                </c:pt>
                <c:pt idx="1275">
                  <c:v>0.63074694839055856</c:v>
                </c:pt>
                <c:pt idx="1276">
                  <c:v>0.63078886168588466</c:v>
                </c:pt>
                <c:pt idx="1277">
                  <c:v>0.63096592181549715</c:v>
                </c:pt>
                <c:pt idx="1278">
                  <c:v>0.63140416349404604</c:v>
                </c:pt>
                <c:pt idx="1279">
                  <c:v>0.63162343195293447</c:v>
                </c:pt>
                <c:pt idx="1280">
                  <c:v>0.63294111586892399</c:v>
                </c:pt>
                <c:pt idx="1281">
                  <c:v>0.63758127254303554</c:v>
                </c:pt>
                <c:pt idx="1282">
                  <c:v>0.63862429419409872</c:v>
                </c:pt>
                <c:pt idx="1283">
                  <c:v>0.63971996435787837</c:v>
                </c:pt>
                <c:pt idx="1284">
                  <c:v>0.63980652482780975</c:v>
                </c:pt>
                <c:pt idx="1285">
                  <c:v>0.64059829694201431</c:v>
                </c:pt>
                <c:pt idx="1286">
                  <c:v>0.64147823353226496</c:v>
                </c:pt>
                <c:pt idx="1287">
                  <c:v>0.64169846908388417</c:v>
                </c:pt>
                <c:pt idx="1288">
                  <c:v>0.64606416560313973</c:v>
                </c:pt>
                <c:pt idx="1289">
                  <c:v>0.64606416560313973</c:v>
                </c:pt>
                <c:pt idx="1290">
                  <c:v>0.64672055012920393</c:v>
                </c:pt>
                <c:pt idx="1291">
                  <c:v>0.64677040424205134</c:v>
                </c:pt>
                <c:pt idx="1292">
                  <c:v>0.64737784014855959</c:v>
                </c:pt>
                <c:pt idx="1293">
                  <c:v>0.64737784014855959</c:v>
                </c:pt>
                <c:pt idx="1294">
                  <c:v>0.647816537914223</c:v>
                </c:pt>
                <c:pt idx="1295">
                  <c:v>0.65024000244603786</c:v>
                </c:pt>
                <c:pt idx="1296">
                  <c:v>0.6506739815660415</c:v>
                </c:pt>
                <c:pt idx="1297">
                  <c:v>0.65110836058700927</c:v>
                </c:pt>
                <c:pt idx="1298">
                  <c:v>0.65197832153243895</c:v>
                </c:pt>
                <c:pt idx="1299">
                  <c:v>0.65394162724262994</c:v>
                </c:pt>
                <c:pt idx="1300">
                  <c:v>0.65487437104474844</c:v>
                </c:pt>
                <c:pt idx="1301">
                  <c:v>0.65503589998785228</c:v>
                </c:pt>
                <c:pt idx="1302">
                  <c:v>0.65547432236473802</c:v>
                </c:pt>
                <c:pt idx="1303">
                  <c:v>0.65569368680912976</c:v>
                </c:pt>
                <c:pt idx="1304">
                  <c:v>0.65569368680912976</c:v>
                </c:pt>
                <c:pt idx="1305">
                  <c:v>0.65745229412889727</c:v>
                </c:pt>
                <c:pt idx="1306">
                  <c:v>0.65746840029514064</c:v>
                </c:pt>
                <c:pt idx="1307">
                  <c:v>0.65768497273970838</c:v>
                </c:pt>
                <c:pt idx="1308">
                  <c:v>0.65855477228595061</c:v>
                </c:pt>
                <c:pt idx="1309">
                  <c:v>0.6607276124114847</c:v>
                </c:pt>
                <c:pt idx="1310">
                  <c:v>0.66225642415346919</c:v>
                </c:pt>
                <c:pt idx="1311">
                  <c:v>0.66313229190613543</c:v>
                </c:pt>
                <c:pt idx="1312">
                  <c:v>0.6634031065719338</c:v>
                </c:pt>
                <c:pt idx="1313">
                  <c:v>0.6638829743997896</c:v>
                </c:pt>
                <c:pt idx="1314">
                  <c:v>0.66410630027251483</c:v>
                </c:pt>
                <c:pt idx="1315">
                  <c:v>0.66488899174397675</c:v>
                </c:pt>
                <c:pt idx="1316">
                  <c:v>0.66532920575635857</c:v>
                </c:pt>
                <c:pt idx="1317">
                  <c:v>0.66576983705079229</c:v>
                </c:pt>
                <c:pt idx="1318">
                  <c:v>0.66773422046380004</c:v>
                </c:pt>
                <c:pt idx="1319">
                  <c:v>0.67100953640487249</c:v>
                </c:pt>
                <c:pt idx="1320">
                  <c:v>0.67100953640487249</c:v>
                </c:pt>
                <c:pt idx="1321">
                  <c:v>0.67210651488623063</c:v>
                </c:pt>
                <c:pt idx="1322">
                  <c:v>0.67220640367022966</c:v>
                </c:pt>
                <c:pt idx="1323">
                  <c:v>0.67342635472552959</c:v>
                </c:pt>
                <c:pt idx="1324">
                  <c:v>0.67344220318421266</c:v>
                </c:pt>
                <c:pt idx="1325">
                  <c:v>0.67386714509484591</c:v>
                </c:pt>
                <c:pt idx="1326">
                  <c:v>0.67735572104021224</c:v>
                </c:pt>
                <c:pt idx="1327">
                  <c:v>0.67866775360649245</c:v>
                </c:pt>
                <c:pt idx="1328">
                  <c:v>0.67888679453516132</c:v>
                </c:pt>
                <c:pt idx="1329">
                  <c:v>0.68020326244286777</c:v>
                </c:pt>
                <c:pt idx="1330">
                  <c:v>0.68130324058555058</c:v>
                </c:pt>
                <c:pt idx="1331">
                  <c:v>0.68130324058555058</c:v>
                </c:pt>
                <c:pt idx="1332">
                  <c:v>0.68152355617311533</c:v>
                </c:pt>
                <c:pt idx="1333">
                  <c:v>0.68174397865674496</c:v>
                </c:pt>
                <c:pt idx="1334">
                  <c:v>0.68218514473023573</c:v>
                </c:pt>
                <c:pt idx="1335">
                  <c:v>0.68632617640039473</c:v>
                </c:pt>
                <c:pt idx="1336">
                  <c:v>0.6872023853739182</c:v>
                </c:pt>
                <c:pt idx="1337">
                  <c:v>0.68742170496952371</c:v>
                </c:pt>
                <c:pt idx="1338">
                  <c:v>0.68818320485912665</c:v>
                </c:pt>
                <c:pt idx="1339">
                  <c:v>0.68851202961811131</c:v>
                </c:pt>
                <c:pt idx="1340">
                  <c:v>0.68984910949074341</c:v>
                </c:pt>
                <c:pt idx="1341">
                  <c:v>0.69136830949615014</c:v>
                </c:pt>
                <c:pt idx="1342">
                  <c:v>0.6926746332214031</c:v>
                </c:pt>
                <c:pt idx="1343">
                  <c:v>0.69551825822481295</c:v>
                </c:pt>
                <c:pt idx="1344">
                  <c:v>0.69628346304935529</c:v>
                </c:pt>
                <c:pt idx="1345">
                  <c:v>0.69749764315501506</c:v>
                </c:pt>
                <c:pt idx="1346">
                  <c:v>0.69793870684234005</c:v>
                </c:pt>
                <c:pt idx="1347">
                  <c:v>0.69793870684234005</c:v>
                </c:pt>
                <c:pt idx="1348">
                  <c:v>0.69838020883644969</c:v>
                </c:pt>
                <c:pt idx="1349">
                  <c:v>0.70348925870457635</c:v>
                </c:pt>
                <c:pt idx="1350">
                  <c:v>0.70438381349447776</c:v>
                </c:pt>
                <c:pt idx="1351">
                  <c:v>0.70625693669015921</c:v>
                </c:pt>
                <c:pt idx="1352">
                  <c:v>0.70952118277587373</c:v>
                </c:pt>
                <c:pt idx="1353">
                  <c:v>0.71039598164557227</c:v>
                </c:pt>
                <c:pt idx="1354">
                  <c:v>0.71193113366103178</c:v>
                </c:pt>
                <c:pt idx="1355">
                  <c:v>0.71369226186865253</c:v>
                </c:pt>
                <c:pt idx="1356">
                  <c:v>0.71428301135229977</c:v>
                </c:pt>
                <c:pt idx="1357">
                  <c:v>0.71500270922523479</c:v>
                </c:pt>
                <c:pt idx="1358">
                  <c:v>0.718054503585837</c:v>
                </c:pt>
                <c:pt idx="1359">
                  <c:v>0.71849225126672345</c:v>
                </c:pt>
                <c:pt idx="1360">
                  <c:v>0.71880094140058515</c:v>
                </c:pt>
                <c:pt idx="1361">
                  <c:v>0.71880094140058515</c:v>
                </c:pt>
                <c:pt idx="1362">
                  <c:v>0.7193690875743094</c:v>
                </c:pt>
                <c:pt idx="1363">
                  <c:v>0.7196892797457014</c:v>
                </c:pt>
                <c:pt idx="1364">
                  <c:v>0.72002789137080481</c:v>
                </c:pt>
                <c:pt idx="1365">
                  <c:v>0.72223122566888731</c:v>
                </c:pt>
                <c:pt idx="1366">
                  <c:v>0.72244684564858153</c:v>
                </c:pt>
                <c:pt idx="1367">
                  <c:v>0.72665482730745434</c:v>
                </c:pt>
                <c:pt idx="1368">
                  <c:v>0.72846125247638949</c:v>
                </c:pt>
                <c:pt idx="1369">
                  <c:v>0.73004681485224099</c:v>
                </c:pt>
                <c:pt idx="1370">
                  <c:v>0.73754315299390882</c:v>
                </c:pt>
                <c:pt idx="1371">
                  <c:v>0.73928899156912653</c:v>
                </c:pt>
                <c:pt idx="1372">
                  <c:v>0.74608217780384811</c:v>
                </c:pt>
                <c:pt idx="1373">
                  <c:v>0.74651576815563458</c:v>
                </c:pt>
                <c:pt idx="1374">
                  <c:v>0.75076422657850461</c:v>
                </c:pt>
                <c:pt idx="1375">
                  <c:v>0.75076422657850461</c:v>
                </c:pt>
                <c:pt idx="1376">
                  <c:v>0.7513164701790952</c:v>
                </c:pt>
                <c:pt idx="1377">
                  <c:v>0.75186633571990069</c:v>
                </c:pt>
                <c:pt idx="1378">
                  <c:v>0.75219537874051923</c:v>
                </c:pt>
                <c:pt idx="1379">
                  <c:v>0.75417980362634562</c:v>
                </c:pt>
                <c:pt idx="1380">
                  <c:v>0.75439413290283586</c:v>
                </c:pt>
                <c:pt idx="1381">
                  <c:v>0.75795438749269373</c:v>
                </c:pt>
                <c:pt idx="1382">
                  <c:v>0.76007231810992781</c:v>
                </c:pt>
                <c:pt idx="1383">
                  <c:v>0.76051240014899479</c:v>
                </c:pt>
                <c:pt idx="1384">
                  <c:v>0.76139399108261829</c:v>
                </c:pt>
                <c:pt idx="1385">
                  <c:v>0.76161468668651267</c:v>
                </c:pt>
                <c:pt idx="1386">
                  <c:v>0.76729016148148688</c:v>
                </c:pt>
                <c:pt idx="1387">
                  <c:v>0.76816920946356004</c:v>
                </c:pt>
                <c:pt idx="1388">
                  <c:v>0.76874054678395742</c:v>
                </c:pt>
                <c:pt idx="1389">
                  <c:v>0.77015409260507373</c:v>
                </c:pt>
                <c:pt idx="1390">
                  <c:v>0.77237100312729701</c:v>
                </c:pt>
                <c:pt idx="1391">
                  <c:v>0.77276028147923514</c:v>
                </c:pt>
                <c:pt idx="1392">
                  <c:v>0.77802948180460518</c:v>
                </c:pt>
                <c:pt idx="1393">
                  <c:v>0.77891589175493559</c:v>
                </c:pt>
                <c:pt idx="1394">
                  <c:v>0.78046970612878941</c:v>
                </c:pt>
                <c:pt idx="1395">
                  <c:v>0.78272751175642408</c:v>
                </c:pt>
                <c:pt idx="1396">
                  <c:v>0.78494256887237923</c:v>
                </c:pt>
                <c:pt idx="1397">
                  <c:v>0.78546549494892337</c:v>
                </c:pt>
                <c:pt idx="1398">
                  <c:v>0.78568633400815324</c:v>
                </c:pt>
                <c:pt idx="1399">
                  <c:v>0.78590801937229826</c:v>
                </c:pt>
                <c:pt idx="1400">
                  <c:v>0.79026389018592036</c:v>
                </c:pt>
                <c:pt idx="1401">
                  <c:v>0.79192020194810819</c:v>
                </c:pt>
                <c:pt idx="1402">
                  <c:v>0.79422613067821857</c:v>
                </c:pt>
                <c:pt idx="1403">
                  <c:v>0.79422613067821857</c:v>
                </c:pt>
                <c:pt idx="1404">
                  <c:v>0.79644478277915076</c:v>
                </c:pt>
                <c:pt idx="1405">
                  <c:v>0.79792228505910512</c:v>
                </c:pt>
                <c:pt idx="1406">
                  <c:v>0.80166050385291054</c:v>
                </c:pt>
                <c:pt idx="1407">
                  <c:v>0.80432106905014111</c:v>
                </c:pt>
                <c:pt idx="1408">
                  <c:v>0.80677596452639011</c:v>
                </c:pt>
                <c:pt idx="1409">
                  <c:v>0.81264250335597521</c:v>
                </c:pt>
                <c:pt idx="1410">
                  <c:v>0.81469079693434354</c:v>
                </c:pt>
                <c:pt idx="1411">
                  <c:v>0.82051872584548036</c:v>
                </c:pt>
                <c:pt idx="1412">
                  <c:v>0.82253284330247922</c:v>
                </c:pt>
                <c:pt idx="1413">
                  <c:v>0.82463732519519473</c:v>
                </c:pt>
                <c:pt idx="1414">
                  <c:v>0.82499853027985059</c:v>
                </c:pt>
                <c:pt idx="1415">
                  <c:v>0.8250695540482873</c:v>
                </c:pt>
                <c:pt idx="1416">
                  <c:v>0.82995681740473159</c:v>
                </c:pt>
                <c:pt idx="1417">
                  <c:v>0.83197441555918616</c:v>
                </c:pt>
                <c:pt idx="1418">
                  <c:v>0.83534767847816271</c:v>
                </c:pt>
                <c:pt idx="1419">
                  <c:v>0.83649384680296279</c:v>
                </c:pt>
                <c:pt idx="1420">
                  <c:v>0.8369396663224824</c:v>
                </c:pt>
                <c:pt idx="1421">
                  <c:v>0.84409913476180631</c:v>
                </c:pt>
                <c:pt idx="1422">
                  <c:v>0.84414732343861476</c:v>
                </c:pt>
                <c:pt idx="1423">
                  <c:v>0.84414732343861476</c:v>
                </c:pt>
                <c:pt idx="1424">
                  <c:v>0.84503887963499569</c:v>
                </c:pt>
                <c:pt idx="1425">
                  <c:v>0.84781822866300349</c:v>
                </c:pt>
                <c:pt idx="1426">
                  <c:v>0.85492865944423024</c:v>
                </c:pt>
                <c:pt idx="1427">
                  <c:v>0.85492865944423024</c:v>
                </c:pt>
                <c:pt idx="1428">
                  <c:v>0.85613540534641319</c:v>
                </c:pt>
                <c:pt idx="1429">
                  <c:v>0.85723851297402098</c:v>
                </c:pt>
                <c:pt idx="1430">
                  <c:v>0.86056800100437669</c:v>
                </c:pt>
                <c:pt idx="1431">
                  <c:v>0.86056800100437669</c:v>
                </c:pt>
                <c:pt idx="1432">
                  <c:v>0.86213218749333964</c:v>
                </c:pt>
                <c:pt idx="1433">
                  <c:v>0.86263572470122163</c:v>
                </c:pt>
                <c:pt idx="1434">
                  <c:v>0.86489423416025135</c:v>
                </c:pt>
                <c:pt idx="1435">
                  <c:v>0.86775873330759812</c:v>
                </c:pt>
                <c:pt idx="1436">
                  <c:v>0.87299165853586547</c:v>
                </c:pt>
                <c:pt idx="1437">
                  <c:v>0.87810804725033587</c:v>
                </c:pt>
                <c:pt idx="1438">
                  <c:v>0.88486557942674415</c:v>
                </c:pt>
                <c:pt idx="1439">
                  <c:v>0.88486557942674415</c:v>
                </c:pt>
                <c:pt idx="1440">
                  <c:v>0.88531250738747136</c:v>
                </c:pt>
                <c:pt idx="1441">
                  <c:v>0.88698298996627567</c:v>
                </c:pt>
                <c:pt idx="1442">
                  <c:v>0.88800584649483727</c:v>
                </c:pt>
                <c:pt idx="1443">
                  <c:v>0.88896569336505971</c:v>
                </c:pt>
                <c:pt idx="1444">
                  <c:v>0.89207229311055547</c:v>
                </c:pt>
                <c:pt idx="1445">
                  <c:v>0.89408390700733431</c:v>
                </c:pt>
                <c:pt idx="1446">
                  <c:v>0.89453248479562131</c:v>
                </c:pt>
                <c:pt idx="1447">
                  <c:v>0.89520641382263733</c:v>
                </c:pt>
                <c:pt idx="1448">
                  <c:v>0.90039433063289698</c:v>
                </c:pt>
                <c:pt idx="1449">
                  <c:v>0.90084088379483296</c:v>
                </c:pt>
                <c:pt idx="1450">
                  <c:v>0.90273703008363648</c:v>
                </c:pt>
                <c:pt idx="1451">
                  <c:v>0.90560328996090123</c:v>
                </c:pt>
                <c:pt idx="1452">
                  <c:v>0.90894028670038685</c:v>
                </c:pt>
                <c:pt idx="1453">
                  <c:v>0.90916389564420896</c:v>
                </c:pt>
                <c:pt idx="1454">
                  <c:v>0.91005976676433042</c:v>
                </c:pt>
                <c:pt idx="1455">
                  <c:v>0.91347969276621788</c:v>
                </c:pt>
                <c:pt idx="1456">
                  <c:v>0.91392269341363519</c:v>
                </c:pt>
                <c:pt idx="1457">
                  <c:v>0.91659274768182131</c:v>
                </c:pt>
                <c:pt idx="1458">
                  <c:v>0.9174873770324018</c:v>
                </c:pt>
                <c:pt idx="1459">
                  <c:v>0.9174873770324018</c:v>
                </c:pt>
                <c:pt idx="1460">
                  <c:v>0.9242453959820478</c:v>
                </c:pt>
                <c:pt idx="1461">
                  <c:v>0.92491563846673641</c:v>
                </c:pt>
                <c:pt idx="1462">
                  <c:v>0.92558719305698611</c:v>
                </c:pt>
                <c:pt idx="1463">
                  <c:v>0.92633254022089295</c:v>
                </c:pt>
                <c:pt idx="1464">
                  <c:v>0.933467833592318</c:v>
                </c:pt>
                <c:pt idx="1465">
                  <c:v>0.93503492825090018</c:v>
                </c:pt>
                <c:pt idx="1466">
                  <c:v>0.93777327702468061</c:v>
                </c:pt>
                <c:pt idx="1467">
                  <c:v>0.94066733624900345</c:v>
                </c:pt>
                <c:pt idx="1468">
                  <c:v>0.94111479247963925</c:v>
                </c:pt>
                <c:pt idx="1469">
                  <c:v>0.94178708988748883</c:v>
                </c:pt>
                <c:pt idx="1470">
                  <c:v>0.94246072560244309</c:v>
                </c:pt>
                <c:pt idx="1471">
                  <c:v>0.94268556875650023</c:v>
                </c:pt>
                <c:pt idx="1472">
                  <c:v>0.94291056105276494</c:v>
                </c:pt>
                <c:pt idx="1473">
                  <c:v>0.94313570260215207</c:v>
                </c:pt>
                <c:pt idx="1474">
                  <c:v>0.9487667968990946</c:v>
                </c:pt>
                <c:pt idx="1475">
                  <c:v>0.94943857309667845</c:v>
                </c:pt>
                <c:pt idx="1476">
                  <c:v>0.94966279789511998</c:v>
                </c:pt>
                <c:pt idx="1477">
                  <c:v>0.95033637202574173</c:v>
                </c:pt>
                <c:pt idx="1478">
                  <c:v>0.95101129807685614</c:v>
                </c:pt>
                <c:pt idx="1479">
                  <c:v>0.95753849133761337</c:v>
                </c:pt>
                <c:pt idx="1480">
                  <c:v>0.95753849133761337</c:v>
                </c:pt>
                <c:pt idx="1481">
                  <c:v>0.95753849133761337</c:v>
                </c:pt>
                <c:pt idx="1482">
                  <c:v>0.95776284309931026</c:v>
                </c:pt>
                <c:pt idx="1483">
                  <c:v>0.95866176299251848</c:v>
                </c:pt>
                <c:pt idx="1484">
                  <c:v>0.96357090606084284</c:v>
                </c:pt>
                <c:pt idx="1485">
                  <c:v>0.96902175808893865</c:v>
                </c:pt>
                <c:pt idx="1486">
                  <c:v>0.97441288614032495</c:v>
                </c:pt>
                <c:pt idx="1487">
                  <c:v>0.98138976916095499</c:v>
                </c:pt>
                <c:pt idx="1488">
                  <c:v>0.98161419962885577</c:v>
                </c:pt>
                <c:pt idx="1489">
                  <c:v>0.98183878492643328</c:v>
                </c:pt>
                <c:pt idx="1490">
                  <c:v>0.98370567397769704</c:v>
                </c:pt>
                <c:pt idx="1491">
                  <c:v>0.98370567397769704</c:v>
                </c:pt>
                <c:pt idx="1492">
                  <c:v>0.98792223245443933</c:v>
                </c:pt>
                <c:pt idx="1493">
                  <c:v>0.98881704553212757</c:v>
                </c:pt>
                <c:pt idx="1494">
                  <c:v>0.98926538572487488</c:v>
                </c:pt>
                <c:pt idx="1495">
                  <c:v>0.98993906554931588</c:v>
                </c:pt>
                <c:pt idx="1496">
                  <c:v>0.99038896640926477</c:v>
                </c:pt>
                <c:pt idx="1497">
                  <c:v>0.99076863766694967</c:v>
                </c:pt>
                <c:pt idx="1498">
                  <c:v>0.99602146458720375</c:v>
                </c:pt>
                <c:pt idx="1499">
                  <c:v>0.99781459110162474</c:v>
                </c:pt>
                <c:pt idx="1500">
                  <c:v>0.99826444466536512</c:v>
                </c:pt>
                <c:pt idx="1501">
                  <c:v>1.0005231884660233</c:v>
                </c:pt>
                <c:pt idx="1502">
                  <c:v>1.0061399065838259</c:v>
                </c:pt>
                <c:pt idx="1503">
                  <c:v>1.0086252071073831</c:v>
                </c:pt>
                <c:pt idx="1504">
                  <c:v>1.0122201773352806</c:v>
                </c:pt>
                <c:pt idx="1505">
                  <c:v>1.013116488754326</c:v>
                </c:pt>
                <c:pt idx="1506">
                  <c:v>1.013116488754326</c:v>
                </c:pt>
                <c:pt idx="1507">
                  <c:v>1.0144091094029171</c:v>
                </c:pt>
                <c:pt idx="1508">
                  <c:v>1.015667447025044</c:v>
                </c:pt>
                <c:pt idx="1509">
                  <c:v>1.0200958558842224</c:v>
                </c:pt>
                <c:pt idx="1510">
                  <c:v>1.0214410878988656</c:v>
                </c:pt>
                <c:pt idx="1511">
                  <c:v>1.0218907850633105</c:v>
                </c:pt>
                <c:pt idx="1512">
                  <c:v>1.026596094317954</c:v>
                </c:pt>
                <c:pt idx="1513">
                  <c:v>1.0293165632573689</c:v>
                </c:pt>
                <c:pt idx="1514">
                  <c:v>1.0295413022294642</c:v>
                </c:pt>
                <c:pt idx="1515">
                  <c:v>1.0380502292493436</c:v>
                </c:pt>
                <c:pt idx="1516">
                  <c:v>1.0388429136221622</c:v>
                </c:pt>
                <c:pt idx="1517">
                  <c:v>1.0408070416110324</c:v>
                </c:pt>
                <c:pt idx="1518">
                  <c:v>1.0441704192502477</c:v>
                </c:pt>
                <c:pt idx="1519">
                  <c:v>1.0480011592766461</c:v>
                </c:pt>
                <c:pt idx="1520">
                  <c:v>1.0518221920170263</c:v>
                </c:pt>
                <c:pt idx="1521">
                  <c:v>1.0556496322037261</c:v>
                </c:pt>
                <c:pt idx="1522">
                  <c:v>1.055876273585886</c:v>
                </c:pt>
                <c:pt idx="1523">
                  <c:v>1.0601455402077302</c:v>
                </c:pt>
                <c:pt idx="1524">
                  <c:v>1.0703504468303997</c:v>
                </c:pt>
                <c:pt idx="1525">
                  <c:v>1.0713998326951428</c:v>
                </c:pt>
                <c:pt idx="1526">
                  <c:v>1.0713998326951428</c:v>
                </c:pt>
                <c:pt idx="1527">
                  <c:v>1.0782720532585777</c:v>
                </c:pt>
                <c:pt idx="1528">
                  <c:v>1.0804326604836814</c:v>
                </c:pt>
                <c:pt idx="1529">
                  <c:v>1.0871499523680024</c:v>
                </c:pt>
                <c:pt idx="1530">
                  <c:v>1.0876032345815179</c:v>
                </c:pt>
                <c:pt idx="1531">
                  <c:v>1.0878301335941964</c:v>
                </c:pt>
                <c:pt idx="1532">
                  <c:v>1.0952515147837214</c:v>
                </c:pt>
                <c:pt idx="1533">
                  <c:v>1.0954782184276444</c:v>
                </c:pt>
                <c:pt idx="1534">
                  <c:v>1.0954782184276444</c:v>
                </c:pt>
                <c:pt idx="1535">
                  <c:v>1.0975031802010247</c:v>
                </c:pt>
                <c:pt idx="1536">
                  <c:v>1.0996723149360121</c:v>
                </c:pt>
                <c:pt idx="1537">
                  <c:v>1.1040342659902653</c:v>
                </c:pt>
                <c:pt idx="1538">
                  <c:v>1.1040616729686279</c:v>
                </c:pt>
                <c:pt idx="1539">
                  <c:v>1.1044891949223867</c:v>
                </c:pt>
                <c:pt idx="1540">
                  <c:v>1.1107749963364246</c:v>
                </c:pt>
                <c:pt idx="1541">
                  <c:v>1.1114549561370928</c:v>
                </c:pt>
                <c:pt idx="1542">
                  <c:v>1.1114549561370928</c:v>
                </c:pt>
                <c:pt idx="1543">
                  <c:v>1.1123640285711816</c:v>
                </c:pt>
                <c:pt idx="1544">
                  <c:v>1.1123640285711816</c:v>
                </c:pt>
                <c:pt idx="1545">
                  <c:v>1.115428158873065</c:v>
                </c:pt>
                <c:pt idx="1546">
                  <c:v>1.1197839936025069</c:v>
                </c:pt>
                <c:pt idx="1547">
                  <c:v>1.1200113272849841</c:v>
                </c:pt>
                <c:pt idx="1548">
                  <c:v>1.1274316938465434</c:v>
                </c:pt>
                <c:pt idx="1549">
                  <c:v>1.1311841894249639</c:v>
                </c:pt>
                <c:pt idx="1550">
                  <c:v>1.1359883885797051</c:v>
                </c:pt>
                <c:pt idx="1551">
                  <c:v>1.1364438575273879</c:v>
                </c:pt>
                <c:pt idx="1552">
                  <c:v>1.1368979555890717</c:v>
                </c:pt>
                <c:pt idx="1553">
                  <c:v>1.1422748403336687</c:v>
                </c:pt>
                <c:pt idx="1554">
                  <c:v>1.1422748403336687</c:v>
                </c:pt>
                <c:pt idx="1555">
                  <c:v>1.1431813526041603</c:v>
                </c:pt>
                <c:pt idx="1556">
                  <c:v>1.1501497690986719</c:v>
                </c:pt>
                <c:pt idx="1557">
                  <c:v>1.1519654498744241</c:v>
                </c:pt>
                <c:pt idx="1558">
                  <c:v>1.1591579652109718</c:v>
                </c:pt>
                <c:pt idx="1559">
                  <c:v>1.15938516926544</c:v>
                </c:pt>
                <c:pt idx="1560">
                  <c:v>1.1658995943436852</c:v>
                </c:pt>
                <c:pt idx="1561">
                  <c:v>1.167487240525996</c:v>
                </c:pt>
                <c:pt idx="1562">
                  <c:v>1.1751345778177833</c:v>
                </c:pt>
                <c:pt idx="1563">
                  <c:v>1.1753619069748906</c:v>
                </c:pt>
                <c:pt idx="1564">
                  <c:v>1.1767297820851166</c:v>
                </c:pt>
                <c:pt idx="1565">
                  <c:v>1.1839195724638638</c:v>
                </c:pt>
                <c:pt idx="1566">
                  <c:v>1.191566286950184</c:v>
                </c:pt>
                <c:pt idx="1567">
                  <c:v>1.191566286950184</c:v>
                </c:pt>
                <c:pt idx="1568">
                  <c:v>1.1992132314852391</c:v>
                </c:pt>
                <c:pt idx="1569">
                  <c:v>1.199668643623282</c:v>
                </c:pt>
                <c:pt idx="1570">
                  <c:v>1.199668643623282</c:v>
                </c:pt>
                <c:pt idx="1571">
                  <c:v>1.1998966337585826</c:v>
                </c:pt>
                <c:pt idx="1572">
                  <c:v>1.2052740117650202</c:v>
                </c:pt>
                <c:pt idx="1573">
                  <c:v>1.208227605804173</c:v>
                </c:pt>
                <c:pt idx="1574">
                  <c:v>1.2154176440926825</c:v>
                </c:pt>
                <c:pt idx="1575">
                  <c:v>1.2156455736274361</c:v>
                </c:pt>
                <c:pt idx="1576">
                  <c:v>1.2178460199407808</c:v>
                </c:pt>
                <c:pt idx="1577">
                  <c:v>1.2318507563480223</c:v>
                </c:pt>
                <c:pt idx="1578">
                  <c:v>1.2323078453423892</c:v>
                </c:pt>
                <c:pt idx="1579">
                  <c:v>1.2379636429312488</c:v>
                </c:pt>
                <c:pt idx="1580">
                  <c:v>1.2472118712967961</c:v>
                </c:pt>
                <c:pt idx="1581">
                  <c:v>1.2527489538171797</c:v>
                </c:pt>
                <c:pt idx="1582">
                  <c:v>1.2561593944206686</c:v>
                </c:pt>
                <c:pt idx="1583">
                  <c:v>1.2638048789374623</c:v>
                </c:pt>
                <c:pt idx="1584">
                  <c:v>1.2689505337394402</c:v>
                </c:pt>
                <c:pt idx="1585">
                  <c:v>1.2761477455988237</c:v>
                </c:pt>
                <c:pt idx="1586">
                  <c:v>1.2772779073357581</c:v>
                </c:pt>
                <c:pt idx="1587">
                  <c:v>1.280698546833182</c:v>
                </c:pt>
                <c:pt idx="1588">
                  <c:v>1.2830413946695711</c:v>
                </c:pt>
                <c:pt idx="1589">
                  <c:v>1.3045149333462531</c:v>
                </c:pt>
                <c:pt idx="1590">
                  <c:v>1.3045149333462531</c:v>
                </c:pt>
                <c:pt idx="1591">
                  <c:v>1.3066758117161019</c:v>
                </c:pt>
                <c:pt idx="1592">
                  <c:v>1.3092294137594034</c:v>
                </c:pt>
                <c:pt idx="1593">
                  <c:v>1.3099105717880792</c:v>
                </c:pt>
                <c:pt idx="1594">
                  <c:v>1.3414079802032521</c:v>
                </c:pt>
                <c:pt idx="1595">
                  <c:v>1.3515640707368906</c:v>
                </c:pt>
                <c:pt idx="1596">
                  <c:v>1.3576112196555163</c:v>
                </c:pt>
                <c:pt idx="1597">
                  <c:v>1.3729053689857607</c:v>
                </c:pt>
                <c:pt idx="1598">
                  <c:v>1.3890658002792677</c:v>
                </c:pt>
                <c:pt idx="1599">
                  <c:v>1.4224285903973033</c:v>
                </c:pt>
                <c:pt idx="1600">
                  <c:v>1.4348985698483145</c:v>
                </c:pt>
                <c:pt idx="1601">
                  <c:v>1.4437747247507053</c:v>
                </c:pt>
                <c:pt idx="1602">
                  <c:v>1.4463552516244109</c:v>
                </c:pt>
                <c:pt idx="1603">
                  <c:v>1.448493853655707</c:v>
                </c:pt>
                <c:pt idx="1604">
                  <c:v>1.4617975791977447</c:v>
                </c:pt>
                <c:pt idx="1605">
                  <c:v>1.4617975791977447</c:v>
                </c:pt>
                <c:pt idx="1606">
                  <c:v>1.474289523820308</c:v>
                </c:pt>
                <c:pt idx="1607">
                  <c:v>1.4775451710616032</c:v>
                </c:pt>
                <c:pt idx="1608">
                  <c:v>1.501166577773223</c:v>
                </c:pt>
                <c:pt idx="1609">
                  <c:v>1.516914205513094</c:v>
                </c:pt>
                <c:pt idx="1610">
                  <c:v>1.548812313792526</c:v>
                </c:pt>
                <c:pt idx="1611">
                  <c:v>1.5504243594100504</c:v>
                </c:pt>
                <c:pt idx="1612">
                  <c:v>1.5552441950892486</c:v>
                </c:pt>
                <c:pt idx="1613">
                  <c:v>1.5585732803812806</c:v>
                </c:pt>
                <c:pt idx="1614">
                  <c:v>1.5585732803812806</c:v>
                </c:pt>
                <c:pt idx="1615">
                  <c:v>1.6136857266692093</c:v>
                </c:pt>
                <c:pt idx="1616">
                  <c:v>1.6215589486297826</c:v>
                </c:pt>
                <c:pt idx="1617">
                  <c:v>1.6215589486297826</c:v>
                </c:pt>
                <c:pt idx="1618">
                  <c:v>1.7175337555052825</c:v>
                </c:pt>
                <c:pt idx="1619">
                  <c:v>1.7262119917111352</c:v>
                </c:pt>
                <c:pt idx="1620">
                  <c:v>1.7655750318460264</c:v>
                </c:pt>
                <c:pt idx="1621">
                  <c:v>1.7655750318460264</c:v>
                </c:pt>
                <c:pt idx="1622">
                  <c:v>1.7734476690293779</c:v>
                </c:pt>
                <c:pt idx="1623">
                  <c:v>1.7813203180618205</c:v>
                </c:pt>
                <c:pt idx="1624">
                  <c:v>1.8052474173912594</c:v>
                </c:pt>
                <c:pt idx="1625">
                  <c:v>1.8131292912265984</c:v>
                </c:pt>
                <c:pt idx="1626">
                  <c:v>1.8781055325175278</c:v>
                </c:pt>
                <c:pt idx="1627">
                  <c:v>1.8859775015469182</c:v>
                </c:pt>
                <c:pt idx="1628">
                  <c:v>1.9017214781924545</c:v>
                </c:pt>
                <c:pt idx="1629">
                  <c:v>1.9017214781924545</c:v>
                </c:pt>
                <c:pt idx="1630">
                  <c:v>1.9174655123725244</c:v>
                </c:pt>
                <c:pt idx="1631">
                  <c:v>1.9253375533200257</c:v>
                </c:pt>
                <c:pt idx="1632">
                  <c:v>1.9646980331429804</c:v>
                </c:pt>
                <c:pt idx="1633">
                  <c:v>1.9670301763419078</c:v>
                </c:pt>
                <c:pt idx="1634">
                  <c:v>2.0670381026652125</c:v>
                </c:pt>
                <c:pt idx="1635">
                  <c:v>2.0851000747940249</c:v>
                </c:pt>
                <c:pt idx="1636">
                  <c:v>2.1087145852351155</c:v>
                </c:pt>
                <c:pt idx="1637">
                  <c:v>2.1818963826701916</c:v>
                </c:pt>
                <c:pt idx="1638">
                  <c:v>2.2291208841534038</c:v>
                </c:pt>
                <c:pt idx="1639">
                  <c:v>2.236991725919987</c:v>
                </c:pt>
                <c:pt idx="1640">
                  <c:v>2.236991725919987</c:v>
                </c:pt>
                <c:pt idx="1641">
                  <c:v>2.236991725919987</c:v>
                </c:pt>
                <c:pt idx="1642">
                  <c:v>2.3416637597646837</c:v>
                </c:pt>
                <c:pt idx="1643">
                  <c:v>2.3652740310542679</c:v>
                </c:pt>
                <c:pt idx="1644">
                  <c:v>2.3888845824129725</c:v>
                </c:pt>
                <c:pt idx="1645">
                  <c:v>2.420365795789972</c:v>
                </c:pt>
                <c:pt idx="1646">
                  <c:v>2.4361066238540796</c:v>
                </c:pt>
                <c:pt idx="1647">
                  <c:v>2.5148132698148755</c:v>
                </c:pt>
                <c:pt idx="1648">
                  <c:v>2.5226841858335303</c:v>
                </c:pt>
              </c:numCache>
            </c:numRef>
          </c:yVal>
          <c:smooth val="0"/>
          <c:extLst>
            <c:ext xmlns:c16="http://schemas.microsoft.com/office/drawing/2014/chart" uri="{C3380CC4-5D6E-409C-BE32-E72D297353CC}">
              <c16:uniqueId val="{00000001-DAE3-4B33-AA9F-6BC6501BB919}"/>
            </c:ext>
          </c:extLst>
        </c:ser>
        <c:dLbls>
          <c:showLegendKey val="0"/>
          <c:showVal val="0"/>
          <c:showCatName val="0"/>
          <c:showSerName val="0"/>
          <c:showPercent val="0"/>
          <c:showBubbleSize val="0"/>
        </c:dLbls>
        <c:axId val="145760591"/>
        <c:axId val="145761551"/>
      </c:scatterChart>
      <c:valAx>
        <c:axId val="145760591"/>
        <c:scaling>
          <c:orientation val="minMax"/>
          <c:max val="2.6570161854420777"/>
          <c:min val="-5.090603373422125"/>
        </c:scaling>
        <c:delete val="0"/>
        <c:axPos val="b"/>
        <c:majorGridlines/>
        <c:title>
          <c:tx>
            <c:rich>
              <a:bodyPr/>
              <a:lstStyle/>
              <a:p>
                <a:pPr>
                  <a:defRPr/>
                </a:pPr>
                <a:r>
                  <a:rPr lang="en-US"/>
                  <a:t>Theoretical Quantiles</a:t>
                </a:r>
              </a:p>
            </c:rich>
          </c:tx>
          <c:overlay val="0"/>
        </c:title>
        <c:numFmt formatCode="0" sourceLinked="0"/>
        <c:majorTickMark val="out"/>
        <c:minorTickMark val="none"/>
        <c:tickLblPos val="nextTo"/>
        <c:crossAx val="145761551"/>
        <c:crosses val="autoZero"/>
        <c:crossBetween val="midCat"/>
      </c:valAx>
      <c:valAx>
        <c:axId val="145761551"/>
        <c:scaling>
          <c:orientation val="minMax"/>
          <c:max val="2.6570161854420777"/>
          <c:min val="-5.090603373422125"/>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14576059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userShapes r:id="rId1"/>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Actual vs. Predicted</a:t>
            </a:r>
          </a:p>
        </c:rich>
      </c:tx>
      <c:overlay val="0"/>
      <c:spPr>
        <a:solidFill>
          <a:srgbClr val="CAEDFB"/>
        </a:solidFill>
      </c:sp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1649"/>
                <c:pt idx="0">
                  <c:v>64.627772433049671</c:v>
                </c:pt>
                <c:pt idx="1">
                  <c:v>64.23323355868493</c:v>
                </c:pt>
                <c:pt idx="2">
                  <c:v>64.381185636571701</c:v>
                </c:pt>
                <c:pt idx="3">
                  <c:v>64.18391619938933</c:v>
                </c:pt>
                <c:pt idx="4">
                  <c:v>64.035964121502559</c:v>
                </c:pt>
                <c:pt idx="5">
                  <c:v>63.838694684320188</c:v>
                </c:pt>
                <c:pt idx="6">
                  <c:v>63.740059965729003</c:v>
                </c:pt>
                <c:pt idx="7">
                  <c:v>63.444155809955447</c:v>
                </c:pt>
                <c:pt idx="8">
                  <c:v>63.049616935590706</c:v>
                </c:pt>
                <c:pt idx="9">
                  <c:v>63.049616935590706</c:v>
                </c:pt>
                <c:pt idx="10">
                  <c:v>63.246886372773076</c:v>
                </c:pt>
                <c:pt idx="11">
                  <c:v>63.148251654181891</c:v>
                </c:pt>
                <c:pt idx="12">
                  <c:v>63.049616935590706</c:v>
                </c:pt>
                <c:pt idx="13">
                  <c:v>77.45028584990375</c:v>
                </c:pt>
                <c:pt idx="14">
                  <c:v>62.013952390383267</c:v>
                </c:pt>
                <c:pt idx="15">
                  <c:v>61.767365593905296</c:v>
                </c:pt>
                <c:pt idx="16">
                  <c:v>73.948753339916664</c:v>
                </c:pt>
                <c:pt idx="17">
                  <c:v>77.20369905342578</c:v>
                </c:pt>
                <c:pt idx="18">
                  <c:v>73.455579746960737</c:v>
                </c:pt>
                <c:pt idx="19">
                  <c:v>73.356945028369552</c:v>
                </c:pt>
                <c:pt idx="20">
                  <c:v>73.258310309778381</c:v>
                </c:pt>
                <c:pt idx="21">
                  <c:v>73.110358231891595</c:v>
                </c:pt>
                <c:pt idx="22">
                  <c:v>73.110358231891595</c:v>
                </c:pt>
                <c:pt idx="23">
                  <c:v>77.548920568494935</c:v>
                </c:pt>
                <c:pt idx="24">
                  <c:v>77.154381694130194</c:v>
                </c:pt>
                <c:pt idx="25">
                  <c:v>72.715819357526854</c:v>
                </c:pt>
                <c:pt idx="26">
                  <c:v>76.858477538356638</c:v>
                </c:pt>
                <c:pt idx="27">
                  <c:v>76.759842819765453</c:v>
                </c:pt>
                <c:pt idx="28">
                  <c:v>76.710525460469853</c:v>
                </c:pt>
                <c:pt idx="29">
                  <c:v>76.858477538356638</c:v>
                </c:pt>
                <c:pt idx="30">
                  <c:v>76.907794897652224</c:v>
                </c:pt>
                <c:pt idx="31">
                  <c:v>77.055746975539009</c:v>
                </c:pt>
                <c:pt idx="32">
                  <c:v>77.055746975539009</c:v>
                </c:pt>
                <c:pt idx="33">
                  <c:v>72.074693686684157</c:v>
                </c:pt>
                <c:pt idx="34">
                  <c:v>72.025376327388557</c:v>
                </c:pt>
                <c:pt idx="35">
                  <c:v>71.877424249501786</c:v>
                </c:pt>
                <c:pt idx="36">
                  <c:v>71.729472171615001</c:v>
                </c:pt>
                <c:pt idx="37">
                  <c:v>71.53220273443263</c:v>
                </c:pt>
                <c:pt idx="38">
                  <c:v>71.384250656545859</c:v>
                </c:pt>
                <c:pt idx="39">
                  <c:v>71.236298578659074</c:v>
                </c:pt>
                <c:pt idx="40">
                  <c:v>71.088346500772303</c:v>
                </c:pt>
                <c:pt idx="41">
                  <c:v>70.891077063589933</c:v>
                </c:pt>
                <c:pt idx="42">
                  <c:v>76.907794897652224</c:v>
                </c:pt>
                <c:pt idx="43">
                  <c:v>60.435796892924301</c:v>
                </c:pt>
                <c:pt idx="44">
                  <c:v>60.090575377855153</c:v>
                </c:pt>
                <c:pt idx="45">
                  <c:v>59.942623299968375</c:v>
                </c:pt>
                <c:pt idx="46">
                  <c:v>59.794671222081597</c:v>
                </c:pt>
                <c:pt idx="47">
                  <c:v>59.597401784899226</c:v>
                </c:pt>
                <c:pt idx="48">
                  <c:v>59.400132347716855</c:v>
                </c:pt>
                <c:pt idx="49">
                  <c:v>59.30149762912567</c:v>
                </c:pt>
                <c:pt idx="50">
                  <c:v>59.104228191943299</c:v>
                </c:pt>
                <c:pt idx="51">
                  <c:v>71.778789530910601</c:v>
                </c:pt>
                <c:pt idx="52">
                  <c:v>71.729472171615001</c:v>
                </c:pt>
                <c:pt idx="53">
                  <c:v>77.006429616243409</c:v>
                </c:pt>
                <c:pt idx="54">
                  <c:v>77.006429616243409</c:v>
                </c:pt>
                <c:pt idx="55">
                  <c:v>71.630837453023815</c:v>
                </c:pt>
                <c:pt idx="56">
                  <c:v>71.384250656545859</c:v>
                </c:pt>
                <c:pt idx="57">
                  <c:v>71.384250656545859</c:v>
                </c:pt>
                <c:pt idx="58">
                  <c:v>71.236298578659074</c:v>
                </c:pt>
                <c:pt idx="59">
                  <c:v>71.334933297250259</c:v>
                </c:pt>
                <c:pt idx="60">
                  <c:v>71.334933297250259</c:v>
                </c:pt>
                <c:pt idx="61">
                  <c:v>76.957112256947823</c:v>
                </c:pt>
                <c:pt idx="62">
                  <c:v>70.841759704294333</c:v>
                </c:pt>
                <c:pt idx="63">
                  <c:v>70.792442344998747</c:v>
                </c:pt>
                <c:pt idx="64">
                  <c:v>77.006429616243409</c:v>
                </c:pt>
                <c:pt idx="65">
                  <c:v>71.53220273443263</c:v>
                </c:pt>
                <c:pt idx="66">
                  <c:v>71.630837453023815</c:v>
                </c:pt>
                <c:pt idx="67">
                  <c:v>71.285615937954674</c:v>
                </c:pt>
                <c:pt idx="68">
                  <c:v>71.088346500772303</c:v>
                </c:pt>
                <c:pt idx="69">
                  <c:v>70.841759704294333</c:v>
                </c:pt>
                <c:pt idx="70">
                  <c:v>76.907794897652224</c:v>
                </c:pt>
                <c:pt idx="71">
                  <c:v>71.088346500772303</c:v>
                </c:pt>
                <c:pt idx="72">
                  <c:v>70.644490267111962</c:v>
                </c:pt>
                <c:pt idx="73">
                  <c:v>70.841759704294333</c:v>
                </c:pt>
                <c:pt idx="74">
                  <c:v>71.088346500772303</c:v>
                </c:pt>
                <c:pt idx="75">
                  <c:v>70.989711782181118</c:v>
                </c:pt>
                <c:pt idx="76">
                  <c:v>70.989711782181118</c:v>
                </c:pt>
                <c:pt idx="77">
                  <c:v>70.644490267111962</c:v>
                </c:pt>
                <c:pt idx="78">
                  <c:v>70.595172907816377</c:v>
                </c:pt>
                <c:pt idx="79">
                  <c:v>77.302333772016965</c:v>
                </c:pt>
                <c:pt idx="80">
                  <c:v>74.589879010759375</c:v>
                </c:pt>
                <c:pt idx="81">
                  <c:v>74.589879010759375</c:v>
                </c:pt>
                <c:pt idx="82">
                  <c:v>74.49124429216819</c:v>
                </c:pt>
                <c:pt idx="83">
                  <c:v>74.44192693287259</c:v>
                </c:pt>
                <c:pt idx="84">
                  <c:v>74.343292214281405</c:v>
                </c:pt>
                <c:pt idx="85">
                  <c:v>74.343292214281405</c:v>
                </c:pt>
                <c:pt idx="86">
                  <c:v>74.343292214281405</c:v>
                </c:pt>
                <c:pt idx="87">
                  <c:v>74.343292214281405</c:v>
                </c:pt>
                <c:pt idx="88">
                  <c:v>74.293974854985819</c:v>
                </c:pt>
                <c:pt idx="89">
                  <c:v>74.195340136394634</c:v>
                </c:pt>
                <c:pt idx="90">
                  <c:v>74.096705417803449</c:v>
                </c:pt>
                <c:pt idx="91">
                  <c:v>73.998070699212263</c:v>
                </c:pt>
                <c:pt idx="92">
                  <c:v>73.899435980621078</c:v>
                </c:pt>
                <c:pt idx="93">
                  <c:v>74.343292214281405</c:v>
                </c:pt>
                <c:pt idx="94">
                  <c:v>74.24465749569022</c:v>
                </c:pt>
                <c:pt idx="95">
                  <c:v>77.253016412721379</c:v>
                </c:pt>
                <c:pt idx="96">
                  <c:v>73.998070699212263</c:v>
                </c:pt>
                <c:pt idx="97">
                  <c:v>73.899435980621078</c:v>
                </c:pt>
                <c:pt idx="98">
                  <c:v>73.800801262029893</c:v>
                </c:pt>
                <c:pt idx="99">
                  <c:v>73.850118621325478</c:v>
                </c:pt>
                <c:pt idx="100">
                  <c:v>77.20369905342578</c:v>
                </c:pt>
                <c:pt idx="101">
                  <c:v>73.603531824847522</c:v>
                </c:pt>
                <c:pt idx="102">
                  <c:v>73.406262387665151</c:v>
                </c:pt>
                <c:pt idx="103">
                  <c:v>73.356945028369552</c:v>
                </c:pt>
                <c:pt idx="104">
                  <c:v>73.258310309778381</c:v>
                </c:pt>
                <c:pt idx="105">
                  <c:v>77.154381694130194</c:v>
                </c:pt>
                <c:pt idx="106">
                  <c:v>73.06104087259601</c:v>
                </c:pt>
                <c:pt idx="107">
                  <c:v>72.863771435413639</c:v>
                </c:pt>
                <c:pt idx="108">
                  <c:v>71.729472171615001</c:v>
                </c:pt>
                <c:pt idx="109">
                  <c:v>71.630837453023815</c:v>
                </c:pt>
                <c:pt idx="110">
                  <c:v>71.53220273443263</c:v>
                </c:pt>
                <c:pt idx="111">
                  <c:v>71.433568015841445</c:v>
                </c:pt>
                <c:pt idx="112">
                  <c:v>76.957112256947823</c:v>
                </c:pt>
                <c:pt idx="113">
                  <c:v>71.088346500772303</c:v>
                </c:pt>
                <c:pt idx="114">
                  <c:v>70.644490267111962</c:v>
                </c:pt>
                <c:pt idx="115">
                  <c:v>76.907794897652224</c:v>
                </c:pt>
                <c:pt idx="116">
                  <c:v>70.003364596269265</c:v>
                </c:pt>
                <c:pt idx="117">
                  <c:v>69.608825721904523</c:v>
                </c:pt>
                <c:pt idx="118">
                  <c:v>70.003364596269265</c:v>
                </c:pt>
                <c:pt idx="119">
                  <c:v>70.003364596269265</c:v>
                </c:pt>
                <c:pt idx="120">
                  <c:v>70.397903470634006</c:v>
                </c:pt>
                <c:pt idx="121">
                  <c:v>71.088346500772303</c:v>
                </c:pt>
                <c:pt idx="122">
                  <c:v>70.940394422885518</c:v>
                </c:pt>
                <c:pt idx="123">
                  <c:v>70.841759704294333</c:v>
                </c:pt>
                <c:pt idx="124">
                  <c:v>76.907794897652224</c:v>
                </c:pt>
                <c:pt idx="125">
                  <c:v>70.595172907816377</c:v>
                </c:pt>
                <c:pt idx="126">
                  <c:v>70.496538189225191</c:v>
                </c:pt>
                <c:pt idx="127">
                  <c:v>70.348586111338406</c:v>
                </c:pt>
                <c:pt idx="128">
                  <c:v>70.151316674156035</c:v>
                </c:pt>
                <c:pt idx="129">
                  <c:v>70.10199931486045</c:v>
                </c:pt>
                <c:pt idx="130">
                  <c:v>69.954047236973665</c:v>
                </c:pt>
                <c:pt idx="131">
                  <c:v>69.806095159086894</c:v>
                </c:pt>
                <c:pt idx="132">
                  <c:v>69.658143081200109</c:v>
                </c:pt>
                <c:pt idx="133">
                  <c:v>67.784083427967602</c:v>
                </c:pt>
                <c:pt idx="134">
                  <c:v>76.463938663991897</c:v>
                </c:pt>
                <c:pt idx="135">
                  <c:v>68.030670224445558</c:v>
                </c:pt>
                <c:pt idx="136">
                  <c:v>66.156610571213037</c:v>
                </c:pt>
                <c:pt idx="137">
                  <c:v>66.649784164168963</c:v>
                </c:pt>
                <c:pt idx="138">
                  <c:v>66.452514726986593</c:v>
                </c:pt>
                <c:pt idx="139">
                  <c:v>66.551149445577778</c:v>
                </c:pt>
                <c:pt idx="140">
                  <c:v>66.452514726986593</c:v>
                </c:pt>
                <c:pt idx="141">
                  <c:v>65.614119618961524</c:v>
                </c:pt>
                <c:pt idx="142">
                  <c:v>65.170263385301183</c:v>
                </c:pt>
                <c:pt idx="143">
                  <c:v>65.416850181779154</c:v>
                </c:pt>
                <c:pt idx="144">
                  <c:v>65.120946026005598</c:v>
                </c:pt>
                <c:pt idx="145">
                  <c:v>64.677089792345257</c:v>
                </c:pt>
                <c:pt idx="146">
                  <c:v>65.071628666709998</c:v>
                </c:pt>
                <c:pt idx="147">
                  <c:v>65.416850181779154</c:v>
                </c:pt>
                <c:pt idx="148">
                  <c:v>73.850118621325478</c:v>
                </c:pt>
                <c:pt idx="149">
                  <c:v>73.800801262029893</c:v>
                </c:pt>
                <c:pt idx="150">
                  <c:v>73.751483902734293</c:v>
                </c:pt>
                <c:pt idx="151">
                  <c:v>77.20369905342578</c:v>
                </c:pt>
                <c:pt idx="152">
                  <c:v>73.603531824847522</c:v>
                </c:pt>
                <c:pt idx="153">
                  <c:v>73.406262387665151</c:v>
                </c:pt>
                <c:pt idx="154">
                  <c:v>73.307627669073966</c:v>
                </c:pt>
                <c:pt idx="155">
                  <c:v>73.356945028369552</c:v>
                </c:pt>
                <c:pt idx="156">
                  <c:v>73.406262387665151</c:v>
                </c:pt>
                <c:pt idx="157">
                  <c:v>73.208992950482781</c:v>
                </c:pt>
                <c:pt idx="158">
                  <c:v>73.110358231891595</c:v>
                </c:pt>
                <c:pt idx="159">
                  <c:v>72.913088794709225</c:v>
                </c:pt>
                <c:pt idx="160">
                  <c:v>72.715819357526854</c:v>
                </c:pt>
                <c:pt idx="161">
                  <c:v>77.548920568494935</c:v>
                </c:pt>
                <c:pt idx="162">
                  <c:v>77.055746975539009</c:v>
                </c:pt>
                <c:pt idx="163">
                  <c:v>68.869065332470626</c:v>
                </c:pt>
                <c:pt idx="164">
                  <c:v>76.710525460469853</c:v>
                </c:pt>
                <c:pt idx="165">
                  <c:v>68.277257020923514</c:v>
                </c:pt>
                <c:pt idx="166">
                  <c:v>68.326574380219114</c:v>
                </c:pt>
                <c:pt idx="167">
                  <c:v>68.425209098810299</c:v>
                </c:pt>
                <c:pt idx="168">
                  <c:v>68.523843817401485</c:v>
                </c:pt>
                <c:pt idx="169">
                  <c:v>68.671795895288255</c:v>
                </c:pt>
                <c:pt idx="170">
                  <c:v>68.671795895288255</c:v>
                </c:pt>
                <c:pt idx="171">
                  <c:v>68.523843817401485</c:v>
                </c:pt>
                <c:pt idx="172">
                  <c:v>68.178622302332343</c:v>
                </c:pt>
                <c:pt idx="173">
                  <c:v>67.882718146558773</c:v>
                </c:pt>
                <c:pt idx="174">
                  <c:v>76.562573382583082</c:v>
                </c:pt>
                <c:pt idx="175">
                  <c:v>67.784083427967602</c:v>
                </c:pt>
                <c:pt idx="176">
                  <c:v>76.562573382583082</c:v>
                </c:pt>
                <c:pt idx="177">
                  <c:v>67.932035505854373</c:v>
                </c:pt>
                <c:pt idx="178">
                  <c:v>65.170263385301183</c:v>
                </c:pt>
                <c:pt idx="179">
                  <c:v>65.219580744596783</c:v>
                </c:pt>
                <c:pt idx="180">
                  <c:v>65.219580744596783</c:v>
                </c:pt>
                <c:pt idx="181">
                  <c:v>65.219580744596783</c:v>
                </c:pt>
                <c:pt idx="182">
                  <c:v>65.071628666709998</c:v>
                </c:pt>
                <c:pt idx="183">
                  <c:v>64.825041870232042</c:v>
                </c:pt>
                <c:pt idx="184">
                  <c:v>63.888012043615781</c:v>
                </c:pt>
                <c:pt idx="185">
                  <c:v>63.641425247137818</c:v>
                </c:pt>
                <c:pt idx="186">
                  <c:v>63.592107887842225</c:v>
                </c:pt>
                <c:pt idx="187">
                  <c:v>63.542790528546632</c:v>
                </c:pt>
                <c:pt idx="188">
                  <c:v>63.542790528546632</c:v>
                </c:pt>
                <c:pt idx="189">
                  <c:v>63.542790528546632</c:v>
                </c:pt>
                <c:pt idx="190">
                  <c:v>63.641425247137818</c:v>
                </c:pt>
                <c:pt idx="191">
                  <c:v>66.945688319942519</c:v>
                </c:pt>
                <c:pt idx="192">
                  <c:v>66.797736242055748</c:v>
                </c:pt>
                <c:pt idx="193">
                  <c:v>66.600466804873378</c:v>
                </c:pt>
                <c:pt idx="194">
                  <c:v>66.501832086282192</c:v>
                </c:pt>
                <c:pt idx="195">
                  <c:v>66.353880008395407</c:v>
                </c:pt>
                <c:pt idx="196">
                  <c:v>66.156610571213037</c:v>
                </c:pt>
                <c:pt idx="197">
                  <c:v>66.057975852621851</c:v>
                </c:pt>
                <c:pt idx="198">
                  <c:v>65.860706415439481</c:v>
                </c:pt>
                <c:pt idx="199">
                  <c:v>65.515484900370339</c:v>
                </c:pt>
                <c:pt idx="200">
                  <c:v>65.071628666709998</c:v>
                </c:pt>
                <c:pt idx="201">
                  <c:v>64.627772433049671</c:v>
                </c:pt>
                <c:pt idx="202">
                  <c:v>64.134598840093744</c:v>
                </c:pt>
                <c:pt idx="203">
                  <c:v>63.69074260643341</c:v>
                </c:pt>
                <c:pt idx="204">
                  <c:v>76.168034508218341</c:v>
                </c:pt>
                <c:pt idx="205">
                  <c:v>62.21122182756563</c:v>
                </c:pt>
                <c:pt idx="206">
                  <c:v>73.208992950482781</c:v>
                </c:pt>
                <c:pt idx="207">
                  <c:v>77.154381694130194</c:v>
                </c:pt>
                <c:pt idx="208">
                  <c:v>73.06104087259601</c:v>
                </c:pt>
                <c:pt idx="209">
                  <c:v>73.06104087259601</c:v>
                </c:pt>
                <c:pt idx="210">
                  <c:v>72.96240615400481</c:v>
                </c:pt>
                <c:pt idx="211">
                  <c:v>72.814454076118039</c:v>
                </c:pt>
                <c:pt idx="212">
                  <c:v>72.76513671682244</c:v>
                </c:pt>
                <c:pt idx="213">
                  <c:v>76.809160179061038</c:v>
                </c:pt>
                <c:pt idx="214">
                  <c:v>77.548920568494935</c:v>
                </c:pt>
                <c:pt idx="215">
                  <c:v>77.006429616243409</c:v>
                </c:pt>
                <c:pt idx="216">
                  <c:v>72.715819357526854</c:v>
                </c:pt>
                <c:pt idx="217">
                  <c:v>64.381185636571701</c:v>
                </c:pt>
                <c:pt idx="218">
                  <c:v>63.49347316925104</c:v>
                </c:pt>
                <c:pt idx="219">
                  <c:v>77.45028584990375</c:v>
                </c:pt>
                <c:pt idx="220">
                  <c:v>61.570096156722926</c:v>
                </c:pt>
                <c:pt idx="221">
                  <c:v>60.386479533628702</c:v>
                </c:pt>
                <c:pt idx="222">
                  <c:v>58.216515724622631</c:v>
                </c:pt>
                <c:pt idx="223">
                  <c:v>56.539725508572488</c:v>
                </c:pt>
                <c:pt idx="224">
                  <c:v>56.095869274912147</c:v>
                </c:pt>
                <c:pt idx="225">
                  <c:v>53.383414513654557</c:v>
                </c:pt>
                <c:pt idx="226">
                  <c:v>49.684612566485114</c:v>
                </c:pt>
                <c:pt idx="227">
                  <c:v>45.443319667064152</c:v>
                </c:pt>
                <c:pt idx="228">
                  <c:v>43.421307935944853</c:v>
                </c:pt>
                <c:pt idx="229">
                  <c:v>43.125403780171304</c:v>
                </c:pt>
                <c:pt idx="230">
                  <c:v>44.11175096608315</c:v>
                </c:pt>
                <c:pt idx="231">
                  <c:v>45.689906463542115</c:v>
                </c:pt>
                <c:pt idx="232">
                  <c:v>70.496538189225191</c:v>
                </c:pt>
                <c:pt idx="233">
                  <c:v>70.397903470634006</c:v>
                </c:pt>
                <c:pt idx="234">
                  <c:v>70.299268752042821</c:v>
                </c:pt>
                <c:pt idx="235">
                  <c:v>70.10199931486045</c:v>
                </c:pt>
                <c:pt idx="236">
                  <c:v>70.003364596269265</c:v>
                </c:pt>
                <c:pt idx="237">
                  <c:v>69.855412518382479</c:v>
                </c:pt>
                <c:pt idx="238">
                  <c:v>69.806095159086894</c:v>
                </c:pt>
                <c:pt idx="239">
                  <c:v>69.756777799791294</c:v>
                </c:pt>
                <c:pt idx="240">
                  <c:v>69.658143081200109</c:v>
                </c:pt>
                <c:pt idx="241">
                  <c:v>69.559508362608923</c:v>
                </c:pt>
                <c:pt idx="242">
                  <c:v>76.759842819765453</c:v>
                </c:pt>
                <c:pt idx="243">
                  <c:v>69.115652128948597</c:v>
                </c:pt>
                <c:pt idx="244">
                  <c:v>68.918382691766226</c:v>
                </c:pt>
                <c:pt idx="245">
                  <c:v>68.770430613879455</c:v>
                </c:pt>
                <c:pt idx="246">
                  <c:v>68.573161176697084</c:v>
                </c:pt>
                <c:pt idx="247">
                  <c:v>70.792442344998747</c:v>
                </c:pt>
                <c:pt idx="248">
                  <c:v>76.907794897652224</c:v>
                </c:pt>
                <c:pt idx="249">
                  <c:v>70.743124985703147</c:v>
                </c:pt>
                <c:pt idx="250">
                  <c:v>70.496538189225191</c:v>
                </c:pt>
                <c:pt idx="251">
                  <c:v>70.348586111338406</c:v>
                </c:pt>
                <c:pt idx="252">
                  <c:v>70.10199931486045</c:v>
                </c:pt>
                <c:pt idx="253">
                  <c:v>69.954047236973665</c:v>
                </c:pt>
                <c:pt idx="254">
                  <c:v>69.855412518382479</c:v>
                </c:pt>
                <c:pt idx="255">
                  <c:v>69.658143081200109</c:v>
                </c:pt>
                <c:pt idx="256">
                  <c:v>76.809160179061038</c:v>
                </c:pt>
                <c:pt idx="257">
                  <c:v>69.855412518382479</c:v>
                </c:pt>
                <c:pt idx="258">
                  <c:v>69.954047236973665</c:v>
                </c:pt>
                <c:pt idx="259">
                  <c:v>69.855412518382479</c:v>
                </c:pt>
                <c:pt idx="260">
                  <c:v>76.809160179061038</c:v>
                </c:pt>
                <c:pt idx="261">
                  <c:v>69.559508362608923</c:v>
                </c:pt>
                <c:pt idx="262">
                  <c:v>64.381185636571701</c:v>
                </c:pt>
                <c:pt idx="263">
                  <c:v>76.266669226809526</c:v>
                </c:pt>
                <c:pt idx="264">
                  <c:v>64.23323355868493</c:v>
                </c:pt>
                <c:pt idx="265">
                  <c:v>64.035964121502559</c:v>
                </c:pt>
                <c:pt idx="266">
                  <c:v>63.838694684320188</c:v>
                </c:pt>
                <c:pt idx="267">
                  <c:v>63.641425247137818</c:v>
                </c:pt>
                <c:pt idx="268">
                  <c:v>63.394838450659854</c:v>
                </c:pt>
                <c:pt idx="269">
                  <c:v>63.148251654181891</c:v>
                </c:pt>
                <c:pt idx="270">
                  <c:v>76.020082430331556</c:v>
                </c:pt>
                <c:pt idx="271">
                  <c:v>62.95098221699952</c:v>
                </c:pt>
                <c:pt idx="272">
                  <c:v>75.97076507103597</c:v>
                </c:pt>
                <c:pt idx="273">
                  <c:v>62.21122182756563</c:v>
                </c:pt>
                <c:pt idx="274">
                  <c:v>61.767365593905296</c:v>
                </c:pt>
                <c:pt idx="275">
                  <c:v>75.97076507103597</c:v>
                </c:pt>
                <c:pt idx="276">
                  <c:v>60.928970485880228</c:v>
                </c:pt>
                <c:pt idx="277">
                  <c:v>75.872130352444785</c:v>
                </c:pt>
                <c:pt idx="278">
                  <c:v>60.090575377855153</c:v>
                </c:pt>
                <c:pt idx="279">
                  <c:v>59.794671222081597</c:v>
                </c:pt>
                <c:pt idx="280">
                  <c:v>59.400132347716855</c:v>
                </c:pt>
                <c:pt idx="281">
                  <c:v>58.956276114056521</c:v>
                </c:pt>
                <c:pt idx="282">
                  <c:v>71.828106890206186</c:v>
                </c:pt>
                <c:pt idx="283">
                  <c:v>77.006429616243409</c:v>
                </c:pt>
                <c:pt idx="284">
                  <c:v>71.630837453023815</c:v>
                </c:pt>
                <c:pt idx="285">
                  <c:v>71.58152009372823</c:v>
                </c:pt>
                <c:pt idx="286">
                  <c:v>71.53220273443263</c:v>
                </c:pt>
                <c:pt idx="287">
                  <c:v>71.482885375137045</c:v>
                </c:pt>
                <c:pt idx="288">
                  <c:v>71.482885375137045</c:v>
                </c:pt>
                <c:pt idx="289">
                  <c:v>71.384250656545859</c:v>
                </c:pt>
                <c:pt idx="290">
                  <c:v>71.236298578659074</c:v>
                </c:pt>
                <c:pt idx="291">
                  <c:v>70.989711782181118</c:v>
                </c:pt>
                <c:pt idx="292">
                  <c:v>76.907794897652224</c:v>
                </c:pt>
                <c:pt idx="293">
                  <c:v>70.496538189225191</c:v>
                </c:pt>
                <c:pt idx="294">
                  <c:v>70.299268752042821</c:v>
                </c:pt>
                <c:pt idx="295">
                  <c:v>68.770430613879455</c:v>
                </c:pt>
                <c:pt idx="296">
                  <c:v>68.573161176697084</c:v>
                </c:pt>
                <c:pt idx="297">
                  <c:v>68.425209098810299</c:v>
                </c:pt>
                <c:pt idx="298">
                  <c:v>76.661208101174267</c:v>
                </c:pt>
                <c:pt idx="299">
                  <c:v>68.129304943036743</c:v>
                </c:pt>
                <c:pt idx="300">
                  <c:v>67.981352865149972</c:v>
                </c:pt>
                <c:pt idx="301">
                  <c:v>67.784083427967602</c:v>
                </c:pt>
                <c:pt idx="302">
                  <c:v>76.414621304696297</c:v>
                </c:pt>
                <c:pt idx="303">
                  <c:v>66.945688319942519</c:v>
                </c:pt>
                <c:pt idx="304">
                  <c:v>59.548084425603633</c:v>
                </c:pt>
                <c:pt idx="305">
                  <c:v>59.646719144194819</c:v>
                </c:pt>
                <c:pt idx="306">
                  <c:v>59.400132347716855</c:v>
                </c:pt>
                <c:pt idx="307">
                  <c:v>59.30149762912567</c:v>
                </c:pt>
                <c:pt idx="308">
                  <c:v>75.773495633853599</c:v>
                </c:pt>
                <c:pt idx="309">
                  <c:v>59.202862910534485</c:v>
                </c:pt>
                <c:pt idx="310">
                  <c:v>58.759006676874151</c:v>
                </c:pt>
                <c:pt idx="311">
                  <c:v>58.117881006031446</c:v>
                </c:pt>
                <c:pt idx="312">
                  <c:v>58.167198365327039</c:v>
                </c:pt>
                <c:pt idx="313">
                  <c:v>77.40096849060815</c:v>
                </c:pt>
                <c:pt idx="314">
                  <c:v>74.392609573577005</c:v>
                </c:pt>
                <c:pt idx="315">
                  <c:v>74.293974854985819</c:v>
                </c:pt>
                <c:pt idx="316">
                  <c:v>74.24465749569022</c:v>
                </c:pt>
                <c:pt idx="317">
                  <c:v>74.24465749569022</c:v>
                </c:pt>
                <c:pt idx="318">
                  <c:v>77.253016412721379</c:v>
                </c:pt>
                <c:pt idx="319">
                  <c:v>74.047388058507849</c:v>
                </c:pt>
                <c:pt idx="320">
                  <c:v>73.948753339916664</c:v>
                </c:pt>
                <c:pt idx="321">
                  <c:v>73.948753339916664</c:v>
                </c:pt>
                <c:pt idx="322">
                  <c:v>73.899435980621078</c:v>
                </c:pt>
                <c:pt idx="323">
                  <c:v>73.850118621325478</c:v>
                </c:pt>
                <c:pt idx="324">
                  <c:v>73.800801262029893</c:v>
                </c:pt>
                <c:pt idx="325">
                  <c:v>73.751483902734293</c:v>
                </c:pt>
                <c:pt idx="326">
                  <c:v>56.046551915616561</c:v>
                </c:pt>
                <c:pt idx="327">
                  <c:v>55.356108885478264</c:v>
                </c:pt>
                <c:pt idx="328">
                  <c:v>55.947917197025376</c:v>
                </c:pt>
                <c:pt idx="329">
                  <c:v>55.750647759843005</c:v>
                </c:pt>
                <c:pt idx="330">
                  <c:v>55.602695681956227</c:v>
                </c:pt>
                <c:pt idx="331">
                  <c:v>55.257474166887079</c:v>
                </c:pt>
                <c:pt idx="332">
                  <c:v>59.745353862786004</c:v>
                </c:pt>
                <c:pt idx="333">
                  <c:v>59.548084425603633</c:v>
                </c:pt>
                <c:pt idx="334">
                  <c:v>59.498767066308041</c:v>
                </c:pt>
                <c:pt idx="335">
                  <c:v>59.597401784899226</c:v>
                </c:pt>
                <c:pt idx="336">
                  <c:v>59.646719144194819</c:v>
                </c:pt>
                <c:pt idx="337">
                  <c:v>75.773495633853599</c:v>
                </c:pt>
                <c:pt idx="338">
                  <c:v>58.167198365327039</c:v>
                </c:pt>
                <c:pt idx="339">
                  <c:v>73.504897106256337</c:v>
                </c:pt>
                <c:pt idx="340">
                  <c:v>73.455579746960737</c:v>
                </c:pt>
                <c:pt idx="341">
                  <c:v>73.455579746960737</c:v>
                </c:pt>
                <c:pt idx="342">
                  <c:v>73.356945028369552</c:v>
                </c:pt>
                <c:pt idx="343">
                  <c:v>73.208992950482781</c:v>
                </c:pt>
                <c:pt idx="344">
                  <c:v>73.110358231891595</c:v>
                </c:pt>
                <c:pt idx="345">
                  <c:v>73.258310309778381</c:v>
                </c:pt>
                <c:pt idx="346">
                  <c:v>77.154381694130194</c:v>
                </c:pt>
                <c:pt idx="347">
                  <c:v>73.110358231891595</c:v>
                </c:pt>
                <c:pt idx="348">
                  <c:v>73.356945028369552</c:v>
                </c:pt>
                <c:pt idx="349">
                  <c:v>73.258310309778381</c:v>
                </c:pt>
                <c:pt idx="350">
                  <c:v>73.208992950482781</c:v>
                </c:pt>
                <c:pt idx="351">
                  <c:v>73.110358231891595</c:v>
                </c:pt>
                <c:pt idx="352">
                  <c:v>73.06104087259601</c:v>
                </c:pt>
                <c:pt idx="353">
                  <c:v>73.01172351330041</c:v>
                </c:pt>
                <c:pt idx="354">
                  <c:v>72.814454076118039</c:v>
                </c:pt>
                <c:pt idx="355">
                  <c:v>72.863771435413639</c:v>
                </c:pt>
                <c:pt idx="356">
                  <c:v>72.76513671682244</c:v>
                </c:pt>
                <c:pt idx="357">
                  <c:v>72.715819357526854</c:v>
                </c:pt>
                <c:pt idx="358">
                  <c:v>77.055746975539009</c:v>
                </c:pt>
                <c:pt idx="359">
                  <c:v>76.957112256947823</c:v>
                </c:pt>
                <c:pt idx="360">
                  <c:v>76.809160179061038</c:v>
                </c:pt>
                <c:pt idx="361">
                  <c:v>77.055746975539009</c:v>
                </c:pt>
                <c:pt idx="362">
                  <c:v>71.926741608797371</c:v>
                </c:pt>
                <c:pt idx="363">
                  <c:v>70.496538189225191</c:v>
                </c:pt>
                <c:pt idx="364">
                  <c:v>70.447220829929591</c:v>
                </c:pt>
                <c:pt idx="365">
                  <c:v>70.545855548520777</c:v>
                </c:pt>
                <c:pt idx="366">
                  <c:v>70.496538189225191</c:v>
                </c:pt>
                <c:pt idx="367">
                  <c:v>76.858477538356638</c:v>
                </c:pt>
                <c:pt idx="368">
                  <c:v>76.858477538356638</c:v>
                </c:pt>
                <c:pt idx="369">
                  <c:v>70.397903470634006</c:v>
                </c:pt>
                <c:pt idx="370">
                  <c:v>70.496538189225191</c:v>
                </c:pt>
                <c:pt idx="371">
                  <c:v>70.348586111338406</c:v>
                </c:pt>
                <c:pt idx="372">
                  <c:v>70.496538189225191</c:v>
                </c:pt>
                <c:pt idx="373">
                  <c:v>70.299268752042821</c:v>
                </c:pt>
                <c:pt idx="374">
                  <c:v>76.858477538356638</c:v>
                </c:pt>
                <c:pt idx="375">
                  <c:v>69.559508362608923</c:v>
                </c:pt>
                <c:pt idx="376">
                  <c:v>69.460873644017738</c:v>
                </c:pt>
                <c:pt idx="377">
                  <c:v>69.362238925426553</c:v>
                </c:pt>
                <c:pt idx="378">
                  <c:v>76.463938663991897</c:v>
                </c:pt>
                <c:pt idx="379">
                  <c:v>66.107293211917451</c:v>
                </c:pt>
                <c:pt idx="380">
                  <c:v>65.91002377473508</c:v>
                </c:pt>
                <c:pt idx="381">
                  <c:v>65.71275433755271</c:v>
                </c:pt>
                <c:pt idx="382">
                  <c:v>65.466167541074739</c:v>
                </c:pt>
                <c:pt idx="383">
                  <c:v>65.219580744596783</c:v>
                </c:pt>
                <c:pt idx="384">
                  <c:v>65.022311307414412</c:v>
                </c:pt>
                <c:pt idx="385">
                  <c:v>64.825041870232042</c:v>
                </c:pt>
                <c:pt idx="386">
                  <c:v>64.677089792345257</c:v>
                </c:pt>
                <c:pt idx="387">
                  <c:v>64.479820355162886</c:v>
                </c:pt>
                <c:pt idx="388">
                  <c:v>64.331868277276115</c:v>
                </c:pt>
                <c:pt idx="389">
                  <c:v>64.23323355868493</c:v>
                </c:pt>
                <c:pt idx="390">
                  <c:v>72.863771435413639</c:v>
                </c:pt>
                <c:pt idx="391">
                  <c:v>72.863771435413639</c:v>
                </c:pt>
                <c:pt idx="392">
                  <c:v>72.814454076118039</c:v>
                </c:pt>
                <c:pt idx="393">
                  <c:v>72.76513671682244</c:v>
                </c:pt>
                <c:pt idx="394">
                  <c:v>76.809160179061038</c:v>
                </c:pt>
                <c:pt idx="395">
                  <c:v>72.863771435413639</c:v>
                </c:pt>
                <c:pt idx="396">
                  <c:v>72.715819357526854</c:v>
                </c:pt>
                <c:pt idx="397">
                  <c:v>73.01172351330041</c:v>
                </c:pt>
                <c:pt idx="398">
                  <c:v>76.809160179061038</c:v>
                </c:pt>
                <c:pt idx="399">
                  <c:v>72.814454076118039</c:v>
                </c:pt>
                <c:pt idx="400">
                  <c:v>77.006429616243409</c:v>
                </c:pt>
                <c:pt idx="401">
                  <c:v>77.548920568494935</c:v>
                </c:pt>
                <c:pt idx="402">
                  <c:v>72.715819357526854</c:v>
                </c:pt>
                <c:pt idx="403">
                  <c:v>77.548920568494935</c:v>
                </c:pt>
                <c:pt idx="404">
                  <c:v>72.76513671682244</c:v>
                </c:pt>
                <c:pt idx="405">
                  <c:v>72.814454076118039</c:v>
                </c:pt>
                <c:pt idx="406">
                  <c:v>72.814454076118039</c:v>
                </c:pt>
                <c:pt idx="407">
                  <c:v>76.907794897652224</c:v>
                </c:pt>
                <c:pt idx="408">
                  <c:v>76.907794897652224</c:v>
                </c:pt>
                <c:pt idx="409">
                  <c:v>76.809160179061038</c:v>
                </c:pt>
                <c:pt idx="410">
                  <c:v>76.661208101174267</c:v>
                </c:pt>
                <c:pt idx="411">
                  <c:v>71.877424249501786</c:v>
                </c:pt>
                <c:pt idx="412">
                  <c:v>71.976058968092971</c:v>
                </c:pt>
                <c:pt idx="413">
                  <c:v>74.984417885124117</c:v>
                </c:pt>
                <c:pt idx="414">
                  <c:v>74.935100525828517</c:v>
                </c:pt>
                <c:pt idx="415">
                  <c:v>74.836465807237332</c:v>
                </c:pt>
                <c:pt idx="416">
                  <c:v>74.787148447941746</c:v>
                </c:pt>
                <c:pt idx="417">
                  <c:v>74.688513729350561</c:v>
                </c:pt>
                <c:pt idx="418">
                  <c:v>77.302333772016965</c:v>
                </c:pt>
                <c:pt idx="419">
                  <c:v>74.540561651463776</c:v>
                </c:pt>
                <c:pt idx="420">
                  <c:v>74.49124429216819</c:v>
                </c:pt>
                <c:pt idx="421">
                  <c:v>74.44192693287259</c:v>
                </c:pt>
                <c:pt idx="422">
                  <c:v>74.392609573577005</c:v>
                </c:pt>
                <c:pt idx="423">
                  <c:v>74.392609573577005</c:v>
                </c:pt>
                <c:pt idx="424">
                  <c:v>74.343292214281405</c:v>
                </c:pt>
                <c:pt idx="425">
                  <c:v>74.24465749569022</c:v>
                </c:pt>
                <c:pt idx="426">
                  <c:v>74.195340136394634</c:v>
                </c:pt>
                <c:pt idx="427">
                  <c:v>77.253016412721379</c:v>
                </c:pt>
                <c:pt idx="428">
                  <c:v>65.170263385301183</c:v>
                </c:pt>
                <c:pt idx="429">
                  <c:v>64.972993948118813</c:v>
                </c:pt>
                <c:pt idx="430">
                  <c:v>64.627772433049671</c:v>
                </c:pt>
                <c:pt idx="431">
                  <c:v>64.381185636571701</c:v>
                </c:pt>
                <c:pt idx="432">
                  <c:v>64.134598840093744</c:v>
                </c:pt>
                <c:pt idx="433">
                  <c:v>63.838694684320188</c:v>
                </c:pt>
                <c:pt idx="434">
                  <c:v>63.345521091364262</c:v>
                </c:pt>
                <c:pt idx="435">
                  <c:v>63.000299576295113</c:v>
                </c:pt>
                <c:pt idx="436">
                  <c:v>70.003364596269265</c:v>
                </c:pt>
                <c:pt idx="437">
                  <c:v>69.855412518382479</c:v>
                </c:pt>
                <c:pt idx="438">
                  <c:v>69.017017410357411</c:v>
                </c:pt>
                <c:pt idx="439">
                  <c:v>76.809160179061038</c:v>
                </c:pt>
                <c:pt idx="440">
                  <c:v>69.411556284722153</c:v>
                </c:pt>
                <c:pt idx="441">
                  <c:v>69.855412518382479</c:v>
                </c:pt>
                <c:pt idx="442">
                  <c:v>69.658143081200109</c:v>
                </c:pt>
                <c:pt idx="443">
                  <c:v>69.510191003313338</c:v>
                </c:pt>
                <c:pt idx="444">
                  <c:v>68.819747973175041</c:v>
                </c:pt>
                <c:pt idx="445">
                  <c:v>76.217351867513926</c:v>
                </c:pt>
                <c:pt idx="446">
                  <c:v>67.044323038533705</c:v>
                </c:pt>
                <c:pt idx="447">
                  <c:v>76.513256023287482</c:v>
                </c:pt>
                <c:pt idx="448">
                  <c:v>68.277257020923514</c:v>
                </c:pt>
                <c:pt idx="449">
                  <c:v>68.326574380219114</c:v>
                </c:pt>
                <c:pt idx="450">
                  <c:v>68.918382691766226</c:v>
                </c:pt>
                <c:pt idx="451">
                  <c:v>71.630837453023815</c:v>
                </c:pt>
                <c:pt idx="452">
                  <c:v>71.630837453023815</c:v>
                </c:pt>
                <c:pt idx="453">
                  <c:v>71.334933297250259</c:v>
                </c:pt>
                <c:pt idx="454">
                  <c:v>71.137663860067889</c:v>
                </c:pt>
                <c:pt idx="455">
                  <c:v>70.989711782181118</c:v>
                </c:pt>
                <c:pt idx="456">
                  <c:v>70.841759704294333</c:v>
                </c:pt>
                <c:pt idx="457">
                  <c:v>70.743124985703147</c:v>
                </c:pt>
                <c:pt idx="458">
                  <c:v>76.907794897652224</c:v>
                </c:pt>
                <c:pt idx="459">
                  <c:v>70.496538189225191</c:v>
                </c:pt>
                <c:pt idx="460">
                  <c:v>70.151316674156035</c:v>
                </c:pt>
                <c:pt idx="461">
                  <c:v>70.299268752042821</c:v>
                </c:pt>
                <c:pt idx="462">
                  <c:v>70.151316674156035</c:v>
                </c:pt>
                <c:pt idx="463">
                  <c:v>69.855412518382479</c:v>
                </c:pt>
                <c:pt idx="464">
                  <c:v>69.806095159086894</c:v>
                </c:pt>
                <c:pt idx="465">
                  <c:v>69.559508362608923</c:v>
                </c:pt>
                <c:pt idx="466">
                  <c:v>68.671795895288255</c:v>
                </c:pt>
                <c:pt idx="467">
                  <c:v>68.523843817401485</c:v>
                </c:pt>
                <c:pt idx="468">
                  <c:v>68.671795895288255</c:v>
                </c:pt>
                <c:pt idx="469">
                  <c:v>67.882718146558773</c:v>
                </c:pt>
                <c:pt idx="470">
                  <c:v>68.178622302332343</c:v>
                </c:pt>
                <c:pt idx="471">
                  <c:v>76.463938663991897</c:v>
                </c:pt>
                <c:pt idx="472">
                  <c:v>68.030670224445558</c:v>
                </c:pt>
                <c:pt idx="473">
                  <c:v>76.463938663991897</c:v>
                </c:pt>
                <c:pt idx="474">
                  <c:v>67.19227511642049</c:v>
                </c:pt>
                <c:pt idx="475">
                  <c:v>67.093640397829304</c:v>
                </c:pt>
                <c:pt idx="476">
                  <c:v>66.995005679238119</c:v>
                </c:pt>
                <c:pt idx="477">
                  <c:v>76.168034508218341</c:v>
                </c:pt>
                <c:pt idx="478">
                  <c:v>76.414621304696297</c:v>
                </c:pt>
                <c:pt idx="479">
                  <c:v>66.797736242055748</c:v>
                </c:pt>
                <c:pt idx="480">
                  <c:v>66.847053601351334</c:v>
                </c:pt>
                <c:pt idx="481">
                  <c:v>76.020082430331556</c:v>
                </c:pt>
                <c:pt idx="482">
                  <c:v>63.49347316925104</c:v>
                </c:pt>
                <c:pt idx="483">
                  <c:v>62.901664857703928</c:v>
                </c:pt>
                <c:pt idx="484">
                  <c:v>62.260539186861223</c:v>
                </c:pt>
                <c:pt idx="485">
                  <c:v>61.718048234609711</c:v>
                </c:pt>
                <c:pt idx="486">
                  <c:v>61.372826719540555</c:v>
                </c:pt>
                <c:pt idx="487">
                  <c:v>61.027605204471413</c:v>
                </c:pt>
                <c:pt idx="488">
                  <c:v>75.92144771174037</c:v>
                </c:pt>
                <c:pt idx="489">
                  <c:v>60.731701048697857</c:v>
                </c:pt>
                <c:pt idx="490">
                  <c:v>60.682383689402258</c:v>
                </c:pt>
                <c:pt idx="491">
                  <c:v>60.682383689402258</c:v>
                </c:pt>
                <c:pt idx="492">
                  <c:v>71.58152009372823</c:v>
                </c:pt>
                <c:pt idx="493">
                  <c:v>71.334933297250259</c:v>
                </c:pt>
                <c:pt idx="494">
                  <c:v>70.940394422885518</c:v>
                </c:pt>
                <c:pt idx="495">
                  <c:v>70.792442344998747</c:v>
                </c:pt>
                <c:pt idx="496">
                  <c:v>70.841759704294333</c:v>
                </c:pt>
                <c:pt idx="497">
                  <c:v>69.904729877678079</c:v>
                </c:pt>
                <c:pt idx="498">
                  <c:v>69.362238925426553</c:v>
                </c:pt>
                <c:pt idx="499">
                  <c:v>68.277257020923514</c:v>
                </c:pt>
                <c:pt idx="500">
                  <c:v>68.326574380219114</c:v>
                </c:pt>
                <c:pt idx="501">
                  <c:v>68.277257020923514</c:v>
                </c:pt>
                <c:pt idx="502">
                  <c:v>67.981352865149972</c:v>
                </c:pt>
                <c:pt idx="503">
                  <c:v>66.057975852621851</c:v>
                </c:pt>
                <c:pt idx="504">
                  <c:v>65.91002377473508</c:v>
                </c:pt>
                <c:pt idx="505">
                  <c:v>65.71275433755271</c:v>
                </c:pt>
                <c:pt idx="506">
                  <c:v>65.318215463187968</c:v>
                </c:pt>
                <c:pt idx="507">
                  <c:v>64.726407151640856</c:v>
                </c:pt>
                <c:pt idx="508">
                  <c:v>64.085281480798159</c:v>
                </c:pt>
                <c:pt idx="509">
                  <c:v>63.345521091364262</c:v>
                </c:pt>
                <c:pt idx="510">
                  <c:v>75.674860915262414</c:v>
                </c:pt>
                <c:pt idx="511">
                  <c:v>76.661208101174267</c:v>
                </c:pt>
                <c:pt idx="512">
                  <c:v>68.129304943036743</c:v>
                </c:pt>
                <c:pt idx="513">
                  <c:v>67.981352865149972</c:v>
                </c:pt>
                <c:pt idx="514">
                  <c:v>67.882718146558773</c:v>
                </c:pt>
                <c:pt idx="515">
                  <c:v>77.499603209199336</c:v>
                </c:pt>
                <c:pt idx="516">
                  <c:v>76.463938663991897</c:v>
                </c:pt>
                <c:pt idx="517">
                  <c:v>76.315986586105112</c:v>
                </c:pt>
                <c:pt idx="518">
                  <c:v>76.168034508218341</c:v>
                </c:pt>
                <c:pt idx="519">
                  <c:v>67.19227511642049</c:v>
                </c:pt>
                <c:pt idx="520">
                  <c:v>67.044323038533705</c:v>
                </c:pt>
                <c:pt idx="521">
                  <c:v>66.847053601351334</c:v>
                </c:pt>
                <c:pt idx="522">
                  <c:v>76.513256023287482</c:v>
                </c:pt>
                <c:pt idx="523">
                  <c:v>76.513256023287482</c:v>
                </c:pt>
                <c:pt idx="524">
                  <c:v>66.699101523464563</c:v>
                </c:pt>
                <c:pt idx="525">
                  <c:v>66.699101523464563</c:v>
                </c:pt>
                <c:pt idx="526">
                  <c:v>73.702166543438707</c:v>
                </c:pt>
                <c:pt idx="527">
                  <c:v>73.603531824847522</c:v>
                </c:pt>
                <c:pt idx="528">
                  <c:v>73.504897106256337</c:v>
                </c:pt>
                <c:pt idx="529">
                  <c:v>73.504897106256337</c:v>
                </c:pt>
                <c:pt idx="530">
                  <c:v>73.356945028369552</c:v>
                </c:pt>
                <c:pt idx="531">
                  <c:v>73.258310309778381</c:v>
                </c:pt>
                <c:pt idx="532">
                  <c:v>73.258310309778381</c:v>
                </c:pt>
                <c:pt idx="533">
                  <c:v>73.208992950482781</c:v>
                </c:pt>
                <c:pt idx="534">
                  <c:v>73.06104087259601</c:v>
                </c:pt>
                <c:pt idx="535">
                  <c:v>73.01172351330041</c:v>
                </c:pt>
                <c:pt idx="536">
                  <c:v>72.96240615400481</c:v>
                </c:pt>
                <c:pt idx="537">
                  <c:v>72.715819357526854</c:v>
                </c:pt>
                <c:pt idx="538">
                  <c:v>77.055746975539009</c:v>
                </c:pt>
                <c:pt idx="539">
                  <c:v>76.957112256947823</c:v>
                </c:pt>
                <c:pt idx="540">
                  <c:v>76.957112256947823</c:v>
                </c:pt>
                <c:pt idx="541">
                  <c:v>65.91002377473508</c:v>
                </c:pt>
                <c:pt idx="542">
                  <c:v>65.022311307414412</c:v>
                </c:pt>
                <c:pt idx="543">
                  <c:v>63.986646762206966</c:v>
                </c:pt>
                <c:pt idx="544">
                  <c:v>63.345521091364262</c:v>
                </c:pt>
                <c:pt idx="545">
                  <c:v>63.098934294886298</c:v>
                </c:pt>
                <c:pt idx="546">
                  <c:v>76.069399789627155</c:v>
                </c:pt>
                <c:pt idx="547">
                  <c:v>62.901664857703928</c:v>
                </c:pt>
                <c:pt idx="548">
                  <c:v>63.246886372773076</c:v>
                </c:pt>
                <c:pt idx="549">
                  <c:v>63.394838450659854</c:v>
                </c:pt>
                <c:pt idx="550">
                  <c:v>75.773495633853599</c:v>
                </c:pt>
                <c:pt idx="551">
                  <c:v>71.433568015841445</c:v>
                </c:pt>
                <c:pt idx="552">
                  <c:v>71.285615937954674</c:v>
                </c:pt>
                <c:pt idx="553">
                  <c:v>76.957112256947823</c:v>
                </c:pt>
                <c:pt idx="554">
                  <c:v>71.334933297250259</c:v>
                </c:pt>
                <c:pt idx="555">
                  <c:v>71.088346500772303</c:v>
                </c:pt>
                <c:pt idx="556">
                  <c:v>71.039029141476703</c:v>
                </c:pt>
                <c:pt idx="557">
                  <c:v>71.285615937954674</c:v>
                </c:pt>
                <c:pt idx="558">
                  <c:v>77.006429616243409</c:v>
                </c:pt>
                <c:pt idx="559">
                  <c:v>71.384250656545859</c:v>
                </c:pt>
                <c:pt idx="560">
                  <c:v>71.285615937954674</c:v>
                </c:pt>
                <c:pt idx="561">
                  <c:v>70.989711782181118</c:v>
                </c:pt>
                <c:pt idx="562">
                  <c:v>71.088346500772303</c:v>
                </c:pt>
                <c:pt idx="563">
                  <c:v>70.595172907816377</c:v>
                </c:pt>
                <c:pt idx="564">
                  <c:v>71.630837453023815</c:v>
                </c:pt>
                <c:pt idx="565">
                  <c:v>71.236298578659074</c:v>
                </c:pt>
                <c:pt idx="566">
                  <c:v>74.195340136394634</c:v>
                </c:pt>
                <c:pt idx="567">
                  <c:v>74.096705417803449</c:v>
                </c:pt>
                <c:pt idx="568">
                  <c:v>74.096705417803449</c:v>
                </c:pt>
                <c:pt idx="569">
                  <c:v>73.948753339916664</c:v>
                </c:pt>
                <c:pt idx="570">
                  <c:v>73.850118621325478</c:v>
                </c:pt>
                <c:pt idx="571">
                  <c:v>73.702166543438707</c:v>
                </c:pt>
                <c:pt idx="572">
                  <c:v>77.20369905342578</c:v>
                </c:pt>
                <c:pt idx="573">
                  <c:v>73.554214465551922</c:v>
                </c:pt>
                <c:pt idx="574">
                  <c:v>73.455579746960737</c:v>
                </c:pt>
                <c:pt idx="575">
                  <c:v>73.406262387665151</c:v>
                </c:pt>
                <c:pt idx="576">
                  <c:v>73.356945028369552</c:v>
                </c:pt>
                <c:pt idx="577">
                  <c:v>77.154381694130194</c:v>
                </c:pt>
                <c:pt idx="578">
                  <c:v>73.110358231891595</c:v>
                </c:pt>
                <c:pt idx="579">
                  <c:v>73.06104087259601</c:v>
                </c:pt>
                <c:pt idx="580">
                  <c:v>72.913088794709225</c:v>
                </c:pt>
                <c:pt idx="581">
                  <c:v>65.120946026005598</c:v>
                </c:pt>
                <c:pt idx="582">
                  <c:v>65.071628666709998</c:v>
                </c:pt>
                <c:pt idx="583">
                  <c:v>64.923676588823227</c:v>
                </c:pt>
                <c:pt idx="584">
                  <c:v>64.627772433049671</c:v>
                </c:pt>
                <c:pt idx="585">
                  <c:v>64.4305029958673</c:v>
                </c:pt>
                <c:pt idx="586">
                  <c:v>64.23323355868493</c:v>
                </c:pt>
                <c:pt idx="587">
                  <c:v>64.035964121502559</c:v>
                </c:pt>
                <c:pt idx="588">
                  <c:v>76.217351867513926</c:v>
                </c:pt>
                <c:pt idx="589">
                  <c:v>63.394838450659854</c:v>
                </c:pt>
                <c:pt idx="590">
                  <c:v>63.000299576295113</c:v>
                </c:pt>
                <c:pt idx="591">
                  <c:v>75.92144771174037</c:v>
                </c:pt>
                <c:pt idx="592">
                  <c:v>75.724178274558</c:v>
                </c:pt>
                <c:pt idx="593">
                  <c:v>76.069399789627155</c:v>
                </c:pt>
                <c:pt idx="594">
                  <c:v>73.998070699212263</c:v>
                </c:pt>
                <c:pt idx="595">
                  <c:v>73.948753339916664</c:v>
                </c:pt>
                <c:pt idx="596">
                  <c:v>73.850118621325478</c:v>
                </c:pt>
                <c:pt idx="597">
                  <c:v>73.850118621325478</c:v>
                </c:pt>
                <c:pt idx="598">
                  <c:v>73.850118621325478</c:v>
                </c:pt>
                <c:pt idx="599">
                  <c:v>73.751483902734293</c:v>
                </c:pt>
                <c:pt idx="600">
                  <c:v>73.800801262029893</c:v>
                </c:pt>
                <c:pt idx="601">
                  <c:v>77.20369905342578</c:v>
                </c:pt>
                <c:pt idx="602">
                  <c:v>73.800801262029893</c:v>
                </c:pt>
                <c:pt idx="603">
                  <c:v>73.603531824847522</c:v>
                </c:pt>
                <c:pt idx="604">
                  <c:v>73.603531824847522</c:v>
                </c:pt>
                <c:pt idx="605">
                  <c:v>73.603531824847522</c:v>
                </c:pt>
                <c:pt idx="606">
                  <c:v>73.603531824847522</c:v>
                </c:pt>
                <c:pt idx="607">
                  <c:v>73.504897106256337</c:v>
                </c:pt>
                <c:pt idx="608">
                  <c:v>73.455579746960737</c:v>
                </c:pt>
                <c:pt idx="609">
                  <c:v>68.375891739514714</c:v>
                </c:pt>
                <c:pt idx="610">
                  <c:v>68.277257020923514</c:v>
                </c:pt>
                <c:pt idx="611">
                  <c:v>68.277257020923514</c:v>
                </c:pt>
                <c:pt idx="612">
                  <c:v>68.079987583741143</c:v>
                </c:pt>
                <c:pt idx="613">
                  <c:v>67.932035505854373</c:v>
                </c:pt>
                <c:pt idx="614">
                  <c:v>67.833400787263187</c:v>
                </c:pt>
                <c:pt idx="615">
                  <c:v>76.661208101174267</c:v>
                </c:pt>
                <c:pt idx="616">
                  <c:v>68.129304943036743</c:v>
                </c:pt>
                <c:pt idx="617">
                  <c:v>76.414621304696297</c:v>
                </c:pt>
                <c:pt idx="618">
                  <c:v>76.217351867513926</c:v>
                </c:pt>
                <c:pt idx="619">
                  <c:v>62.852347498408335</c:v>
                </c:pt>
                <c:pt idx="620">
                  <c:v>63.592107887842225</c:v>
                </c:pt>
                <c:pt idx="621">
                  <c:v>63.394838450659854</c:v>
                </c:pt>
                <c:pt idx="622">
                  <c:v>76.168034508218341</c:v>
                </c:pt>
                <c:pt idx="623">
                  <c:v>63.246886372773076</c:v>
                </c:pt>
                <c:pt idx="624">
                  <c:v>62.95098221699952</c:v>
                </c:pt>
                <c:pt idx="625">
                  <c:v>75.97076507103597</c:v>
                </c:pt>
                <c:pt idx="626">
                  <c:v>75.822812993149185</c:v>
                </c:pt>
                <c:pt idx="627">
                  <c:v>63.69074260643341</c:v>
                </c:pt>
                <c:pt idx="628">
                  <c:v>63.838694684320188</c:v>
                </c:pt>
                <c:pt idx="629">
                  <c:v>63.542790528546632</c:v>
                </c:pt>
                <c:pt idx="630">
                  <c:v>63.345521091364262</c:v>
                </c:pt>
                <c:pt idx="631">
                  <c:v>63.444155809955447</c:v>
                </c:pt>
                <c:pt idx="632">
                  <c:v>63.394838450659854</c:v>
                </c:pt>
                <c:pt idx="633">
                  <c:v>66.896370960646934</c:v>
                </c:pt>
                <c:pt idx="634">
                  <c:v>66.847053601351334</c:v>
                </c:pt>
                <c:pt idx="635">
                  <c:v>76.513256023287482</c:v>
                </c:pt>
                <c:pt idx="636">
                  <c:v>66.304562649099822</c:v>
                </c:pt>
                <c:pt idx="637">
                  <c:v>66.699101523464563</c:v>
                </c:pt>
                <c:pt idx="638">
                  <c:v>66.847053601351334</c:v>
                </c:pt>
                <c:pt idx="639">
                  <c:v>66.847053601351334</c:v>
                </c:pt>
                <c:pt idx="640">
                  <c:v>66.156610571213037</c:v>
                </c:pt>
                <c:pt idx="641">
                  <c:v>76.414621304696297</c:v>
                </c:pt>
                <c:pt idx="642">
                  <c:v>65.860706415439481</c:v>
                </c:pt>
                <c:pt idx="643">
                  <c:v>65.91002377473508</c:v>
                </c:pt>
                <c:pt idx="644">
                  <c:v>65.91002377473508</c:v>
                </c:pt>
                <c:pt idx="645">
                  <c:v>65.564802259665925</c:v>
                </c:pt>
                <c:pt idx="646">
                  <c:v>65.416850181779154</c:v>
                </c:pt>
                <c:pt idx="647">
                  <c:v>65.515484900370339</c:v>
                </c:pt>
                <c:pt idx="648">
                  <c:v>65.120946026005598</c:v>
                </c:pt>
                <c:pt idx="649">
                  <c:v>70.249951392747221</c:v>
                </c:pt>
                <c:pt idx="650">
                  <c:v>76.858477538356638</c:v>
                </c:pt>
                <c:pt idx="651">
                  <c:v>70.151316674156035</c:v>
                </c:pt>
                <c:pt idx="652">
                  <c:v>70.05268195556485</c:v>
                </c:pt>
                <c:pt idx="653">
                  <c:v>69.904729877678079</c:v>
                </c:pt>
                <c:pt idx="654">
                  <c:v>69.855412518382479</c:v>
                </c:pt>
                <c:pt idx="655">
                  <c:v>69.756777799791294</c:v>
                </c:pt>
                <c:pt idx="656">
                  <c:v>76.809160179061038</c:v>
                </c:pt>
                <c:pt idx="657">
                  <c:v>69.658143081200109</c:v>
                </c:pt>
                <c:pt idx="658">
                  <c:v>69.559508362608923</c:v>
                </c:pt>
                <c:pt idx="659">
                  <c:v>69.460873644017738</c:v>
                </c:pt>
                <c:pt idx="660">
                  <c:v>69.411556284722153</c:v>
                </c:pt>
                <c:pt idx="661">
                  <c:v>69.263604206835367</c:v>
                </c:pt>
                <c:pt idx="662">
                  <c:v>69.164969488244182</c:v>
                </c:pt>
                <c:pt idx="663">
                  <c:v>69.017017410357411</c:v>
                </c:pt>
                <c:pt idx="664">
                  <c:v>68.523843817401485</c:v>
                </c:pt>
                <c:pt idx="665">
                  <c:v>68.375891739514714</c:v>
                </c:pt>
                <c:pt idx="666">
                  <c:v>76.661208101174267</c:v>
                </c:pt>
                <c:pt idx="667">
                  <c:v>68.079987583741143</c:v>
                </c:pt>
                <c:pt idx="668">
                  <c:v>67.932035505854373</c:v>
                </c:pt>
                <c:pt idx="669">
                  <c:v>77.499603209199336</c:v>
                </c:pt>
                <c:pt idx="670">
                  <c:v>76.463938663991897</c:v>
                </c:pt>
                <c:pt idx="671">
                  <c:v>76.315986586105112</c:v>
                </c:pt>
                <c:pt idx="672">
                  <c:v>76.217351867513926</c:v>
                </c:pt>
                <c:pt idx="673">
                  <c:v>67.19227511642049</c:v>
                </c:pt>
                <c:pt idx="674">
                  <c:v>67.044323038533705</c:v>
                </c:pt>
                <c:pt idx="675">
                  <c:v>68.770430613879455</c:v>
                </c:pt>
                <c:pt idx="676">
                  <c:v>68.671795895288255</c:v>
                </c:pt>
                <c:pt idx="677">
                  <c:v>68.573161176697084</c:v>
                </c:pt>
                <c:pt idx="678">
                  <c:v>68.474526458105885</c:v>
                </c:pt>
                <c:pt idx="679">
                  <c:v>68.375891739514714</c:v>
                </c:pt>
                <c:pt idx="680">
                  <c:v>68.277257020923514</c:v>
                </c:pt>
                <c:pt idx="681">
                  <c:v>68.277257020923514</c:v>
                </c:pt>
                <c:pt idx="682">
                  <c:v>76.661208101174267</c:v>
                </c:pt>
                <c:pt idx="683">
                  <c:v>68.178622302332343</c:v>
                </c:pt>
                <c:pt idx="684">
                  <c:v>76.661208101174267</c:v>
                </c:pt>
                <c:pt idx="685">
                  <c:v>67.093640397829304</c:v>
                </c:pt>
                <c:pt idx="686">
                  <c:v>68.277257020923514</c:v>
                </c:pt>
                <c:pt idx="687">
                  <c:v>68.277257020923514</c:v>
                </c:pt>
                <c:pt idx="688">
                  <c:v>68.326574380219114</c:v>
                </c:pt>
                <c:pt idx="689">
                  <c:v>68.326574380219114</c:v>
                </c:pt>
                <c:pt idx="690">
                  <c:v>67.784083427967602</c:v>
                </c:pt>
                <c:pt idx="691">
                  <c:v>76.759842819765453</c:v>
                </c:pt>
                <c:pt idx="692">
                  <c:v>70.348586111338406</c:v>
                </c:pt>
                <c:pt idx="693">
                  <c:v>70.496538189225191</c:v>
                </c:pt>
                <c:pt idx="694">
                  <c:v>70.447220829929591</c:v>
                </c:pt>
                <c:pt idx="695">
                  <c:v>70.299268752042821</c:v>
                </c:pt>
                <c:pt idx="696">
                  <c:v>69.362238925426553</c:v>
                </c:pt>
                <c:pt idx="697">
                  <c:v>66.403197367691007</c:v>
                </c:pt>
                <c:pt idx="698">
                  <c:v>65.318215463187968</c:v>
                </c:pt>
                <c:pt idx="699">
                  <c:v>76.168034508218341</c:v>
                </c:pt>
                <c:pt idx="700">
                  <c:v>76.562573382583082</c:v>
                </c:pt>
                <c:pt idx="701">
                  <c:v>74.343292214281405</c:v>
                </c:pt>
                <c:pt idx="702">
                  <c:v>74.293974854985819</c:v>
                </c:pt>
                <c:pt idx="703">
                  <c:v>74.195340136394634</c:v>
                </c:pt>
                <c:pt idx="704">
                  <c:v>77.253016412721379</c:v>
                </c:pt>
                <c:pt idx="705">
                  <c:v>74.24465749569022</c:v>
                </c:pt>
                <c:pt idx="706">
                  <c:v>77.302333772016965</c:v>
                </c:pt>
                <c:pt idx="707">
                  <c:v>74.589879010759375</c:v>
                </c:pt>
                <c:pt idx="708">
                  <c:v>77.302333772016965</c:v>
                </c:pt>
                <c:pt idx="709">
                  <c:v>74.589879010759375</c:v>
                </c:pt>
                <c:pt idx="710">
                  <c:v>74.589879010759375</c:v>
                </c:pt>
                <c:pt idx="711">
                  <c:v>74.49124429216819</c:v>
                </c:pt>
                <c:pt idx="712">
                  <c:v>74.392609573577005</c:v>
                </c:pt>
                <c:pt idx="713">
                  <c:v>74.24465749569022</c:v>
                </c:pt>
                <c:pt idx="714">
                  <c:v>74.24465749569022</c:v>
                </c:pt>
                <c:pt idx="715">
                  <c:v>74.096705417803449</c:v>
                </c:pt>
                <c:pt idx="716">
                  <c:v>74.195340136394634</c:v>
                </c:pt>
                <c:pt idx="717">
                  <c:v>74.096705417803449</c:v>
                </c:pt>
                <c:pt idx="718">
                  <c:v>73.948753339916664</c:v>
                </c:pt>
                <c:pt idx="719">
                  <c:v>73.948753339916664</c:v>
                </c:pt>
                <c:pt idx="720">
                  <c:v>73.850118621325478</c:v>
                </c:pt>
                <c:pt idx="721">
                  <c:v>74.787148447941746</c:v>
                </c:pt>
                <c:pt idx="722">
                  <c:v>74.737831088646146</c:v>
                </c:pt>
                <c:pt idx="723">
                  <c:v>77.302333772016965</c:v>
                </c:pt>
                <c:pt idx="724">
                  <c:v>77.302333772016965</c:v>
                </c:pt>
                <c:pt idx="725">
                  <c:v>77.302333772016965</c:v>
                </c:pt>
                <c:pt idx="726">
                  <c:v>74.589879010759375</c:v>
                </c:pt>
                <c:pt idx="727">
                  <c:v>74.589879010759375</c:v>
                </c:pt>
                <c:pt idx="728">
                  <c:v>74.49124429216819</c:v>
                </c:pt>
                <c:pt idx="729">
                  <c:v>74.392609573577005</c:v>
                </c:pt>
                <c:pt idx="730">
                  <c:v>74.343292214281405</c:v>
                </c:pt>
                <c:pt idx="731">
                  <c:v>74.343292214281405</c:v>
                </c:pt>
                <c:pt idx="732">
                  <c:v>74.047388058507849</c:v>
                </c:pt>
                <c:pt idx="733">
                  <c:v>74.047388058507849</c:v>
                </c:pt>
                <c:pt idx="734">
                  <c:v>73.899435980621078</c:v>
                </c:pt>
                <c:pt idx="735">
                  <c:v>73.800801262029893</c:v>
                </c:pt>
                <c:pt idx="736">
                  <c:v>71.039029141476703</c:v>
                </c:pt>
                <c:pt idx="737">
                  <c:v>70.891077063589933</c:v>
                </c:pt>
                <c:pt idx="738">
                  <c:v>70.792442344998747</c:v>
                </c:pt>
                <c:pt idx="739">
                  <c:v>70.743124985703147</c:v>
                </c:pt>
                <c:pt idx="740">
                  <c:v>70.792442344998747</c:v>
                </c:pt>
                <c:pt idx="741">
                  <c:v>70.595172907816377</c:v>
                </c:pt>
                <c:pt idx="742">
                  <c:v>70.447220829929591</c:v>
                </c:pt>
                <c:pt idx="743">
                  <c:v>70.299268752042821</c:v>
                </c:pt>
                <c:pt idx="744">
                  <c:v>76.858477538356638</c:v>
                </c:pt>
                <c:pt idx="745">
                  <c:v>69.658143081200109</c:v>
                </c:pt>
                <c:pt idx="746">
                  <c:v>69.460873644017738</c:v>
                </c:pt>
                <c:pt idx="747">
                  <c:v>69.411556284722153</c:v>
                </c:pt>
                <c:pt idx="748">
                  <c:v>72.025376327388557</c:v>
                </c:pt>
                <c:pt idx="749">
                  <c:v>71.976058968092971</c:v>
                </c:pt>
                <c:pt idx="750">
                  <c:v>71.926741608797371</c:v>
                </c:pt>
                <c:pt idx="751">
                  <c:v>71.877424249501786</c:v>
                </c:pt>
                <c:pt idx="752">
                  <c:v>71.828106890206186</c:v>
                </c:pt>
                <c:pt idx="753">
                  <c:v>71.778789530910601</c:v>
                </c:pt>
                <c:pt idx="754">
                  <c:v>71.729472171615001</c:v>
                </c:pt>
                <c:pt idx="755">
                  <c:v>77.006429616243409</c:v>
                </c:pt>
                <c:pt idx="756">
                  <c:v>71.630837453023815</c:v>
                </c:pt>
                <c:pt idx="757">
                  <c:v>71.334933297250259</c:v>
                </c:pt>
                <c:pt idx="758">
                  <c:v>71.433568015841445</c:v>
                </c:pt>
                <c:pt idx="759">
                  <c:v>71.334933297250259</c:v>
                </c:pt>
                <c:pt idx="760">
                  <c:v>71.236298578659074</c:v>
                </c:pt>
                <c:pt idx="761">
                  <c:v>71.137663860067889</c:v>
                </c:pt>
                <c:pt idx="762">
                  <c:v>71.039029141476703</c:v>
                </c:pt>
                <c:pt idx="763">
                  <c:v>76.513256023287482</c:v>
                </c:pt>
                <c:pt idx="764">
                  <c:v>76.217351867513926</c:v>
                </c:pt>
                <c:pt idx="765">
                  <c:v>67.044323038533705</c:v>
                </c:pt>
                <c:pt idx="766">
                  <c:v>66.551149445577778</c:v>
                </c:pt>
                <c:pt idx="767">
                  <c:v>65.959341134030666</c:v>
                </c:pt>
                <c:pt idx="768">
                  <c:v>66.008658493326266</c:v>
                </c:pt>
                <c:pt idx="769">
                  <c:v>64.874359229527627</c:v>
                </c:pt>
                <c:pt idx="770">
                  <c:v>63.394838450659854</c:v>
                </c:pt>
                <c:pt idx="771">
                  <c:v>63.049616935590706</c:v>
                </c:pt>
                <c:pt idx="772">
                  <c:v>63.098934294886298</c:v>
                </c:pt>
                <c:pt idx="773">
                  <c:v>63.444155809955447</c:v>
                </c:pt>
                <c:pt idx="774">
                  <c:v>63.69074260643341</c:v>
                </c:pt>
                <c:pt idx="775">
                  <c:v>63.986646762206966</c:v>
                </c:pt>
                <c:pt idx="776">
                  <c:v>63.592107887842225</c:v>
                </c:pt>
                <c:pt idx="777">
                  <c:v>63.197569013477484</c:v>
                </c:pt>
                <c:pt idx="778">
                  <c:v>65.022311307414412</c:v>
                </c:pt>
                <c:pt idx="779">
                  <c:v>64.874359229527627</c:v>
                </c:pt>
                <c:pt idx="780">
                  <c:v>64.627772433049671</c:v>
                </c:pt>
                <c:pt idx="781">
                  <c:v>63.888012043615781</c:v>
                </c:pt>
                <c:pt idx="782">
                  <c:v>63.098934294886298</c:v>
                </c:pt>
                <c:pt idx="783">
                  <c:v>61.964635031087667</c:v>
                </c:pt>
                <c:pt idx="784">
                  <c:v>60.879653126584628</c:v>
                </c:pt>
                <c:pt idx="785">
                  <c:v>60.04125801855956</c:v>
                </c:pt>
                <c:pt idx="786">
                  <c:v>58.463102521100595</c:v>
                </c:pt>
                <c:pt idx="787">
                  <c:v>57.279485898006371</c:v>
                </c:pt>
                <c:pt idx="788">
                  <c:v>56.293138712094517</c:v>
                </c:pt>
                <c:pt idx="789">
                  <c:v>56.046551915616561</c:v>
                </c:pt>
                <c:pt idx="790">
                  <c:v>56.046551915616561</c:v>
                </c:pt>
                <c:pt idx="791">
                  <c:v>77.499603209199336</c:v>
                </c:pt>
                <c:pt idx="792">
                  <c:v>76.513256023287482</c:v>
                </c:pt>
                <c:pt idx="793">
                  <c:v>76.414621304696297</c:v>
                </c:pt>
                <c:pt idx="794">
                  <c:v>76.315986586105112</c:v>
                </c:pt>
                <c:pt idx="795">
                  <c:v>76.266669226809526</c:v>
                </c:pt>
                <c:pt idx="796">
                  <c:v>76.217351867513926</c:v>
                </c:pt>
                <c:pt idx="797">
                  <c:v>76.562573382583082</c:v>
                </c:pt>
                <c:pt idx="798">
                  <c:v>67.19227511642049</c:v>
                </c:pt>
                <c:pt idx="799">
                  <c:v>67.14295775712489</c:v>
                </c:pt>
                <c:pt idx="800">
                  <c:v>67.093640397829304</c:v>
                </c:pt>
                <c:pt idx="801">
                  <c:v>67.044323038533705</c:v>
                </c:pt>
                <c:pt idx="802">
                  <c:v>66.995005679238119</c:v>
                </c:pt>
                <c:pt idx="803">
                  <c:v>66.896370960646934</c:v>
                </c:pt>
                <c:pt idx="804">
                  <c:v>66.797736242055748</c:v>
                </c:pt>
                <c:pt idx="805">
                  <c:v>66.649784164168963</c:v>
                </c:pt>
                <c:pt idx="806">
                  <c:v>69.904729877678079</c:v>
                </c:pt>
                <c:pt idx="807">
                  <c:v>69.658143081200109</c:v>
                </c:pt>
                <c:pt idx="808">
                  <c:v>69.559508362608923</c:v>
                </c:pt>
                <c:pt idx="809">
                  <c:v>69.263604206835367</c:v>
                </c:pt>
                <c:pt idx="810">
                  <c:v>76.710525460469853</c:v>
                </c:pt>
                <c:pt idx="811">
                  <c:v>68.523843817401485</c:v>
                </c:pt>
                <c:pt idx="812">
                  <c:v>67.784083427967602</c:v>
                </c:pt>
                <c:pt idx="813">
                  <c:v>66.699101523464563</c:v>
                </c:pt>
                <c:pt idx="814">
                  <c:v>66.304562649099822</c:v>
                </c:pt>
                <c:pt idx="815">
                  <c:v>66.945688319942519</c:v>
                </c:pt>
                <c:pt idx="816">
                  <c:v>76.315986586105112</c:v>
                </c:pt>
                <c:pt idx="817">
                  <c:v>76.168034508218341</c:v>
                </c:pt>
                <c:pt idx="818">
                  <c:v>66.797736242055748</c:v>
                </c:pt>
                <c:pt idx="819">
                  <c:v>66.353880008395407</c:v>
                </c:pt>
                <c:pt idx="820">
                  <c:v>66.847053601351334</c:v>
                </c:pt>
                <c:pt idx="821">
                  <c:v>72.715819357526854</c:v>
                </c:pt>
                <c:pt idx="822">
                  <c:v>72.814454076118039</c:v>
                </c:pt>
                <c:pt idx="823">
                  <c:v>73.01172351330041</c:v>
                </c:pt>
                <c:pt idx="824">
                  <c:v>73.01172351330041</c:v>
                </c:pt>
                <c:pt idx="825">
                  <c:v>72.96240615400481</c:v>
                </c:pt>
                <c:pt idx="826">
                  <c:v>72.913088794709225</c:v>
                </c:pt>
                <c:pt idx="827">
                  <c:v>72.76513671682244</c:v>
                </c:pt>
                <c:pt idx="828">
                  <c:v>72.76513671682244</c:v>
                </c:pt>
                <c:pt idx="829">
                  <c:v>77.548920568494935</c:v>
                </c:pt>
                <c:pt idx="830">
                  <c:v>77.055746975539009</c:v>
                </c:pt>
                <c:pt idx="831">
                  <c:v>76.957112256947823</c:v>
                </c:pt>
                <c:pt idx="832">
                  <c:v>76.858477538356638</c:v>
                </c:pt>
                <c:pt idx="833">
                  <c:v>76.759842819765453</c:v>
                </c:pt>
                <c:pt idx="834">
                  <c:v>77.055746975539009</c:v>
                </c:pt>
                <c:pt idx="835">
                  <c:v>72.074693686684157</c:v>
                </c:pt>
                <c:pt idx="836">
                  <c:v>51.854576375491192</c:v>
                </c:pt>
                <c:pt idx="837">
                  <c:v>52.051845812673562</c:v>
                </c:pt>
                <c:pt idx="838">
                  <c:v>52.298432609151519</c:v>
                </c:pt>
                <c:pt idx="839">
                  <c:v>75.033735244419702</c:v>
                </c:pt>
                <c:pt idx="840">
                  <c:v>51.607989579013221</c:v>
                </c:pt>
                <c:pt idx="841">
                  <c:v>49.684612566485114</c:v>
                </c:pt>
                <c:pt idx="842">
                  <c:v>48.402361224799705</c:v>
                </c:pt>
                <c:pt idx="843">
                  <c:v>46.380349493680413</c:v>
                </c:pt>
                <c:pt idx="844">
                  <c:v>45.344684948472967</c:v>
                </c:pt>
                <c:pt idx="845">
                  <c:v>44.309020403265521</c:v>
                </c:pt>
                <c:pt idx="846">
                  <c:v>44.752876636925855</c:v>
                </c:pt>
                <c:pt idx="847">
                  <c:v>45.640589104246523</c:v>
                </c:pt>
                <c:pt idx="848">
                  <c:v>61.372826719540555</c:v>
                </c:pt>
                <c:pt idx="849">
                  <c:v>64.874359229527627</c:v>
                </c:pt>
                <c:pt idx="850">
                  <c:v>64.726407151640856</c:v>
                </c:pt>
                <c:pt idx="851">
                  <c:v>64.479820355162886</c:v>
                </c:pt>
                <c:pt idx="852">
                  <c:v>64.18391619938933</c:v>
                </c:pt>
                <c:pt idx="853">
                  <c:v>63.937329402911374</c:v>
                </c:pt>
                <c:pt idx="854">
                  <c:v>63.740059965729003</c:v>
                </c:pt>
                <c:pt idx="855">
                  <c:v>69.263604206835367</c:v>
                </c:pt>
                <c:pt idx="856">
                  <c:v>68.819747973175041</c:v>
                </c:pt>
                <c:pt idx="857">
                  <c:v>68.918382691766226</c:v>
                </c:pt>
                <c:pt idx="858">
                  <c:v>76.710525460469853</c:v>
                </c:pt>
                <c:pt idx="859">
                  <c:v>68.326574380219114</c:v>
                </c:pt>
                <c:pt idx="860">
                  <c:v>68.129304943036743</c:v>
                </c:pt>
                <c:pt idx="861">
                  <c:v>66.551149445577778</c:v>
                </c:pt>
                <c:pt idx="862">
                  <c:v>76.414621304696297</c:v>
                </c:pt>
                <c:pt idx="863">
                  <c:v>66.304562649099822</c:v>
                </c:pt>
                <c:pt idx="864">
                  <c:v>66.649784164168963</c:v>
                </c:pt>
                <c:pt idx="865">
                  <c:v>76.414621304696297</c:v>
                </c:pt>
                <c:pt idx="866">
                  <c:v>76.513256023287482</c:v>
                </c:pt>
                <c:pt idx="867">
                  <c:v>76.513256023287482</c:v>
                </c:pt>
                <c:pt idx="868">
                  <c:v>76.562573382583082</c:v>
                </c:pt>
                <c:pt idx="869">
                  <c:v>77.499603209199336</c:v>
                </c:pt>
                <c:pt idx="870">
                  <c:v>74.392609573577005</c:v>
                </c:pt>
                <c:pt idx="871">
                  <c:v>74.24465749569022</c:v>
                </c:pt>
                <c:pt idx="872">
                  <c:v>77.253016412721379</c:v>
                </c:pt>
                <c:pt idx="873">
                  <c:v>74.047388058507849</c:v>
                </c:pt>
                <c:pt idx="874">
                  <c:v>73.998070699212263</c:v>
                </c:pt>
                <c:pt idx="875">
                  <c:v>73.850118621325478</c:v>
                </c:pt>
                <c:pt idx="876">
                  <c:v>77.20369905342578</c:v>
                </c:pt>
                <c:pt idx="877">
                  <c:v>73.554214465551922</c:v>
                </c:pt>
                <c:pt idx="878">
                  <c:v>73.406262387665151</c:v>
                </c:pt>
                <c:pt idx="879">
                  <c:v>77.154381694130194</c:v>
                </c:pt>
                <c:pt idx="880">
                  <c:v>73.06104087259601</c:v>
                </c:pt>
                <c:pt idx="881">
                  <c:v>73.06104087259601</c:v>
                </c:pt>
                <c:pt idx="882">
                  <c:v>72.913088794709225</c:v>
                </c:pt>
                <c:pt idx="883">
                  <c:v>72.863771435413639</c:v>
                </c:pt>
                <c:pt idx="884">
                  <c:v>72.76513671682244</c:v>
                </c:pt>
                <c:pt idx="885">
                  <c:v>66.501832086282192</c:v>
                </c:pt>
                <c:pt idx="886">
                  <c:v>76.463938663991897</c:v>
                </c:pt>
                <c:pt idx="887">
                  <c:v>66.008658493326266</c:v>
                </c:pt>
                <c:pt idx="888">
                  <c:v>65.71275433755271</c:v>
                </c:pt>
                <c:pt idx="889">
                  <c:v>65.367532822483554</c:v>
                </c:pt>
                <c:pt idx="890">
                  <c:v>65.071628666709998</c:v>
                </c:pt>
                <c:pt idx="891">
                  <c:v>64.825041870232042</c:v>
                </c:pt>
                <c:pt idx="892">
                  <c:v>64.726407151640856</c:v>
                </c:pt>
                <c:pt idx="893">
                  <c:v>64.627772433049671</c:v>
                </c:pt>
                <c:pt idx="894">
                  <c:v>64.529137714458486</c:v>
                </c:pt>
                <c:pt idx="895">
                  <c:v>64.4305029958673</c:v>
                </c:pt>
                <c:pt idx="896">
                  <c:v>64.381185636571701</c:v>
                </c:pt>
                <c:pt idx="897">
                  <c:v>64.23323355868493</c:v>
                </c:pt>
                <c:pt idx="898">
                  <c:v>59.005593473352114</c:v>
                </c:pt>
                <c:pt idx="899">
                  <c:v>58.167198365327039</c:v>
                </c:pt>
                <c:pt idx="900">
                  <c:v>75.526908837375629</c:v>
                </c:pt>
                <c:pt idx="901">
                  <c:v>55.849282478434191</c:v>
                </c:pt>
                <c:pt idx="902">
                  <c:v>54.813617933226745</c:v>
                </c:pt>
                <c:pt idx="903">
                  <c:v>53.383414513654557</c:v>
                </c:pt>
                <c:pt idx="904">
                  <c:v>51.706624297604407</c:v>
                </c:pt>
                <c:pt idx="905">
                  <c:v>50.029834081554263</c:v>
                </c:pt>
                <c:pt idx="906">
                  <c:v>48.648948021277675</c:v>
                </c:pt>
                <c:pt idx="907">
                  <c:v>74.343292214281405</c:v>
                </c:pt>
                <c:pt idx="908">
                  <c:v>47.268061961001081</c:v>
                </c:pt>
                <c:pt idx="909">
                  <c:v>47.366696679592266</c:v>
                </c:pt>
                <c:pt idx="910">
                  <c:v>74.293974854985819</c:v>
                </c:pt>
                <c:pt idx="911">
                  <c:v>71.384250656545859</c:v>
                </c:pt>
                <c:pt idx="912">
                  <c:v>71.285615937954674</c:v>
                </c:pt>
                <c:pt idx="913">
                  <c:v>71.236298578659074</c:v>
                </c:pt>
                <c:pt idx="914">
                  <c:v>76.957112256947823</c:v>
                </c:pt>
                <c:pt idx="915">
                  <c:v>71.137663860067889</c:v>
                </c:pt>
                <c:pt idx="916">
                  <c:v>71.137663860067889</c:v>
                </c:pt>
                <c:pt idx="917">
                  <c:v>71.088346500772303</c:v>
                </c:pt>
                <c:pt idx="918">
                  <c:v>71.039029141476703</c:v>
                </c:pt>
                <c:pt idx="919">
                  <c:v>70.989711782181118</c:v>
                </c:pt>
                <c:pt idx="920">
                  <c:v>70.940394422885518</c:v>
                </c:pt>
                <c:pt idx="921">
                  <c:v>70.841759704294333</c:v>
                </c:pt>
                <c:pt idx="922">
                  <c:v>70.792442344998747</c:v>
                </c:pt>
                <c:pt idx="923">
                  <c:v>76.907794897652224</c:v>
                </c:pt>
                <c:pt idx="924">
                  <c:v>70.496538189225191</c:v>
                </c:pt>
                <c:pt idx="925">
                  <c:v>70.249951392747221</c:v>
                </c:pt>
                <c:pt idx="926">
                  <c:v>74.540561651463776</c:v>
                </c:pt>
                <c:pt idx="927">
                  <c:v>74.44192693287259</c:v>
                </c:pt>
                <c:pt idx="928">
                  <c:v>74.392609573577005</c:v>
                </c:pt>
                <c:pt idx="929">
                  <c:v>74.293974854985819</c:v>
                </c:pt>
                <c:pt idx="930">
                  <c:v>73.998070699212263</c:v>
                </c:pt>
                <c:pt idx="931">
                  <c:v>73.899435980621078</c:v>
                </c:pt>
                <c:pt idx="932">
                  <c:v>73.603531824847522</c:v>
                </c:pt>
                <c:pt idx="933">
                  <c:v>73.554214465551922</c:v>
                </c:pt>
                <c:pt idx="934">
                  <c:v>73.258310309778381</c:v>
                </c:pt>
                <c:pt idx="935">
                  <c:v>73.01172351330041</c:v>
                </c:pt>
                <c:pt idx="936">
                  <c:v>76.809160179061038</c:v>
                </c:pt>
                <c:pt idx="937">
                  <c:v>72.074693686684157</c:v>
                </c:pt>
                <c:pt idx="938">
                  <c:v>71.482885375137045</c:v>
                </c:pt>
                <c:pt idx="939">
                  <c:v>71.236298578659074</c:v>
                </c:pt>
                <c:pt idx="940">
                  <c:v>70.743124985703147</c:v>
                </c:pt>
                <c:pt idx="941">
                  <c:v>64.18391619938933</c:v>
                </c:pt>
                <c:pt idx="942">
                  <c:v>64.035964121502559</c:v>
                </c:pt>
                <c:pt idx="943">
                  <c:v>76.266669226809526</c:v>
                </c:pt>
                <c:pt idx="944">
                  <c:v>64.23323355868493</c:v>
                </c:pt>
                <c:pt idx="945">
                  <c:v>64.134598840093744</c:v>
                </c:pt>
                <c:pt idx="946">
                  <c:v>63.986646762206966</c:v>
                </c:pt>
                <c:pt idx="947">
                  <c:v>63.888012043615781</c:v>
                </c:pt>
                <c:pt idx="948">
                  <c:v>63.69074260643341</c:v>
                </c:pt>
                <c:pt idx="949">
                  <c:v>63.394838450659854</c:v>
                </c:pt>
                <c:pt idx="950">
                  <c:v>76.168034508218341</c:v>
                </c:pt>
                <c:pt idx="951">
                  <c:v>63.000299576295113</c:v>
                </c:pt>
                <c:pt idx="952">
                  <c:v>62.852347498408335</c:v>
                </c:pt>
                <c:pt idx="953">
                  <c:v>74.885783166532931</c:v>
                </c:pt>
                <c:pt idx="954">
                  <c:v>74.787148447941746</c:v>
                </c:pt>
                <c:pt idx="955">
                  <c:v>74.737831088646146</c:v>
                </c:pt>
                <c:pt idx="956">
                  <c:v>74.688513729350561</c:v>
                </c:pt>
                <c:pt idx="957">
                  <c:v>74.540561651463776</c:v>
                </c:pt>
                <c:pt idx="958">
                  <c:v>74.49124429216819</c:v>
                </c:pt>
                <c:pt idx="959">
                  <c:v>74.44192693287259</c:v>
                </c:pt>
                <c:pt idx="960">
                  <c:v>74.392609573577005</c:v>
                </c:pt>
                <c:pt idx="961">
                  <c:v>74.343292214281405</c:v>
                </c:pt>
                <c:pt idx="962">
                  <c:v>74.293974854985819</c:v>
                </c:pt>
                <c:pt idx="963">
                  <c:v>74.195340136394634</c:v>
                </c:pt>
                <c:pt idx="964">
                  <c:v>74.096705417803449</c:v>
                </c:pt>
                <c:pt idx="965">
                  <c:v>76.315986586105112</c:v>
                </c:pt>
                <c:pt idx="966">
                  <c:v>76.217351867513926</c:v>
                </c:pt>
                <c:pt idx="967">
                  <c:v>76.168034508218341</c:v>
                </c:pt>
                <c:pt idx="968">
                  <c:v>67.14295775712489</c:v>
                </c:pt>
                <c:pt idx="969">
                  <c:v>67.044323038533705</c:v>
                </c:pt>
                <c:pt idx="970">
                  <c:v>66.995005679238119</c:v>
                </c:pt>
                <c:pt idx="971">
                  <c:v>66.896370960646934</c:v>
                </c:pt>
                <c:pt idx="972">
                  <c:v>66.797736242055748</c:v>
                </c:pt>
                <c:pt idx="973">
                  <c:v>66.699101523464563</c:v>
                </c:pt>
                <c:pt idx="974">
                  <c:v>66.600466804873378</c:v>
                </c:pt>
                <c:pt idx="975">
                  <c:v>70.299268752042821</c:v>
                </c:pt>
                <c:pt idx="976">
                  <c:v>70.348586111338406</c:v>
                </c:pt>
                <c:pt idx="977">
                  <c:v>70.003364596269265</c:v>
                </c:pt>
                <c:pt idx="978">
                  <c:v>69.806095159086894</c:v>
                </c:pt>
                <c:pt idx="979">
                  <c:v>69.559508362608923</c:v>
                </c:pt>
                <c:pt idx="980">
                  <c:v>69.411556284722153</c:v>
                </c:pt>
                <c:pt idx="981">
                  <c:v>69.411556284722153</c:v>
                </c:pt>
                <c:pt idx="982">
                  <c:v>69.658143081200109</c:v>
                </c:pt>
                <c:pt idx="983">
                  <c:v>69.460873644017738</c:v>
                </c:pt>
                <c:pt idx="984">
                  <c:v>69.312921566130967</c:v>
                </c:pt>
                <c:pt idx="985">
                  <c:v>69.312921566130967</c:v>
                </c:pt>
                <c:pt idx="986">
                  <c:v>69.017017410357411</c:v>
                </c:pt>
                <c:pt idx="987">
                  <c:v>68.770430613879455</c:v>
                </c:pt>
                <c:pt idx="988">
                  <c:v>68.869065332470626</c:v>
                </c:pt>
                <c:pt idx="989">
                  <c:v>68.869065332470626</c:v>
                </c:pt>
                <c:pt idx="990">
                  <c:v>71.58152009372823</c:v>
                </c:pt>
                <c:pt idx="991">
                  <c:v>77.006429616243409</c:v>
                </c:pt>
                <c:pt idx="992">
                  <c:v>71.53220273443263</c:v>
                </c:pt>
                <c:pt idx="993">
                  <c:v>71.482885375137045</c:v>
                </c:pt>
                <c:pt idx="994">
                  <c:v>71.334933297250259</c:v>
                </c:pt>
                <c:pt idx="995">
                  <c:v>76.957112256947823</c:v>
                </c:pt>
                <c:pt idx="996">
                  <c:v>71.334933297250259</c:v>
                </c:pt>
                <c:pt idx="997">
                  <c:v>71.53220273443263</c:v>
                </c:pt>
                <c:pt idx="998">
                  <c:v>71.433568015841445</c:v>
                </c:pt>
                <c:pt idx="999">
                  <c:v>71.384250656545859</c:v>
                </c:pt>
                <c:pt idx="1000">
                  <c:v>71.482885375137045</c:v>
                </c:pt>
                <c:pt idx="1001">
                  <c:v>71.334933297250259</c:v>
                </c:pt>
                <c:pt idx="1002">
                  <c:v>71.334933297250259</c:v>
                </c:pt>
                <c:pt idx="1003">
                  <c:v>71.384250656545859</c:v>
                </c:pt>
                <c:pt idx="1004">
                  <c:v>71.236298578659074</c:v>
                </c:pt>
                <c:pt idx="1005">
                  <c:v>66.501832086282192</c:v>
                </c:pt>
                <c:pt idx="1006">
                  <c:v>66.403197367691007</c:v>
                </c:pt>
                <c:pt idx="1007">
                  <c:v>66.205927930508636</c:v>
                </c:pt>
                <c:pt idx="1008">
                  <c:v>66.008658493326266</c:v>
                </c:pt>
                <c:pt idx="1009">
                  <c:v>76.365303945400711</c:v>
                </c:pt>
                <c:pt idx="1010">
                  <c:v>66.008658493326266</c:v>
                </c:pt>
                <c:pt idx="1011">
                  <c:v>66.501832086282192</c:v>
                </c:pt>
                <c:pt idx="1012">
                  <c:v>76.315986586105112</c:v>
                </c:pt>
                <c:pt idx="1013">
                  <c:v>64.23323355868493</c:v>
                </c:pt>
                <c:pt idx="1014">
                  <c:v>64.085281480798159</c:v>
                </c:pt>
                <c:pt idx="1015">
                  <c:v>63.592107887842225</c:v>
                </c:pt>
                <c:pt idx="1016">
                  <c:v>64.23323355868493</c:v>
                </c:pt>
                <c:pt idx="1017">
                  <c:v>64.627772433049671</c:v>
                </c:pt>
                <c:pt idx="1018">
                  <c:v>64.479820355162886</c:v>
                </c:pt>
                <c:pt idx="1019">
                  <c:v>64.085281480798159</c:v>
                </c:pt>
                <c:pt idx="1020">
                  <c:v>76.759842819765453</c:v>
                </c:pt>
                <c:pt idx="1021">
                  <c:v>76.661208101174267</c:v>
                </c:pt>
                <c:pt idx="1022">
                  <c:v>77.055746975539009</c:v>
                </c:pt>
                <c:pt idx="1023">
                  <c:v>72.025376327388557</c:v>
                </c:pt>
                <c:pt idx="1024">
                  <c:v>71.926741608797371</c:v>
                </c:pt>
                <c:pt idx="1025">
                  <c:v>71.828106890206186</c:v>
                </c:pt>
                <c:pt idx="1026">
                  <c:v>71.630837453023815</c:v>
                </c:pt>
                <c:pt idx="1027">
                  <c:v>71.433568015841445</c:v>
                </c:pt>
                <c:pt idx="1028">
                  <c:v>76.957112256947823</c:v>
                </c:pt>
                <c:pt idx="1029">
                  <c:v>72.863771435413639</c:v>
                </c:pt>
                <c:pt idx="1030">
                  <c:v>72.814454076118039</c:v>
                </c:pt>
                <c:pt idx="1031">
                  <c:v>72.715819357526854</c:v>
                </c:pt>
                <c:pt idx="1032">
                  <c:v>76.907794897652224</c:v>
                </c:pt>
                <c:pt idx="1033">
                  <c:v>77.055746975539009</c:v>
                </c:pt>
                <c:pt idx="1034">
                  <c:v>71.877424249501786</c:v>
                </c:pt>
                <c:pt idx="1035">
                  <c:v>71.53220273443263</c:v>
                </c:pt>
                <c:pt idx="1036">
                  <c:v>71.285615937954674</c:v>
                </c:pt>
                <c:pt idx="1037">
                  <c:v>71.039029141476703</c:v>
                </c:pt>
                <c:pt idx="1038">
                  <c:v>70.841759704294333</c:v>
                </c:pt>
                <c:pt idx="1039">
                  <c:v>70.595172907816377</c:v>
                </c:pt>
                <c:pt idx="1040">
                  <c:v>70.397903470634006</c:v>
                </c:pt>
                <c:pt idx="1041">
                  <c:v>76.858477538356638</c:v>
                </c:pt>
                <c:pt idx="1042">
                  <c:v>69.954047236973665</c:v>
                </c:pt>
                <c:pt idx="1043">
                  <c:v>76.809160179061038</c:v>
                </c:pt>
                <c:pt idx="1044">
                  <c:v>59.104228191943299</c:v>
                </c:pt>
                <c:pt idx="1045">
                  <c:v>75.329639400193258</c:v>
                </c:pt>
                <c:pt idx="1046">
                  <c:v>75.231004681602073</c:v>
                </c:pt>
                <c:pt idx="1047">
                  <c:v>75.280322040897673</c:v>
                </c:pt>
                <c:pt idx="1048">
                  <c:v>75.280322040897673</c:v>
                </c:pt>
                <c:pt idx="1049">
                  <c:v>77.40096849060815</c:v>
                </c:pt>
                <c:pt idx="1050">
                  <c:v>75.378956759488858</c:v>
                </c:pt>
                <c:pt idx="1051">
                  <c:v>56.638360227163673</c:v>
                </c:pt>
                <c:pt idx="1052">
                  <c:v>56.194503993503332</c:v>
                </c:pt>
                <c:pt idx="1053">
                  <c:v>56.194503993503332</c:v>
                </c:pt>
                <c:pt idx="1054">
                  <c:v>56.441090789981303</c:v>
                </c:pt>
                <c:pt idx="1055">
                  <c:v>56.687677586459259</c:v>
                </c:pt>
                <c:pt idx="1056">
                  <c:v>57.082216460824</c:v>
                </c:pt>
                <c:pt idx="1057">
                  <c:v>75.231004681602073</c:v>
                </c:pt>
                <c:pt idx="1058">
                  <c:v>76.562573382583082</c:v>
                </c:pt>
                <c:pt idx="1059">
                  <c:v>76.513256023287482</c:v>
                </c:pt>
                <c:pt idx="1060">
                  <c:v>76.365303945400711</c:v>
                </c:pt>
                <c:pt idx="1061">
                  <c:v>76.266669226809526</c:v>
                </c:pt>
                <c:pt idx="1062">
                  <c:v>76.168034508218341</c:v>
                </c:pt>
                <c:pt idx="1063">
                  <c:v>67.19227511642049</c:v>
                </c:pt>
                <c:pt idx="1064">
                  <c:v>63.000299576295113</c:v>
                </c:pt>
                <c:pt idx="1065">
                  <c:v>66.896370960646934</c:v>
                </c:pt>
                <c:pt idx="1066">
                  <c:v>76.513256023287482</c:v>
                </c:pt>
                <c:pt idx="1067">
                  <c:v>66.551149445577778</c:v>
                </c:pt>
                <c:pt idx="1068">
                  <c:v>66.353880008395407</c:v>
                </c:pt>
                <c:pt idx="1069">
                  <c:v>66.205927930508636</c:v>
                </c:pt>
                <c:pt idx="1070">
                  <c:v>65.66343697825711</c:v>
                </c:pt>
                <c:pt idx="1071">
                  <c:v>66.156610571213037</c:v>
                </c:pt>
                <c:pt idx="1072">
                  <c:v>66.156610571213037</c:v>
                </c:pt>
                <c:pt idx="1073">
                  <c:v>64.381185636571701</c:v>
                </c:pt>
                <c:pt idx="1074">
                  <c:v>62.852347498408335</c:v>
                </c:pt>
                <c:pt idx="1075">
                  <c:v>69.806095159086894</c:v>
                </c:pt>
                <c:pt idx="1076">
                  <c:v>69.608825721904523</c:v>
                </c:pt>
                <c:pt idx="1077">
                  <c:v>69.362238925426553</c:v>
                </c:pt>
                <c:pt idx="1078">
                  <c:v>69.115652128948597</c:v>
                </c:pt>
                <c:pt idx="1079">
                  <c:v>68.819747973175041</c:v>
                </c:pt>
                <c:pt idx="1080">
                  <c:v>68.573161176697084</c:v>
                </c:pt>
                <c:pt idx="1081">
                  <c:v>68.277257020923514</c:v>
                </c:pt>
                <c:pt idx="1082">
                  <c:v>68.030670224445558</c:v>
                </c:pt>
                <c:pt idx="1083">
                  <c:v>76.562573382583082</c:v>
                </c:pt>
                <c:pt idx="1084">
                  <c:v>76.217351867513926</c:v>
                </c:pt>
                <c:pt idx="1085">
                  <c:v>66.847053601351334</c:v>
                </c:pt>
                <c:pt idx="1086">
                  <c:v>76.513256023287482</c:v>
                </c:pt>
                <c:pt idx="1087">
                  <c:v>74.737831088646146</c:v>
                </c:pt>
                <c:pt idx="1088">
                  <c:v>77.302333772016965</c:v>
                </c:pt>
                <c:pt idx="1089">
                  <c:v>74.540561651463776</c:v>
                </c:pt>
                <c:pt idx="1090">
                  <c:v>74.49124429216819</c:v>
                </c:pt>
                <c:pt idx="1091">
                  <c:v>70.299268752042821</c:v>
                </c:pt>
                <c:pt idx="1092">
                  <c:v>69.855412518382479</c:v>
                </c:pt>
                <c:pt idx="1093">
                  <c:v>69.855412518382479</c:v>
                </c:pt>
                <c:pt idx="1094">
                  <c:v>70.348586111338406</c:v>
                </c:pt>
                <c:pt idx="1095">
                  <c:v>70.003364596269265</c:v>
                </c:pt>
                <c:pt idx="1096">
                  <c:v>69.559508362608923</c:v>
                </c:pt>
                <c:pt idx="1097">
                  <c:v>69.263604206835367</c:v>
                </c:pt>
                <c:pt idx="1098">
                  <c:v>69.066334769652997</c:v>
                </c:pt>
                <c:pt idx="1099">
                  <c:v>76.759842819765453</c:v>
                </c:pt>
                <c:pt idx="1100">
                  <c:v>68.030670224445558</c:v>
                </c:pt>
                <c:pt idx="1101">
                  <c:v>68.030670224445558</c:v>
                </c:pt>
                <c:pt idx="1102">
                  <c:v>67.833400787263187</c:v>
                </c:pt>
                <c:pt idx="1103">
                  <c:v>67.882718146558773</c:v>
                </c:pt>
                <c:pt idx="1104">
                  <c:v>68.079987583741143</c:v>
                </c:pt>
                <c:pt idx="1105">
                  <c:v>68.129304943036743</c:v>
                </c:pt>
                <c:pt idx="1106">
                  <c:v>66.600466804873378</c:v>
                </c:pt>
                <c:pt idx="1107">
                  <c:v>66.403197367691007</c:v>
                </c:pt>
                <c:pt idx="1108">
                  <c:v>66.156610571213037</c:v>
                </c:pt>
                <c:pt idx="1109">
                  <c:v>65.71275433755271</c:v>
                </c:pt>
                <c:pt idx="1110">
                  <c:v>65.170263385301183</c:v>
                </c:pt>
                <c:pt idx="1111">
                  <c:v>64.627772433049671</c:v>
                </c:pt>
                <c:pt idx="1112">
                  <c:v>59.745353862786004</c:v>
                </c:pt>
                <c:pt idx="1113">
                  <c:v>59.498767066308041</c:v>
                </c:pt>
                <c:pt idx="1114">
                  <c:v>59.153545551238892</c:v>
                </c:pt>
                <c:pt idx="1115">
                  <c:v>59.104228191943299</c:v>
                </c:pt>
                <c:pt idx="1116">
                  <c:v>59.153545551238892</c:v>
                </c:pt>
                <c:pt idx="1117">
                  <c:v>59.054910832647707</c:v>
                </c:pt>
                <c:pt idx="1118">
                  <c:v>58.56173723969178</c:v>
                </c:pt>
                <c:pt idx="1119">
                  <c:v>58.463102521100595</c:v>
                </c:pt>
                <c:pt idx="1120">
                  <c:v>58.068563646735853</c:v>
                </c:pt>
                <c:pt idx="1121">
                  <c:v>77.40096849060815</c:v>
                </c:pt>
                <c:pt idx="1122">
                  <c:v>69.608825721904523</c:v>
                </c:pt>
                <c:pt idx="1123">
                  <c:v>69.559508362608923</c:v>
                </c:pt>
                <c:pt idx="1124">
                  <c:v>69.460873644017738</c:v>
                </c:pt>
                <c:pt idx="1125">
                  <c:v>69.362238925426553</c:v>
                </c:pt>
                <c:pt idx="1126">
                  <c:v>69.115652128948597</c:v>
                </c:pt>
                <c:pt idx="1127">
                  <c:v>68.967700051061826</c:v>
                </c:pt>
                <c:pt idx="1128">
                  <c:v>68.869065332470626</c:v>
                </c:pt>
                <c:pt idx="1129">
                  <c:v>68.819747973175041</c:v>
                </c:pt>
                <c:pt idx="1130">
                  <c:v>68.770430613879455</c:v>
                </c:pt>
                <c:pt idx="1131">
                  <c:v>77.499603209199336</c:v>
                </c:pt>
                <c:pt idx="1132">
                  <c:v>68.573161176697084</c:v>
                </c:pt>
                <c:pt idx="1133">
                  <c:v>68.474526458105885</c:v>
                </c:pt>
                <c:pt idx="1134">
                  <c:v>71.729472171615001</c:v>
                </c:pt>
                <c:pt idx="1135">
                  <c:v>71.778789530910601</c:v>
                </c:pt>
                <c:pt idx="1136">
                  <c:v>77.006429616243409</c:v>
                </c:pt>
                <c:pt idx="1137">
                  <c:v>71.630837453023815</c:v>
                </c:pt>
                <c:pt idx="1138">
                  <c:v>71.58152009372823</c:v>
                </c:pt>
                <c:pt idx="1139">
                  <c:v>71.334933297250259</c:v>
                </c:pt>
                <c:pt idx="1140">
                  <c:v>71.334933297250259</c:v>
                </c:pt>
                <c:pt idx="1141">
                  <c:v>71.482885375137045</c:v>
                </c:pt>
                <c:pt idx="1142">
                  <c:v>71.433568015841445</c:v>
                </c:pt>
                <c:pt idx="1143">
                  <c:v>71.58152009372823</c:v>
                </c:pt>
                <c:pt idx="1144">
                  <c:v>71.53220273443263</c:v>
                </c:pt>
                <c:pt idx="1145">
                  <c:v>71.384250656545859</c:v>
                </c:pt>
                <c:pt idx="1146">
                  <c:v>71.433568015841445</c:v>
                </c:pt>
                <c:pt idx="1147">
                  <c:v>71.482885375137045</c:v>
                </c:pt>
                <c:pt idx="1148">
                  <c:v>63.888012043615781</c:v>
                </c:pt>
                <c:pt idx="1149">
                  <c:v>63.740059965729003</c:v>
                </c:pt>
                <c:pt idx="1150">
                  <c:v>63.592107887842225</c:v>
                </c:pt>
                <c:pt idx="1151">
                  <c:v>63.542790528546632</c:v>
                </c:pt>
                <c:pt idx="1152">
                  <c:v>63.49347316925104</c:v>
                </c:pt>
                <c:pt idx="1153">
                  <c:v>63.394838450659854</c:v>
                </c:pt>
                <c:pt idx="1154">
                  <c:v>76.168034508218341</c:v>
                </c:pt>
                <c:pt idx="1155">
                  <c:v>63.049616935590706</c:v>
                </c:pt>
                <c:pt idx="1156">
                  <c:v>62.852347498408335</c:v>
                </c:pt>
                <c:pt idx="1157">
                  <c:v>75.773495633853599</c:v>
                </c:pt>
                <c:pt idx="1158">
                  <c:v>62.112587108974445</c:v>
                </c:pt>
                <c:pt idx="1159">
                  <c:v>61.767365593905296</c:v>
                </c:pt>
                <c:pt idx="1160">
                  <c:v>61.47146143813174</c:v>
                </c:pt>
                <c:pt idx="1161">
                  <c:v>61.27419200094937</c:v>
                </c:pt>
                <c:pt idx="1162">
                  <c:v>61.076922563766999</c:v>
                </c:pt>
                <c:pt idx="1163">
                  <c:v>70.348586111338406</c:v>
                </c:pt>
                <c:pt idx="1164">
                  <c:v>70.299268752042821</c:v>
                </c:pt>
                <c:pt idx="1165">
                  <c:v>70.299268752042821</c:v>
                </c:pt>
                <c:pt idx="1166">
                  <c:v>76.858477538356638</c:v>
                </c:pt>
                <c:pt idx="1167">
                  <c:v>70.10199931486045</c:v>
                </c:pt>
                <c:pt idx="1168">
                  <c:v>69.954047236973665</c:v>
                </c:pt>
                <c:pt idx="1169">
                  <c:v>69.855412518382479</c:v>
                </c:pt>
                <c:pt idx="1170">
                  <c:v>69.756777799791294</c:v>
                </c:pt>
                <c:pt idx="1171">
                  <c:v>69.658143081200109</c:v>
                </c:pt>
                <c:pt idx="1172">
                  <c:v>69.559508362608923</c:v>
                </c:pt>
                <c:pt idx="1173">
                  <c:v>69.460873644017738</c:v>
                </c:pt>
                <c:pt idx="1174">
                  <c:v>69.411556284722153</c:v>
                </c:pt>
                <c:pt idx="1175">
                  <c:v>71.433568015841445</c:v>
                </c:pt>
                <c:pt idx="1176">
                  <c:v>71.433568015841445</c:v>
                </c:pt>
                <c:pt idx="1177">
                  <c:v>71.236298578659074</c:v>
                </c:pt>
                <c:pt idx="1178">
                  <c:v>71.039029141476703</c:v>
                </c:pt>
                <c:pt idx="1179">
                  <c:v>76.907794897652224</c:v>
                </c:pt>
                <c:pt idx="1180">
                  <c:v>76.907794897652224</c:v>
                </c:pt>
                <c:pt idx="1181">
                  <c:v>70.792442344998747</c:v>
                </c:pt>
                <c:pt idx="1182">
                  <c:v>71.039029141476703</c:v>
                </c:pt>
                <c:pt idx="1183">
                  <c:v>70.989711782181118</c:v>
                </c:pt>
                <c:pt idx="1184">
                  <c:v>70.299268752042821</c:v>
                </c:pt>
                <c:pt idx="1185">
                  <c:v>70.151316674156035</c:v>
                </c:pt>
                <c:pt idx="1186">
                  <c:v>70.10199931486045</c:v>
                </c:pt>
                <c:pt idx="1187">
                  <c:v>67.044323038533705</c:v>
                </c:pt>
                <c:pt idx="1188">
                  <c:v>66.797736242055748</c:v>
                </c:pt>
                <c:pt idx="1189">
                  <c:v>66.896370960646934</c:v>
                </c:pt>
                <c:pt idx="1190">
                  <c:v>66.847053601351334</c:v>
                </c:pt>
                <c:pt idx="1191">
                  <c:v>66.847053601351334</c:v>
                </c:pt>
                <c:pt idx="1192">
                  <c:v>66.797736242055748</c:v>
                </c:pt>
                <c:pt idx="1193">
                  <c:v>66.896370960646934</c:v>
                </c:pt>
                <c:pt idx="1194">
                  <c:v>66.945688319942519</c:v>
                </c:pt>
                <c:pt idx="1195">
                  <c:v>66.797736242055748</c:v>
                </c:pt>
                <c:pt idx="1196">
                  <c:v>66.600466804873378</c:v>
                </c:pt>
                <c:pt idx="1197">
                  <c:v>66.847053601351334</c:v>
                </c:pt>
                <c:pt idx="1198">
                  <c:v>66.896370960646934</c:v>
                </c:pt>
                <c:pt idx="1199">
                  <c:v>66.699101523464563</c:v>
                </c:pt>
                <c:pt idx="1200">
                  <c:v>66.699101523464563</c:v>
                </c:pt>
                <c:pt idx="1201">
                  <c:v>66.797736242055748</c:v>
                </c:pt>
                <c:pt idx="1202">
                  <c:v>77.006429616243409</c:v>
                </c:pt>
                <c:pt idx="1203">
                  <c:v>77.006429616243409</c:v>
                </c:pt>
                <c:pt idx="1204">
                  <c:v>71.433568015841445</c:v>
                </c:pt>
                <c:pt idx="1205">
                  <c:v>71.285615937954674</c:v>
                </c:pt>
                <c:pt idx="1206">
                  <c:v>76.957112256947823</c:v>
                </c:pt>
                <c:pt idx="1207">
                  <c:v>70.891077063589933</c:v>
                </c:pt>
                <c:pt idx="1208">
                  <c:v>76.907794897652224</c:v>
                </c:pt>
                <c:pt idx="1209">
                  <c:v>70.496538189225191</c:v>
                </c:pt>
                <c:pt idx="1210">
                  <c:v>70.496538189225191</c:v>
                </c:pt>
                <c:pt idx="1211">
                  <c:v>70.496538189225191</c:v>
                </c:pt>
                <c:pt idx="1212">
                  <c:v>70.545855548520777</c:v>
                </c:pt>
                <c:pt idx="1213">
                  <c:v>70.595172907816377</c:v>
                </c:pt>
                <c:pt idx="1214">
                  <c:v>70.447220829929591</c:v>
                </c:pt>
                <c:pt idx="1215">
                  <c:v>70.249951392747221</c:v>
                </c:pt>
                <c:pt idx="1216">
                  <c:v>70.05268195556485</c:v>
                </c:pt>
                <c:pt idx="1217">
                  <c:v>73.751483902734293</c:v>
                </c:pt>
                <c:pt idx="1218">
                  <c:v>73.702166543438707</c:v>
                </c:pt>
                <c:pt idx="1219">
                  <c:v>73.603531824847522</c:v>
                </c:pt>
                <c:pt idx="1220">
                  <c:v>73.406262387665151</c:v>
                </c:pt>
                <c:pt idx="1221">
                  <c:v>73.258310309778381</c:v>
                </c:pt>
                <c:pt idx="1222">
                  <c:v>77.154381694130194</c:v>
                </c:pt>
                <c:pt idx="1223">
                  <c:v>73.06104087259601</c:v>
                </c:pt>
                <c:pt idx="1224">
                  <c:v>72.96240615400481</c:v>
                </c:pt>
                <c:pt idx="1225">
                  <c:v>72.863771435413639</c:v>
                </c:pt>
                <c:pt idx="1226">
                  <c:v>77.055746975539009</c:v>
                </c:pt>
                <c:pt idx="1227">
                  <c:v>72.715819357526854</c:v>
                </c:pt>
                <c:pt idx="1228">
                  <c:v>76.858477538356638</c:v>
                </c:pt>
                <c:pt idx="1229">
                  <c:v>76.759842819765453</c:v>
                </c:pt>
                <c:pt idx="1230">
                  <c:v>77.055746975539009</c:v>
                </c:pt>
                <c:pt idx="1231">
                  <c:v>77.055746975539009</c:v>
                </c:pt>
                <c:pt idx="1232">
                  <c:v>70.940394422885518</c:v>
                </c:pt>
                <c:pt idx="1233">
                  <c:v>70.792442344998747</c:v>
                </c:pt>
                <c:pt idx="1234">
                  <c:v>70.792442344998747</c:v>
                </c:pt>
                <c:pt idx="1235">
                  <c:v>70.743124985703147</c:v>
                </c:pt>
                <c:pt idx="1236">
                  <c:v>70.05268195556485</c:v>
                </c:pt>
                <c:pt idx="1237">
                  <c:v>69.806095159086894</c:v>
                </c:pt>
                <c:pt idx="1238">
                  <c:v>69.756777799791294</c:v>
                </c:pt>
                <c:pt idx="1239">
                  <c:v>70.003364596269265</c:v>
                </c:pt>
                <c:pt idx="1240">
                  <c:v>69.855412518382479</c:v>
                </c:pt>
                <c:pt idx="1241">
                  <c:v>69.608825721904523</c:v>
                </c:pt>
                <c:pt idx="1242">
                  <c:v>69.460873644017738</c:v>
                </c:pt>
                <c:pt idx="1243">
                  <c:v>69.017017410357411</c:v>
                </c:pt>
                <c:pt idx="1244">
                  <c:v>68.819747973175041</c:v>
                </c:pt>
                <c:pt idx="1245">
                  <c:v>68.770430613879455</c:v>
                </c:pt>
                <c:pt idx="1246">
                  <c:v>68.967700051061826</c:v>
                </c:pt>
                <c:pt idx="1247">
                  <c:v>66.501832086282192</c:v>
                </c:pt>
                <c:pt idx="1248">
                  <c:v>66.304562649099822</c:v>
                </c:pt>
                <c:pt idx="1249">
                  <c:v>65.91002377473508</c:v>
                </c:pt>
                <c:pt idx="1250">
                  <c:v>65.66343697825711</c:v>
                </c:pt>
                <c:pt idx="1251">
                  <c:v>64.972993948118813</c:v>
                </c:pt>
                <c:pt idx="1252">
                  <c:v>64.726407151640856</c:v>
                </c:pt>
                <c:pt idx="1253">
                  <c:v>63.888012043615781</c:v>
                </c:pt>
                <c:pt idx="1254">
                  <c:v>63.69074260643341</c:v>
                </c:pt>
                <c:pt idx="1255">
                  <c:v>77.45028584990375</c:v>
                </c:pt>
                <c:pt idx="1256">
                  <c:v>61.47146143813174</c:v>
                </c:pt>
                <c:pt idx="1257">
                  <c:v>61.767365593905296</c:v>
                </c:pt>
                <c:pt idx="1258">
                  <c:v>61.718048234609711</c:v>
                </c:pt>
                <c:pt idx="1259">
                  <c:v>62.161904468270038</c:v>
                </c:pt>
                <c:pt idx="1260">
                  <c:v>75.724178274558</c:v>
                </c:pt>
                <c:pt idx="1261">
                  <c:v>76.463938663991897</c:v>
                </c:pt>
                <c:pt idx="1262">
                  <c:v>66.107293211917451</c:v>
                </c:pt>
                <c:pt idx="1263">
                  <c:v>65.811389056143895</c:v>
                </c:pt>
                <c:pt idx="1264">
                  <c:v>65.416850181779154</c:v>
                </c:pt>
                <c:pt idx="1265">
                  <c:v>76.315986586105112</c:v>
                </c:pt>
                <c:pt idx="1266">
                  <c:v>63.394838450659854</c:v>
                </c:pt>
                <c:pt idx="1267">
                  <c:v>63.69074260643341</c:v>
                </c:pt>
                <c:pt idx="1268">
                  <c:v>63.049616935590706</c:v>
                </c:pt>
                <c:pt idx="1269">
                  <c:v>61.422144078836155</c:v>
                </c:pt>
                <c:pt idx="1270">
                  <c:v>75.773495633853599</c:v>
                </c:pt>
                <c:pt idx="1271">
                  <c:v>58.019246287440268</c:v>
                </c:pt>
                <c:pt idx="1272">
                  <c:v>75.231004681602073</c:v>
                </c:pt>
                <c:pt idx="1273">
                  <c:v>57.1315338201196</c:v>
                </c:pt>
                <c:pt idx="1274">
                  <c:v>71.285615937954674</c:v>
                </c:pt>
                <c:pt idx="1275">
                  <c:v>71.137663860067889</c:v>
                </c:pt>
                <c:pt idx="1276">
                  <c:v>70.891077063589933</c:v>
                </c:pt>
                <c:pt idx="1277">
                  <c:v>70.743124985703147</c:v>
                </c:pt>
                <c:pt idx="1278">
                  <c:v>70.496538189225191</c:v>
                </c:pt>
                <c:pt idx="1279">
                  <c:v>69.115652128948597</c:v>
                </c:pt>
                <c:pt idx="1280">
                  <c:v>70.397903470634006</c:v>
                </c:pt>
                <c:pt idx="1281">
                  <c:v>70.249951392747221</c:v>
                </c:pt>
                <c:pt idx="1282">
                  <c:v>70.05268195556485</c:v>
                </c:pt>
                <c:pt idx="1283">
                  <c:v>76.809160179061038</c:v>
                </c:pt>
                <c:pt idx="1284">
                  <c:v>69.608825721904523</c:v>
                </c:pt>
                <c:pt idx="1285">
                  <c:v>69.263604206835367</c:v>
                </c:pt>
                <c:pt idx="1286">
                  <c:v>69.017017410357411</c:v>
                </c:pt>
                <c:pt idx="1287">
                  <c:v>68.967700051061826</c:v>
                </c:pt>
                <c:pt idx="1288">
                  <c:v>76.710525460469853</c:v>
                </c:pt>
                <c:pt idx="1289">
                  <c:v>68.178622302332343</c:v>
                </c:pt>
                <c:pt idx="1290">
                  <c:v>68.129304943036743</c:v>
                </c:pt>
                <c:pt idx="1291">
                  <c:v>68.030670224445558</c:v>
                </c:pt>
                <c:pt idx="1292">
                  <c:v>67.833400787263187</c:v>
                </c:pt>
                <c:pt idx="1293">
                  <c:v>76.414621304696297</c:v>
                </c:pt>
                <c:pt idx="1294">
                  <c:v>76.562573382583082</c:v>
                </c:pt>
                <c:pt idx="1295">
                  <c:v>66.995005679238119</c:v>
                </c:pt>
                <c:pt idx="1296">
                  <c:v>66.896370960646934</c:v>
                </c:pt>
                <c:pt idx="1297">
                  <c:v>76.513256023287482</c:v>
                </c:pt>
                <c:pt idx="1298">
                  <c:v>66.649784164168963</c:v>
                </c:pt>
                <c:pt idx="1299">
                  <c:v>66.551149445577778</c:v>
                </c:pt>
                <c:pt idx="1300">
                  <c:v>66.501832086282192</c:v>
                </c:pt>
                <c:pt idx="1301">
                  <c:v>68.129304943036743</c:v>
                </c:pt>
                <c:pt idx="1302">
                  <c:v>67.932035505854373</c:v>
                </c:pt>
                <c:pt idx="1303">
                  <c:v>77.499603209199336</c:v>
                </c:pt>
                <c:pt idx="1304">
                  <c:v>76.315986586105112</c:v>
                </c:pt>
                <c:pt idx="1305">
                  <c:v>67.14295775712489</c:v>
                </c:pt>
                <c:pt idx="1306">
                  <c:v>66.797736242055748</c:v>
                </c:pt>
                <c:pt idx="1307">
                  <c:v>66.501832086282192</c:v>
                </c:pt>
                <c:pt idx="1308">
                  <c:v>76.463938663991897</c:v>
                </c:pt>
                <c:pt idx="1309">
                  <c:v>65.959341134030666</c:v>
                </c:pt>
                <c:pt idx="1310">
                  <c:v>65.66343697825711</c:v>
                </c:pt>
                <c:pt idx="1311">
                  <c:v>65.416850181779154</c:v>
                </c:pt>
                <c:pt idx="1312">
                  <c:v>71.53220273443263</c:v>
                </c:pt>
                <c:pt idx="1313">
                  <c:v>71.58152009372823</c:v>
                </c:pt>
                <c:pt idx="1314">
                  <c:v>71.384250656545859</c:v>
                </c:pt>
                <c:pt idx="1315">
                  <c:v>71.334933297250259</c:v>
                </c:pt>
                <c:pt idx="1316">
                  <c:v>71.285615937954674</c:v>
                </c:pt>
                <c:pt idx="1317">
                  <c:v>71.137663860067889</c:v>
                </c:pt>
                <c:pt idx="1318">
                  <c:v>71.088346500772303</c:v>
                </c:pt>
                <c:pt idx="1319">
                  <c:v>71.088346500772303</c:v>
                </c:pt>
                <c:pt idx="1320">
                  <c:v>71.039029141476703</c:v>
                </c:pt>
                <c:pt idx="1321">
                  <c:v>70.940394422885518</c:v>
                </c:pt>
                <c:pt idx="1322">
                  <c:v>70.989711782181118</c:v>
                </c:pt>
                <c:pt idx="1323">
                  <c:v>76.759842819765453</c:v>
                </c:pt>
                <c:pt idx="1324">
                  <c:v>69.115652128948597</c:v>
                </c:pt>
                <c:pt idx="1325">
                  <c:v>69.017017410357411</c:v>
                </c:pt>
                <c:pt idx="1326">
                  <c:v>68.869065332470626</c:v>
                </c:pt>
                <c:pt idx="1327">
                  <c:v>76.710525460469853</c:v>
                </c:pt>
                <c:pt idx="1328">
                  <c:v>68.62247853599267</c:v>
                </c:pt>
                <c:pt idx="1329">
                  <c:v>68.523843817401485</c:v>
                </c:pt>
                <c:pt idx="1330">
                  <c:v>68.474526458105885</c:v>
                </c:pt>
                <c:pt idx="1331">
                  <c:v>68.474526458105885</c:v>
                </c:pt>
                <c:pt idx="1332">
                  <c:v>68.474526458105885</c:v>
                </c:pt>
                <c:pt idx="1333">
                  <c:v>68.425209098810299</c:v>
                </c:pt>
                <c:pt idx="1334">
                  <c:v>68.474526458105885</c:v>
                </c:pt>
                <c:pt idx="1335">
                  <c:v>68.425209098810299</c:v>
                </c:pt>
                <c:pt idx="1336">
                  <c:v>68.375891739514714</c:v>
                </c:pt>
                <c:pt idx="1337">
                  <c:v>68.326574380219114</c:v>
                </c:pt>
                <c:pt idx="1338">
                  <c:v>54.764300573931152</c:v>
                </c:pt>
                <c:pt idx="1339">
                  <c:v>75.280322040897673</c:v>
                </c:pt>
                <c:pt idx="1340">
                  <c:v>57.328803257301971</c:v>
                </c:pt>
                <c:pt idx="1341">
                  <c:v>56.983581742232815</c:v>
                </c:pt>
                <c:pt idx="1342">
                  <c:v>56.687677586459259</c:v>
                </c:pt>
                <c:pt idx="1343">
                  <c:v>56.243821352798932</c:v>
                </c:pt>
                <c:pt idx="1344">
                  <c:v>55.849282478434191</c:v>
                </c:pt>
                <c:pt idx="1345">
                  <c:v>75.378956759488858</c:v>
                </c:pt>
                <c:pt idx="1346">
                  <c:v>68.573161176697084</c:v>
                </c:pt>
                <c:pt idx="1347">
                  <c:v>68.62247853599267</c:v>
                </c:pt>
                <c:pt idx="1348">
                  <c:v>68.523843817401485</c:v>
                </c:pt>
                <c:pt idx="1349">
                  <c:v>68.425209098810299</c:v>
                </c:pt>
                <c:pt idx="1350">
                  <c:v>68.326574380219114</c:v>
                </c:pt>
                <c:pt idx="1351">
                  <c:v>68.129304943036743</c:v>
                </c:pt>
                <c:pt idx="1352">
                  <c:v>68.079987583741143</c:v>
                </c:pt>
                <c:pt idx="1353">
                  <c:v>77.499603209199336</c:v>
                </c:pt>
                <c:pt idx="1354">
                  <c:v>77.499603209199336</c:v>
                </c:pt>
                <c:pt idx="1355">
                  <c:v>76.414621304696297</c:v>
                </c:pt>
                <c:pt idx="1356">
                  <c:v>76.168034508218341</c:v>
                </c:pt>
                <c:pt idx="1357">
                  <c:v>66.995005679238119</c:v>
                </c:pt>
                <c:pt idx="1358">
                  <c:v>76.513256023287482</c:v>
                </c:pt>
                <c:pt idx="1359">
                  <c:v>66.403197367691007</c:v>
                </c:pt>
                <c:pt idx="1360">
                  <c:v>66.008658493326266</c:v>
                </c:pt>
                <c:pt idx="1361">
                  <c:v>60.485114252219887</c:v>
                </c:pt>
                <c:pt idx="1362">
                  <c:v>59.30149762912567</c:v>
                </c:pt>
                <c:pt idx="1363">
                  <c:v>75.231004681602073</c:v>
                </c:pt>
                <c:pt idx="1364">
                  <c:v>57.230168538710785</c:v>
                </c:pt>
                <c:pt idx="1365">
                  <c:v>56.490408149276888</c:v>
                </c:pt>
                <c:pt idx="1366">
                  <c:v>55.454743604069449</c:v>
                </c:pt>
                <c:pt idx="1367">
                  <c:v>54.271126980975225</c:v>
                </c:pt>
                <c:pt idx="1368">
                  <c:v>53.630001310132521</c:v>
                </c:pt>
                <c:pt idx="1369">
                  <c:v>53.136827717176601</c:v>
                </c:pt>
                <c:pt idx="1370">
                  <c:v>53.038192998585416</c:v>
                </c:pt>
                <c:pt idx="1371">
                  <c:v>53.087510357881001</c:v>
                </c:pt>
                <c:pt idx="1372">
                  <c:v>53.679318669428113</c:v>
                </c:pt>
                <c:pt idx="1373">
                  <c:v>54.961570011113523</c:v>
                </c:pt>
                <c:pt idx="1374">
                  <c:v>56.441090789981303</c:v>
                </c:pt>
                <c:pt idx="1375">
                  <c:v>58.019246287440268</c:v>
                </c:pt>
                <c:pt idx="1376">
                  <c:v>74.737831088646146</c:v>
                </c:pt>
                <c:pt idx="1377">
                  <c:v>77.302333772016965</c:v>
                </c:pt>
                <c:pt idx="1378">
                  <c:v>74.589879010759375</c:v>
                </c:pt>
                <c:pt idx="1379">
                  <c:v>74.49124429216819</c:v>
                </c:pt>
                <c:pt idx="1380">
                  <c:v>74.44192693287259</c:v>
                </c:pt>
                <c:pt idx="1381">
                  <c:v>74.343292214281405</c:v>
                </c:pt>
                <c:pt idx="1382">
                  <c:v>77.253016412721379</c:v>
                </c:pt>
                <c:pt idx="1383">
                  <c:v>74.047388058507849</c:v>
                </c:pt>
                <c:pt idx="1384">
                  <c:v>73.998070699212263</c:v>
                </c:pt>
                <c:pt idx="1385">
                  <c:v>73.800801262029893</c:v>
                </c:pt>
                <c:pt idx="1386">
                  <c:v>73.702166543438707</c:v>
                </c:pt>
                <c:pt idx="1387">
                  <c:v>73.504897106256337</c:v>
                </c:pt>
                <c:pt idx="1388">
                  <c:v>73.504897106256337</c:v>
                </c:pt>
                <c:pt idx="1389">
                  <c:v>73.455579746960737</c:v>
                </c:pt>
                <c:pt idx="1390">
                  <c:v>73.356945028369552</c:v>
                </c:pt>
                <c:pt idx="1391">
                  <c:v>70.644490267111962</c:v>
                </c:pt>
                <c:pt idx="1392">
                  <c:v>70.595172907816377</c:v>
                </c:pt>
                <c:pt idx="1393">
                  <c:v>70.545855548520777</c:v>
                </c:pt>
                <c:pt idx="1394">
                  <c:v>70.644490267111962</c:v>
                </c:pt>
                <c:pt idx="1395">
                  <c:v>70.792442344998747</c:v>
                </c:pt>
                <c:pt idx="1396">
                  <c:v>68.573161176697084</c:v>
                </c:pt>
                <c:pt idx="1397">
                  <c:v>69.115652128948597</c:v>
                </c:pt>
                <c:pt idx="1398">
                  <c:v>70.397903470634006</c:v>
                </c:pt>
                <c:pt idx="1399">
                  <c:v>70.447220829929591</c:v>
                </c:pt>
                <c:pt idx="1400">
                  <c:v>70.792442344998747</c:v>
                </c:pt>
                <c:pt idx="1401">
                  <c:v>67.882718146558773</c:v>
                </c:pt>
                <c:pt idx="1402">
                  <c:v>70.397903470634006</c:v>
                </c:pt>
                <c:pt idx="1403">
                  <c:v>68.819747973175041</c:v>
                </c:pt>
                <c:pt idx="1404">
                  <c:v>68.770430613879455</c:v>
                </c:pt>
                <c:pt idx="1405">
                  <c:v>68.819747973175041</c:v>
                </c:pt>
                <c:pt idx="1406">
                  <c:v>68.375891739514714</c:v>
                </c:pt>
                <c:pt idx="1407">
                  <c:v>76.661208101174267</c:v>
                </c:pt>
                <c:pt idx="1408">
                  <c:v>67.932035505854373</c:v>
                </c:pt>
                <c:pt idx="1409">
                  <c:v>67.932035505854373</c:v>
                </c:pt>
                <c:pt idx="1410">
                  <c:v>76.513256023287482</c:v>
                </c:pt>
                <c:pt idx="1411">
                  <c:v>67.784083427967602</c:v>
                </c:pt>
                <c:pt idx="1412">
                  <c:v>76.365303945400711</c:v>
                </c:pt>
                <c:pt idx="1413">
                  <c:v>58.759006676874151</c:v>
                </c:pt>
                <c:pt idx="1414">
                  <c:v>58.216515724622631</c:v>
                </c:pt>
                <c:pt idx="1415">
                  <c:v>57.279485898006371</c:v>
                </c:pt>
                <c:pt idx="1416">
                  <c:v>55.997234556320961</c:v>
                </c:pt>
                <c:pt idx="1417">
                  <c:v>54.961570011113523</c:v>
                </c:pt>
                <c:pt idx="1418">
                  <c:v>75.329639400193258</c:v>
                </c:pt>
                <c:pt idx="1419">
                  <c:v>54.073857543792855</c:v>
                </c:pt>
                <c:pt idx="1420">
                  <c:v>75.083052603715302</c:v>
                </c:pt>
                <c:pt idx="1421">
                  <c:v>49.7832472850763</c:v>
                </c:pt>
                <c:pt idx="1422">
                  <c:v>74.49124429216819</c:v>
                </c:pt>
                <c:pt idx="1423">
                  <c:v>74.195340136394634</c:v>
                </c:pt>
                <c:pt idx="1424">
                  <c:v>77.302333772016965</c:v>
                </c:pt>
                <c:pt idx="1425">
                  <c:v>48.648948021277675</c:v>
                </c:pt>
                <c:pt idx="1426">
                  <c:v>49.585977847893929</c:v>
                </c:pt>
                <c:pt idx="1427">
                  <c:v>51.164133345352894</c:v>
                </c:pt>
                <c:pt idx="1428">
                  <c:v>74.935100525828517</c:v>
                </c:pt>
                <c:pt idx="1429">
                  <c:v>74.787148447941746</c:v>
                </c:pt>
                <c:pt idx="1430">
                  <c:v>74.787148447941746</c:v>
                </c:pt>
                <c:pt idx="1431">
                  <c:v>74.737831088646146</c:v>
                </c:pt>
                <c:pt idx="1432">
                  <c:v>71.630837453023815</c:v>
                </c:pt>
                <c:pt idx="1433">
                  <c:v>71.53220273443263</c:v>
                </c:pt>
                <c:pt idx="1434">
                  <c:v>71.334933297250259</c:v>
                </c:pt>
                <c:pt idx="1435">
                  <c:v>71.137663860067889</c:v>
                </c:pt>
                <c:pt idx="1436">
                  <c:v>70.989711782181118</c:v>
                </c:pt>
                <c:pt idx="1437">
                  <c:v>70.940394422885518</c:v>
                </c:pt>
                <c:pt idx="1438">
                  <c:v>70.940394422885518</c:v>
                </c:pt>
                <c:pt idx="1439">
                  <c:v>70.891077063589933</c:v>
                </c:pt>
                <c:pt idx="1440">
                  <c:v>69.608825721904523</c:v>
                </c:pt>
                <c:pt idx="1441">
                  <c:v>69.559508362608923</c:v>
                </c:pt>
                <c:pt idx="1442">
                  <c:v>69.510191003313338</c:v>
                </c:pt>
                <c:pt idx="1443">
                  <c:v>69.411556284722153</c:v>
                </c:pt>
                <c:pt idx="1444">
                  <c:v>69.164969488244182</c:v>
                </c:pt>
                <c:pt idx="1445">
                  <c:v>69.017017410357411</c:v>
                </c:pt>
                <c:pt idx="1446">
                  <c:v>68.819747973175041</c:v>
                </c:pt>
                <c:pt idx="1447">
                  <c:v>68.671795895288255</c:v>
                </c:pt>
                <c:pt idx="1448">
                  <c:v>68.573161176697084</c:v>
                </c:pt>
                <c:pt idx="1449">
                  <c:v>68.030670224445558</c:v>
                </c:pt>
                <c:pt idx="1450">
                  <c:v>68.869065332470626</c:v>
                </c:pt>
                <c:pt idx="1451">
                  <c:v>68.62247853599267</c:v>
                </c:pt>
                <c:pt idx="1452">
                  <c:v>68.079987583741143</c:v>
                </c:pt>
                <c:pt idx="1453">
                  <c:v>70.10199931486045</c:v>
                </c:pt>
                <c:pt idx="1454">
                  <c:v>70.05268195556485</c:v>
                </c:pt>
                <c:pt idx="1455">
                  <c:v>70.003364596269265</c:v>
                </c:pt>
                <c:pt idx="1456">
                  <c:v>69.954047236973665</c:v>
                </c:pt>
                <c:pt idx="1457">
                  <c:v>69.806095159086894</c:v>
                </c:pt>
                <c:pt idx="1458">
                  <c:v>76.809160179061038</c:v>
                </c:pt>
                <c:pt idx="1459">
                  <c:v>69.608825721904523</c:v>
                </c:pt>
                <c:pt idx="1460">
                  <c:v>69.460873644017738</c:v>
                </c:pt>
                <c:pt idx="1461">
                  <c:v>69.312921566130967</c:v>
                </c:pt>
                <c:pt idx="1462">
                  <c:v>68.869065332470626</c:v>
                </c:pt>
                <c:pt idx="1463">
                  <c:v>68.277257020923514</c:v>
                </c:pt>
                <c:pt idx="1464">
                  <c:v>68.277257020923514</c:v>
                </c:pt>
                <c:pt idx="1465">
                  <c:v>68.129304943036743</c:v>
                </c:pt>
                <c:pt idx="1466">
                  <c:v>68.030670224445558</c:v>
                </c:pt>
                <c:pt idx="1467">
                  <c:v>68.030670224445558</c:v>
                </c:pt>
                <c:pt idx="1468">
                  <c:v>69.954047236973665</c:v>
                </c:pt>
                <c:pt idx="1469">
                  <c:v>69.806095159086894</c:v>
                </c:pt>
                <c:pt idx="1470">
                  <c:v>69.756777799791294</c:v>
                </c:pt>
                <c:pt idx="1471">
                  <c:v>69.658143081200109</c:v>
                </c:pt>
                <c:pt idx="1472">
                  <c:v>69.559508362608923</c:v>
                </c:pt>
                <c:pt idx="1473">
                  <c:v>69.460873644017738</c:v>
                </c:pt>
                <c:pt idx="1474">
                  <c:v>69.312921566130967</c:v>
                </c:pt>
                <c:pt idx="1475">
                  <c:v>63.542790528546632</c:v>
                </c:pt>
                <c:pt idx="1476">
                  <c:v>63.444155809955447</c:v>
                </c:pt>
                <c:pt idx="1477">
                  <c:v>63.098934294886298</c:v>
                </c:pt>
                <c:pt idx="1478">
                  <c:v>75.92144771174037</c:v>
                </c:pt>
                <c:pt idx="1479">
                  <c:v>61.668730875314111</c:v>
                </c:pt>
                <c:pt idx="1480">
                  <c:v>61.027605204471413</c:v>
                </c:pt>
                <c:pt idx="1481">
                  <c:v>60.633066330106672</c:v>
                </c:pt>
                <c:pt idx="1482">
                  <c:v>70.940394422885518</c:v>
                </c:pt>
                <c:pt idx="1483">
                  <c:v>70.841759704294333</c:v>
                </c:pt>
                <c:pt idx="1484">
                  <c:v>70.792442344998747</c:v>
                </c:pt>
                <c:pt idx="1485">
                  <c:v>76.907794897652224</c:v>
                </c:pt>
                <c:pt idx="1486">
                  <c:v>70.595172907816377</c:v>
                </c:pt>
                <c:pt idx="1487">
                  <c:v>70.348586111338406</c:v>
                </c:pt>
                <c:pt idx="1488">
                  <c:v>70.447220829929591</c:v>
                </c:pt>
                <c:pt idx="1489">
                  <c:v>70.397903470634006</c:v>
                </c:pt>
                <c:pt idx="1490">
                  <c:v>70.299268752042821</c:v>
                </c:pt>
                <c:pt idx="1491">
                  <c:v>76.858477538356638</c:v>
                </c:pt>
                <c:pt idx="1492">
                  <c:v>70.151316674156035</c:v>
                </c:pt>
                <c:pt idx="1493">
                  <c:v>70.05268195556485</c:v>
                </c:pt>
                <c:pt idx="1494">
                  <c:v>69.954047236973665</c:v>
                </c:pt>
                <c:pt idx="1495">
                  <c:v>69.855412518382479</c:v>
                </c:pt>
                <c:pt idx="1496">
                  <c:v>69.806095159086894</c:v>
                </c:pt>
                <c:pt idx="1497">
                  <c:v>69.164969488244182</c:v>
                </c:pt>
                <c:pt idx="1498">
                  <c:v>69.115652128948597</c:v>
                </c:pt>
                <c:pt idx="1499">
                  <c:v>69.017017410357411</c:v>
                </c:pt>
                <c:pt idx="1500">
                  <c:v>68.918382691766226</c:v>
                </c:pt>
                <c:pt idx="1501">
                  <c:v>68.770430613879455</c:v>
                </c:pt>
                <c:pt idx="1502">
                  <c:v>68.573161176697084</c:v>
                </c:pt>
                <c:pt idx="1503">
                  <c:v>68.474526458105885</c:v>
                </c:pt>
                <c:pt idx="1504">
                  <c:v>68.375891739514714</c:v>
                </c:pt>
                <c:pt idx="1505">
                  <c:v>68.326574380219114</c:v>
                </c:pt>
                <c:pt idx="1506">
                  <c:v>68.277257020923514</c:v>
                </c:pt>
                <c:pt idx="1507">
                  <c:v>76.661208101174267</c:v>
                </c:pt>
                <c:pt idx="1508">
                  <c:v>68.178622302332343</c:v>
                </c:pt>
                <c:pt idx="1509">
                  <c:v>68.129304943036743</c:v>
                </c:pt>
                <c:pt idx="1510">
                  <c:v>77.006429616243409</c:v>
                </c:pt>
                <c:pt idx="1511">
                  <c:v>76.957112256947823</c:v>
                </c:pt>
                <c:pt idx="1512">
                  <c:v>76.957112256947823</c:v>
                </c:pt>
                <c:pt idx="1513">
                  <c:v>76.957112256947823</c:v>
                </c:pt>
                <c:pt idx="1514">
                  <c:v>77.006429616243409</c:v>
                </c:pt>
                <c:pt idx="1515">
                  <c:v>77.006429616243409</c:v>
                </c:pt>
                <c:pt idx="1516">
                  <c:v>77.006429616243409</c:v>
                </c:pt>
                <c:pt idx="1517">
                  <c:v>77.006429616243409</c:v>
                </c:pt>
                <c:pt idx="1518">
                  <c:v>77.006429616243409</c:v>
                </c:pt>
                <c:pt idx="1519">
                  <c:v>76.907794897652224</c:v>
                </c:pt>
                <c:pt idx="1520">
                  <c:v>76.858477538356638</c:v>
                </c:pt>
                <c:pt idx="1521">
                  <c:v>76.759842819765453</c:v>
                </c:pt>
                <c:pt idx="1522">
                  <c:v>76.661208101174267</c:v>
                </c:pt>
                <c:pt idx="1523">
                  <c:v>77.055746975539009</c:v>
                </c:pt>
                <c:pt idx="1524">
                  <c:v>72.074693686684157</c:v>
                </c:pt>
                <c:pt idx="1525">
                  <c:v>76.759842819765453</c:v>
                </c:pt>
                <c:pt idx="1526">
                  <c:v>76.661208101174267</c:v>
                </c:pt>
                <c:pt idx="1527">
                  <c:v>72.074693686684157</c:v>
                </c:pt>
                <c:pt idx="1528">
                  <c:v>71.976058968092971</c:v>
                </c:pt>
                <c:pt idx="1529">
                  <c:v>71.877424249501786</c:v>
                </c:pt>
                <c:pt idx="1530">
                  <c:v>71.778789530910601</c:v>
                </c:pt>
                <c:pt idx="1531">
                  <c:v>71.630837453023815</c:v>
                </c:pt>
                <c:pt idx="1532">
                  <c:v>71.482885375137045</c:v>
                </c:pt>
                <c:pt idx="1533">
                  <c:v>71.384250656545859</c:v>
                </c:pt>
                <c:pt idx="1534">
                  <c:v>71.236298578659074</c:v>
                </c:pt>
                <c:pt idx="1535">
                  <c:v>71.088346500772303</c:v>
                </c:pt>
                <c:pt idx="1536">
                  <c:v>70.940394422885518</c:v>
                </c:pt>
                <c:pt idx="1537">
                  <c:v>70.792442344998747</c:v>
                </c:pt>
                <c:pt idx="1538">
                  <c:v>76.907794897652224</c:v>
                </c:pt>
                <c:pt idx="1539">
                  <c:v>70.545855548520777</c:v>
                </c:pt>
                <c:pt idx="1540">
                  <c:v>66.896370960646934</c:v>
                </c:pt>
                <c:pt idx="1541">
                  <c:v>66.353880008395407</c:v>
                </c:pt>
                <c:pt idx="1542">
                  <c:v>76.513256023287482</c:v>
                </c:pt>
                <c:pt idx="1543">
                  <c:v>66.896370960646934</c:v>
                </c:pt>
                <c:pt idx="1544">
                  <c:v>67.19227511642049</c:v>
                </c:pt>
                <c:pt idx="1545">
                  <c:v>66.995005679238119</c:v>
                </c:pt>
                <c:pt idx="1546">
                  <c:v>66.008658493326266</c:v>
                </c:pt>
                <c:pt idx="1547">
                  <c:v>65.71275433755271</c:v>
                </c:pt>
                <c:pt idx="1548">
                  <c:v>65.515484900370339</c:v>
                </c:pt>
                <c:pt idx="1549">
                  <c:v>65.367532822483554</c:v>
                </c:pt>
                <c:pt idx="1550">
                  <c:v>65.860706415439481</c:v>
                </c:pt>
                <c:pt idx="1551">
                  <c:v>66.205927930508636</c:v>
                </c:pt>
                <c:pt idx="1552">
                  <c:v>66.304562649099822</c:v>
                </c:pt>
                <c:pt idx="1553">
                  <c:v>75.724178274558</c:v>
                </c:pt>
                <c:pt idx="1554">
                  <c:v>61.570096156722926</c:v>
                </c:pt>
                <c:pt idx="1555">
                  <c:v>60.879653126584628</c:v>
                </c:pt>
                <c:pt idx="1556">
                  <c:v>60.485114252219887</c:v>
                </c:pt>
                <c:pt idx="1557">
                  <c:v>59.745353862786004</c:v>
                </c:pt>
                <c:pt idx="1558">
                  <c:v>58.956276114056521</c:v>
                </c:pt>
                <c:pt idx="1559">
                  <c:v>75.576226196671229</c:v>
                </c:pt>
                <c:pt idx="1560">
                  <c:v>75.576226196671229</c:v>
                </c:pt>
                <c:pt idx="1561">
                  <c:v>75.576226196671229</c:v>
                </c:pt>
                <c:pt idx="1562">
                  <c:v>55.602695681956227</c:v>
                </c:pt>
                <c:pt idx="1563">
                  <c:v>53.679318669428113</c:v>
                </c:pt>
                <c:pt idx="1564">
                  <c:v>74.984417885124117</c:v>
                </c:pt>
                <c:pt idx="1565">
                  <c:v>51.805259016195592</c:v>
                </c:pt>
                <c:pt idx="1566">
                  <c:v>76.463938663991897</c:v>
                </c:pt>
                <c:pt idx="1567">
                  <c:v>67.833400787263187</c:v>
                </c:pt>
                <c:pt idx="1568">
                  <c:v>76.365303945400711</c:v>
                </c:pt>
                <c:pt idx="1569">
                  <c:v>76.414621304696297</c:v>
                </c:pt>
                <c:pt idx="1570">
                  <c:v>67.14295775712489</c:v>
                </c:pt>
                <c:pt idx="1571">
                  <c:v>66.205927930508636</c:v>
                </c:pt>
                <c:pt idx="1572">
                  <c:v>64.134598840093744</c:v>
                </c:pt>
                <c:pt idx="1573">
                  <c:v>63.937329402911374</c:v>
                </c:pt>
                <c:pt idx="1574">
                  <c:v>64.4305029958673</c:v>
                </c:pt>
                <c:pt idx="1575">
                  <c:v>63.888012043615781</c:v>
                </c:pt>
                <c:pt idx="1576">
                  <c:v>64.4305029958673</c:v>
                </c:pt>
                <c:pt idx="1577">
                  <c:v>64.972993948118813</c:v>
                </c:pt>
                <c:pt idx="1578">
                  <c:v>64.972993948118813</c:v>
                </c:pt>
                <c:pt idx="1579">
                  <c:v>65.120946026005598</c:v>
                </c:pt>
                <c:pt idx="1580">
                  <c:v>64.923676588823227</c:v>
                </c:pt>
                <c:pt idx="1581">
                  <c:v>71.828106890206186</c:v>
                </c:pt>
                <c:pt idx="1582">
                  <c:v>71.828106890206186</c:v>
                </c:pt>
                <c:pt idx="1583">
                  <c:v>71.778789530910601</c:v>
                </c:pt>
                <c:pt idx="1584">
                  <c:v>72.124011045979742</c:v>
                </c:pt>
                <c:pt idx="1585">
                  <c:v>71.778789530910601</c:v>
                </c:pt>
                <c:pt idx="1586">
                  <c:v>71.778789530910601</c:v>
                </c:pt>
                <c:pt idx="1587">
                  <c:v>71.729472171615001</c:v>
                </c:pt>
                <c:pt idx="1588">
                  <c:v>71.482885375137045</c:v>
                </c:pt>
                <c:pt idx="1589">
                  <c:v>71.828106890206186</c:v>
                </c:pt>
                <c:pt idx="1590">
                  <c:v>71.53220273443263</c:v>
                </c:pt>
                <c:pt idx="1591">
                  <c:v>71.58152009372823</c:v>
                </c:pt>
                <c:pt idx="1592">
                  <c:v>71.630837453023815</c:v>
                </c:pt>
                <c:pt idx="1593">
                  <c:v>71.482885375137045</c:v>
                </c:pt>
                <c:pt idx="1594">
                  <c:v>71.53220273443263</c:v>
                </c:pt>
                <c:pt idx="1595">
                  <c:v>71.137663860067889</c:v>
                </c:pt>
                <c:pt idx="1596">
                  <c:v>68.523843817401485</c:v>
                </c:pt>
                <c:pt idx="1597">
                  <c:v>68.474526458105885</c:v>
                </c:pt>
                <c:pt idx="1598">
                  <c:v>68.523843817401485</c:v>
                </c:pt>
                <c:pt idx="1599">
                  <c:v>68.573161176697084</c:v>
                </c:pt>
                <c:pt idx="1600">
                  <c:v>68.573161176697084</c:v>
                </c:pt>
                <c:pt idx="1601">
                  <c:v>68.573161176697084</c:v>
                </c:pt>
                <c:pt idx="1602">
                  <c:v>68.523843817401485</c:v>
                </c:pt>
                <c:pt idx="1603">
                  <c:v>68.523843817401485</c:v>
                </c:pt>
                <c:pt idx="1604">
                  <c:v>68.474526458105885</c:v>
                </c:pt>
                <c:pt idx="1605">
                  <c:v>68.129304943036743</c:v>
                </c:pt>
                <c:pt idx="1606">
                  <c:v>68.573161176697084</c:v>
                </c:pt>
                <c:pt idx="1607">
                  <c:v>68.573161176697084</c:v>
                </c:pt>
                <c:pt idx="1608">
                  <c:v>68.425209098810299</c:v>
                </c:pt>
                <c:pt idx="1609">
                  <c:v>70.989711782181118</c:v>
                </c:pt>
                <c:pt idx="1610">
                  <c:v>70.940394422885518</c:v>
                </c:pt>
                <c:pt idx="1611">
                  <c:v>70.792442344998747</c:v>
                </c:pt>
                <c:pt idx="1612">
                  <c:v>70.644490267111962</c:v>
                </c:pt>
                <c:pt idx="1613">
                  <c:v>70.447220829929591</c:v>
                </c:pt>
                <c:pt idx="1614">
                  <c:v>70.249951392747221</c:v>
                </c:pt>
                <c:pt idx="1615">
                  <c:v>70.05268195556485</c:v>
                </c:pt>
                <c:pt idx="1616">
                  <c:v>69.855412518382479</c:v>
                </c:pt>
                <c:pt idx="1617">
                  <c:v>69.658143081200109</c:v>
                </c:pt>
                <c:pt idx="1618">
                  <c:v>69.460873644017738</c:v>
                </c:pt>
                <c:pt idx="1619">
                  <c:v>69.263604206835367</c:v>
                </c:pt>
                <c:pt idx="1620">
                  <c:v>69.066334769652997</c:v>
                </c:pt>
                <c:pt idx="1621">
                  <c:v>68.918382691766226</c:v>
                </c:pt>
                <c:pt idx="1622">
                  <c:v>68.770430613879455</c:v>
                </c:pt>
                <c:pt idx="1623">
                  <c:v>76.710525460469853</c:v>
                </c:pt>
                <c:pt idx="1624">
                  <c:v>62.112587108974445</c:v>
                </c:pt>
                <c:pt idx="1625">
                  <c:v>61.422144078836155</c:v>
                </c:pt>
                <c:pt idx="1626">
                  <c:v>60.386479533628702</c:v>
                </c:pt>
                <c:pt idx="1627">
                  <c:v>59.548084425603633</c:v>
                </c:pt>
                <c:pt idx="1628">
                  <c:v>59.696036503490411</c:v>
                </c:pt>
                <c:pt idx="1629">
                  <c:v>59.449449707012448</c:v>
                </c:pt>
                <c:pt idx="1630">
                  <c:v>75.378956759488858</c:v>
                </c:pt>
                <c:pt idx="1631">
                  <c:v>53.580683950836928</c:v>
                </c:pt>
                <c:pt idx="1632">
                  <c:v>51.657306938308821</c:v>
                </c:pt>
                <c:pt idx="1633">
                  <c:v>50.276420878032226</c:v>
                </c:pt>
                <c:pt idx="1634">
                  <c:v>59.30149762912567</c:v>
                </c:pt>
                <c:pt idx="1635">
                  <c:v>57.920611568849083</c:v>
                </c:pt>
                <c:pt idx="1636">
                  <c:v>56.441090789981303</c:v>
                </c:pt>
                <c:pt idx="1637">
                  <c:v>54.714983214635559</c:v>
                </c:pt>
                <c:pt idx="1638">
                  <c:v>51.607989579013221</c:v>
                </c:pt>
                <c:pt idx="1639">
                  <c:v>48.648948021277675</c:v>
                </c:pt>
                <c:pt idx="1640">
                  <c:v>46.429666852976005</c:v>
                </c:pt>
                <c:pt idx="1641">
                  <c:v>74.293974854985819</c:v>
                </c:pt>
                <c:pt idx="1642">
                  <c:v>77.253016412721379</c:v>
                </c:pt>
                <c:pt idx="1643">
                  <c:v>42.237691312850636</c:v>
                </c:pt>
                <c:pt idx="1644">
                  <c:v>41.94178715707708</c:v>
                </c:pt>
                <c:pt idx="1645">
                  <c:v>42.336326031441821</c:v>
                </c:pt>
                <c:pt idx="1646">
                  <c:v>73.998070699212263</c:v>
                </c:pt>
                <c:pt idx="1647">
                  <c:v>43.766529451014001</c:v>
                </c:pt>
                <c:pt idx="1648">
                  <c:v>44.802193996221447</c:v>
                </c:pt>
              </c:numCache>
            </c:numRef>
          </c:xVal>
          <c:yVal>
            <c:numRef>
              <c:f>Regression!RegChartActY</c:f>
              <c:numCache>
                <c:formatCode>General</c:formatCode>
                <c:ptCount val="1649"/>
                <c:pt idx="0">
                  <c:v>65</c:v>
                </c:pt>
                <c:pt idx="1">
                  <c:v>59.9</c:v>
                </c:pt>
                <c:pt idx="2">
                  <c:v>59.9</c:v>
                </c:pt>
                <c:pt idx="3">
                  <c:v>59.5</c:v>
                </c:pt>
                <c:pt idx="4">
                  <c:v>59.2</c:v>
                </c:pt>
                <c:pt idx="5">
                  <c:v>58.8</c:v>
                </c:pt>
                <c:pt idx="6">
                  <c:v>58.6</c:v>
                </c:pt>
                <c:pt idx="7">
                  <c:v>58.1</c:v>
                </c:pt>
                <c:pt idx="8">
                  <c:v>57.5</c:v>
                </c:pt>
                <c:pt idx="9">
                  <c:v>57.3</c:v>
                </c:pt>
                <c:pt idx="10">
                  <c:v>57.3</c:v>
                </c:pt>
                <c:pt idx="11">
                  <c:v>57</c:v>
                </c:pt>
                <c:pt idx="12">
                  <c:v>56.7</c:v>
                </c:pt>
                <c:pt idx="13">
                  <c:v>56.2</c:v>
                </c:pt>
                <c:pt idx="14">
                  <c:v>55.3</c:v>
                </c:pt>
                <c:pt idx="15">
                  <c:v>54.8</c:v>
                </c:pt>
                <c:pt idx="16">
                  <c:v>77.8</c:v>
                </c:pt>
                <c:pt idx="17">
                  <c:v>77.5</c:v>
                </c:pt>
                <c:pt idx="18">
                  <c:v>77.2</c:v>
                </c:pt>
                <c:pt idx="19">
                  <c:v>76.900000000000006</c:v>
                </c:pt>
                <c:pt idx="20">
                  <c:v>76.599999999999994</c:v>
                </c:pt>
                <c:pt idx="21">
                  <c:v>76.2</c:v>
                </c:pt>
                <c:pt idx="22">
                  <c:v>76.099999999999994</c:v>
                </c:pt>
                <c:pt idx="23">
                  <c:v>75.3</c:v>
                </c:pt>
                <c:pt idx="24">
                  <c:v>75.900000000000006</c:v>
                </c:pt>
                <c:pt idx="25">
                  <c:v>74.2</c:v>
                </c:pt>
                <c:pt idx="26">
                  <c:v>73.5</c:v>
                </c:pt>
                <c:pt idx="27">
                  <c:v>73</c:v>
                </c:pt>
                <c:pt idx="28">
                  <c:v>72.8</c:v>
                </c:pt>
                <c:pt idx="29">
                  <c:v>73.3</c:v>
                </c:pt>
                <c:pt idx="30">
                  <c:v>73.599999999999994</c:v>
                </c:pt>
                <c:pt idx="31">
                  <c:v>72.599999999999994</c:v>
                </c:pt>
                <c:pt idx="32">
                  <c:v>75.400000000000006</c:v>
                </c:pt>
                <c:pt idx="33">
                  <c:v>75.3</c:v>
                </c:pt>
                <c:pt idx="34">
                  <c:v>75.099999999999994</c:v>
                </c:pt>
                <c:pt idx="35">
                  <c:v>74.900000000000006</c:v>
                </c:pt>
                <c:pt idx="36">
                  <c:v>74.7</c:v>
                </c:pt>
                <c:pt idx="37">
                  <c:v>74.400000000000006</c:v>
                </c:pt>
                <c:pt idx="38">
                  <c:v>74.099999999999994</c:v>
                </c:pt>
                <c:pt idx="39">
                  <c:v>73.8</c:v>
                </c:pt>
                <c:pt idx="40">
                  <c:v>73.400000000000006</c:v>
                </c:pt>
                <c:pt idx="41">
                  <c:v>72.900000000000006</c:v>
                </c:pt>
                <c:pt idx="42">
                  <c:v>72.3</c:v>
                </c:pt>
                <c:pt idx="43">
                  <c:v>51.7</c:v>
                </c:pt>
                <c:pt idx="44">
                  <c:v>51.1</c:v>
                </c:pt>
                <c:pt idx="45">
                  <c:v>56</c:v>
                </c:pt>
                <c:pt idx="46">
                  <c:v>51</c:v>
                </c:pt>
                <c:pt idx="47">
                  <c:v>49.6</c:v>
                </c:pt>
                <c:pt idx="48">
                  <c:v>49.1</c:v>
                </c:pt>
                <c:pt idx="49">
                  <c:v>48.7</c:v>
                </c:pt>
                <c:pt idx="50">
                  <c:v>48.2</c:v>
                </c:pt>
                <c:pt idx="51">
                  <c:v>76.2</c:v>
                </c:pt>
                <c:pt idx="52">
                  <c:v>76</c:v>
                </c:pt>
                <c:pt idx="53">
                  <c:v>75.900000000000006</c:v>
                </c:pt>
                <c:pt idx="54">
                  <c:v>75.7</c:v>
                </c:pt>
                <c:pt idx="55">
                  <c:v>75.5</c:v>
                </c:pt>
                <c:pt idx="56">
                  <c:v>75.599999999999994</c:v>
                </c:pt>
                <c:pt idx="57">
                  <c:v>75.400000000000006</c:v>
                </c:pt>
                <c:pt idx="58">
                  <c:v>74.8</c:v>
                </c:pt>
                <c:pt idx="59">
                  <c:v>75.2</c:v>
                </c:pt>
                <c:pt idx="60">
                  <c:v>74.900000000000006</c:v>
                </c:pt>
                <c:pt idx="61">
                  <c:v>74.7</c:v>
                </c:pt>
                <c:pt idx="62">
                  <c:v>74.099999999999994</c:v>
                </c:pt>
                <c:pt idx="63">
                  <c:v>74.099999999999994</c:v>
                </c:pt>
                <c:pt idx="64">
                  <c:v>74.599999999999994</c:v>
                </c:pt>
                <c:pt idx="65">
                  <c:v>74.400000000000006</c:v>
                </c:pt>
                <c:pt idx="66">
                  <c:v>74.400000000000006</c:v>
                </c:pt>
                <c:pt idx="67">
                  <c:v>73.900000000000006</c:v>
                </c:pt>
                <c:pt idx="68">
                  <c:v>73.5</c:v>
                </c:pt>
                <c:pt idx="69">
                  <c:v>73.3</c:v>
                </c:pt>
                <c:pt idx="70">
                  <c:v>73.2</c:v>
                </c:pt>
                <c:pt idx="71">
                  <c:v>73.5</c:v>
                </c:pt>
                <c:pt idx="72">
                  <c:v>72.900000000000006</c:v>
                </c:pt>
                <c:pt idx="73">
                  <c:v>73</c:v>
                </c:pt>
                <c:pt idx="74">
                  <c:v>73</c:v>
                </c:pt>
                <c:pt idx="75">
                  <c:v>72.7</c:v>
                </c:pt>
                <c:pt idx="76">
                  <c:v>72.599999999999994</c:v>
                </c:pt>
                <c:pt idx="77">
                  <c:v>72.599999999999994</c:v>
                </c:pt>
                <c:pt idx="78">
                  <c:v>72</c:v>
                </c:pt>
                <c:pt idx="79">
                  <c:v>82.7</c:v>
                </c:pt>
                <c:pt idx="80">
                  <c:v>82.5</c:v>
                </c:pt>
                <c:pt idx="81">
                  <c:v>82.3</c:v>
                </c:pt>
                <c:pt idx="82">
                  <c:v>82</c:v>
                </c:pt>
                <c:pt idx="83">
                  <c:v>81.900000000000006</c:v>
                </c:pt>
                <c:pt idx="84">
                  <c:v>81.7</c:v>
                </c:pt>
                <c:pt idx="85">
                  <c:v>81.3</c:v>
                </c:pt>
                <c:pt idx="86">
                  <c:v>81.3</c:v>
                </c:pt>
                <c:pt idx="87">
                  <c:v>81.2</c:v>
                </c:pt>
                <c:pt idx="88">
                  <c:v>81</c:v>
                </c:pt>
                <c:pt idx="89">
                  <c:v>86</c:v>
                </c:pt>
                <c:pt idx="90">
                  <c:v>83</c:v>
                </c:pt>
                <c:pt idx="91">
                  <c:v>79.900000000000006</c:v>
                </c:pt>
                <c:pt idx="92">
                  <c:v>79.900000000000006</c:v>
                </c:pt>
                <c:pt idx="93">
                  <c:v>81.400000000000006</c:v>
                </c:pt>
                <c:pt idx="94">
                  <c:v>81.099999999999994</c:v>
                </c:pt>
                <c:pt idx="95">
                  <c:v>88</c:v>
                </c:pt>
                <c:pt idx="96">
                  <c:v>88</c:v>
                </c:pt>
                <c:pt idx="97">
                  <c:v>84</c:v>
                </c:pt>
                <c:pt idx="98">
                  <c:v>82</c:v>
                </c:pt>
                <c:pt idx="99">
                  <c:v>84</c:v>
                </c:pt>
                <c:pt idx="100">
                  <c:v>81</c:v>
                </c:pt>
                <c:pt idx="101">
                  <c:v>79.8</c:v>
                </c:pt>
                <c:pt idx="102">
                  <c:v>79.400000000000006</c:v>
                </c:pt>
                <c:pt idx="103">
                  <c:v>79.3</c:v>
                </c:pt>
                <c:pt idx="104">
                  <c:v>78.8</c:v>
                </c:pt>
                <c:pt idx="105">
                  <c:v>78.7</c:v>
                </c:pt>
                <c:pt idx="106">
                  <c:v>78.599999999999994</c:v>
                </c:pt>
                <c:pt idx="107">
                  <c:v>78.099999999999994</c:v>
                </c:pt>
                <c:pt idx="108">
                  <c:v>72.5</c:v>
                </c:pt>
                <c:pt idx="109">
                  <c:v>72.2</c:v>
                </c:pt>
                <c:pt idx="110">
                  <c:v>71.900000000000006</c:v>
                </c:pt>
                <c:pt idx="111">
                  <c:v>71.599999999999994</c:v>
                </c:pt>
                <c:pt idx="112">
                  <c:v>71.099999999999994</c:v>
                </c:pt>
                <c:pt idx="113">
                  <c:v>78</c:v>
                </c:pt>
                <c:pt idx="114">
                  <c:v>73</c:v>
                </c:pt>
                <c:pt idx="115">
                  <c:v>73</c:v>
                </c:pt>
                <c:pt idx="116">
                  <c:v>69.2</c:v>
                </c:pt>
                <c:pt idx="117">
                  <c:v>68.400000000000006</c:v>
                </c:pt>
                <c:pt idx="118">
                  <c:v>68.400000000000006</c:v>
                </c:pt>
                <c:pt idx="119">
                  <c:v>67.8</c:v>
                </c:pt>
                <c:pt idx="120">
                  <c:v>67.8</c:v>
                </c:pt>
                <c:pt idx="121">
                  <c:v>71.400000000000006</c:v>
                </c:pt>
                <c:pt idx="122">
                  <c:v>71</c:v>
                </c:pt>
                <c:pt idx="123">
                  <c:v>77</c:v>
                </c:pt>
                <c:pt idx="124">
                  <c:v>73</c:v>
                </c:pt>
                <c:pt idx="125">
                  <c:v>69.900000000000006</c:v>
                </c:pt>
                <c:pt idx="126">
                  <c:v>69.5</c:v>
                </c:pt>
                <c:pt idx="127">
                  <c:v>69.099999999999994</c:v>
                </c:pt>
                <c:pt idx="128">
                  <c:v>68.599999999999994</c:v>
                </c:pt>
                <c:pt idx="129">
                  <c:v>68.2</c:v>
                </c:pt>
                <c:pt idx="130">
                  <c:v>67.8</c:v>
                </c:pt>
                <c:pt idx="131">
                  <c:v>67.3</c:v>
                </c:pt>
                <c:pt idx="132">
                  <c:v>66.8</c:v>
                </c:pt>
                <c:pt idx="133">
                  <c:v>72</c:v>
                </c:pt>
                <c:pt idx="134">
                  <c:v>71.7</c:v>
                </c:pt>
                <c:pt idx="135">
                  <c:v>71.900000000000006</c:v>
                </c:pt>
                <c:pt idx="136">
                  <c:v>72</c:v>
                </c:pt>
                <c:pt idx="137">
                  <c:v>73</c:v>
                </c:pt>
                <c:pt idx="138">
                  <c:v>70</c:v>
                </c:pt>
                <c:pt idx="139">
                  <c:v>70</c:v>
                </c:pt>
                <c:pt idx="140">
                  <c:v>69.8</c:v>
                </c:pt>
                <c:pt idx="141">
                  <c:v>68.900000000000006</c:v>
                </c:pt>
                <c:pt idx="142">
                  <c:v>68.099999999999994</c:v>
                </c:pt>
                <c:pt idx="143">
                  <c:v>68.2</c:v>
                </c:pt>
                <c:pt idx="144">
                  <c:v>67.7</c:v>
                </c:pt>
                <c:pt idx="145">
                  <c:v>67.2</c:v>
                </c:pt>
                <c:pt idx="146">
                  <c:v>67.7</c:v>
                </c:pt>
                <c:pt idx="147">
                  <c:v>68</c:v>
                </c:pt>
                <c:pt idx="148">
                  <c:v>89</c:v>
                </c:pt>
                <c:pt idx="149">
                  <c:v>87</c:v>
                </c:pt>
                <c:pt idx="150">
                  <c:v>83</c:v>
                </c:pt>
                <c:pt idx="151">
                  <c:v>83</c:v>
                </c:pt>
                <c:pt idx="152">
                  <c:v>80</c:v>
                </c:pt>
                <c:pt idx="153">
                  <c:v>79.8</c:v>
                </c:pt>
                <c:pt idx="154">
                  <c:v>79.5</c:v>
                </c:pt>
                <c:pt idx="155">
                  <c:v>79.5</c:v>
                </c:pt>
                <c:pt idx="156">
                  <c:v>79.400000000000006</c:v>
                </c:pt>
                <c:pt idx="157">
                  <c:v>78.900000000000006</c:v>
                </c:pt>
                <c:pt idx="158">
                  <c:v>78.8</c:v>
                </c:pt>
                <c:pt idx="159">
                  <c:v>78.3</c:v>
                </c:pt>
                <c:pt idx="160">
                  <c:v>78</c:v>
                </c:pt>
                <c:pt idx="161">
                  <c:v>78</c:v>
                </c:pt>
                <c:pt idx="162">
                  <c:v>77.599999999999994</c:v>
                </c:pt>
                <c:pt idx="163">
                  <c:v>70</c:v>
                </c:pt>
                <c:pt idx="164">
                  <c:v>69.8</c:v>
                </c:pt>
                <c:pt idx="165">
                  <c:v>69.400000000000006</c:v>
                </c:pt>
                <c:pt idx="166">
                  <c:v>69.400000000000006</c:v>
                </c:pt>
                <c:pt idx="167">
                  <c:v>69.5</c:v>
                </c:pt>
                <c:pt idx="168">
                  <c:v>69.5</c:v>
                </c:pt>
                <c:pt idx="169">
                  <c:v>69.599999999999994</c:v>
                </c:pt>
                <c:pt idx="170">
                  <c:v>69.599999999999994</c:v>
                </c:pt>
                <c:pt idx="171">
                  <c:v>69.400000000000006</c:v>
                </c:pt>
                <c:pt idx="172">
                  <c:v>69</c:v>
                </c:pt>
                <c:pt idx="173">
                  <c:v>68.7</c:v>
                </c:pt>
                <c:pt idx="174">
                  <c:v>68.400000000000006</c:v>
                </c:pt>
                <c:pt idx="175">
                  <c:v>68.5</c:v>
                </c:pt>
                <c:pt idx="176">
                  <c:v>68.2</c:v>
                </c:pt>
                <c:pt idx="177">
                  <c:v>68.3</c:v>
                </c:pt>
                <c:pt idx="178">
                  <c:v>59.7</c:v>
                </c:pt>
                <c:pt idx="179">
                  <c:v>59.5</c:v>
                </c:pt>
                <c:pt idx="180">
                  <c:v>59.3</c:v>
                </c:pt>
                <c:pt idx="181">
                  <c:v>59.1</c:v>
                </c:pt>
                <c:pt idx="182">
                  <c:v>58.7</c:v>
                </c:pt>
                <c:pt idx="183">
                  <c:v>58.4</c:v>
                </c:pt>
                <c:pt idx="184">
                  <c:v>57.6</c:v>
                </c:pt>
                <c:pt idx="185">
                  <c:v>57.1</c:v>
                </c:pt>
                <c:pt idx="186">
                  <c:v>56.8</c:v>
                </c:pt>
                <c:pt idx="187">
                  <c:v>56.5</c:v>
                </c:pt>
                <c:pt idx="188">
                  <c:v>56.1</c:v>
                </c:pt>
                <c:pt idx="189">
                  <c:v>55.8</c:v>
                </c:pt>
                <c:pt idx="190">
                  <c:v>55.6</c:v>
                </c:pt>
                <c:pt idx="191">
                  <c:v>69.400000000000006</c:v>
                </c:pt>
                <c:pt idx="192">
                  <c:v>69.099999999999994</c:v>
                </c:pt>
                <c:pt idx="193">
                  <c:v>68.7</c:v>
                </c:pt>
                <c:pt idx="194">
                  <c:v>68.3</c:v>
                </c:pt>
                <c:pt idx="195">
                  <c:v>67.900000000000006</c:v>
                </c:pt>
                <c:pt idx="196">
                  <c:v>67.400000000000006</c:v>
                </c:pt>
                <c:pt idx="197">
                  <c:v>67</c:v>
                </c:pt>
                <c:pt idx="198">
                  <c:v>66.5</c:v>
                </c:pt>
                <c:pt idx="199">
                  <c:v>65.8</c:v>
                </c:pt>
                <c:pt idx="200">
                  <c:v>65</c:v>
                </c:pt>
                <c:pt idx="201">
                  <c:v>64.2</c:v>
                </c:pt>
                <c:pt idx="202">
                  <c:v>63.3</c:v>
                </c:pt>
                <c:pt idx="203">
                  <c:v>62.5</c:v>
                </c:pt>
                <c:pt idx="204">
                  <c:v>61.7</c:v>
                </c:pt>
                <c:pt idx="205">
                  <c:v>62</c:v>
                </c:pt>
                <c:pt idx="206">
                  <c:v>77.2</c:v>
                </c:pt>
                <c:pt idx="207">
                  <c:v>77</c:v>
                </c:pt>
                <c:pt idx="208">
                  <c:v>76.8</c:v>
                </c:pt>
                <c:pt idx="209">
                  <c:v>76.900000000000006</c:v>
                </c:pt>
                <c:pt idx="210">
                  <c:v>76.400000000000006</c:v>
                </c:pt>
                <c:pt idx="211">
                  <c:v>76.099999999999994</c:v>
                </c:pt>
                <c:pt idx="212">
                  <c:v>76</c:v>
                </c:pt>
                <c:pt idx="213">
                  <c:v>75.400000000000006</c:v>
                </c:pt>
                <c:pt idx="214">
                  <c:v>75.7</c:v>
                </c:pt>
                <c:pt idx="215">
                  <c:v>75</c:v>
                </c:pt>
                <c:pt idx="216">
                  <c:v>75.5</c:v>
                </c:pt>
                <c:pt idx="217">
                  <c:v>65.099999999999994</c:v>
                </c:pt>
                <c:pt idx="218">
                  <c:v>64.2</c:v>
                </c:pt>
                <c:pt idx="219">
                  <c:v>63.4</c:v>
                </c:pt>
                <c:pt idx="220">
                  <c:v>62.2</c:v>
                </c:pt>
                <c:pt idx="221">
                  <c:v>61.1</c:v>
                </c:pt>
                <c:pt idx="222">
                  <c:v>59.2</c:v>
                </c:pt>
                <c:pt idx="223">
                  <c:v>57.5</c:v>
                </c:pt>
                <c:pt idx="224">
                  <c:v>56.9</c:v>
                </c:pt>
                <c:pt idx="225">
                  <c:v>54.8</c:v>
                </c:pt>
                <c:pt idx="226">
                  <c:v>51.7</c:v>
                </c:pt>
                <c:pt idx="227">
                  <c:v>48.1</c:v>
                </c:pt>
                <c:pt idx="228">
                  <c:v>46.4</c:v>
                </c:pt>
                <c:pt idx="229">
                  <c:v>46</c:v>
                </c:pt>
                <c:pt idx="230">
                  <c:v>46.7</c:v>
                </c:pt>
                <c:pt idx="231">
                  <c:v>47.8</c:v>
                </c:pt>
                <c:pt idx="232">
                  <c:v>74.8</c:v>
                </c:pt>
                <c:pt idx="233">
                  <c:v>74.7</c:v>
                </c:pt>
                <c:pt idx="234">
                  <c:v>74.5</c:v>
                </c:pt>
                <c:pt idx="235">
                  <c:v>74.099999999999994</c:v>
                </c:pt>
                <c:pt idx="236">
                  <c:v>73.8</c:v>
                </c:pt>
                <c:pt idx="237">
                  <c:v>73.599999999999994</c:v>
                </c:pt>
                <c:pt idx="238">
                  <c:v>73.400000000000006</c:v>
                </c:pt>
                <c:pt idx="239">
                  <c:v>73.3</c:v>
                </c:pt>
                <c:pt idx="240">
                  <c:v>73</c:v>
                </c:pt>
                <c:pt idx="241">
                  <c:v>72.7</c:v>
                </c:pt>
                <c:pt idx="242">
                  <c:v>72</c:v>
                </c:pt>
                <c:pt idx="243">
                  <c:v>71.8</c:v>
                </c:pt>
                <c:pt idx="244">
                  <c:v>71.400000000000006</c:v>
                </c:pt>
                <c:pt idx="245">
                  <c:v>71</c:v>
                </c:pt>
                <c:pt idx="246">
                  <c:v>75</c:v>
                </c:pt>
                <c:pt idx="247">
                  <c:v>74.3</c:v>
                </c:pt>
                <c:pt idx="248">
                  <c:v>74.099999999999994</c:v>
                </c:pt>
                <c:pt idx="249">
                  <c:v>73.900000000000006</c:v>
                </c:pt>
                <c:pt idx="250">
                  <c:v>73.7</c:v>
                </c:pt>
                <c:pt idx="251">
                  <c:v>73.400000000000006</c:v>
                </c:pt>
                <c:pt idx="252">
                  <c:v>73.2</c:v>
                </c:pt>
                <c:pt idx="253">
                  <c:v>72.900000000000006</c:v>
                </c:pt>
                <c:pt idx="254">
                  <c:v>72.599999999999994</c:v>
                </c:pt>
                <c:pt idx="255">
                  <c:v>72.2</c:v>
                </c:pt>
                <c:pt idx="256">
                  <c:v>72.099999999999994</c:v>
                </c:pt>
                <c:pt idx="257">
                  <c:v>72.2</c:v>
                </c:pt>
                <c:pt idx="258">
                  <c:v>72</c:v>
                </c:pt>
                <c:pt idx="259">
                  <c:v>71.8</c:v>
                </c:pt>
                <c:pt idx="260">
                  <c:v>71.599999999999994</c:v>
                </c:pt>
                <c:pt idx="261">
                  <c:v>71.099999999999994</c:v>
                </c:pt>
                <c:pt idx="262">
                  <c:v>59.3</c:v>
                </c:pt>
                <c:pt idx="263">
                  <c:v>59</c:v>
                </c:pt>
                <c:pt idx="264">
                  <c:v>58.6</c:v>
                </c:pt>
                <c:pt idx="265">
                  <c:v>58.1</c:v>
                </c:pt>
                <c:pt idx="266">
                  <c:v>57.5</c:v>
                </c:pt>
                <c:pt idx="267">
                  <c:v>56.9</c:v>
                </c:pt>
                <c:pt idx="268">
                  <c:v>56.1</c:v>
                </c:pt>
                <c:pt idx="269">
                  <c:v>55.3</c:v>
                </c:pt>
                <c:pt idx="270">
                  <c:v>54.3</c:v>
                </c:pt>
                <c:pt idx="271">
                  <c:v>59.1</c:v>
                </c:pt>
                <c:pt idx="272">
                  <c:v>58.6</c:v>
                </c:pt>
                <c:pt idx="273">
                  <c:v>58</c:v>
                </c:pt>
                <c:pt idx="274">
                  <c:v>57.4</c:v>
                </c:pt>
                <c:pt idx="275">
                  <c:v>56.8</c:v>
                </c:pt>
                <c:pt idx="276">
                  <c:v>56.2</c:v>
                </c:pt>
                <c:pt idx="277">
                  <c:v>55.3</c:v>
                </c:pt>
                <c:pt idx="278">
                  <c:v>54.8</c:v>
                </c:pt>
                <c:pt idx="279">
                  <c:v>54.1</c:v>
                </c:pt>
                <c:pt idx="280">
                  <c:v>53.4</c:v>
                </c:pt>
                <c:pt idx="281">
                  <c:v>52.6</c:v>
                </c:pt>
                <c:pt idx="282">
                  <c:v>73</c:v>
                </c:pt>
                <c:pt idx="283">
                  <c:v>72.8</c:v>
                </c:pt>
                <c:pt idx="284">
                  <c:v>72.7</c:v>
                </c:pt>
                <c:pt idx="285">
                  <c:v>72.599999999999994</c:v>
                </c:pt>
                <c:pt idx="286">
                  <c:v>72.5</c:v>
                </c:pt>
                <c:pt idx="287">
                  <c:v>72.400000000000006</c:v>
                </c:pt>
                <c:pt idx="288">
                  <c:v>72.400000000000006</c:v>
                </c:pt>
                <c:pt idx="289">
                  <c:v>72.3</c:v>
                </c:pt>
                <c:pt idx="290">
                  <c:v>72.099999999999994</c:v>
                </c:pt>
                <c:pt idx="291">
                  <c:v>71.8</c:v>
                </c:pt>
                <c:pt idx="292">
                  <c:v>71.400000000000006</c:v>
                </c:pt>
                <c:pt idx="293">
                  <c:v>71.099999999999994</c:v>
                </c:pt>
                <c:pt idx="294">
                  <c:v>77</c:v>
                </c:pt>
                <c:pt idx="295">
                  <c:v>68.3</c:v>
                </c:pt>
                <c:pt idx="296">
                  <c:v>67.8</c:v>
                </c:pt>
                <c:pt idx="297">
                  <c:v>67.400000000000006</c:v>
                </c:pt>
                <c:pt idx="298">
                  <c:v>67</c:v>
                </c:pt>
                <c:pt idx="299">
                  <c:v>66.599999999999994</c:v>
                </c:pt>
                <c:pt idx="300">
                  <c:v>66.099999999999994</c:v>
                </c:pt>
                <c:pt idx="301">
                  <c:v>65.599999999999994</c:v>
                </c:pt>
                <c:pt idx="302">
                  <c:v>65</c:v>
                </c:pt>
                <c:pt idx="303">
                  <c:v>64.099999999999994</c:v>
                </c:pt>
                <c:pt idx="304">
                  <c:v>56.7</c:v>
                </c:pt>
                <c:pt idx="305">
                  <c:v>56.4</c:v>
                </c:pt>
                <c:pt idx="306">
                  <c:v>55.9</c:v>
                </c:pt>
                <c:pt idx="307">
                  <c:v>55.6</c:v>
                </c:pt>
                <c:pt idx="308">
                  <c:v>55.3</c:v>
                </c:pt>
                <c:pt idx="309">
                  <c:v>54.8</c:v>
                </c:pt>
                <c:pt idx="310">
                  <c:v>54.2</c:v>
                </c:pt>
                <c:pt idx="311">
                  <c:v>53.6</c:v>
                </c:pt>
                <c:pt idx="312">
                  <c:v>53.3</c:v>
                </c:pt>
                <c:pt idx="313">
                  <c:v>52.8</c:v>
                </c:pt>
                <c:pt idx="314">
                  <c:v>82</c:v>
                </c:pt>
                <c:pt idx="315">
                  <c:v>81.8</c:v>
                </c:pt>
                <c:pt idx="316">
                  <c:v>81.599999999999994</c:v>
                </c:pt>
                <c:pt idx="317">
                  <c:v>81.5</c:v>
                </c:pt>
                <c:pt idx="318">
                  <c:v>81.2</c:v>
                </c:pt>
                <c:pt idx="319">
                  <c:v>81</c:v>
                </c:pt>
                <c:pt idx="320">
                  <c:v>87</c:v>
                </c:pt>
                <c:pt idx="321">
                  <c:v>85</c:v>
                </c:pt>
                <c:pt idx="322">
                  <c:v>85</c:v>
                </c:pt>
                <c:pt idx="323">
                  <c:v>81</c:v>
                </c:pt>
                <c:pt idx="324">
                  <c:v>80</c:v>
                </c:pt>
                <c:pt idx="325">
                  <c:v>79.7</c:v>
                </c:pt>
                <c:pt idx="326">
                  <c:v>58</c:v>
                </c:pt>
                <c:pt idx="327">
                  <c:v>49.9</c:v>
                </c:pt>
                <c:pt idx="328">
                  <c:v>53</c:v>
                </c:pt>
                <c:pt idx="329">
                  <c:v>49.8</c:v>
                </c:pt>
                <c:pt idx="330">
                  <c:v>49.2</c:v>
                </c:pt>
                <c:pt idx="331">
                  <c:v>48.6</c:v>
                </c:pt>
                <c:pt idx="332">
                  <c:v>52.6</c:v>
                </c:pt>
                <c:pt idx="333">
                  <c:v>52.2</c:v>
                </c:pt>
                <c:pt idx="334">
                  <c:v>51.8</c:v>
                </c:pt>
                <c:pt idx="335">
                  <c:v>51.6</c:v>
                </c:pt>
                <c:pt idx="336">
                  <c:v>51.2</c:v>
                </c:pt>
                <c:pt idx="337">
                  <c:v>57</c:v>
                </c:pt>
                <c:pt idx="338">
                  <c:v>49.6</c:v>
                </c:pt>
                <c:pt idx="339">
                  <c:v>83</c:v>
                </c:pt>
                <c:pt idx="340">
                  <c:v>81</c:v>
                </c:pt>
                <c:pt idx="341">
                  <c:v>79.900000000000006</c:v>
                </c:pt>
                <c:pt idx="342">
                  <c:v>79.8</c:v>
                </c:pt>
                <c:pt idx="343">
                  <c:v>79.099999999999994</c:v>
                </c:pt>
                <c:pt idx="344">
                  <c:v>79.3</c:v>
                </c:pt>
                <c:pt idx="345">
                  <c:v>79.599999999999994</c:v>
                </c:pt>
                <c:pt idx="346">
                  <c:v>78.900000000000006</c:v>
                </c:pt>
                <c:pt idx="347">
                  <c:v>78.900000000000006</c:v>
                </c:pt>
                <c:pt idx="348">
                  <c:v>75.8</c:v>
                </c:pt>
                <c:pt idx="349">
                  <c:v>75.599999999999994</c:v>
                </c:pt>
                <c:pt idx="350">
                  <c:v>75.400000000000006</c:v>
                </c:pt>
                <c:pt idx="351">
                  <c:v>75.2</c:v>
                </c:pt>
                <c:pt idx="352">
                  <c:v>75</c:v>
                </c:pt>
                <c:pt idx="353">
                  <c:v>74.900000000000006</c:v>
                </c:pt>
                <c:pt idx="354">
                  <c:v>74.5</c:v>
                </c:pt>
                <c:pt idx="355">
                  <c:v>74.400000000000006</c:v>
                </c:pt>
                <c:pt idx="356">
                  <c:v>74.2</c:v>
                </c:pt>
                <c:pt idx="357">
                  <c:v>73.900000000000006</c:v>
                </c:pt>
                <c:pt idx="358">
                  <c:v>73.5</c:v>
                </c:pt>
                <c:pt idx="359">
                  <c:v>73.099999999999994</c:v>
                </c:pt>
                <c:pt idx="360">
                  <c:v>72.7</c:v>
                </c:pt>
                <c:pt idx="361">
                  <c:v>72.2</c:v>
                </c:pt>
                <c:pt idx="362">
                  <c:v>71.7</c:v>
                </c:pt>
                <c:pt idx="363">
                  <c:v>74.599999999999994</c:v>
                </c:pt>
                <c:pt idx="364">
                  <c:v>74.400000000000006</c:v>
                </c:pt>
                <c:pt idx="365">
                  <c:v>74.3</c:v>
                </c:pt>
                <c:pt idx="366">
                  <c:v>74.2</c:v>
                </c:pt>
                <c:pt idx="367">
                  <c:v>73.599999999999994</c:v>
                </c:pt>
                <c:pt idx="368">
                  <c:v>73.599999999999994</c:v>
                </c:pt>
                <c:pt idx="369">
                  <c:v>73.5</c:v>
                </c:pt>
                <c:pt idx="370">
                  <c:v>73.5</c:v>
                </c:pt>
                <c:pt idx="371">
                  <c:v>73.099999999999994</c:v>
                </c:pt>
                <c:pt idx="372">
                  <c:v>73.099999999999994</c:v>
                </c:pt>
                <c:pt idx="373">
                  <c:v>72.8</c:v>
                </c:pt>
                <c:pt idx="374">
                  <c:v>72.400000000000006</c:v>
                </c:pt>
                <c:pt idx="375">
                  <c:v>71.8</c:v>
                </c:pt>
                <c:pt idx="376">
                  <c:v>71.5</c:v>
                </c:pt>
                <c:pt idx="377">
                  <c:v>71.400000000000006</c:v>
                </c:pt>
                <c:pt idx="378">
                  <c:v>63.2</c:v>
                </c:pt>
                <c:pt idx="379">
                  <c:v>62.9</c:v>
                </c:pt>
                <c:pt idx="380">
                  <c:v>62.5</c:v>
                </c:pt>
                <c:pt idx="381">
                  <c:v>62.2</c:v>
                </c:pt>
                <c:pt idx="382">
                  <c:v>61.8</c:v>
                </c:pt>
                <c:pt idx="383">
                  <c:v>61.3</c:v>
                </c:pt>
                <c:pt idx="384">
                  <c:v>61</c:v>
                </c:pt>
                <c:pt idx="385">
                  <c:v>66</c:v>
                </c:pt>
                <c:pt idx="386">
                  <c:v>63</c:v>
                </c:pt>
                <c:pt idx="387">
                  <c:v>60</c:v>
                </c:pt>
                <c:pt idx="388">
                  <c:v>59.8</c:v>
                </c:pt>
                <c:pt idx="389">
                  <c:v>59.6</c:v>
                </c:pt>
                <c:pt idx="390">
                  <c:v>79.5</c:v>
                </c:pt>
                <c:pt idx="391">
                  <c:v>79.400000000000006</c:v>
                </c:pt>
                <c:pt idx="392">
                  <c:v>79.2</c:v>
                </c:pt>
                <c:pt idx="393">
                  <c:v>79</c:v>
                </c:pt>
                <c:pt idx="394">
                  <c:v>78.099999999999994</c:v>
                </c:pt>
                <c:pt idx="395">
                  <c:v>79.2</c:v>
                </c:pt>
                <c:pt idx="396">
                  <c:v>78.900000000000006</c:v>
                </c:pt>
                <c:pt idx="397">
                  <c:v>78.900000000000006</c:v>
                </c:pt>
                <c:pt idx="398">
                  <c:v>78</c:v>
                </c:pt>
                <c:pt idx="399">
                  <c:v>78.599999999999994</c:v>
                </c:pt>
                <c:pt idx="400">
                  <c:v>77.7</c:v>
                </c:pt>
                <c:pt idx="401">
                  <c:v>78</c:v>
                </c:pt>
                <c:pt idx="402">
                  <c:v>78.3</c:v>
                </c:pt>
                <c:pt idx="403">
                  <c:v>77.5</c:v>
                </c:pt>
                <c:pt idx="404">
                  <c:v>77.599999999999994</c:v>
                </c:pt>
                <c:pt idx="405">
                  <c:v>77.8</c:v>
                </c:pt>
                <c:pt idx="406">
                  <c:v>77.7</c:v>
                </c:pt>
                <c:pt idx="407">
                  <c:v>77.099999999999994</c:v>
                </c:pt>
                <c:pt idx="408">
                  <c:v>77</c:v>
                </c:pt>
                <c:pt idx="409">
                  <c:v>76.599999999999994</c:v>
                </c:pt>
                <c:pt idx="410">
                  <c:v>76.3</c:v>
                </c:pt>
                <c:pt idx="411">
                  <c:v>76</c:v>
                </c:pt>
                <c:pt idx="412">
                  <c:v>75.8</c:v>
                </c:pt>
                <c:pt idx="413">
                  <c:v>83</c:v>
                </c:pt>
                <c:pt idx="414">
                  <c:v>81</c:v>
                </c:pt>
                <c:pt idx="415">
                  <c:v>80</c:v>
                </c:pt>
                <c:pt idx="416">
                  <c:v>79.7</c:v>
                </c:pt>
                <c:pt idx="417">
                  <c:v>79.5</c:v>
                </c:pt>
                <c:pt idx="418">
                  <c:v>79.3</c:v>
                </c:pt>
                <c:pt idx="419">
                  <c:v>79.099999999999994</c:v>
                </c:pt>
                <c:pt idx="420">
                  <c:v>78.900000000000006</c:v>
                </c:pt>
                <c:pt idx="421">
                  <c:v>78.8</c:v>
                </c:pt>
                <c:pt idx="422">
                  <c:v>78.7</c:v>
                </c:pt>
                <c:pt idx="423">
                  <c:v>78.599999999999994</c:v>
                </c:pt>
                <c:pt idx="424">
                  <c:v>78.5</c:v>
                </c:pt>
                <c:pt idx="425">
                  <c:v>78.400000000000006</c:v>
                </c:pt>
                <c:pt idx="426">
                  <c:v>78.2</c:v>
                </c:pt>
                <c:pt idx="427">
                  <c:v>78.099999999999994</c:v>
                </c:pt>
                <c:pt idx="428">
                  <c:v>63</c:v>
                </c:pt>
                <c:pt idx="429">
                  <c:v>62.7</c:v>
                </c:pt>
                <c:pt idx="430">
                  <c:v>62.2</c:v>
                </c:pt>
                <c:pt idx="431">
                  <c:v>61.8</c:v>
                </c:pt>
                <c:pt idx="432">
                  <c:v>61.3</c:v>
                </c:pt>
                <c:pt idx="433">
                  <c:v>69</c:v>
                </c:pt>
                <c:pt idx="434">
                  <c:v>62</c:v>
                </c:pt>
                <c:pt idx="435">
                  <c:v>59.8</c:v>
                </c:pt>
                <c:pt idx="436">
                  <c:v>73.599999999999994</c:v>
                </c:pt>
                <c:pt idx="437">
                  <c:v>73.400000000000006</c:v>
                </c:pt>
                <c:pt idx="438">
                  <c:v>72.099999999999994</c:v>
                </c:pt>
                <c:pt idx="439">
                  <c:v>73.099999999999994</c:v>
                </c:pt>
                <c:pt idx="440">
                  <c:v>72.7</c:v>
                </c:pt>
                <c:pt idx="441">
                  <c:v>73.599999999999994</c:v>
                </c:pt>
                <c:pt idx="442">
                  <c:v>73.3</c:v>
                </c:pt>
                <c:pt idx="443">
                  <c:v>72.900000000000006</c:v>
                </c:pt>
                <c:pt idx="444">
                  <c:v>72.3</c:v>
                </c:pt>
                <c:pt idx="445">
                  <c:v>69.7</c:v>
                </c:pt>
                <c:pt idx="446">
                  <c:v>69.3</c:v>
                </c:pt>
                <c:pt idx="447">
                  <c:v>73</c:v>
                </c:pt>
                <c:pt idx="448">
                  <c:v>71.400000000000006</c:v>
                </c:pt>
                <c:pt idx="449">
                  <c:v>71.2</c:v>
                </c:pt>
                <c:pt idx="450">
                  <c:v>72</c:v>
                </c:pt>
                <c:pt idx="451">
                  <c:v>76</c:v>
                </c:pt>
                <c:pt idx="452">
                  <c:v>76</c:v>
                </c:pt>
                <c:pt idx="453">
                  <c:v>75.5</c:v>
                </c:pt>
                <c:pt idx="454">
                  <c:v>75.3</c:v>
                </c:pt>
                <c:pt idx="455">
                  <c:v>75</c:v>
                </c:pt>
                <c:pt idx="456">
                  <c:v>75.099999999999994</c:v>
                </c:pt>
                <c:pt idx="457">
                  <c:v>74.599999999999994</c:v>
                </c:pt>
                <c:pt idx="458">
                  <c:v>74.7</c:v>
                </c:pt>
                <c:pt idx="459">
                  <c:v>74.400000000000006</c:v>
                </c:pt>
                <c:pt idx="460">
                  <c:v>74.2</c:v>
                </c:pt>
                <c:pt idx="461">
                  <c:v>74.400000000000006</c:v>
                </c:pt>
                <c:pt idx="462">
                  <c:v>74.400000000000006</c:v>
                </c:pt>
                <c:pt idx="463">
                  <c:v>73.599999999999994</c:v>
                </c:pt>
                <c:pt idx="464">
                  <c:v>73.400000000000006</c:v>
                </c:pt>
                <c:pt idx="465">
                  <c:v>72.8</c:v>
                </c:pt>
                <c:pt idx="466">
                  <c:v>73.3</c:v>
                </c:pt>
                <c:pt idx="467">
                  <c:v>73</c:v>
                </c:pt>
                <c:pt idx="468">
                  <c:v>73</c:v>
                </c:pt>
                <c:pt idx="469">
                  <c:v>72</c:v>
                </c:pt>
                <c:pt idx="470">
                  <c:v>72</c:v>
                </c:pt>
                <c:pt idx="471">
                  <c:v>71.400000000000006</c:v>
                </c:pt>
                <c:pt idx="472">
                  <c:v>71.7</c:v>
                </c:pt>
                <c:pt idx="473">
                  <c:v>71.2</c:v>
                </c:pt>
                <c:pt idx="474">
                  <c:v>75</c:v>
                </c:pt>
                <c:pt idx="475">
                  <c:v>71</c:v>
                </c:pt>
                <c:pt idx="476">
                  <c:v>70</c:v>
                </c:pt>
                <c:pt idx="477">
                  <c:v>69.900000000000006</c:v>
                </c:pt>
                <c:pt idx="478">
                  <c:v>73</c:v>
                </c:pt>
                <c:pt idx="479">
                  <c:v>68.900000000000006</c:v>
                </c:pt>
                <c:pt idx="480">
                  <c:v>69</c:v>
                </c:pt>
                <c:pt idx="481">
                  <c:v>57.9</c:v>
                </c:pt>
                <c:pt idx="482">
                  <c:v>62.9</c:v>
                </c:pt>
                <c:pt idx="483">
                  <c:v>62.1</c:v>
                </c:pt>
                <c:pt idx="484">
                  <c:v>61.4</c:v>
                </c:pt>
                <c:pt idx="485">
                  <c:v>67</c:v>
                </c:pt>
                <c:pt idx="486">
                  <c:v>62</c:v>
                </c:pt>
                <c:pt idx="487">
                  <c:v>59.7</c:v>
                </c:pt>
                <c:pt idx="488">
                  <c:v>59.4</c:v>
                </c:pt>
                <c:pt idx="489">
                  <c:v>59.1</c:v>
                </c:pt>
                <c:pt idx="490">
                  <c:v>58.8</c:v>
                </c:pt>
                <c:pt idx="491">
                  <c:v>58.5</c:v>
                </c:pt>
                <c:pt idx="492">
                  <c:v>77.3</c:v>
                </c:pt>
                <c:pt idx="493">
                  <c:v>76.900000000000006</c:v>
                </c:pt>
                <c:pt idx="494">
                  <c:v>76.3</c:v>
                </c:pt>
                <c:pt idx="495">
                  <c:v>76.099999999999994</c:v>
                </c:pt>
                <c:pt idx="496">
                  <c:v>75.599999999999994</c:v>
                </c:pt>
                <c:pt idx="497">
                  <c:v>74.900000000000006</c:v>
                </c:pt>
                <c:pt idx="498">
                  <c:v>74.2</c:v>
                </c:pt>
                <c:pt idx="499">
                  <c:v>73</c:v>
                </c:pt>
                <c:pt idx="500">
                  <c:v>73</c:v>
                </c:pt>
                <c:pt idx="501">
                  <c:v>72.8</c:v>
                </c:pt>
                <c:pt idx="502">
                  <c:v>72.3</c:v>
                </c:pt>
                <c:pt idx="503">
                  <c:v>64.2</c:v>
                </c:pt>
                <c:pt idx="504">
                  <c:v>63.7</c:v>
                </c:pt>
                <c:pt idx="505">
                  <c:v>63.3</c:v>
                </c:pt>
                <c:pt idx="506">
                  <c:v>62.6</c:v>
                </c:pt>
                <c:pt idx="507">
                  <c:v>61.8</c:v>
                </c:pt>
                <c:pt idx="508">
                  <c:v>68</c:v>
                </c:pt>
                <c:pt idx="509">
                  <c:v>59.8</c:v>
                </c:pt>
                <c:pt idx="510">
                  <c:v>58.5</c:v>
                </c:pt>
                <c:pt idx="511">
                  <c:v>69.7</c:v>
                </c:pt>
                <c:pt idx="512">
                  <c:v>69.599999999999994</c:v>
                </c:pt>
                <c:pt idx="513">
                  <c:v>69.400000000000006</c:v>
                </c:pt>
                <c:pt idx="514">
                  <c:v>69.2</c:v>
                </c:pt>
                <c:pt idx="515">
                  <c:v>69.099999999999994</c:v>
                </c:pt>
                <c:pt idx="516">
                  <c:v>68.900000000000006</c:v>
                </c:pt>
                <c:pt idx="517">
                  <c:v>68.7</c:v>
                </c:pt>
                <c:pt idx="518">
                  <c:v>68.599999999999994</c:v>
                </c:pt>
                <c:pt idx="519">
                  <c:v>68.5</c:v>
                </c:pt>
                <c:pt idx="520">
                  <c:v>68.3</c:v>
                </c:pt>
                <c:pt idx="521">
                  <c:v>68.099999999999994</c:v>
                </c:pt>
                <c:pt idx="522">
                  <c:v>68</c:v>
                </c:pt>
                <c:pt idx="523">
                  <c:v>67.900000000000006</c:v>
                </c:pt>
                <c:pt idx="524">
                  <c:v>67.8</c:v>
                </c:pt>
                <c:pt idx="525">
                  <c:v>67.7</c:v>
                </c:pt>
                <c:pt idx="526">
                  <c:v>82.2</c:v>
                </c:pt>
                <c:pt idx="527">
                  <c:v>82</c:v>
                </c:pt>
                <c:pt idx="528">
                  <c:v>81.5</c:v>
                </c:pt>
                <c:pt idx="529">
                  <c:v>81.7</c:v>
                </c:pt>
                <c:pt idx="530">
                  <c:v>81.3</c:v>
                </c:pt>
                <c:pt idx="531">
                  <c:v>81.099999999999994</c:v>
                </c:pt>
                <c:pt idx="532">
                  <c:v>89</c:v>
                </c:pt>
                <c:pt idx="533">
                  <c:v>89</c:v>
                </c:pt>
                <c:pt idx="534">
                  <c:v>86</c:v>
                </c:pt>
                <c:pt idx="535">
                  <c:v>81</c:v>
                </c:pt>
                <c:pt idx="536">
                  <c:v>82</c:v>
                </c:pt>
                <c:pt idx="537">
                  <c:v>79.3</c:v>
                </c:pt>
                <c:pt idx="538">
                  <c:v>79.2</c:v>
                </c:pt>
                <c:pt idx="539">
                  <c:v>79</c:v>
                </c:pt>
                <c:pt idx="540">
                  <c:v>78.8</c:v>
                </c:pt>
                <c:pt idx="541">
                  <c:v>65.5</c:v>
                </c:pt>
                <c:pt idx="542">
                  <c:v>64.599999999999994</c:v>
                </c:pt>
                <c:pt idx="543">
                  <c:v>63.5</c:v>
                </c:pt>
                <c:pt idx="544">
                  <c:v>62.8</c:v>
                </c:pt>
                <c:pt idx="545">
                  <c:v>62.3</c:v>
                </c:pt>
                <c:pt idx="546">
                  <c:v>61.7</c:v>
                </c:pt>
                <c:pt idx="547">
                  <c:v>61.6</c:v>
                </c:pt>
                <c:pt idx="548">
                  <c:v>61.6</c:v>
                </c:pt>
                <c:pt idx="549">
                  <c:v>61.4</c:v>
                </c:pt>
                <c:pt idx="550">
                  <c:v>65</c:v>
                </c:pt>
                <c:pt idx="551">
                  <c:v>74.5</c:v>
                </c:pt>
                <c:pt idx="552">
                  <c:v>74.5</c:v>
                </c:pt>
                <c:pt idx="553">
                  <c:v>74.2</c:v>
                </c:pt>
                <c:pt idx="554">
                  <c:v>73.900000000000006</c:v>
                </c:pt>
                <c:pt idx="555">
                  <c:v>73.8</c:v>
                </c:pt>
                <c:pt idx="556">
                  <c:v>73.2</c:v>
                </c:pt>
                <c:pt idx="557">
                  <c:v>73.900000000000006</c:v>
                </c:pt>
                <c:pt idx="558">
                  <c:v>74.400000000000006</c:v>
                </c:pt>
                <c:pt idx="559">
                  <c:v>73.900000000000006</c:v>
                </c:pt>
                <c:pt idx="560">
                  <c:v>73.900000000000006</c:v>
                </c:pt>
                <c:pt idx="561">
                  <c:v>72.3</c:v>
                </c:pt>
                <c:pt idx="562">
                  <c:v>72.7</c:v>
                </c:pt>
                <c:pt idx="563">
                  <c:v>71.7</c:v>
                </c:pt>
                <c:pt idx="564">
                  <c:v>73</c:v>
                </c:pt>
                <c:pt idx="565">
                  <c:v>71.8</c:v>
                </c:pt>
                <c:pt idx="566">
                  <c:v>89</c:v>
                </c:pt>
                <c:pt idx="567">
                  <c:v>86</c:v>
                </c:pt>
                <c:pt idx="568">
                  <c:v>86</c:v>
                </c:pt>
                <c:pt idx="569">
                  <c:v>85</c:v>
                </c:pt>
                <c:pt idx="570">
                  <c:v>81</c:v>
                </c:pt>
                <c:pt idx="571">
                  <c:v>80</c:v>
                </c:pt>
                <c:pt idx="572">
                  <c:v>79.900000000000006</c:v>
                </c:pt>
                <c:pt idx="573">
                  <c:v>79.8</c:v>
                </c:pt>
                <c:pt idx="574">
                  <c:v>79.599999999999994</c:v>
                </c:pt>
                <c:pt idx="575">
                  <c:v>79.2</c:v>
                </c:pt>
                <c:pt idx="576">
                  <c:v>79.099999999999994</c:v>
                </c:pt>
                <c:pt idx="577">
                  <c:v>78.5</c:v>
                </c:pt>
                <c:pt idx="578">
                  <c:v>78.400000000000006</c:v>
                </c:pt>
                <c:pt idx="579">
                  <c:v>78.3</c:v>
                </c:pt>
                <c:pt idx="580">
                  <c:v>78</c:v>
                </c:pt>
                <c:pt idx="581">
                  <c:v>62.1</c:v>
                </c:pt>
                <c:pt idx="582">
                  <c:v>61.9</c:v>
                </c:pt>
                <c:pt idx="583">
                  <c:v>61.6</c:v>
                </c:pt>
                <c:pt idx="584">
                  <c:v>61.2</c:v>
                </c:pt>
                <c:pt idx="585">
                  <c:v>69</c:v>
                </c:pt>
                <c:pt idx="586">
                  <c:v>66</c:v>
                </c:pt>
                <c:pt idx="587">
                  <c:v>63</c:v>
                </c:pt>
                <c:pt idx="588">
                  <c:v>59.9</c:v>
                </c:pt>
                <c:pt idx="589">
                  <c:v>59.4</c:v>
                </c:pt>
                <c:pt idx="590">
                  <c:v>58.9</c:v>
                </c:pt>
                <c:pt idx="591">
                  <c:v>58.3</c:v>
                </c:pt>
                <c:pt idx="592">
                  <c:v>57.9</c:v>
                </c:pt>
                <c:pt idx="593">
                  <c:v>57.6</c:v>
                </c:pt>
                <c:pt idx="594">
                  <c:v>88</c:v>
                </c:pt>
                <c:pt idx="595">
                  <c:v>86</c:v>
                </c:pt>
                <c:pt idx="596">
                  <c:v>84</c:v>
                </c:pt>
                <c:pt idx="597">
                  <c:v>85</c:v>
                </c:pt>
                <c:pt idx="598">
                  <c:v>83</c:v>
                </c:pt>
                <c:pt idx="599">
                  <c:v>80</c:v>
                </c:pt>
                <c:pt idx="600">
                  <c:v>79.900000000000006</c:v>
                </c:pt>
                <c:pt idx="601">
                  <c:v>79.400000000000006</c:v>
                </c:pt>
                <c:pt idx="602">
                  <c:v>79.7</c:v>
                </c:pt>
                <c:pt idx="603">
                  <c:v>79.3</c:v>
                </c:pt>
                <c:pt idx="604">
                  <c:v>79.2</c:v>
                </c:pt>
                <c:pt idx="605">
                  <c:v>79.099999999999994</c:v>
                </c:pt>
                <c:pt idx="606">
                  <c:v>79</c:v>
                </c:pt>
                <c:pt idx="607">
                  <c:v>78.7</c:v>
                </c:pt>
                <c:pt idx="608">
                  <c:v>78.2</c:v>
                </c:pt>
                <c:pt idx="609">
                  <c:v>71.7</c:v>
                </c:pt>
                <c:pt idx="610">
                  <c:v>71.400000000000006</c:v>
                </c:pt>
                <c:pt idx="611">
                  <c:v>71.3</c:v>
                </c:pt>
                <c:pt idx="612">
                  <c:v>71.099999999999994</c:v>
                </c:pt>
                <c:pt idx="613">
                  <c:v>77</c:v>
                </c:pt>
                <c:pt idx="614">
                  <c:v>76</c:v>
                </c:pt>
                <c:pt idx="615">
                  <c:v>79</c:v>
                </c:pt>
                <c:pt idx="616">
                  <c:v>75</c:v>
                </c:pt>
                <c:pt idx="617">
                  <c:v>69.7</c:v>
                </c:pt>
                <c:pt idx="618">
                  <c:v>69.2</c:v>
                </c:pt>
                <c:pt idx="619">
                  <c:v>58.1</c:v>
                </c:pt>
                <c:pt idx="620">
                  <c:v>58.8</c:v>
                </c:pt>
                <c:pt idx="621">
                  <c:v>58.4</c:v>
                </c:pt>
                <c:pt idx="622">
                  <c:v>58.1</c:v>
                </c:pt>
                <c:pt idx="623">
                  <c:v>57.8</c:v>
                </c:pt>
                <c:pt idx="624">
                  <c:v>57.3</c:v>
                </c:pt>
                <c:pt idx="625">
                  <c:v>56.8</c:v>
                </c:pt>
                <c:pt idx="626">
                  <c:v>56.4</c:v>
                </c:pt>
                <c:pt idx="627">
                  <c:v>58.4</c:v>
                </c:pt>
                <c:pt idx="628">
                  <c:v>58.1</c:v>
                </c:pt>
                <c:pt idx="629">
                  <c:v>57.6</c:v>
                </c:pt>
                <c:pt idx="630">
                  <c:v>57.1</c:v>
                </c:pt>
                <c:pt idx="631">
                  <c:v>56.7</c:v>
                </c:pt>
                <c:pt idx="632">
                  <c:v>56.3</c:v>
                </c:pt>
                <c:pt idx="633">
                  <c:v>66</c:v>
                </c:pt>
                <c:pt idx="634">
                  <c:v>65.900000000000006</c:v>
                </c:pt>
                <c:pt idx="635">
                  <c:v>65.8</c:v>
                </c:pt>
                <c:pt idx="636">
                  <c:v>65.599999999999994</c:v>
                </c:pt>
                <c:pt idx="637">
                  <c:v>65.900000000000006</c:v>
                </c:pt>
                <c:pt idx="638">
                  <c:v>66.099999999999994</c:v>
                </c:pt>
                <c:pt idx="639">
                  <c:v>66.3</c:v>
                </c:pt>
                <c:pt idx="640">
                  <c:v>65.7</c:v>
                </c:pt>
                <c:pt idx="641">
                  <c:v>65.2</c:v>
                </c:pt>
                <c:pt idx="642">
                  <c:v>65</c:v>
                </c:pt>
                <c:pt idx="643">
                  <c:v>65.099999999999994</c:v>
                </c:pt>
                <c:pt idx="644">
                  <c:v>65.3</c:v>
                </c:pt>
                <c:pt idx="645">
                  <c:v>65.3</c:v>
                </c:pt>
                <c:pt idx="646">
                  <c:v>65.400000000000006</c:v>
                </c:pt>
                <c:pt idx="647">
                  <c:v>63.1</c:v>
                </c:pt>
                <c:pt idx="648">
                  <c:v>62.7</c:v>
                </c:pt>
                <c:pt idx="649">
                  <c:v>74.5</c:v>
                </c:pt>
                <c:pt idx="650">
                  <c:v>74.3</c:v>
                </c:pt>
                <c:pt idx="651">
                  <c:v>74.099999999999994</c:v>
                </c:pt>
                <c:pt idx="652">
                  <c:v>73.900000000000006</c:v>
                </c:pt>
                <c:pt idx="653">
                  <c:v>73.599999999999994</c:v>
                </c:pt>
                <c:pt idx="654">
                  <c:v>73.400000000000006</c:v>
                </c:pt>
                <c:pt idx="655">
                  <c:v>73.2</c:v>
                </c:pt>
                <c:pt idx="656">
                  <c:v>73</c:v>
                </c:pt>
                <c:pt idx="657">
                  <c:v>72.8</c:v>
                </c:pt>
                <c:pt idx="658">
                  <c:v>72.5</c:v>
                </c:pt>
                <c:pt idx="659">
                  <c:v>72.2</c:v>
                </c:pt>
                <c:pt idx="660">
                  <c:v>71.900000000000006</c:v>
                </c:pt>
                <c:pt idx="661">
                  <c:v>71.599999999999994</c:v>
                </c:pt>
                <c:pt idx="662">
                  <c:v>71.3</c:v>
                </c:pt>
                <c:pt idx="663">
                  <c:v>71</c:v>
                </c:pt>
                <c:pt idx="664">
                  <c:v>68</c:v>
                </c:pt>
                <c:pt idx="665">
                  <c:v>67.599999999999994</c:v>
                </c:pt>
                <c:pt idx="666">
                  <c:v>67.3</c:v>
                </c:pt>
                <c:pt idx="667">
                  <c:v>66.8</c:v>
                </c:pt>
                <c:pt idx="668">
                  <c:v>66.400000000000006</c:v>
                </c:pt>
                <c:pt idx="669">
                  <c:v>66</c:v>
                </c:pt>
                <c:pt idx="670">
                  <c:v>65.5</c:v>
                </c:pt>
                <c:pt idx="671">
                  <c:v>65.2</c:v>
                </c:pt>
                <c:pt idx="672">
                  <c:v>64.8</c:v>
                </c:pt>
                <c:pt idx="673">
                  <c:v>64.400000000000006</c:v>
                </c:pt>
                <c:pt idx="674">
                  <c:v>64</c:v>
                </c:pt>
                <c:pt idx="675">
                  <c:v>68.900000000000006</c:v>
                </c:pt>
                <c:pt idx="676">
                  <c:v>68.7</c:v>
                </c:pt>
                <c:pt idx="677">
                  <c:v>68.5</c:v>
                </c:pt>
                <c:pt idx="678">
                  <c:v>68.3</c:v>
                </c:pt>
                <c:pt idx="679">
                  <c:v>68.099999999999994</c:v>
                </c:pt>
                <c:pt idx="680">
                  <c:v>67.900000000000006</c:v>
                </c:pt>
                <c:pt idx="681">
                  <c:v>67.7</c:v>
                </c:pt>
                <c:pt idx="682">
                  <c:v>67.5</c:v>
                </c:pt>
                <c:pt idx="683">
                  <c:v>67.3</c:v>
                </c:pt>
                <c:pt idx="684">
                  <c:v>67.2</c:v>
                </c:pt>
                <c:pt idx="685">
                  <c:v>65.3</c:v>
                </c:pt>
                <c:pt idx="686">
                  <c:v>66.900000000000006</c:v>
                </c:pt>
                <c:pt idx="687">
                  <c:v>66.7</c:v>
                </c:pt>
                <c:pt idx="688">
                  <c:v>66.5</c:v>
                </c:pt>
                <c:pt idx="689">
                  <c:v>66.3</c:v>
                </c:pt>
                <c:pt idx="690">
                  <c:v>67.900000000000006</c:v>
                </c:pt>
                <c:pt idx="691">
                  <c:v>69.5</c:v>
                </c:pt>
                <c:pt idx="692">
                  <c:v>76</c:v>
                </c:pt>
                <c:pt idx="693">
                  <c:v>77</c:v>
                </c:pt>
                <c:pt idx="694">
                  <c:v>76</c:v>
                </c:pt>
                <c:pt idx="695">
                  <c:v>74</c:v>
                </c:pt>
                <c:pt idx="696">
                  <c:v>69.3</c:v>
                </c:pt>
                <c:pt idx="697">
                  <c:v>65.900000000000006</c:v>
                </c:pt>
                <c:pt idx="698">
                  <c:v>64.7</c:v>
                </c:pt>
                <c:pt idx="699">
                  <c:v>66.8</c:v>
                </c:pt>
                <c:pt idx="700">
                  <c:v>67.2</c:v>
                </c:pt>
                <c:pt idx="701">
                  <c:v>81.2</c:v>
                </c:pt>
                <c:pt idx="702">
                  <c:v>81</c:v>
                </c:pt>
                <c:pt idx="703">
                  <c:v>85</c:v>
                </c:pt>
                <c:pt idx="704">
                  <c:v>84</c:v>
                </c:pt>
                <c:pt idx="705">
                  <c:v>86</c:v>
                </c:pt>
                <c:pt idx="706">
                  <c:v>82.2</c:v>
                </c:pt>
                <c:pt idx="707">
                  <c:v>82.1</c:v>
                </c:pt>
                <c:pt idx="708">
                  <c:v>81.8</c:v>
                </c:pt>
                <c:pt idx="709">
                  <c:v>81.8</c:v>
                </c:pt>
                <c:pt idx="710">
                  <c:v>81.7</c:v>
                </c:pt>
                <c:pt idx="711">
                  <c:v>81.5</c:v>
                </c:pt>
                <c:pt idx="712">
                  <c:v>81</c:v>
                </c:pt>
                <c:pt idx="713">
                  <c:v>84</c:v>
                </c:pt>
                <c:pt idx="714">
                  <c:v>84</c:v>
                </c:pt>
                <c:pt idx="715">
                  <c:v>80</c:v>
                </c:pt>
                <c:pt idx="716">
                  <c:v>81</c:v>
                </c:pt>
                <c:pt idx="717">
                  <c:v>79.7</c:v>
                </c:pt>
                <c:pt idx="718">
                  <c:v>79.3</c:v>
                </c:pt>
                <c:pt idx="719">
                  <c:v>79.3</c:v>
                </c:pt>
                <c:pt idx="720">
                  <c:v>78.900000000000006</c:v>
                </c:pt>
                <c:pt idx="721">
                  <c:v>82.5</c:v>
                </c:pt>
                <c:pt idx="722">
                  <c:v>82.3</c:v>
                </c:pt>
                <c:pt idx="723">
                  <c:v>82</c:v>
                </c:pt>
                <c:pt idx="724">
                  <c:v>82</c:v>
                </c:pt>
                <c:pt idx="725">
                  <c:v>81.8</c:v>
                </c:pt>
                <c:pt idx="726">
                  <c:v>81.599999999999994</c:v>
                </c:pt>
                <c:pt idx="727">
                  <c:v>81.5</c:v>
                </c:pt>
                <c:pt idx="728">
                  <c:v>81.3</c:v>
                </c:pt>
                <c:pt idx="729">
                  <c:v>81.2</c:v>
                </c:pt>
                <c:pt idx="730">
                  <c:v>88</c:v>
                </c:pt>
                <c:pt idx="731">
                  <c:v>89</c:v>
                </c:pt>
                <c:pt idx="732">
                  <c:v>79.900000000000006</c:v>
                </c:pt>
                <c:pt idx="733">
                  <c:v>80</c:v>
                </c:pt>
                <c:pt idx="734">
                  <c:v>79.8</c:v>
                </c:pt>
                <c:pt idx="735">
                  <c:v>79.400000000000006</c:v>
                </c:pt>
                <c:pt idx="736">
                  <c:v>75.8</c:v>
                </c:pt>
                <c:pt idx="737">
                  <c:v>75.599999999999994</c:v>
                </c:pt>
                <c:pt idx="738">
                  <c:v>75.3</c:v>
                </c:pt>
                <c:pt idx="739">
                  <c:v>75.2</c:v>
                </c:pt>
                <c:pt idx="740">
                  <c:v>75</c:v>
                </c:pt>
                <c:pt idx="741">
                  <c:v>74.7</c:v>
                </c:pt>
                <c:pt idx="742">
                  <c:v>74.5</c:v>
                </c:pt>
                <c:pt idx="743">
                  <c:v>74.2</c:v>
                </c:pt>
                <c:pt idx="744">
                  <c:v>74</c:v>
                </c:pt>
                <c:pt idx="745">
                  <c:v>73.5</c:v>
                </c:pt>
                <c:pt idx="746">
                  <c:v>73.3</c:v>
                </c:pt>
                <c:pt idx="747">
                  <c:v>73.099999999999994</c:v>
                </c:pt>
                <c:pt idx="748">
                  <c:v>74</c:v>
                </c:pt>
                <c:pt idx="749">
                  <c:v>73.900000000000006</c:v>
                </c:pt>
                <c:pt idx="750">
                  <c:v>73.7</c:v>
                </c:pt>
                <c:pt idx="751">
                  <c:v>73.599999999999994</c:v>
                </c:pt>
                <c:pt idx="752">
                  <c:v>73.400000000000006</c:v>
                </c:pt>
                <c:pt idx="753">
                  <c:v>73.3</c:v>
                </c:pt>
                <c:pt idx="754">
                  <c:v>73.099999999999994</c:v>
                </c:pt>
                <c:pt idx="755">
                  <c:v>73</c:v>
                </c:pt>
                <c:pt idx="756">
                  <c:v>72.8</c:v>
                </c:pt>
                <c:pt idx="757">
                  <c:v>72.400000000000006</c:v>
                </c:pt>
                <c:pt idx="758">
                  <c:v>72.5</c:v>
                </c:pt>
                <c:pt idx="759">
                  <c:v>72.3</c:v>
                </c:pt>
                <c:pt idx="760">
                  <c:v>72.099999999999994</c:v>
                </c:pt>
                <c:pt idx="761">
                  <c:v>71.900000000000006</c:v>
                </c:pt>
                <c:pt idx="762">
                  <c:v>71.7</c:v>
                </c:pt>
                <c:pt idx="763">
                  <c:v>69.900000000000006</c:v>
                </c:pt>
                <c:pt idx="764">
                  <c:v>69.5</c:v>
                </c:pt>
                <c:pt idx="765">
                  <c:v>69.099999999999994</c:v>
                </c:pt>
                <c:pt idx="766">
                  <c:v>68.5</c:v>
                </c:pt>
                <c:pt idx="767">
                  <c:v>67.8</c:v>
                </c:pt>
                <c:pt idx="768">
                  <c:v>67.8</c:v>
                </c:pt>
                <c:pt idx="769">
                  <c:v>66.599999999999994</c:v>
                </c:pt>
                <c:pt idx="770">
                  <c:v>65.3</c:v>
                </c:pt>
                <c:pt idx="771">
                  <c:v>65</c:v>
                </c:pt>
                <c:pt idx="772">
                  <c:v>64.599999999999994</c:v>
                </c:pt>
                <c:pt idx="773">
                  <c:v>64.7</c:v>
                </c:pt>
                <c:pt idx="774">
                  <c:v>64.400000000000006</c:v>
                </c:pt>
                <c:pt idx="775">
                  <c:v>64.7</c:v>
                </c:pt>
                <c:pt idx="776">
                  <c:v>64.400000000000006</c:v>
                </c:pt>
                <c:pt idx="777">
                  <c:v>63.9</c:v>
                </c:pt>
                <c:pt idx="778">
                  <c:v>62.9</c:v>
                </c:pt>
                <c:pt idx="779">
                  <c:v>62.6</c:v>
                </c:pt>
                <c:pt idx="780">
                  <c:v>62.1</c:v>
                </c:pt>
                <c:pt idx="781">
                  <c:v>61.2</c:v>
                </c:pt>
                <c:pt idx="782">
                  <c:v>63</c:v>
                </c:pt>
                <c:pt idx="783">
                  <c:v>59.1</c:v>
                </c:pt>
                <c:pt idx="784">
                  <c:v>57.9</c:v>
                </c:pt>
                <c:pt idx="785">
                  <c:v>56.8</c:v>
                </c:pt>
                <c:pt idx="786">
                  <c:v>55.3</c:v>
                </c:pt>
                <c:pt idx="787">
                  <c:v>54.1</c:v>
                </c:pt>
                <c:pt idx="788">
                  <c:v>53</c:v>
                </c:pt>
                <c:pt idx="789">
                  <c:v>52.4</c:v>
                </c:pt>
                <c:pt idx="790">
                  <c:v>52.1</c:v>
                </c:pt>
                <c:pt idx="791">
                  <c:v>66.099999999999994</c:v>
                </c:pt>
                <c:pt idx="792">
                  <c:v>65.8</c:v>
                </c:pt>
                <c:pt idx="793">
                  <c:v>65.7</c:v>
                </c:pt>
                <c:pt idx="794">
                  <c:v>65.5</c:v>
                </c:pt>
                <c:pt idx="795">
                  <c:v>65.3</c:v>
                </c:pt>
                <c:pt idx="796">
                  <c:v>65.2</c:v>
                </c:pt>
                <c:pt idx="797">
                  <c:v>65.099999999999994</c:v>
                </c:pt>
                <c:pt idx="798">
                  <c:v>65</c:v>
                </c:pt>
                <c:pt idx="799">
                  <c:v>65</c:v>
                </c:pt>
                <c:pt idx="800">
                  <c:v>64.900000000000006</c:v>
                </c:pt>
                <c:pt idx="801">
                  <c:v>64.8</c:v>
                </c:pt>
                <c:pt idx="802">
                  <c:v>64.7</c:v>
                </c:pt>
                <c:pt idx="803">
                  <c:v>64.599999999999994</c:v>
                </c:pt>
                <c:pt idx="804">
                  <c:v>64.3</c:v>
                </c:pt>
                <c:pt idx="805">
                  <c:v>64.099999999999994</c:v>
                </c:pt>
                <c:pt idx="806">
                  <c:v>74.400000000000006</c:v>
                </c:pt>
                <c:pt idx="807">
                  <c:v>74.099999999999994</c:v>
                </c:pt>
                <c:pt idx="808">
                  <c:v>73.8</c:v>
                </c:pt>
                <c:pt idx="809">
                  <c:v>73.599999999999994</c:v>
                </c:pt>
                <c:pt idx="810">
                  <c:v>72.8</c:v>
                </c:pt>
                <c:pt idx="811">
                  <c:v>72.599999999999994</c:v>
                </c:pt>
                <c:pt idx="812">
                  <c:v>71.900000000000006</c:v>
                </c:pt>
                <c:pt idx="813">
                  <c:v>78</c:v>
                </c:pt>
                <c:pt idx="814">
                  <c:v>75</c:v>
                </c:pt>
                <c:pt idx="815">
                  <c:v>76</c:v>
                </c:pt>
                <c:pt idx="816">
                  <c:v>71</c:v>
                </c:pt>
                <c:pt idx="817">
                  <c:v>78</c:v>
                </c:pt>
                <c:pt idx="818">
                  <c:v>73</c:v>
                </c:pt>
                <c:pt idx="819">
                  <c:v>69.900000000000006</c:v>
                </c:pt>
                <c:pt idx="820">
                  <c:v>71</c:v>
                </c:pt>
                <c:pt idx="821">
                  <c:v>74.8</c:v>
                </c:pt>
                <c:pt idx="822">
                  <c:v>74.900000000000006</c:v>
                </c:pt>
                <c:pt idx="823">
                  <c:v>75</c:v>
                </c:pt>
                <c:pt idx="824">
                  <c:v>75</c:v>
                </c:pt>
                <c:pt idx="825">
                  <c:v>74.900000000000006</c:v>
                </c:pt>
                <c:pt idx="826">
                  <c:v>74.7</c:v>
                </c:pt>
                <c:pt idx="827">
                  <c:v>74.5</c:v>
                </c:pt>
                <c:pt idx="828">
                  <c:v>74.400000000000006</c:v>
                </c:pt>
                <c:pt idx="829">
                  <c:v>74.099999999999994</c:v>
                </c:pt>
                <c:pt idx="830">
                  <c:v>73.900000000000006</c:v>
                </c:pt>
                <c:pt idx="831">
                  <c:v>73.7</c:v>
                </c:pt>
                <c:pt idx="832">
                  <c:v>73.5</c:v>
                </c:pt>
                <c:pt idx="833">
                  <c:v>73.2</c:v>
                </c:pt>
                <c:pt idx="834">
                  <c:v>73</c:v>
                </c:pt>
                <c:pt idx="835">
                  <c:v>72.7</c:v>
                </c:pt>
                <c:pt idx="836">
                  <c:v>52.1</c:v>
                </c:pt>
                <c:pt idx="837">
                  <c:v>52.1</c:v>
                </c:pt>
                <c:pt idx="838">
                  <c:v>52.2</c:v>
                </c:pt>
                <c:pt idx="839">
                  <c:v>52.3</c:v>
                </c:pt>
                <c:pt idx="840">
                  <c:v>51.1</c:v>
                </c:pt>
                <c:pt idx="841">
                  <c:v>49.4</c:v>
                </c:pt>
                <c:pt idx="842">
                  <c:v>47.8</c:v>
                </c:pt>
                <c:pt idx="843">
                  <c:v>46.2</c:v>
                </c:pt>
                <c:pt idx="844">
                  <c:v>45.3</c:v>
                </c:pt>
                <c:pt idx="845">
                  <c:v>44.5</c:v>
                </c:pt>
                <c:pt idx="846">
                  <c:v>44.8</c:v>
                </c:pt>
                <c:pt idx="847">
                  <c:v>45.5</c:v>
                </c:pt>
                <c:pt idx="848">
                  <c:v>58.1</c:v>
                </c:pt>
                <c:pt idx="849">
                  <c:v>61.1</c:v>
                </c:pt>
                <c:pt idx="850">
                  <c:v>67</c:v>
                </c:pt>
                <c:pt idx="851">
                  <c:v>62</c:v>
                </c:pt>
                <c:pt idx="852">
                  <c:v>59.7</c:v>
                </c:pt>
                <c:pt idx="853">
                  <c:v>59.2</c:v>
                </c:pt>
                <c:pt idx="854">
                  <c:v>58.6</c:v>
                </c:pt>
                <c:pt idx="855">
                  <c:v>73.400000000000006</c:v>
                </c:pt>
                <c:pt idx="856">
                  <c:v>73</c:v>
                </c:pt>
                <c:pt idx="857">
                  <c:v>73</c:v>
                </c:pt>
                <c:pt idx="858">
                  <c:v>72.8</c:v>
                </c:pt>
                <c:pt idx="859">
                  <c:v>72.400000000000006</c:v>
                </c:pt>
                <c:pt idx="860">
                  <c:v>72.2</c:v>
                </c:pt>
                <c:pt idx="861">
                  <c:v>71.099999999999994</c:v>
                </c:pt>
                <c:pt idx="862">
                  <c:v>72</c:v>
                </c:pt>
                <c:pt idx="863">
                  <c:v>76</c:v>
                </c:pt>
                <c:pt idx="864">
                  <c:v>78</c:v>
                </c:pt>
                <c:pt idx="865">
                  <c:v>71.599999999999994</c:v>
                </c:pt>
                <c:pt idx="866">
                  <c:v>71.599999999999994</c:v>
                </c:pt>
                <c:pt idx="867">
                  <c:v>71.400000000000006</c:v>
                </c:pt>
                <c:pt idx="868">
                  <c:v>71.2</c:v>
                </c:pt>
                <c:pt idx="869">
                  <c:v>71.599999999999994</c:v>
                </c:pt>
                <c:pt idx="870">
                  <c:v>81.7</c:v>
                </c:pt>
                <c:pt idx="871">
                  <c:v>81.400000000000006</c:v>
                </c:pt>
                <c:pt idx="872">
                  <c:v>81.099999999999994</c:v>
                </c:pt>
                <c:pt idx="873">
                  <c:v>88</c:v>
                </c:pt>
                <c:pt idx="874">
                  <c:v>86</c:v>
                </c:pt>
                <c:pt idx="875">
                  <c:v>83</c:v>
                </c:pt>
                <c:pt idx="876">
                  <c:v>80</c:v>
                </c:pt>
                <c:pt idx="877">
                  <c:v>79.7</c:v>
                </c:pt>
                <c:pt idx="878">
                  <c:v>79.400000000000006</c:v>
                </c:pt>
                <c:pt idx="879">
                  <c:v>78.8</c:v>
                </c:pt>
                <c:pt idx="880">
                  <c:v>78.7</c:v>
                </c:pt>
                <c:pt idx="881">
                  <c:v>78.599999999999994</c:v>
                </c:pt>
                <c:pt idx="882">
                  <c:v>78.3</c:v>
                </c:pt>
                <c:pt idx="883">
                  <c:v>78</c:v>
                </c:pt>
                <c:pt idx="884">
                  <c:v>77.8</c:v>
                </c:pt>
                <c:pt idx="885">
                  <c:v>65.099999999999994</c:v>
                </c:pt>
                <c:pt idx="886">
                  <c:v>64.7</c:v>
                </c:pt>
                <c:pt idx="887">
                  <c:v>64.3</c:v>
                </c:pt>
                <c:pt idx="888">
                  <c:v>63.8</c:v>
                </c:pt>
                <c:pt idx="889">
                  <c:v>63.3</c:v>
                </c:pt>
                <c:pt idx="890">
                  <c:v>62.8</c:v>
                </c:pt>
                <c:pt idx="891">
                  <c:v>62.3</c:v>
                </c:pt>
                <c:pt idx="892">
                  <c:v>61.9</c:v>
                </c:pt>
                <c:pt idx="893">
                  <c:v>61.4</c:v>
                </c:pt>
                <c:pt idx="894">
                  <c:v>69</c:v>
                </c:pt>
                <c:pt idx="895">
                  <c:v>64</c:v>
                </c:pt>
                <c:pt idx="896">
                  <c:v>59.9</c:v>
                </c:pt>
                <c:pt idx="897">
                  <c:v>59.3</c:v>
                </c:pt>
                <c:pt idx="898">
                  <c:v>57.6</c:v>
                </c:pt>
                <c:pt idx="899">
                  <c:v>56.7</c:v>
                </c:pt>
                <c:pt idx="900">
                  <c:v>55.3</c:v>
                </c:pt>
                <c:pt idx="901">
                  <c:v>54.1</c:v>
                </c:pt>
                <c:pt idx="902">
                  <c:v>52.9</c:v>
                </c:pt>
                <c:pt idx="903">
                  <c:v>51.5</c:v>
                </c:pt>
                <c:pt idx="904">
                  <c:v>50</c:v>
                </c:pt>
                <c:pt idx="905">
                  <c:v>48.5</c:v>
                </c:pt>
                <c:pt idx="906">
                  <c:v>47.1</c:v>
                </c:pt>
                <c:pt idx="907">
                  <c:v>46</c:v>
                </c:pt>
                <c:pt idx="908">
                  <c:v>45.1</c:v>
                </c:pt>
                <c:pt idx="909">
                  <c:v>44.6</c:v>
                </c:pt>
                <c:pt idx="910">
                  <c:v>44</c:v>
                </c:pt>
                <c:pt idx="911">
                  <c:v>74.8</c:v>
                </c:pt>
                <c:pt idx="912">
                  <c:v>74.599999999999994</c:v>
                </c:pt>
                <c:pt idx="913">
                  <c:v>74.5</c:v>
                </c:pt>
                <c:pt idx="914">
                  <c:v>74.3</c:v>
                </c:pt>
                <c:pt idx="915">
                  <c:v>74.099999999999994</c:v>
                </c:pt>
                <c:pt idx="916">
                  <c:v>74</c:v>
                </c:pt>
                <c:pt idx="917">
                  <c:v>73.8</c:v>
                </c:pt>
                <c:pt idx="918">
                  <c:v>73.7</c:v>
                </c:pt>
                <c:pt idx="919">
                  <c:v>73.599999999999994</c:v>
                </c:pt>
                <c:pt idx="920">
                  <c:v>73.400000000000006</c:v>
                </c:pt>
                <c:pt idx="921">
                  <c:v>73.2</c:v>
                </c:pt>
                <c:pt idx="922">
                  <c:v>73.099999999999994</c:v>
                </c:pt>
                <c:pt idx="923">
                  <c:v>72.900000000000006</c:v>
                </c:pt>
                <c:pt idx="924">
                  <c:v>72.7</c:v>
                </c:pt>
                <c:pt idx="925">
                  <c:v>72.400000000000006</c:v>
                </c:pt>
                <c:pt idx="926">
                  <c:v>78.2</c:v>
                </c:pt>
                <c:pt idx="927">
                  <c:v>77.900000000000006</c:v>
                </c:pt>
                <c:pt idx="928">
                  <c:v>77.599999999999994</c:v>
                </c:pt>
                <c:pt idx="929">
                  <c:v>77.3</c:v>
                </c:pt>
                <c:pt idx="930">
                  <c:v>76.7</c:v>
                </c:pt>
                <c:pt idx="931">
                  <c:v>76.3</c:v>
                </c:pt>
                <c:pt idx="932">
                  <c:v>75.900000000000006</c:v>
                </c:pt>
                <c:pt idx="933">
                  <c:v>75.400000000000006</c:v>
                </c:pt>
                <c:pt idx="934">
                  <c:v>75</c:v>
                </c:pt>
                <c:pt idx="935">
                  <c:v>74.3</c:v>
                </c:pt>
                <c:pt idx="936">
                  <c:v>73.400000000000006</c:v>
                </c:pt>
                <c:pt idx="937">
                  <c:v>72.7</c:v>
                </c:pt>
                <c:pt idx="938">
                  <c:v>71.8</c:v>
                </c:pt>
                <c:pt idx="939">
                  <c:v>78</c:v>
                </c:pt>
                <c:pt idx="940">
                  <c:v>69.599999999999994</c:v>
                </c:pt>
                <c:pt idx="941">
                  <c:v>57.8</c:v>
                </c:pt>
                <c:pt idx="942">
                  <c:v>57.3</c:v>
                </c:pt>
                <c:pt idx="943">
                  <c:v>57.2</c:v>
                </c:pt>
                <c:pt idx="944">
                  <c:v>56.8</c:v>
                </c:pt>
                <c:pt idx="945">
                  <c:v>56.5</c:v>
                </c:pt>
                <c:pt idx="946">
                  <c:v>56</c:v>
                </c:pt>
                <c:pt idx="947">
                  <c:v>55.5</c:v>
                </c:pt>
                <c:pt idx="948">
                  <c:v>55</c:v>
                </c:pt>
                <c:pt idx="949">
                  <c:v>54.3</c:v>
                </c:pt>
                <c:pt idx="950">
                  <c:v>53.6</c:v>
                </c:pt>
                <c:pt idx="951">
                  <c:v>52.8</c:v>
                </c:pt>
                <c:pt idx="952">
                  <c:v>52</c:v>
                </c:pt>
                <c:pt idx="953">
                  <c:v>81.400000000000006</c:v>
                </c:pt>
                <c:pt idx="954">
                  <c:v>81.099999999999994</c:v>
                </c:pt>
                <c:pt idx="955">
                  <c:v>81</c:v>
                </c:pt>
                <c:pt idx="956">
                  <c:v>87</c:v>
                </c:pt>
                <c:pt idx="957">
                  <c:v>83</c:v>
                </c:pt>
                <c:pt idx="958">
                  <c:v>82</c:v>
                </c:pt>
                <c:pt idx="959">
                  <c:v>80</c:v>
                </c:pt>
                <c:pt idx="960">
                  <c:v>79.599999999999994</c:v>
                </c:pt>
                <c:pt idx="961">
                  <c:v>79.3</c:v>
                </c:pt>
                <c:pt idx="962">
                  <c:v>79</c:v>
                </c:pt>
                <c:pt idx="963">
                  <c:v>78.7</c:v>
                </c:pt>
                <c:pt idx="964">
                  <c:v>78.5</c:v>
                </c:pt>
                <c:pt idx="965">
                  <c:v>63</c:v>
                </c:pt>
                <c:pt idx="966">
                  <c:v>62.7</c:v>
                </c:pt>
                <c:pt idx="967">
                  <c:v>62.5</c:v>
                </c:pt>
                <c:pt idx="968">
                  <c:v>62.2</c:v>
                </c:pt>
                <c:pt idx="969">
                  <c:v>62</c:v>
                </c:pt>
                <c:pt idx="970">
                  <c:v>61.7</c:v>
                </c:pt>
                <c:pt idx="971">
                  <c:v>61.4</c:v>
                </c:pt>
                <c:pt idx="972">
                  <c:v>61.2</c:v>
                </c:pt>
                <c:pt idx="973">
                  <c:v>69</c:v>
                </c:pt>
                <c:pt idx="974">
                  <c:v>66</c:v>
                </c:pt>
                <c:pt idx="975">
                  <c:v>74.2</c:v>
                </c:pt>
                <c:pt idx="976">
                  <c:v>74.099999999999994</c:v>
                </c:pt>
                <c:pt idx="977">
                  <c:v>73.900000000000006</c:v>
                </c:pt>
                <c:pt idx="978">
                  <c:v>73.599999999999994</c:v>
                </c:pt>
                <c:pt idx="979">
                  <c:v>73.3</c:v>
                </c:pt>
                <c:pt idx="980">
                  <c:v>72.8</c:v>
                </c:pt>
                <c:pt idx="981">
                  <c:v>72.7</c:v>
                </c:pt>
                <c:pt idx="982">
                  <c:v>72.900000000000006</c:v>
                </c:pt>
                <c:pt idx="983">
                  <c:v>71.8</c:v>
                </c:pt>
                <c:pt idx="984">
                  <c:v>72.099999999999994</c:v>
                </c:pt>
                <c:pt idx="985">
                  <c:v>71.900000000000006</c:v>
                </c:pt>
                <c:pt idx="986">
                  <c:v>71.5</c:v>
                </c:pt>
                <c:pt idx="987">
                  <c:v>71.5</c:v>
                </c:pt>
                <c:pt idx="988">
                  <c:v>71.5</c:v>
                </c:pt>
                <c:pt idx="989">
                  <c:v>71</c:v>
                </c:pt>
                <c:pt idx="990">
                  <c:v>76.599999999999994</c:v>
                </c:pt>
                <c:pt idx="991">
                  <c:v>76.599999999999994</c:v>
                </c:pt>
                <c:pt idx="992">
                  <c:v>76.3</c:v>
                </c:pt>
                <c:pt idx="993">
                  <c:v>76.099999999999994</c:v>
                </c:pt>
                <c:pt idx="994">
                  <c:v>75.599999999999994</c:v>
                </c:pt>
                <c:pt idx="995">
                  <c:v>75.7</c:v>
                </c:pt>
                <c:pt idx="996">
                  <c:v>75.599999999999994</c:v>
                </c:pt>
                <c:pt idx="997">
                  <c:v>76</c:v>
                </c:pt>
                <c:pt idx="998">
                  <c:v>75.8</c:v>
                </c:pt>
                <c:pt idx="999">
                  <c:v>75.3</c:v>
                </c:pt>
                <c:pt idx="1000">
                  <c:v>75.400000000000006</c:v>
                </c:pt>
                <c:pt idx="1001">
                  <c:v>75</c:v>
                </c:pt>
                <c:pt idx="1002">
                  <c:v>75</c:v>
                </c:pt>
                <c:pt idx="1003">
                  <c:v>75</c:v>
                </c:pt>
                <c:pt idx="1004">
                  <c:v>74.8</c:v>
                </c:pt>
                <c:pt idx="1005">
                  <c:v>68.400000000000006</c:v>
                </c:pt>
                <c:pt idx="1006">
                  <c:v>68.099999999999994</c:v>
                </c:pt>
                <c:pt idx="1007">
                  <c:v>67.8</c:v>
                </c:pt>
                <c:pt idx="1008">
                  <c:v>67.3</c:v>
                </c:pt>
                <c:pt idx="1009">
                  <c:v>66.3</c:v>
                </c:pt>
                <c:pt idx="1010">
                  <c:v>66.900000000000006</c:v>
                </c:pt>
                <c:pt idx="1011">
                  <c:v>67.400000000000006</c:v>
                </c:pt>
                <c:pt idx="1012">
                  <c:v>65.900000000000006</c:v>
                </c:pt>
                <c:pt idx="1013">
                  <c:v>65</c:v>
                </c:pt>
                <c:pt idx="1014">
                  <c:v>64.5</c:v>
                </c:pt>
                <c:pt idx="1015">
                  <c:v>64</c:v>
                </c:pt>
                <c:pt idx="1016">
                  <c:v>64</c:v>
                </c:pt>
                <c:pt idx="1017">
                  <c:v>63.8</c:v>
                </c:pt>
                <c:pt idx="1018">
                  <c:v>63.2</c:v>
                </c:pt>
                <c:pt idx="1019">
                  <c:v>62.8</c:v>
                </c:pt>
                <c:pt idx="1020">
                  <c:v>75.900000000000006</c:v>
                </c:pt>
                <c:pt idx="1021">
                  <c:v>75.8</c:v>
                </c:pt>
                <c:pt idx="1022">
                  <c:v>75.599999999999994</c:v>
                </c:pt>
                <c:pt idx="1023">
                  <c:v>75.400000000000006</c:v>
                </c:pt>
                <c:pt idx="1024">
                  <c:v>75.3</c:v>
                </c:pt>
                <c:pt idx="1025">
                  <c:v>75</c:v>
                </c:pt>
                <c:pt idx="1026">
                  <c:v>74.599999999999994</c:v>
                </c:pt>
                <c:pt idx="1027">
                  <c:v>74.2</c:v>
                </c:pt>
                <c:pt idx="1028">
                  <c:v>73.8</c:v>
                </c:pt>
                <c:pt idx="1029">
                  <c:v>74.099999999999994</c:v>
                </c:pt>
                <c:pt idx="1030">
                  <c:v>73.900000000000006</c:v>
                </c:pt>
                <c:pt idx="1031">
                  <c:v>73.599999999999994</c:v>
                </c:pt>
                <c:pt idx="1032">
                  <c:v>73.3</c:v>
                </c:pt>
                <c:pt idx="1033">
                  <c:v>72.8</c:v>
                </c:pt>
                <c:pt idx="1034">
                  <c:v>72.3</c:v>
                </c:pt>
                <c:pt idx="1035">
                  <c:v>71.8</c:v>
                </c:pt>
                <c:pt idx="1036">
                  <c:v>71.400000000000006</c:v>
                </c:pt>
                <c:pt idx="1037">
                  <c:v>71</c:v>
                </c:pt>
                <c:pt idx="1038">
                  <c:v>77</c:v>
                </c:pt>
                <c:pt idx="1039">
                  <c:v>72</c:v>
                </c:pt>
                <c:pt idx="1040">
                  <c:v>69.900000000000006</c:v>
                </c:pt>
                <c:pt idx="1041">
                  <c:v>69.5</c:v>
                </c:pt>
                <c:pt idx="1042">
                  <c:v>69</c:v>
                </c:pt>
                <c:pt idx="1043">
                  <c:v>68.599999999999994</c:v>
                </c:pt>
                <c:pt idx="1044">
                  <c:v>56.7</c:v>
                </c:pt>
                <c:pt idx="1045">
                  <c:v>55.3</c:v>
                </c:pt>
                <c:pt idx="1046">
                  <c:v>54.8</c:v>
                </c:pt>
                <c:pt idx="1047">
                  <c:v>54.3</c:v>
                </c:pt>
                <c:pt idx="1048">
                  <c:v>54</c:v>
                </c:pt>
                <c:pt idx="1049">
                  <c:v>53.8</c:v>
                </c:pt>
                <c:pt idx="1050">
                  <c:v>53.2</c:v>
                </c:pt>
                <c:pt idx="1051">
                  <c:v>52.1</c:v>
                </c:pt>
                <c:pt idx="1052">
                  <c:v>51.2</c:v>
                </c:pt>
                <c:pt idx="1053">
                  <c:v>58</c:v>
                </c:pt>
                <c:pt idx="1054">
                  <c:v>54</c:v>
                </c:pt>
                <c:pt idx="1055">
                  <c:v>51</c:v>
                </c:pt>
                <c:pt idx="1056">
                  <c:v>49.8</c:v>
                </c:pt>
                <c:pt idx="1057">
                  <c:v>49.5</c:v>
                </c:pt>
                <c:pt idx="1058">
                  <c:v>66.400000000000006</c:v>
                </c:pt>
                <c:pt idx="1059">
                  <c:v>66.2</c:v>
                </c:pt>
                <c:pt idx="1060">
                  <c:v>65.900000000000006</c:v>
                </c:pt>
                <c:pt idx="1061">
                  <c:v>65.599999999999994</c:v>
                </c:pt>
                <c:pt idx="1062">
                  <c:v>65.400000000000006</c:v>
                </c:pt>
                <c:pt idx="1063">
                  <c:v>65.2</c:v>
                </c:pt>
                <c:pt idx="1064">
                  <c:v>59.2</c:v>
                </c:pt>
                <c:pt idx="1065">
                  <c:v>64.5</c:v>
                </c:pt>
                <c:pt idx="1066">
                  <c:v>64.2</c:v>
                </c:pt>
                <c:pt idx="1067">
                  <c:v>63.9</c:v>
                </c:pt>
                <c:pt idx="1068">
                  <c:v>63.5</c:v>
                </c:pt>
                <c:pt idx="1069">
                  <c:v>63.2</c:v>
                </c:pt>
                <c:pt idx="1070">
                  <c:v>65.900000000000006</c:v>
                </c:pt>
                <c:pt idx="1071">
                  <c:v>66.099999999999994</c:v>
                </c:pt>
                <c:pt idx="1072">
                  <c:v>65.8</c:v>
                </c:pt>
                <c:pt idx="1073">
                  <c:v>64.3</c:v>
                </c:pt>
                <c:pt idx="1074">
                  <c:v>63</c:v>
                </c:pt>
                <c:pt idx="1075">
                  <c:v>69.599999999999994</c:v>
                </c:pt>
                <c:pt idx="1076">
                  <c:v>69.3</c:v>
                </c:pt>
                <c:pt idx="1077">
                  <c:v>68.900000000000006</c:v>
                </c:pt>
                <c:pt idx="1078">
                  <c:v>68.400000000000006</c:v>
                </c:pt>
                <c:pt idx="1079">
                  <c:v>68</c:v>
                </c:pt>
                <c:pt idx="1080">
                  <c:v>67.5</c:v>
                </c:pt>
                <c:pt idx="1081">
                  <c:v>67</c:v>
                </c:pt>
                <c:pt idx="1082">
                  <c:v>66.599999999999994</c:v>
                </c:pt>
                <c:pt idx="1083">
                  <c:v>66</c:v>
                </c:pt>
                <c:pt idx="1084">
                  <c:v>65.400000000000006</c:v>
                </c:pt>
                <c:pt idx="1085">
                  <c:v>64.7</c:v>
                </c:pt>
                <c:pt idx="1086">
                  <c:v>64.3</c:v>
                </c:pt>
                <c:pt idx="1087">
                  <c:v>81.7</c:v>
                </c:pt>
                <c:pt idx="1088">
                  <c:v>81.400000000000006</c:v>
                </c:pt>
                <c:pt idx="1089">
                  <c:v>81.099999999999994</c:v>
                </c:pt>
                <c:pt idx="1090">
                  <c:v>81.099999999999994</c:v>
                </c:pt>
                <c:pt idx="1091">
                  <c:v>74.5</c:v>
                </c:pt>
                <c:pt idx="1092">
                  <c:v>73.900000000000006</c:v>
                </c:pt>
                <c:pt idx="1093">
                  <c:v>73.900000000000006</c:v>
                </c:pt>
                <c:pt idx="1094">
                  <c:v>74.5</c:v>
                </c:pt>
                <c:pt idx="1095">
                  <c:v>73.2</c:v>
                </c:pt>
                <c:pt idx="1096">
                  <c:v>73.2</c:v>
                </c:pt>
                <c:pt idx="1097">
                  <c:v>72.5</c:v>
                </c:pt>
                <c:pt idx="1098">
                  <c:v>72.5</c:v>
                </c:pt>
                <c:pt idx="1099">
                  <c:v>73</c:v>
                </c:pt>
                <c:pt idx="1100">
                  <c:v>71.2</c:v>
                </c:pt>
                <c:pt idx="1101">
                  <c:v>71</c:v>
                </c:pt>
                <c:pt idx="1102">
                  <c:v>76</c:v>
                </c:pt>
                <c:pt idx="1103">
                  <c:v>75</c:v>
                </c:pt>
                <c:pt idx="1104">
                  <c:v>73</c:v>
                </c:pt>
                <c:pt idx="1105">
                  <c:v>73</c:v>
                </c:pt>
                <c:pt idx="1106">
                  <c:v>61.4</c:v>
                </c:pt>
                <c:pt idx="1107">
                  <c:v>69</c:v>
                </c:pt>
                <c:pt idx="1108">
                  <c:v>63</c:v>
                </c:pt>
                <c:pt idx="1109">
                  <c:v>59.4</c:v>
                </c:pt>
                <c:pt idx="1110">
                  <c:v>58.2</c:v>
                </c:pt>
                <c:pt idx="1111">
                  <c:v>57.1</c:v>
                </c:pt>
                <c:pt idx="1112">
                  <c:v>53.6</c:v>
                </c:pt>
                <c:pt idx="1113">
                  <c:v>53.2</c:v>
                </c:pt>
                <c:pt idx="1114">
                  <c:v>52.7</c:v>
                </c:pt>
                <c:pt idx="1115">
                  <c:v>52.3</c:v>
                </c:pt>
                <c:pt idx="1116">
                  <c:v>52</c:v>
                </c:pt>
                <c:pt idx="1117">
                  <c:v>51.6</c:v>
                </c:pt>
                <c:pt idx="1118">
                  <c:v>59</c:v>
                </c:pt>
                <c:pt idx="1119">
                  <c:v>55</c:v>
                </c:pt>
                <c:pt idx="1120">
                  <c:v>49.8</c:v>
                </c:pt>
                <c:pt idx="1121">
                  <c:v>49.2</c:v>
                </c:pt>
                <c:pt idx="1122">
                  <c:v>66.2</c:v>
                </c:pt>
                <c:pt idx="1123">
                  <c:v>66</c:v>
                </c:pt>
                <c:pt idx="1124">
                  <c:v>65.7</c:v>
                </c:pt>
                <c:pt idx="1125">
                  <c:v>65.5</c:v>
                </c:pt>
                <c:pt idx="1126">
                  <c:v>65.099999999999994</c:v>
                </c:pt>
                <c:pt idx="1127">
                  <c:v>64.8</c:v>
                </c:pt>
                <c:pt idx="1128">
                  <c:v>64.599999999999994</c:v>
                </c:pt>
                <c:pt idx="1129">
                  <c:v>64.400000000000006</c:v>
                </c:pt>
                <c:pt idx="1130">
                  <c:v>64.2</c:v>
                </c:pt>
                <c:pt idx="1131">
                  <c:v>62.9</c:v>
                </c:pt>
                <c:pt idx="1132">
                  <c:v>63.7</c:v>
                </c:pt>
                <c:pt idx="1133">
                  <c:v>63.5</c:v>
                </c:pt>
                <c:pt idx="1134">
                  <c:v>77.599999999999994</c:v>
                </c:pt>
                <c:pt idx="1135">
                  <c:v>77.5</c:v>
                </c:pt>
                <c:pt idx="1136">
                  <c:v>77.2</c:v>
                </c:pt>
                <c:pt idx="1137">
                  <c:v>77.3</c:v>
                </c:pt>
                <c:pt idx="1138">
                  <c:v>76.5</c:v>
                </c:pt>
                <c:pt idx="1139">
                  <c:v>76.8</c:v>
                </c:pt>
                <c:pt idx="1140">
                  <c:v>76.5</c:v>
                </c:pt>
                <c:pt idx="1141">
                  <c:v>76.400000000000006</c:v>
                </c:pt>
                <c:pt idx="1142">
                  <c:v>76.2</c:v>
                </c:pt>
                <c:pt idx="1143">
                  <c:v>75.8</c:v>
                </c:pt>
                <c:pt idx="1144">
                  <c:v>75.8</c:v>
                </c:pt>
                <c:pt idx="1145">
                  <c:v>75.5</c:v>
                </c:pt>
                <c:pt idx="1146">
                  <c:v>75.7</c:v>
                </c:pt>
                <c:pt idx="1147">
                  <c:v>75.5</c:v>
                </c:pt>
                <c:pt idx="1148">
                  <c:v>62.7</c:v>
                </c:pt>
                <c:pt idx="1149">
                  <c:v>62.4</c:v>
                </c:pt>
                <c:pt idx="1150">
                  <c:v>62.2</c:v>
                </c:pt>
                <c:pt idx="1151">
                  <c:v>62</c:v>
                </c:pt>
                <c:pt idx="1152">
                  <c:v>61.8</c:v>
                </c:pt>
                <c:pt idx="1153">
                  <c:v>61.6</c:v>
                </c:pt>
                <c:pt idx="1154">
                  <c:v>61.4</c:v>
                </c:pt>
                <c:pt idx="1155">
                  <c:v>61.1</c:v>
                </c:pt>
                <c:pt idx="1156">
                  <c:v>68</c:v>
                </c:pt>
                <c:pt idx="1157">
                  <c:v>64</c:v>
                </c:pt>
                <c:pt idx="1158">
                  <c:v>59.9</c:v>
                </c:pt>
                <c:pt idx="1159">
                  <c:v>59.6</c:v>
                </c:pt>
                <c:pt idx="1160">
                  <c:v>59.3</c:v>
                </c:pt>
                <c:pt idx="1161">
                  <c:v>59.1</c:v>
                </c:pt>
                <c:pt idx="1162">
                  <c:v>58.9</c:v>
                </c:pt>
                <c:pt idx="1163">
                  <c:v>73.900000000000006</c:v>
                </c:pt>
                <c:pt idx="1164">
                  <c:v>73.8</c:v>
                </c:pt>
                <c:pt idx="1165">
                  <c:v>73.599999999999994</c:v>
                </c:pt>
                <c:pt idx="1166">
                  <c:v>73.400000000000006</c:v>
                </c:pt>
                <c:pt idx="1167">
                  <c:v>73.2</c:v>
                </c:pt>
                <c:pt idx="1168">
                  <c:v>73</c:v>
                </c:pt>
                <c:pt idx="1169">
                  <c:v>72.7</c:v>
                </c:pt>
                <c:pt idx="1170">
                  <c:v>72.5</c:v>
                </c:pt>
                <c:pt idx="1171">
                  <c:v>72.3</c:v>
                </c:pt>
                <c:pt idx="1172">
                  <c:v>72.099999999999994</c:v>
                </c:pt>
                <c:pt idx="1173">
                  <c:v>71.900000000000006</c:v>
                </c:pt>
                <c:pt idx="1174">
                  <c:v>71.7</c:v>
                </c:pt>
                <c:pt idx="1175">
                  <c:v>75.3</c:v>
                </c:pt>
                <c:pt idx="1176">
                  <c:v>75.3</c:v>
                </c:pt>
                <c:pt idx="1177">
                  <c:v>74.900000000000006</c:v>
                </c:pt>
                <c:pt idx="1178">
                  <c:v>74.5</c:v>
                </c:pt>
                <c:pt idx="1179">
                  <c:v>73.7</c:v>
                </c:pt>
                <c:pt idx="1180">
                  <c:v>73.8</c:v>
                </c:pt>
                <c:pt idx="1181">
                  <c:v>73.900000000000006</c:v>
                </c:pt>
                <c:pt idx="1182">
                  <c:v>74</c:v>
                </c:pt>
                <c:pt idx="1183">
                  <c:v>74.2</c:v>
                </c:pt>
                <c:pt idx="1184">
                  <c:v>72.8</c:v>
                </c:pt>
                <c:pt idx="1185">
                  <c:v>72.2</c:v>
                </c:pt>
                <c:pt idx="1186">
                  <c:v>72.099999999999994</c:v>
                </c:pt>
                <c:pt idx="1187">
                  <c:v>68.400000000000006</c:v>
                </c:pt>
                <c:pt idx="1188">
                  <c:v>68.099999999999994</c:v>
                </c:pt>
                <c:pt idx="1189">
                  <c:v>68.099999999999994</c:v>
                </c:pt>
                <c:pt idx="1190">
                  <c:v>68</c:v>
                </c:pt>
                <c:pt idx="1191">
                  <c:v>67.900000000000006</c:v>
                </c:pt>
                <c:pt idx="1192">
                  <c:v>68</c:v>
                </c:pt>
                <c:pt idx="1193">
                  <c:v>67.5</c:v>
                </c:pt>
                <c:pt idx="1194">
                  <c:v>67.5</c:v>
                </c:pt>
                <c:pt idx="1195">
                  <c:v>67.3</c:v>
                </c:pt>
                <c:pt idx="1196">
                  <c:v>67</c:v>
                </c:pt>
                <c:pt idx="1197">
                  <c:v>67.3</c:v>
                </c:pt>
                <c:pt idx="1198">
                  <c:v>67.2</c:v>
                </c:pt>
                <c:pt idx="1199">
                  <c:v>66.8</c:v>
                </c:pt>
                <c:pt idx="1200">
                  <c:v>66.8</c:v>
                </c:pt>
                <c:pt idx="1201">
                  <c:v>66.8</c:v>
                </c:pt>
                <c:pt idx="1202">
                  <c:v>77.3</c:v>
                </c:pt>
                <c:pt idx="1203">
                  <c:v>77.099999999999994</c:v>
                </c:pt>
                <c:pt idx="1204">
                  <c:v>76.8</c:v>
                </c:pt>
                <c:pt idx="1205">
                  <c:v>76.7</c:v>
                </c:pt>
                <c:pt idx="1206">
                  <c:v>76.3</c:v>
                </c:pt>
                <c:pt idx="1207">
                  <c:v>75.7</c:v>
                </c:pt>
                <c:pt idx="1208">
                  <c:v>75.5</c:v>
                </c:pt>
                <c:pt idx="1209">
                  <c:v>75.3</c:v>
                </c:pt>
                <c:pt idx="1210">
                  <c:v>75.2</c:v>
                </c:pt>
                <c:pt idx="1211">
                  <c:v>75</c:v>
                </c:pt>
                <c:pt idx="1212">
                  <c:v>74.900000000000006</c:v>
                </c:pt>
                <c:pt idx="1213">
                  <c:v>74.7</c:v>
                </c:pt>
                <c:pt idx="1214">
                  <c:v>74.5</c:v>
                </c:pt>
                <c:pt idx="1215">
                  <c:v>74.2</c:v>
                </c:pt>
                <c:pt idx="1216">
                  <c:v>73.7</c:v>
                </c:pt>
                <c:pt idx="1217">
                  <c:v>89</c:v>
                </c:pt>
                <c:pt idx="1218">
                  <c:v>86</c:v>
                </c:pt>
                <c:pt idx="1219">
                  <c:v>83</c:v>
                </c:pt>
                <c:pt idx="1220">
                  <c:v>82</c:v>
                </c:pt>
                <c:pt idx="1221">
                  <c:v>79.599999999999994</c:v>
                </c:pt>
                <c:pt idx="1222">
                  <c:v>79.3</c:v>
                </c:pt>
                <c:pt idx="1223">
                  <c:v>79</c:v>
                </c:pt>
                <c:pt idx="1224">
                  <c:v>78.7</c:v>
                </c:pt>
                <c:pt idx="1225">
                  <c:v>78.5</c:v>
                </c:pt>
                <c:pt idx="1226">
                  <c:v>77.7</c:v>
                </c:pt>
                <c:pt idx="1227">
                  <c:v>78</c:v>
                </c:pt>
                <c:pt idx="1228">
                  <c:v>77.3</c:v>
                </c:pt>
                <c:pt idx="1229">
                  <c:v>77.2</c:v>
                </c:pt>
                <c:pt idx="1230">
                  <c:v>76.900000000000006</c:v>
                </c:pt>
                <c:pt idx="1231">
                  <c:v>76.599999999999994</c:v>
                </c:pt>
                <c:pt idx="1232">
                  <c:v>74.8</c:v>
                </c:pt>
                <c:pt idx="1233">
                  <c:v>74.599999999999994</c:v>
                </c:pt>
                <c:pt idx="1234">
                  <c:v>74.400000000000006</c:v>
                </c:pt>
                <c:pt idx="1235">
                  <c:v>74.3</c:v>
                </c:pt>
                <c:pt idx="1236">
                  <c:v>73.400000000000006</c:v>
                </c:pt>
                <c:pt idx="1237">
                  <c:v>73.099999999999994</c:v>
                </c:pt>
                <c:pt idx="1238">
                  <c:v>73.099999999999994</c:v>
                </c:pt>
                <c:pt idx="1239">
                  <c:v>72.900000000000006</c:v>
                </c:pt>
                <c:pt idx="1240">
                  <c:v>72.5</c:v>
                </c:pt>
                <c:pt idx="1241">
                  <c:v>71.900000000000006</c:v>
                </c:pt>
                <c:pt idx="1242">
                  <c:v>71.7</c:v>
                </c:pt>
                <c:pt idx="1243">
                  <c:v>71.099999999999994</c:v>
                </c:pt>
                <c:pt idx="1244">
                  <c:v>77</c:v>
                </c:pt>
                <c:pt idx="1245">
                  <c:v>78</c:v>
                </c:pt>
                <c:pt idx="1246">
                  <c:v>77</c:v>
                </c:pt>
                <c:pt idx="1247">
                  <c:v>73</c:v>
                </c:pt>
                <c:pt idx="1248">
                  <c:v>70</c:v>
                </c:pt>
                <c:pt idx="1249">
                  <c:v>69.599999999999994</c:v>
                </c:pt>
                <c:pt idx="1250">
                  <c:v>69.400000000000006</c:v>
                </c:pt>
                <c:pt idx="1251">
                  <c:v>68.400000000000006</c:v>
                </c:pt>
                <c:pt idx="1252">
                  <c:v>68.2</c:v>
                </c:pt>
                <c:pt idx="1253">
                  <c:v>67.5</c:v>
                </c:pt>
                <c:pt idx="1254">
                  <c:v>67.3</c:v>
                </c:pt>
                <c:pt idx="1255">
                  <c:v>66.400000000000006</c:v>
                </c:pt>
                <c:pt idx="1256">
                  <c:v>65</c:v>
                </c:pt>
                <c:pt idx="1257">
                  <c:v>64.900000000000006</c:v>
                </c:pt>
                <c:pt idx="1258">
                  <c:v>64.599999999999994</c:v>
                </c:pt>
                <c:pt idx="1259">
                  <c:v>64.8</c:v>
                </c:pt>
                <c:pt idx="1260">
                  <c:v>65.099999999999994</c:v>
                </c:pt>
                <c:pt idx="1261">
                  <c:v>65.7</c:v>
                </c:pt>
                <c:pt idx="1262">
                  <c:v>65.2</c:v>
                </c:pt>
                <c:pt idx="1263">
                  <c:v>64.599999999999994</c:v>
                </c:pt>
                <c:pt idx="1264">
                  <c:v>63.8</c:v>
                </c:pt>
                <c:pt idx="1265">
                  <c:v>62.8</c:v>
                </c:pt>
                <c:pt idx="1266">
                  <c:v>61</c:v>
                </c:pt>
                <c:pt idx="1267">
                  <c:v>68</c:v>
                </c:pt>
                <c:pt idx="1268">
                  <c:v>59.6</c:v>
                </c:pt>
                <c:pt idx="1269">
                  <c:v>57.6</c:v>
                </c:pt>
                <c:pt idx="1270">
                  <c:v>55.3</c:v>
                </c:pt>
                <c:pt idx="1271">
                  <c:v>53.4</c:v>
                </c:pt>
                <c:pt idx="1272">
                  <c:v>52</c:v>
                </c:pt>
                <c:pt idx="1273">
                  <c:v>57</c:v>
                </c:pt>
                <c:pt idx="1274">
                  <c:v>73.8</c:v>
                </c:pt>
                <c:pt idx="1275">
                  <c:v>73.599999999999994</c:v>
                </c:pt>
                <c:pt idx="1276">
                  <c:v>73.2</c:v>
                </c:pt>
                <c:pt idx="1277">
                  <c:v>73</c:v>
                </c:pt>
                <c:pt idx="1278">
                  <c:v>72.599999999999994</c:v>
                </c:pt>
                <c:pt idx="1279">
                  <c:v>76</c:v>
                </c:pt>
                <c:pt idx="1280">
                  <c:v>72.5</c:v>
                </c:pt>
                <c:pt idx="1281">
                  <c:v>72.2</c:v>
                </c:pt>
                <c:pt idx="1282">
                  <c:v>72</c:v>
                </c:pt>
                <c:pt idx="1283">
                  <c:v>71.599999999999994</c:v>
                </c:pt>
                <c:pt idx="1284">
                  <c:v>71.400000000000006</c:v>
                </c:pt>
                <c:pt idx="1285">
                  <c:v>79</c:v>
                </c:pt>
                <c:pt idx="1286">
                  <c:v>76</c:v>
                </c:pt>
                <c:pt idx="1287">
                  <c:v>75</c:v>
                </c:pt>
                <c:pt idx="1288">
                  <c:v>72</c:v>
                </c:pt>
                <c:pt idx="1289">
                  <c:v>67.3</c:v>
                </c:pt>
                <c:pt idx="1290">
                  <c:v>67.099999999999994</c:v>
                </c:pt>
                <c:pt idx="1291">
                  <c:v>66.900000000000006</c:v>
                </c:pt>
                <c:pt idx="1292">
                  <c:v>66.599999999999994</c:v>
                </c:pt>
                <c:pt idx="1293">
                  <c:v>66.2</c:v>
                </c:pt>
                <c:pt idx="1294">
                  <c:v>65.8</c:v>
                </c:pt>
                <c:pt idx="1295">
                  <c:v>65.400000000000006</c:v>
                </c:pt>
                <c:pt idx="1296">
                  <c:v>65.099999999999994</c:v>
                </c:pt>
                <c:pt idx="1297">
                  <c:v>64.7</c:v>
                </c:pt>
                <c:pt idx="1298">
                  <c:v>64.3</c:v>
                </c:pt>
                <c:pt idx="1299">
                  <c:v>63.8</c:v>
                </c:pt>
                <c:pt idx="1300">
                  <c:v>63.4</c:v>
                </c:pt>
                <c:pt idx="1301">
                  <c:v>66.400000000000006</c:v>
                </c:pt>
                <c:pt idx="1302">
                  <c:v>66</c:v>
                </c:pt>
                <c:pt idx="1303">
                  <c:v>65.599999999999994</c:v>
                </c:pt>
                <c:pt idx="1304">
                  <c:v>64.900000000000006</c:v>
                </c:pt>
                <c:pt idx="1305">
                  <c:v>64.3</c:v>
                </c:pt>
                <c:pt idx="1306">
                  <c:v>63.5</c:v>
                </c:pt>
                <c:pt idx="1307">
                  <c:v>62.8</c:v>
                </c:pt>
                <c:pt idx="1308">
                  <c:v>62.1</c:v>
                </c:pt>
                <c:pt idx="1309">
                  <c:v>61.3</c:v>
                </c:pt>
                <c:pt idx="1310">
                  <c:v>65</c:v>
                </c:pt>
                <c:pt idx="1311">
                  <c:v>59.7</c:v>
                </c:pt>
                <c:pt idx="1312">
                  <c:v>75.400000000000006</c:v>
                </c:pt>
                <c:pt idx="1313">
                  <c:v>75.3</c:v>
                </c:pt>
                <c:pt idx="1314">
                  <c:v>74.900000000000006</c:v>
                </c:pt>
                <c:pt idx="1315">
                  <c:v>74.599999999999994</c:v>
                </c:pt>
                <c:pt idx="1316">
                  <c:v>74.400000000000006</c:v>
                </c:pt>
                <c:pt idx="1317">
                  <c:v>74.099999999999994</c:v>
                </c:pt>
                <c:pt idx="1318">
                  <c:v>74</c:v>
                </c:pt>
                <c:pt idx="1319">
                  <c:v>73.8</c:v>
                </c:pt>
                <c:pt idx="1320">
                  <c:v>73.599999999999994</c:v>
                </c:pt>
                <c:pt idx="1321">
                  <c:v>73</c:v>
                </c:pt>
                <c:pt idx="1322">
                  <c:v>73</c:v>
                </c:pt>
                <c:pt idx="1323">
                  <c:v>73</c:v>
                </c:pt>
                <c:pt idx="1324">
                  <c:v>72.900000000000006</c:v>
                </c:pt>
                <c:pt idx="1325">
                  <c:v>72.7</c:v>
                </c:pt>
                <c:pt idx="1326">
                  <c:v>72.599999999999994</c:v>
                </c:pt>
                <c:pt idx="1327">
                  <c:v>72.400000000000006</c:v>
                </c:pt>
                <c:pt idx="1328">
                  <c:v>72.3</c:v>
                </c:pt>
                <c:pt idx="1329">
                  <c:v>72.2</c:v>
                </c:pt>
                <c:pt idx="1330">
                  <c:v>72.2</c:v>
                </c:pt>
                <c:pt idx="1331">
                  <c:v>72.2</c:v>
                </c:pt>
                <c:pt idx="1332">
                  <c:v>72.2</c:v>
                </c:pt>
                <c:pt idx="1333">
                  <c:v>72.099999999999994</c:v>
                </c:pt>
                <c:pt idx="1334">
                  <c:v>72.099999999999994</c:v>
                </c:pt>
                <c:pt idx="1335">
                  <c:v>72.099999999999994</c:v>
                </c:pt>
                <c:pt idx="1336">
                  <c:v>72</c:v>
                </c:pt>
                <c:pt idx="1337">
                  <c:v>71.8</c:v>
                </c:pt>
                <c:pt idx="1338">
                  <c:v>48.1</c:v>
                </c:pt>
                <c:pt idx="1339">
                  <c:v>54</c:v>
                </c:pt>
                <c:pt idx="1340">
                  <c:v>49.7</c:v>
                </c:pt>
                <c:pt idx="1341">
                  <c:v>48.9</c:v>
                </c:pt>
                <c:pt idx="1342">
                  <c:v>48.1</c:v>
                </c:pt>
                <c:pt idx="1343">
                  <c:v>47.1</c:v>
                </c:pt>
                <c:pt idx="1344">
                  <c:v>46.2</c:v>
                </c:pt>
                <c:pt idx="1345">
                  <c:v>45.3</c:v>
                </c:pt>
                <c:pt idx="1346">
                  <c:v>68.8</c:v>
                </c:pt>
                <c:pt idx="1347">
                  <c:v>68.8</c:v>
                </c:pt>
                <c:pt idx="1348">
                  <c:v>68.7</c:v>
                </c:pt>
                <c:pt idx="1349">
                  <c:v>68.5</c:v>
                </c:pt>
                <c:pt idx="1350">
                  <c:v>68.3</c:v>
                </c:pt>
                <c:pt idx="1351">
                  <c:v>68.099999999999994</c:v>
                </c:pt>
                <c:pt idx="1352">
                  <c:v>68</c:v>
                </c:pt>
                <c:pt idx="1353">
                  <c:v>67.599999999999994</c:v>
                </c:pt>
                <c:pt idx="1354">
                  <c:v>67.599999999999994</c:v>
                </c:pt>
                <c:pt idx="1355">
                  <c:v>67.400000000000006</c:v>
                </c:pt>
                <c:pt idx="1356">
                  <c:v>67.099999999999994</c:v>
                </c:pt>
                <c:pt idx="1357">
                  <c:v>66.8</c:v>
                </c:pt>
                <c:pt idx="1358">
                  <c:v>66.5</c:v>
                </c:pt>
                <c:pt idx="1359">
                  <c:v>66.2</c:v>
                </c:pt>
                <c:pt idx="1360">
                  <c:v>65.8</c:v>
                </c:pt>
                <c:pt idx="1361">
                  <c:v>62</c:v>
                </c:pt>
                <c:pt idx="1362">
                  <c:v>69</c:v>
                </c:pt>
                <c:pt idx="1363">
                  <c:v>59.2</c:v>
                </c:pt>
                <c:pt idx="1364">
                  <c:v>58.9</c:v>
                </c:pt>
                <c:pt idx="1365">
                  <c:v>58</c:v>
                </c:pt>
                <c:pt idx="1366">
                  <c:v>56.5</c:v>
                </c:pt>
                <c:pt idx="1367">
                  <c:v>55.3</c:v>
                </c:pt>
                <c:pt idx="1368">
                  <c:v>54.5</c:v>
                </c:pt>
                <c:pt idx="1369">
                  <c:v>54</c:v>
                </c:pt>
                <c:pt idx="1370">
                  <c:v>53.8</c:v>
                </c:pt>
                <c:pt idx="1371">
                  <c:v>53.7</c:v>
                </c:pt>
                <c:pt idx="1372">
                  <c:v>54</c:v>
                </c:pt>
                <c:pt idx="1373">
                  <c:v>54.9</c:v>
                </c:pt>
                <c:pt idx="1374">
                  <c:v>56</c:v>
                </c:pt>
                <c:pt idx="1375">
                  <c:v>57.3</c:v>
                </c:pt>
                <c:pt idx="1376">
                  <c:v>82.6</c:v>
                </c:pt>
                <c:pt idx="1377">
                  <c:v>82.4</c:v>
                </c:pt>
                <c:pt idx="1378">
                  <c:v>82</c:v>
                </c:pt>
                <c:pt idx="1379">
                  <c:v>82.1</c:v>
                </c:pt>
                <c:pt idx="1380">
                  <c:v>81.900000000000006</c:v>
                </c:pt>
                <c:pt idx="1381">
                  <c:v>81.599999999999994</c:v>
                </c:pt>
                <c:pt idx="1382">
                  <c:v>81.3</c:v>
                </c:pt>
                <c:pt idx="1383">
                  <c:v>89</c:v>
                </c:pt>
                <c:pt idx="1384">
                  <c:v>88</c:v>
                </c:pt>
                <c:pt idx="1385">
                  <c:v>81</c:v>
                </c:pt>
                <c:pt idx="1386">
                  <c:v>81</c:v>
                </c:pt>
                <c:pt idx="1387">
                  <c:v>79.400000000000006</c:v>
                </c:pt>
                <c:pt idx="1388">
                  <c:v>79.5</c:v>
                </c:pt>
                <c:pt idx="1389">
                  <c:v>79.400000000000006</c:v>
                </c:pt>
                <c:pt idx="1390">
                  <c:v>79.099999999999994</c:v>
                </c:pt>
                <c:pt idx="1391">
                  <c:v>74.7</c:v>
                </c:pt>
                <c:pt idx="1392">
                  <c:v>74.599999999999994</c:v>
                </c:pt>
                <c:pt idx="1393">
                  <c:v>74.5</c:v>
                </c:pt>
                <c:pt idx="1394">
                  <c:v>74.5</c:v>
                </c:pt>
                <c:pt idx="1395">
                  <c:v>74.5</c:v>
                </c:pt>
                <c:pt idx="1396">
                  <c:v>71.8</c:v>
                </c:pt>
                <c:pt idx="1397">
                  <c:v>72.3</c:v>
                </c:pt>
                <c:pt idx="1398">
                  <c:v>73.7</c:v>
                </c:pt>
                <c:pt idx="1399">
                  <c:v>73.8</c:v>
                </c:pt>
                <c:pt idx="1400">
                  <c:v>74.2</c:v>
                </c:pt>
                <c:pt idx="1401">
                  <c:v>69.099999999999994</c:v>
                </c:pt>
                <c:pt idx="1402">
                  <c:v>73.900000000000006</c:v>
                </c:pt>
                <c:pt idx="1403">
                  <c:v>71.400000000000006</c:v>
                </c:pt>
                <c:pt idx="1404">
                  <c:v>71.2</c:v>
                </c:pt>
                <c:pt idx="1405">
                  <c:v>71.3</c:v>
                </c:pt>
                <c:pt idx="1406">
                  <c:v>76</c:v>
                </c:pt>
                <c:pt idx="1407">
                  <c:v>73</c:v>
                </c:pt>
                <c:pt idx="1408">
                  <c:v>70</c:v>
                </c:pt>
                <c:pt idx="1409">
                  <c:v>69.8</c:v>
                </c:pt>
                <c:pt idx="1410">
                  <c:v>69.5</c:v>
                </c:pt>
                <c:pt idx="1411">
                  <c:v>69.3</c:v>
                </c:pt>
                <c:pt idx="1412">
                  <c:v>68.900000000000006</c:v>
                </c:pt>
                <c:pt idx="1413">
                  <c:v>58.4</c:v>
                </c:pt>
                <c:pt idx="1414">
                  <c:v>57.6</c:v>
                </c:pt>
                <c:pt idx="1415">
                  <c:v>56.5</c:v>
                </c:pt>
                <c:pt idx="1416">
                  <c:v>55</c:v>
                </c:pt>
                <c:pt idx="1417">
                  <c:v>53.6</c:v>
                </c:pt>
                <c:pt idx="1418">
                  <c:v>52.6</c:v>
                </c:pt>
                <c:pt idx="1419">
                  <c:v>51.4</c:v>
                </c:pt>
                <c:pt idx="1420">
                  <c:v>50</c:v>
                </c:pt>
                <c:pt idx="1421">
                  <c:v>47.8</c:v>
                </c:pt>
                <c:pt idx="1422">
                  <c:v>46</c:v>
                </c:pt>
                <c:pt idx="1423">
                  <c:v>45.6</c:v>
                </c:pt>
                <c:pt idx="1424">
                  <c:v>45.9</c:v>
                </c:pt>
                <c:pt idx="1425">
                  <c:v>46.4</c:v>
                </c:pt>
                <c:pt idx="1426">
                  <c:v>47.1</c:v>
                </c:pt>
                <c:pt idx="1427">
                  <c:v>48.4</c:v>
                </c:pt>
                <c:pt idx="1428">
                  <c:v>82.3</c:v>
                </c:pt>
                <c:pt idx="1429">
                  <c:v>81.900000000000006</c:v>
                </c:pt>
                <c:pt idx="1430">
                  <c:v>81.7</c:v>
                </c:pt>
                <c:pt idx="1431">
                  <c:v>81.7</c:v>
                </c:pt>
                <c:pt idx="1432">
                  <c:v>73.8</c:v>
                </c:pt>
                <c:pt idx="1433">
                  <c:v>73.7</c:v>
                </c:pt>
                <c:pt idx="1434">
                  <c:v>73.5</c:v>
                </c:pt>
                <c:pt idx="1435">
                  <c:v>73.2</c:v>
                </c:pt>
                <c:pt idx="1436">
                  <c:v>73</c:v>
                </c:pt>
                <c:pt idx="1437">
                  <c:v>72.8</c:v>
                </c:pt>
                <c:pt idx="1438">
                  <c:v>72.7</c:v>
                </c:pt>
                <c:pt idx="1439">
                  <c:v>72.599999999999994</c:v>
                </c:pt>
                <c:pt idx="1440">
                  <c:v>69.599999999999994</c:v>
                </c:pt>
                <c:pt idx="1441">
                  <c:v>69.3</c:v>
                </c:pt>
                <c:pt idx="1442">
                  <c:v>68.8</c:v>
                </c:pt>
                <c:pt idx="1443">
                  <c:v>68.099999999999994</c:v>
                </c:pt>
                <c:pt idx="1444">
                  <c:v>67.3</c:v>
                </c:pt>
                <c:pt idx="1445">
                  <c:v>66.7</c:v>
                </c:pt>
                <c:pt idx="1446">
                  <c:v>66.400000000000006</c:v>
                </c:pt>
                <c:pt idx="1447">
                  <c:v>66.099999999999994</c:v>
                </c:pt>
                <c:pt idx="1448">
                  <c:v>65.900000000000006</c:v>
                </c:pt>
                <c:pt idx="1449">
                  <c:v>65.5</c:v>
                </c:pt>
                <c:pt idx="1450">
                  <c:v>65.900000000000006</c:v>
                </c:pt>
                <c:pt idx="1451">
                  <c:v>65.2</c:v>
                </c:pt>
                <c:pt idx="1452">
                  <c:v>64.3</c:v>
                </c:pt>
                <c:pt idx="1453">
                  <c:v>74.599999999999994</c:v>
                </c:pt>
                <c:pt idx="1454">
                  <c:v>74.5</c:v>
                </c:pt>
                <c:pt idx="1455">
                  <c:v>74.3</c:v>
                </c:pt>
                <c:pt idx="1456">
                  <c:v>74.099999999999994</c:v>
                </c:pt>
                <c:pt idx="1457">
                  <c:v>73.900000000000006</c:v>
                </c:pt>
                <c:pt idx="1458">
                  <c:v>73.7</c:v>
                </c:pt>
                <c:pt idx="1459">
                  <c:v>73.5</c:v>
                </c:pt>
                <c:pt idx="1460">
                  <c:v>73.3</c:v>
                </c:pt>
                <c:pt idx="1461">
                  <c:v>73</c:v>
                </c:pt>
                <c:pt idx="1462">
                  <c:v>72.5</c:v>
                </c:pt>
                <c:pt idx="1463">
                  <c:v>71.599999999999994</c:v>
                </c:pt>
                <c:pt idx="1464">
                  <c:v>71.7</c:v>
                </c:pt>
                <c:pt idx="1465">
                  <c:v>71.400000000000006</c:v>
                </c:pt>
                <c:pt idx="1466">
                  <c:v>71.2</c:v>
                </c:pt>
                <c:pt idx="1467">
                  <c:v>71.099999999999994</c:v>
                </c:pt>
                <c:pt idx="1468">
                  <c:v>68</c:v>
                </c:pt>
                <c:pt idx="1469">
                  <c:v>67.7</c:v>
                </c:pt>
                <c:pt idx="1470">
                  <c:v>67.400000000000006</c:v>
                </c:pt>
                <c:pt idx="1471">
                  <c:v>67.2</c:v>
                </c:pt>
                <c:pt idx="1472">
                  <c:v>66.900000000000006</c:v>
                </c:pt>
                <c:pt idx="1473">
                  <c:v>66.599999999999994</c:v>
                </c:pt>
                <c:pt idx="1474">
                  <c:v>66.2</c:v>
                </c:pt>
                <c:pt idx="1475">
                  <c:v>59.7</c:v>
                </c:pt>
                <c:pt idx="1476">
                  <c:v>59.4</c:v>
                </c:pt>
                <c:pt idx="1477">
                  <c:v>58.9</c:v>
                </c:pt>
                <c:pt idx="1478">
                  <c:v>58.3</c:v>
                </c:pt>
                <c:pt idx="1479">
                  <c:v>57.4</c:v>
                </c:pt>
                <c:pt idx="1480">
                  <c:v>56.7</c:v>
                </c:pt>
                <c:pt idx="1481">
                  <c:v>56.2</c:v>
                </c:pt>
                <c:pt idx="1482">
                  <c:v>73.3</c:v>
                </c:pt>
                <c:pt idx="1483">
                  <c:v>73.2</c:v>
                </c:pt>
                <c:pt idx="1484">
                  <c:v>73</c:v>
                </c:pt>
                <c:pt idx="1485">
                  <c:v>72.900000000000006</c:v>
                </c:pt>
                <c:pt idx="1486">
                  <c:v>72.8</c:v>
                </c:pt>
                <c:pt idx="1487">
                  <c:v>72.5</c:v>
                </c:pt>
                <c:pt idx="1488">
                  <c:v>72.599999999999994</c:v>
                </c:pt>
                <c:pt idx="1489">
                  <c:v>72.5</c:v>
                </c:pt>
                <c:pt idx="1490">
                  <c:v>72.400000000000006</c:v>
                </c:pt>
                <c:pt idx="1491">
                  <c:v>72.3</c:v>
                </c:pt>
                <c:pt idx="1492">
                  <c:v>72.2</c:v>
                </c:pt>
                <c:pt idx="1493">
                  <c:v>72</c:v>
                </c:pt>
                <c:pt idx="1494">
                  <c:v>71.900000000000006</c:v>
                </c:pt>
                <c:pt idx="1495">
                  <c:v>71.8</c:v>
                </c:pt>
                <c:pt idx="1496">
                  <c:v>71.599999999999994</c:v>
                </c:pt>
                <c:pt idx="1497">
                  <c:v>71.099999999999994</c:v>
                </c:pt>
                <c:pt idx="1498">
                  <c:v>71</c:v>
                </c:pt>
                <c:pt idx="1499">
                  <c:v>78</c:v>
                </c:pt>
                <c:pt idx="1500">
                  <c:v>76</c:v>
                </c:pt>
                <c:pt idx="1501">
                  <c:v>74</c:v>
                </c:pt>
                <c:pt idx="1502">
                  <c:v>71</c:v>
                </c:pt>
                <c:pt idx="1503">
                  <c:v>69.900000000000006</c:v>
                </c:pt>
                <c:pt idx="1504">
                  <c:v>69.7</c:v>
                </c:pt>
                <c:pt idx="1505">
                  <c:v>69.599999999999994</c:v>
                </c:pt>
                <c:pt idx="1506">
                  <c:v>69.5</c:v>
                </c:pt>
                <c:pt idx="1507">
                  <c:v>69.400000000000006</c:v>
                </c:pt>
                <c:pt idx="1508">
                  <c:v>69.3</c:v>
                </c:pt>
                <c:pt idx="1509">
                  <c:v>69.2</c:v>
                </c:pt>
                <c:pt idx="1510">
                  <c:v>75.099999999999994</c:v>
                </c:pt>
                <c:pt idx="1511">
                  <c:v>74.900000000000006</c:v>
                </c:pt>
                <c:pt idx="1512">
                  <c:v>74.900000000000006</c:v>
                </c:pt>
                <c:pt idx="1513">
                  <c:v>74.8</c:v>
                </c:pt>
                <c:pt idx="1514">
                  <c:v>74.8</c:v>
                </c:pt>
                <c:pt idx="1515">
                  <c:v>74.7</c:v>
                </c:pt>
                <c:pt idx="1516">
                  <c:v>74.7</c:v>
                </c:pt>
                <c:pt idx="1517">
                  <c:v>74.599999999999994</c:v>
                </c:pt>
                <c:pt idx="1518">
                  <c:v>74.400000000000006</c:v>
                </c:pt>
                <c:pt idx="1519">
                  <c:v>74.2</c:v>
                </c:pt>
                <c:pt idx="1520">
                  <c:v>74</c:v>
                </c:pt>
                <c:pt idx="1521">
                  <c:v>73.7</c:v>
                </c:pt>
                <c:pt idx="1522">
                  <c:v>73.5</c:v>
                </c:pt>
                <c:pt idx="1523">
                  <c:v>73.2</c:v>
                </c:pt>
                <c:pt idx="1524">
                  <c:v>72.900000000000006</c:v>
                </c:pt>
                <c:pt idx="1525">
                  <c:v>75.5</c:v>
                </c:pt>
                <c:pt idx="1526">
                  <c:v>75.2</c:v>
                </c:pt>
                <c:pt idx="1527">
                  <c:v>74.8</c:v>
                </c:pt>
                <c:pt idx="1528">
                  <c:v>74.5</c:v>
                </c:pt>
                <c:pt idx="1529">
                  <c:v>74.2</c:v>
                </c:pt>
                <c:pt idx="1530">
                  <c:v>73.900000000000006</c:v>
                </c:pt>
                <c:pt idx="1531">
                  <c:v>73.5</c:v>
                </c:pt>
                <c:pt idx="1532">
                  <c:v>73.2</c:v>
                </c:pt>
                <c:pt idx="1533">
                  <c:v>72.8</c:v>
                </c:pt>
                <c:pt idx="1534">
                  <c:v>72.400000000000006</c:v>
                </c:pt>
                <c:pt idx="1535">
                  <c:v>72</c:v>
                </c:pt>
                <c:pt idx="1536">
                  <c:v>71.599999999999994</c:v>
                </c:pt>
                <c:pt idx="1537">
                  <c:v>71.2</c:v>
                </c:pt>
                <c:pt idx="1538">
                  <c:v>78</c:v>
                </c:pt>
                <c:pt idx="1539">
                  <c:v>74</c:v>
                </c:pt>
                <c:pt idx="1540">
                  <c:v>66</c:v>
                </c:pt>
                <c:pt idx="1541">
                  <c:v>65.400000000000006</c:v>
                </c:pt>
                <c:pt idx="1542">
                  <c:v>65.599999999999994</c:v>
                </c:pt>
                <c:pt idx="1543">
                  <c:v>65.599999999999994</c:v>
                </c:pt>
                <c:pt idx="1544">
                  <c:v>65.8</c:v>
                </c:pt>
                <c:pt idx="1545">
                  <c:v>65.599999999999994</c:v>
                </c:pt>
                <c:pt idx="1546">
                  <c:v>64.5</c:v>
                </c:pt>
                <c:pt idx="1547">
                  <c:v>64.099999999999994</c:v>
                </c:pt>
                <c:pt idx="1548">
                  <c:v>63.7</c:v>
                </c:pt>
                <c:pt idx="1549">
                  <c:v>63.3</c:v>
                </c:pt>
                <c:pt idx="1550">
                  <c:v>63.5</c:v>
                </c:pt>
                <c:pt idx="1551">
                  <c:v>63.4</c:v>
                </c:pt>
                <c:pt idx="1552">
                  <c:v>63.3</c:v>
                </c:pt>
                <c:pt idx="1553">
                  <c:v>61.5</c:v>
                </c:pt>
                <c:pt idx="1554">
                  <c:v>67</c:v>
                </c:pt>
                <c:pt idx="1555">
                  <c:v>60</c:v>
                </c:pt>
                <c:pt idx="1556">
                  <c:v>59.3</c:v>
                </c:pt>
                <c:pt idx="1557">
                  <c:v>58.4</c:v>
                </c:pt>
                <c:pt idx="1558">
                  <c:v>57.5</c:v>
                </c:pt>
                <c:pt idx="1559">
                  <c:v>56.3</c:v>
                </c:pt>
                <c:pt idx="1560">
                  <c:v>55.5</c:v>
                </c:pt>
                <c:pt idx="1561">
                  <c:v>54.9</c:v>
                </c:pt>
                <c:pt idx="1562">
                  <c:v>53.2</c:v>
                </c:pt>
                <c:pt idx="1563">
                  <c:v>51.3</c:v>
                </c:pt>
                <c:pt idx="1564">
                  <c:v>51</c:v>
                </c:pt>
                <c:pt idx="1565">
                  <c:v>48.8</c:v>
                </c:pt>
                <c:pt idx="1566">
                  <c:v>78</c:v>
                </c:pt>
                <c:pt idx="1567">
                  <c:v>71</c:v>
                </c:pt>
                <c:pt idx="1568">
                  <c:v>77</c:v>
                </c:pt>
                <c:pt idx="1569">
                  <c:v>75</c:v>
                </c:pt>
                <c:pt idx="1570">
                  <c:v>69.8</c:v>
                </c:pt>
                <c:pt idx="1571">
                  <c:v>69.2</c:v>
                </c:pt>
                <c:pt idx="1572">
                  <c:v>67.7</c:v>
                </c:pt>
                <c:pt idx="1573">
                  <c:v>67.5</c:v>
                </c:pt>
                <c:pt idx="1574">
                  <c:v>67.7</c:v>
                </c:pt>
                <c:pt idx="1575">
                  <c:v>67</c:v>
                </c:pt>
                <c:pt idx="1576">
                  <c:v>67.400000000000006</c:v>
                </c:pt>
                <c:pt idx="1577">
                  <c:v>67.599999999999994</c:v>
                </c:pt>
                <c:pt idx="1578">
                  <c:v>67.599999999999994</c:v>
                </c:pt>
                <c:pt idx="1579">
                  <c:v>67.7</c:v>
                </c:pt>
                <c:pt idx="1580">
                  <c:v>67.5</c:v>
                </c:pt>
                <c:pt idx="1581">
                  <c:v>76.8</c:v>
                </c:pt>
                <c:pt idx="1582">
                  <c:v>76.8</c:v>
                </c:pt>
                <c:pt idx="1583">
                  <c:v>76.5</c:v>
                </c:pt>
                <c:pt idx="1584">
                  <c:v>77</c:v>
                </c:pt>
                <c:pt idx="1585">
                  <c:v>76.3</c:v>
                </c:pt>
                <c:pt idx="1586">
                  <c:v>76.599999999999994</c:v>
                </c:pt>
                <c:pt idx="1587">
                  <c:v>76.400000000000006</c:v>
                </c:pt>
                <c:pt idx="1588">
                  <c:v>75.400000000000006</c:v>
                </c:pt>
                <c:pt idx="1589">
                  <c:v>76.2</c:v>
                </c:pt>
                <c:pt idx="1590">
                  <c:v>75.7</c:v>
                </c:pt>
                <c:pt idx="1591">
                  <c:v>75.400000000000006</c:v>
                </c:pt>
                <c:pt idx="1592">
                  <c:v>75.400000000000006</c:v>
                </c:pt>
                <c:pt idx="1593">
                  <c:v>75.400000000000006</c:v>
                </c:pt>
                <c:pt idx="1594">
                  <c:v>75.2</c:v>
                </c:pt>
                <c:pt idx="1595">
                  <c:v>75.099999999999994</c:v>
                </c:pt>
                <c:pt idx="1596">
                  <c:v>69.2</c:v>
                </c:pt>
                <c:pt idx="1597">
                  <c:v>69.099999999999994</c:v>
                </c:pt>
                <c:pt idx="1598">
                  <c:v>68.8</c:v>
                </c:pt>
                <c:pt idx="1599">
                  <c:v>68.5</c:v>
                </c:pt>
                <c:pt idx="1600">
                  <c:v>68.3</c:v>
                </c:pt>
                <c:pt idx="1601">
                  <c:v>68</c:v>
                </c:pt>
                <c:pt idx="1602">
                  <c:v>67.900000000000006</c:v>
                </c:pt>
                <c:pt idx="1603">
                  <c:v>67.8</c:v>
                </c:pt>
                <c:pt idx="1604">
                  <c:v>67.599999999999994</c:v>
                </c:pt>
                <c:pt idx="1605">
                  <c:v>67.3</c:v>
                </c:pt>
                <c:pt idx="1606">
                  <c:v>67.8</c:v>
                </c:pt>
                <c:pt idx="1607">
                  <c:v>67.2</c:v>
                </c:pt>
                <c:pt idx="1608">
                  <c:v>67.099999999999994</c:v>
                </c:pt>
                <c:pt idx="1609">
                  <c:v>71.7</c:v>
                </c:pt>
                <c:pt idx="1610">
                  <c:v>71.599999999999994</c:v>
                </c:pt>
                <c:pt idx="1611">
                  <c:v>71.400000000000006</c:v>
                </c:pt>
                <c:pt idx="1612">
                  <c:v>71.2</c:v>
                </c:pt>
                <c:pt idx="1613">
                  <c:v>71</c:v>
                </c:pt>
                <c:pt idx="1614">
                  <c:v>78</c:v>
                </c:pt>
                <c:pt idx="1615">
                  <c:v>75</c:v>
                </c:pt>
                <c:pt idx="1616">
                  <c:v>73</c:v>
                </c:pt>
                <c:pt idx="1617">
                  <c:v>71</c:v>
                </c:pt>
                <c:pt idx="1618">
                  <c:v>69.900000000000006</c:v>
                </c:pt>
                <c:pt idx="1619">
                  <c:v>69.599999999999994</c:v>
                </c:pt>
                <c:pt idx="1620">
                  <c:v>69.400000000000006</c:v>
                </c:pt>
                <c:pt idx="1621">
                  <c:v>69.3</c:v>
                </c:pt>
                <c:pt idx="1622">
                  <c:v>69.099999999999994</c:v>
                </c:pt>
                <c:pt idx="1623">
                  <c:v>69</c:v>
                </c:pt>
                <c:pt idx="1624">
                  <c:v>61.1</c:v>
                </c:pt>
                <c:pt idx="1625">
                  <c:v>63</c:v>
                </c:pt>
                <c:pt idx="1626">
                  <c:v>59.2</c:v>
                </c:pt>
                <c:pt idx="1627">
                  <c:v>58.2</c:v>
                </c:pt>
                <c:pt idx="1628">
                  <c:v>58</c:v>
                </c:pt>
                <c:pt idx="1629">
                  <c:v>57.4</c:v>
                </c:pt>
                <c:pt idx="1630">
                  <c:v>55.7</c:v>
                </c:pt>
                <c:pt idx="1631">
                  <c:v>52.6</c:v>
                </c:pt>
                <c:pt idx="1632">
                  <c:v>58</c:v>
                </c:pt>
                <c:pt idx="1633">
                  <c:v>49.3</c:v>
                </c:pt>
                <c:pt idx="1634">
                  <c:v>59.2</c:v>
                </c:pt>
                <c:pt idx="1635">
                  <c:v>58</c:v>
                </c:pt>
                <c:pt idx="1636">
                  <c:v>56.6</c:v>
                </c:pt>
                <c:pt idx="1637">
                  <c:v>54.9</c:v>
                </c:pt>
                <c:pt idx="1638">
                  <c:v>52.4</c:v>
                </c:pt>
                <c:pt idx="1639">
                  <c:v>50</c:v>
                </c:pt>
                <c:pt idx="1640">
                  <c:v>48.2</c:v>
                </c:pt>
                <c:pt idx="1641">
                  <c:v>46.6</c:v>
                </c:pt>
                <c:pt idx="1642">
                  <c:v>45.4</c:v>
                </c:pt>
                <c:pt idx="1643">
                  <c:v>44.6</c:v>
                </c:pt>
                <c:pt idx="1644">
                  <c:v>44.3</c:v>
                </c:pt>
                <c:pt idx="1645">
                  <c:v>44.5</c:v>
                </c:pt>
                <c:pt idx="1646">
                  <c:v>44.8</c:v>
                </c:pt>
                <c:pt idx="1647">
                  <c:v>45.3</c:v>
                </c:pt>
                <c:pt idx="1648">
                  <c:v>46</c:v>
                </c:pt>
              </c:numCache>
            </c:numRef>
          </c:yVal>
          <c:smooth val="0"/>
          <c:extLst>
            <c:ext xmlns:c16="http://schemas.microsoft.com/office/drawing/2014/chart" uri="{C3380CC4-5D6E-409C-BE32-E72D297353CC}">
              <c16:uniqueId val="{00000001-A90B-4D63-953C-5B4687835BEE}"/>
            </c:ext>
          </c:extLst>
        </c:ser>
        <c:dLbls>
          <c:showLegendKey val="0"/>
          <c:showVal val="0"/>
          <c:showCatName val="0"/>
          <c:showSerName val="0"/>
          <c:showPercent val="0"/>
          <c:showBubbleSize val="0"/>
        </c:dLbls>
        <c:axId val="145751471"/>
        <c:axId val="145748111"/>
      </c:scatterChart>
      <c:valAx>
        <c:axId val="145751471"/>
        <c:scaling>
          <c:orientation val="minMax"/>
          <c:max val="89"/>
          <c:min val="41.94178715707708"/>
        </c:scaling>
        <c:delete val="0"/>
        <c:axPos val="b"/>
        <c:majorGridlines/>
        <c:title>
          <c:tx>
            <c:rich>
              <a:bodyPr/>
              <a:lstStyle/>
              <a:p>
                <a:pPr>
                  <a:defRPr/>
                </a:pPr>
                <a:r>
                  <a:rPr lang="en-US"/>
                  <a:t>Predicted Y</a:t>
                </a:r>
              </a:p>
            </c:rich>
          </c:tx>
          <c:overlay val="0"/>
        </c:title>
        <c:numFmt formatCode="0" sourceLinked="0"/>
        <c:majorTickMark val="out"/>
        <c:minorTickMark val="none"/>
        <c:tickLblPos val="nextTo"/>
        <c:crossAx val="145748111"/>
        <c:crosses val="autoZero"/>
        <c:crossBetween val="midCat"/>
      </c:valAx>
      <c:valAx>
        <c:axId val="145748111"/>
        <c:scaling>
          <c:orientation val="minMax"/>
          <c:max val="89"/>
          <c:min val="41.94178715707708"/>
        </c:scaling>
        <c:delete val="0"/>
        <c:axPos val="l"/>
        <c:majorGridlines/>
        <c:title>
          <c:tx>
            <c:rich>
              <a:bodyPr/>
              <a:lstStyle/>
              <a:p>
                <a:pPr>
                  <a:defRPr/>
                </a:pPr>
                <a:r>
                  <a:rPr lang="en-US"/>
                  <a:t>Actual Y</a:t>
                </a:r>
              </a:p>
            </c:rich>
          </c:tx>
          <c:overlay val="0"/>
        </c:title>
        <c:numFmt formatCode="0" sourceLinked="0"/>
        <c:majorTickMark val="out"/>
        <c:minorTickMark val="none"/>
        <c:tickLblPos val="nextTo"/>
        <c:crossAx val="14575147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userShapes r:id="rId1"/>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Scale-Location</a:t>
            </a:r>
          </a:p>
        </c:rich>
      </c:tx>
      <c:overlay val="0"/>
      <c:spPr>
        <a:solidFill>
          <a:srgbClr val="CAEDFB"/>
        </a:solidFill>
      </c:sp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1649"/>
                <c:pt idx="0">
                  <c:v>64.627772433049671</c:v>
                </c:pt>
                <c:pt idx="1">
                  <c:v>64.23323355868493</c:v>
                </c:pt>
                <c:pt idx="2">
                  <c:v>64.381185636571701</c:v>
                </c:pt>
                <c:pt idx="3">
                  <c:v>64.18391619938933</c:v>
                </c:pt>
                <c:pt idx="4">
                  <c:v>64.035964121502559</c:v>
                </c:pt>
                <c:pt idx="5">
                  <c:v>63.838694684320188</c:v>
                </c:pt>
                <c:pt idx="6">
                  <c:v>63.740059965729003</c:v>
                </c:pt>
                <c:pt idx="7">
                  <c:v>63.444155809955447</c:v>
                </c:pt>
                <c:pt idx="8">
                  <c:v>63.049616935590706</c:v>
                </c:pt>
                <c:pt idx="9">
                  <c:v>63.049616935590706</c:v>
                </c:pt>
                <c:pt idx="10">
                  <c:v>63.246886372773076</c:v>
                </c:pt>
                <c:pt idx="11">
                  <c:v>63.148251654181891</c:v>
                </c:pt>
                <c:pt idx="12">
                  <c:v>63.049616935590706</c:v>
                </c:pt>
                <c:pt idx="13">
                  <c:v>77.45028584990375</c:v>
                </c:pt>
                <c:pt idx="14">
                  <c:v>62.013952390383267</c:v>
                </c:pt>
                <c:pt idx="15">
                  <c:v>61.767365593905296</c:v>
                </c:pt>
                <c:pt idx="16">
                  <c:v>73.948753339916664</c:v>
                </c:pt>
                <c:pt idx="17">
                  <c:v>77.20369905342578</c:v>
                </c:pt>
                <c:pt idx="18">
                  <c:v>73.455579746960737</c:v>
                </c:pt>
                <c:pt idx="19">
                  <c:v>73.356945028369552</c:v>
                </c:pt>
                <c:pt idx="20">
                  <c:v>73.258310309778381</c:v>
                </c:pt>
                <c:pt idx="21">
                  <c:v>73.110358231891595</c:v>
                </c:pt>
                <c:pt idx="22">
                  <c:v>73.110358231891595</c:v>
                </c:pt>
                <c:pt idx="23">
                  <c:v>77.548920568494935</c:v>
                </c:pt>
                <c:pt idx="24">
                  <c:v>77.154381694130194</c:v>
                </c:pt>
                <c:pt idx="25">
                  <c:v>72.715819357526854</c:v>
                </c:pt>
                <c:pt idx="26">
                  <c:v>76.858477538356638</c:v>
                </c:pt>
                <c:pt idx="27">
                  <c:v>76.759842819765453</c:v>
                </c:pt>
                <c:pt idx="28">
                  <c:v>76.710525460469853</c:v>
                </c:pt>
                <c:pt idx="29">
                  <c:v>76.858477538356638</c:v>
                </c:pt>
                <c:pt idx="30">
                  <c:v>76.907794897652224</c:v>
                </c:pt>
                <c:pt idx="31">
                  <c:v>77.055746975539009</c:v>
                </c:pt>
                <c:pt idx="32">
                  <c:v>77.055746975539009</c:v>
                </c:pt>
                <c:pt idx="33">
                  <c:v>72.074693686684157</c:v>
                </c:pt>
                <c:pt idx="34">
                  <c:v>72.025376327388557</c:v>
                </c:pt>
                <c:pt idx="35">
                  <c:v>71.877424249501786</c:v>
                </c:pt>
                <c:pt idx="36">
                  <c:v>71.729472171615001</c:v>
                </c:pt>
                <c:pt idx="37">
                  <c:v>71.53220273443263</c:v>
                </c:pt>
                <c:pt idx="38">
                  <c:v>71.384250656545859</c:v>
                </c:pt>
                <c:pt idx="39">
                  <c:v>71.236298578659074</c:v>
                </c:pt>
                <c:pt idx="40">
                  <c:v>71.088346500772303</c:v>
                </c:pt>
                <c:pt idx="41">
                  <c:v>70.891077063589933</c:v>
                </c:pt>
                <c:pt idx="42">
                  <c:v>76.907794897652224</c:v>
                </c:pt>
                <c:pt idx="43">
                  <c:v>60.435796892924301</c:v>
                </c:pt>
                <c:pt idx="44">
                  <c:v>60.090575377855153</c:v>
                </c:pt>
                <c:pt idx="45">
                  <c:v>59.942623299968375</c:v>
                </c:pt>
                <c:pt idx="46">
                  <c:v>59.794671222081597</c:v>
                </c:pt>
                <c:pt idx="47">
                  <c:v>59.597401784899226</c:v>
                </c:pt>
                <c:pt idx="48">
                  <c:v>59.400132347716855</c:v>
                </c:pt>
                <c:pt idx="49">
                  <c:v>59.30149762912567</c:v>
                </c:pt>
                <c:pt idx="50">
                  <c:v>59.104228191943299</c:v>
                </c:pt>
                <c:pt idx="51">
                  <c:v>71.778789530910601</c:v>
                </c:pt>
                <c:pt idx="52">
                  <c:v>71.729472171615001</c:v>
                </c:pt>
                <c:pt idx="53">
                  <c:v>77.006429616243409</c:v>
                </c:pt>
                <c:pt idx="54">
                  <c:v>77.006429616243409</c:v>
                </c:pt>
                <c:pt idx="55">
                  <c:v>71.630837453023815</c:v>
                </c:pt>
                <c:pt idx="56">
                  <c:v>71.384250656545859</c:v>
                </c:pt>
                <c:pt idx="57">
                  <c:v>71.384250656545859</c:v>
                </c:pt>
                <c:pt idx="58">
                  <c:v>71.236298578659074</c:v>
                </c:pt>
                <c:pt idx="59">
                  <c:v>71.334933297250259</c:v>
                </c:pt>
                <c:pt idx="60">
                  <c:v>71.334933297250259</c:v>
                </c:pt>
                <c:pt idx="61">
                  <c:v>76.957112256947823</c:v>
                </c:pt>
                <c:pt idx="62">
                  <c:v>70.841759704294333</c:v>
                </c:pt>
                <c:pt idx="63">
                  <c:v>70.792442344998747</c:v>
                </c:pt>
                <c:pt idx="64">
                  <c:v>77.006429616243409</c:v>
                </c:pt>
                <c:pt idx="65">
                  <c:v>71.53220273443263</c:v>
                </c:pt>
                <c:pt idx="66">
                  <c:v>71.630837453023815</c:v>
                </c:pt>
                <c:pt idx="67">
                  <c:v>71.285615937954674</c:v>
                </c:pt>
                <c:pt idx="68">
                  <c:v>71.088346500772303</c:v>
                </c:pt>
                <c:pt idx="69">
                  <c:v>70.841759704294333</c:v>
                </c:pt>
                <c:pt idx="70">
                  <c:v>76.907794897652224</c:v>
                </c:pt>
                <c:pt idx="71">
                  <c:v>71.088346500772303</c:v>
                </c:pt>
                <c:pt idx="72">
                  <c:v>70.644490267111962</c:v>
                </c:pt>
                <c:pt idx="73">
                  <c:v>70.841759704294333</c:v>
                </c:pt>
                <c:pt idx="74">
                  <c:v>71.088346500772303</c:v>
                </c:pt>
                <c:pt idx="75">
                  <c:v>70.989711782181118</c:v>
                </c:pt>
                <c:pt idx="76">
                  <c:v>70.989711782181118</c:v>
                </c:pt>
                <c:pt idx="77">
                  <c:v>70.644490267111962</c:v>
                </c:pt>
                <c:pt idx="78">
                  <c:v>70.595172907816377</c:v>
                </c:pt>
                <c:pt idx="79">
                  <c:v>77.302333772016965</c:v>
                </c:pt>
                <c:pt idx="80">
                  <c:v>74.589879010759375</c:v>
                </c:pt>
                <c:pt idx="81">
                  <c:v>74.589879010759375</c:v>
                </c:pt>
                <c:pt idx="82">
                  <c:v>74.49124429216819</c:v>
                </c:pt>
                <c:pt idx="83">
                  <c:v>74.44192693287259</c:v>
                </c:pt>
                <c:pt idx="84">
                  <c:v>74.343292214281405</c:v>
                </c:pt>
                <c:pt idx="85">
                  <c:v>74.343292214281405</c:v>
                </c:pt>
                <c:pt idx="86">
                  <c:v>74.343292214281405</c:v>
                </c:pt>
                <c:pt idx="87">
                  <c:v>74.343292214281405</c:v>
                </c:pt>
                <c:pt idx="88">
                  <c:v>74.293974854985819</c:v>
                </c:pt>
                <c:pt idx="89">
                  <c:v>74.195340136394634</c:v>
                </c:pt>
                <c:pt idx="90">
                  <c:v>74.096705417803449</c:v>
                </c:pt>
                <c:pt idx="91">
                  <c:v>73.998070699212263</c:v>
                </c:pt>
                <c:pt idx="92">
                  <c:v>73.899435980621078</c:v>
                </c:pt>
                <c:pt idx="93">
                  <c:v>74.343292214281405</c:v>
                </c:pt>
                <c:pt idx="94">
                  <c:v>74.24465749569022</c:v>
                </c:pt>
                <c:pt idx="95">
                  <c:v>77.253016412721379</c:v>
                </c:pt>
                <c:pt idx="96">
                  <c:v>73.998070699212263</c:v>
                </c:pt>
                <c:pt idx="97">
                  <c:v>73.899435980621078</c:v>
                </c:pt>
                <c:pt idx="98">
                  <c:v>73.800801262029893</c:v>
                </c:pt>
                <c:pt idx="99">
                  <c:v>73.850118621325478</c:v>
                </c:pt>
                <c:pt idx="100">
                  <c:v>77.20369905342578</c:v>
                </c:pt>
                <c:pt idx="101">
                  <c:v>73.603531824847522</c:v>
                </c:pt>
                <c:pt idx="102">
                  <c:v>73.406262387665151</c:v>
                </c:pt>
                <c:pt idx="103">
                  <c:v>73.356945028369552</c:v>
                </c:pt>
                <c:pt idx="104">
                  <c:v>73.258310309778381</c:v>
                </c:pt>
                <c:pt idx="105">
                  <c:v>77.154381694130194</c:v>
                </c:pt>
                <c:pt idx="106">
                  <c:v>73.06104087259601</c:v>
                </c:pt>
                <c:pt idx="107">
                  <c:v>72.863771435413639</c:v>
                </c:pt>
                <c:pt idx="108">
                  <c:v>71.729472171615001</c:v>
                </c:pt>
                <c:pt idx="109">
                  <c:v>71.630837453023815</c:v>
                </c:pt>
                <c:pt idx="110">
                  <c:v>71.53220273443263</c:v>
                </c:pt>
                <c:pt idx="111">
                  <c:v>71.433568015841445</c:v>
                </c:pt>
                <c:pt idx="112">
                  <c:v>76.957112256947823</c:v>
                </c:pt>
                <c:pt idx="113">
                  <c:v>71.088346500772303</c:v>
                </c:pt>
                <c:pt idx="114">
                  <c:v>70.644490267111962</c:v>
                </c:pt>
                <c:pt idx="115">
                  <c:v>76.907794897652224</c:v>
                </c:pt>
                <c:pt idx="116">
                  <c:v>70.003364596269265</c:v>
                </c:pt>
                <c:pt idx="117">
                  <c:v>69.608825721904523</c:v>
                </c:pt>
                <c:pt idx="118">
                  <c:v>70.003364596269265</c:v>
                </c:pt>
                <c:pt idx="119">
                  <c:v>70.003364596269265</c:v>
                </c:pt>
                <c:pt idx="120">
                  <c:v>70.397903470634006</c:v>
                </c:pt>
                <c:pt idx="121">
                  <c:v>71.088346500772303</c:v>
                </c:pt>
                <c:pt idx="122">
                  <c:v>70.940394422885518</c:v>
                </c:pt>
                <c:pt idx="123">
                  <c:v>70.841759704294333</c:v>
                </c:pt>
                <c:pt idx="124">
                  <c:v>76.907794897652224</c:v>
                </c:pt>
                <c:pt idx="125">
                  <c:v>70.595172907816377</c:v>
                </c:pt>
                <c:pt idx="126">
                  <c:v>70.496538189225191</c:v>
                </c:pt>
                <c:pt idx="127">
                  <c:v>70.348586111338406</c:v>
                </c:pt>
                <c:pt idx="128">
                  <c:v>70.151316674156035</c:v>
                </c:pt>
                <c:pt idx="129">
                  <c:v>70.10199931486045</c:v>
                </c:pt>
                <c:pt idx="130">
                  <c:v>69.954047236973665</c:v>
                </c:pt>
                <c:pt idx="131">
                  <c:v>69.806095159086894</c:v>
                </c:pt>
                <c:pt idx="132">
                  <c:v>69.658143081200109</c:v>
                </c:pt>
                <c:pt idx="133">
                  <c:v>67.784083427967602</c:v>
                </c:pt>
                <c:pt idx="134">
                  <c:v>76.463938663991897</c:v>
                </c:pt>
                <c:pt idx="135">
                  <c:v>68.030670224445558</c:v>
                </c:pt>
                <c:pt idx="136">
                  <c:v>66.156610571213037</c:v>
                </c:pt>
                <c:pt idx="137">
                  <c:v>66.649784164168963</c:v>
                </c:pt>
                <c:pt idx="138">
                  <c:v>66.452514726986593</c:v>
                </c:pt>
                <c:pt idx="139">
                  <c:v>66.551149445577778</c:v>
                </c:pt>
                <c:pt idx="140">
                  <c:v>66.452514726986593</c:v>
                </c:pt>
                <c:pt idx="141">
                  <c:v>65.614119618961524</c:v>
                </c:pt>
                <c:pt idx="142">
                  <c:v>65.170263385301183</c:v>
                </c:pt>
                <c:pt idx="143">
                  <c:v>65.416850181779154</c:v>
                </c:pt>
                <c:pt idx="144">
                  <c:v>65.120946026005598</c:v>
                </c:pt>
                <c:pt idx="145">
                  <c:v>64.677089792345257</c:v>
                </c:pt>
                <c:pt idx="146">
                  <c:v>65.071628666709998</c:v>
                </c:pt>
                <c:pt idx="147">
                  <c:v>65.416850181779154</c:v>
                </c:pt>
                <c:pt idx="148">
                  <c:v>73.850118621325478</c:v>
                </c:pt>
                <c:pt idx="149">
                  <c:v>73.800801262029893</c:v>
                </c:pt>
                <c:pt idx="150">
                  <c:v>73.751483902734293</c:v>
                </c:pt>
                <c:pt idx="151">
                  <c:v>77.20369905342578</c:v>
                </c:pt>
                <c:pt idx="152">
                  <c:v>73.603531824847522</c:v>
                </c:pt>
                <c:pt idx="153">
                  <c:v>73.406262387665151</c:v>
                </c:pt>
                <c:pt idx="154">
                  <c:v>73.307627669073966</c:v>
                </c:pt>
                <c:pt idx="155">
                  <c:v>73.356945028369552</c:v>
                </c:pt>
                <c:pt idx="156">
                  <c:v>73.406262387665151</c:v>
                </c:pt>
                <c:pt idx="157">
                  <c:v>73.208992950482781</c:v>
                </c:pt>
                <c:pt idx="158">
                  <c:v>73.110358231891595</c:v>
                </c:pt>
                <c:pt idx="159">
                  <c:v>72.913088794709225</c:v>
                </c:pt>
                <c:pt idx="160">
                  <c:v>72.715819357526854</c:v>
                </c:pt>
                <c:pt idx="161">
                  <c:v>77.548920568494935</c:v>
                </c:pt>
                <c:pt idx="162">
                  <c:v>77.055746975539009</c:v>
                </c:pt>
                <c:pt idx="163">
                  <c:v>68.869065332470626</c:v>
                </c:pt>
                <c:pt idx="164">
                  <c:v>76.710525460469853</c:v>
                </c:pt>
                <c:pt idx="165">
                  <c:v>68.277257020923514</c:v>
                </c:pt>
                <c:pt idx="166">
                  <c:v>68.326574380219114</c:v>
                </c:pt>
                <c:pt idx="167">
                  <c:v>68.425209098810299</c:v>
                </c:pt>
                <c:pt idx="168">
                  <c:v>68.523843817401485</c:v>
                </c:pt>
                <c:pt idx="169">
                  <c:v>68.671795895288255</c:v>
                </c:pt>
                <c:pt idx="170">
                  <c:v>68.671795895288255</c:v>
                </c:pt>
                <c:pt idx="171">
                  <c:v>68.523843817401485</c:v>
                </c:pt>
                <c:pt idx="172">
                  <c:v>68.178622302332343</c:v>
                </c:pt>
                <c:pt idx="173">
                  <c:v>67.882718146558773</c:v>
                </c:pt>
                <c:pt idx="174">
                  <c:v>76.562573382583082</c:v>
                </c:pt>
                <c:pt idx="175">
                  <c:v>67.784083427967602</c:v>
                </c:pt>
                <c:pt idx="176">
                  <c:v>76.562573382583082</c:v>
                </c:pt>
                <c:pt idx="177">
                  <c:v>67.932035505854373</c:v>
                </c:pt>
                <c:pt idx="178">
                  <c:v>65.170263385301183</c:v>
                </c:pt>
                <c:pt idx="179">
                  <c:v>65.219580744596783</c:v>
                </c:pt>
                <c:pt idx="180">
                  <c:v>65.219580744596783</c:v>
                </c:pt>
                <c:pt idx="181">
                  <c:v>65.219580744596783</c:v>
                </c:pt>
                <c:pt idx="182">
                  <c:v>65.071628666709998</c:v>
                </c:pt>
                <c:pt idx="183">
                  <c:v>64.825041870232042</c:v>
                </c:pt>
                <c:pt idx="184">
                  <c:v>63.888012043615781</c:v>
                </c:pt>
                <c:pt idx="185">
                  <c:v>63.641425247137818</c:v>
                </c:pt>
                <c:pt idx="186">
                  <c:v>63.592107887842225</c:v>
                </c:pt>
                <c:pt idx="187">
                  <c:v>63.542790528546632</c:v>
                </c:pt>
                <c:pt idx="188">
                  <c:v>63.542790528546632</c:v>
                </c:pt>
                <c:pt idx="189">
                  <c:v>63.542790528546632</c:v>
                </c:pt>
                <c:pt idx="190">
                  <c:v>63.641425247137818</c:v>
                </c:pt>
                <c:pt idx="191">
                  <c:v>66.945688319942519</c:v>
                </c:pt>
                <c:pt idx="192">
                  <c:v>66.797736242055748</c:v>
                </c:pt>
                <c:pt idx="193">
                  <c:v>66.600466804873378</c:v>
                </c:pt>
                <c:pt idx="194">
                  <c:v>66.501832086282192</c:v>
                </c:pt>
                <c:pt idx="195">
                  <c:v>66.353880008395407</c:v>
                </c:pt>
                <c:pt idx="196">
                  <c:v>66.156610571213037</c:v>
                </c:pt>
                <c:pt idx="197">
                  <c:v>66.057975852621851</c:v>
                </c:pt>
                <c:pt idx="198">
                  <c:v>65.860706415439481</c:v>
                </c:pt>
                <c:pt idx="199">
                  <c:v>65.515484900370339</c:v>
                </c:pt>
                <c:pt idx="200">
                  <c:v>65.071628666709998</c:v>
                </c:pt>
                <c:pt idx="201">
                  <c:v>64.627772433049671</c:v>
                </c:pt>
                <c:pt idx="202">
                  <c:v>64.134598840093744</c:v>
                </c:pt>
                <c:pt idx="203">
                  <c:v>63.69074260643341</c:v>
                </c:pt>
                <c:pt idx="204">
                  <c:v>76.168034508218341</c:v>
                </c:pt>
                <c:pt idx="205">
                  <c:v>62.21122182756563</c:v>
                </c:pt>
                <c:pt idx="206">
                  <c:v>73.208992950482781</c:v>
                </c:pt>
                <c:pt idx="207">
                  <c:v>77.154381694130194</c:v>
                </c:pt>
                <c:pt idx="208">
                  <c:v>73.06104087259601</c:v>
                </c:pt>
                <c:pt idx="209">
                  <c:v>73.06104087259601</c:v>
                </c:pt>
                <c:pt idx="210">
                  <c:v>72.96240615400481</c:v>
                </c:pt>
                <c:pt idx="211">
                  <c:v>72.814454076118039</c:v>
                </c:pt>
                <c:pt idx="212">
                  <c:v>72.76513671682244</c:v>
                </c:pt>
                <c:pt idx="213">
                  <c:v>76.809160179061038</c:v>
                </c:pt>
                <c:pt idx="214">
                  <c:v>77.548920568494935</c:v>
                </c:pt>
                <c:pt idx="215">
                  <c:v>77.006429616243409</c:v>
                </c:pt>
                <c:pt idx="216">
                  <c:v>72.715819357526854</c:v>
                </c:pt>
                <c:pt idx="217">
                  <c:v>64.381185636571701</c:v>
                </c:pt>
                <c:pt idx="218">
                  <c:v>63.49347316925104</c:v>
                </c:pt>
                <c:pt idx="219">
                  <c:v>77.45028584990375</c:v>
                </c:pt>
                <c:pt idx="220">
                  <c:v>61.570096156722926</c:v>
                </c:pt>
                <c:pt idx="221">
                  <c:v>60.386479533628702</c:v>
                </c:pt>
                <c:pt idx="222">
                  <c:v>58.216515724622631</c:v>
                </c:pt>
                <c:pt idx="223">
                  <c:v>56.539725508572488</c:v>
                </c:pt>
                <c:pt idx="224">
                  <c:v>56.095869274912147</c:v>
                </c:pt>
                <c:pt idx="225">
                  <c:v>53.383414513654557</c:v>
                </c:pt>
                <c:pt idx="226">
                  <c:v>49.684612566485114</c:v>
                </c:pt>
                <c:pt idx="227">
                  <c:v>45.443319667064152</c:v>
                </c:pt>
                <c:pt idx="228">
                  <c:v>43.421307935944853</c:v>
                </c:pt>
                <c:pt idx="229">
                  <c:v>43.125403780171304</c:v>
                </c:pt>
                <c:pt idx="230">
                  <c:v>44.11175096608315</c:v>
                </c:pt>
                <c:pt idx="231">
                  <c:v>45.689906463542115</c:v>
                </c:pt>
                <c:pt idx="232">
                  <c:v>70.496538189225191</c:v>
                </c:pt>
                <c:pt idx="233">
                  <c:v>70.397903470634006</c:v>
                </c:pt>
                <c:pt idx="234">
                  <c:v>70.299268752042821</c:v>
                </c:pt>
                <c:pt idx="235">
                  <c:v>70.10199931486045</c:v>
                </c:pt>
                <c:pt idx="236">
                  <c:v>70.003364596269265</c:v>
                </c:pt>
                <c:pt idx="237">
                  <c:v>69.855412518382479</c:v>
                </c:pt>
                <c:pt idx="238">
                  <c:v>69.806095159086894</c:v>
                </c:pt>
                <c:pt idx="239">
                  <c:v>69.756777799791294</c:v>
                </c:pt>
                <c:pt idx="240">
                  <c:v>69.658143081200109</c:v>
                </c:pt>
                <c:pt idx="241">
                  <c:v>69.559508362608923</c:v>
                </c:pt>
                <c:pt idx="242">
                  <c:v>76.759842819765453</c:v>
                </c:pt>
                <c:pt idx="243">
                  <c:v>69.115652128948597</c:v>
                </c:pt>
                <c:pt idx="244">
                  <c:v>68.918382691766226</c:v>
                </c:pt>
                <c:pt idx="245">
                  <c:v>68.770430613879455</c:v>
                </c:pt>
                <c:pt idx="246">
                  <c:v>68.573161176697084</c:v>
                </c:pt>
                <c:pt idx="247">
                  <c:v>70.792442344998747</c:v>
                </c:pt>
                <c:pt idx="248">
                  <c:v>76.907794897652224</c:v>
                </c:pt>
                <c:pt idx="249">
                  <c:v>70.743124985703147</c:v>
                </c:pt>
                <c:pt idx="250">
                  <c:v>70.496538189225191</c:v>
                </c:pt>
                <c:pt idx="251">
                  <c:v>70.348586111338406</c:v>
                </c:pt>
                <c:pt idx="252">
                  <c:v>70.10199931486045</c:v>
                </c:pt>
                <c:pt idx="253">
                  <c:v>69.954047236973665</c:v>
                </c:pt>
                <c:pt idx="254">
                  <c:v>69.855412518382479</c:v>
                </c:pt>
                <c:pt idx="255">
                  <c:v>69.658143081200109</c:v>
                </c:pt>
                <c:pt idx="256">
                  <c:v>76.809160179061038</c:v>
                </c:pt>
                <c:pt idx="257">
                  <c:v>69.855412518382479</c:v>
                </c:pt>
                <c:pt idx="258">
                  <c:v>69.954047236973665</c:v>
                </c:pt>
                <c:pt idx="259">
                  <c:v>69.855412518382479</c:v>
                </c:pt>
                <c:pt idx="260">
                  <c:v>76.809160179061038</c:v>
                </c:pt>
                <c:pt idx="261">
                  <c:v>69.559508362608923</c:v>
                </c:pt>
                <c:pt idx="262">
                  <c:v>64.381185636571701</c:v>
                </c:pt>
                <c:pt idx="263">
                  <c:v>76.266669226809526</c:v>
                </c:pt>
                <c:pt idx="264">
                  <c:v>64.23323355868493</c:v>
                </c:pt>
                <c:pt idx="265">
                  <c:v>64.035964121502559</c:v>
                </c:pt>
                <c:pt idx="266">
                  <c:v>63.838694684320188</c:v>
                </c:pt>
                <c:pt idx="267">
                  <c:v>63.641425247137818</c:v>
                </c:pt>
                <c:pt idx="268">
                  <c:v>63.394838450659854</c:v>
                </c:pt>
                <c:pt idx="269">
                  <c:v>63.148251654181891</c:v>
                </c:pt>
                <c:pt idx="270">
                  <c:v>76.020082430331556</c:v>
                </c:pt>
                <c:pt idx="271">
                  <c:v>62.95098221699952</c:v>
                </c:pt>
                <c:pt idx="272">
                  <c:v>75.97076507103597</c:v>
                </c:pt>
                <c:pt idx="273">
                  <c:v>62.21122182756563</c:v>
                </c:pt>
                <c:pt idx="274">
                  <c:v>61.767365593905296</c:v>
                </c:pt>
                <c:pt idx="275">
                  <c:v>75.97076507103597</c:v>
                </c:pt>
                <c:pt idx="276">
                  <c:v>60.928970485880228</c:v>
                </c:pt>
                <c:pt idx="277">
                  <c:v>75.872130352444785</c:v>
                </c:pt>
                <c:pt idx="278">
                  <c:v>60.090575377855153</c:v>
                </c:pt>
                <c:pt idx="279">
                  <c:v>59.794671222081597</c:v>
                </c:pt>
                <c:pt idx="280">
                  <c:v>59.400132347716855</c:v>
                </c:pt>
                <c:pt idx="281">
                  <c:v>58.956276114056521</c:v>
                </c:pt>
                <c:pt idx="282">
                  <c:v>71.828106890206186</c:v>
                </c:pt>
                <c:pt idx="283">
                  <c:v>77.006429616243409</c:v>
                </c:pt>
                <c:pt idx="284">
                  <c:v>71.630837453023815</c:v>
                </c:pt>
                <c:pt idx="285">
                  <c:v>71.58152009372823</c:v>
                </c:pt>
                <c:pt idx="286">
                  <c:v>71.53220273443263</c:v>
                </c:pt>
                <c:pt idx="287">
                  <c:v>71.482885375137045</c:v>
                </c:pt>
                <c:pt idx="288">
                  <c:v>71.482885375137045</c:v>
                </c:pt>
                <c:pt idx="289">
                  <c:v>71.384250656545859</c:v>
                </c:pt>
                <c:pt idx="290">
                  <c:v>71.236298578659074</c:v>
                </c:pt>
                <c:pt idx="291">
                  <c:v>70.989711782181118</c:v>
                </c:pt>
                <c:pt idx="292">
                  <c:v>76.907794897652224</c:v>
                </c:pt>
                <c:pt idx="293">
                  <c:v>70.496538189225191</c:v>
                </c:pt>
                <c:pt idx="294">
                  <c:v>70.299268752042821</c:v>
                </c:pt>
                <c:pt idx="295">
                  <c:v>68.770430613879455</c:v>
                </c:pt>
                <c:pt idx="296">
                  <c:v>68.573161176697084</c:v>
                </c:pt>
                <c:pt idx="297">
                  <c:v>68.425209098810299</c:v>
                </c:pt>
                <c:pt idx="298">
                  <c:v>76.661208101174267</c:v>
                </c:pt>
                <c:pt idx="299">
                  <c:v>68.129304943036743</c:v>
                </c:pt>
                <c:pt idx="300">
                  <c:v>67.981352865149972</c:v>
                </c:pt>
                <c:pt idx="301">
                  <c:v>67.784083427967602</c:v>
                </c:pt>
                <c:pt idx="302">
                  <c:v>76.414621304696297</c:v>
                </c:pt>
                <c:pt idx="303">
                  <c:v>66.945688319942519</c:v>
                </c:pt>
                <c:pt idx="304">
                  <c:v>59.548084425603633</c:v>
                </c:pt>
                <c:pt idx="305">
                  <c:v>59.646719144194819</c:v>
                </c:pt>
                <c:pt idx="306">
                  <c:v>59.400132347716855</c:v>
                </c:pt>
                <c:pt idx="307">
                  <c:v>59.30149762912567</c:v>
                </c:pt>
                <c:pt idx="308">
                  <c:v>75.773495633853599</c:v>
                </c:pt>
                <c:pt idx="309">
                  <c:v>59.202862910534485</c:v>
                </c:pt>
                <c:pt idx="310">
                  <c:v>58.759006676874151</c:v>
                </c:pt>
                <c:pt idx="311">
                  <c:v>58.117881006031446</c:v>
                </c:pt>
                <c:pt idx="312">
                  <c:v>58.167198365327039</c:v>
                </c:pt>
                <c:pt idx="313">
                  <c:v>77.40096849060815</c:v>
                </c:pt>
                <c:pt idx="314">
                  <c:v>74.392609573577005</c:v>
                </c:pt>
                <c:pt idx="315">
                  <c:v>74.293974854985819</c:v>
                </c:pt>
                <c:pt idx="316">
                  <c:v>74.24465749569022</c:v>
                </c:pt>
                <c:pt idx="317">
                  <c:v>74.24465749569022</c:v>
                </c:pt>
                <c:pt idx="318">
                  <c:v>77.253016412721379</c:v>
                </c:pt>
                <c:pt idx="319">
                  <c:v>74.047388058507849</c:v>
                </c:pt>
                <c:pt idx="320">
                  <c:v>73.948753339916664</c:v>
                </c:pt>
                <c:pt idx="321">
                  <c:v>73.948753339916664</c:v>
                </c:pt>
                <c:pt idx="322">
                  <c:v>73.899435980621078</c:v>
                </c:pt>
                <c:pt idx="323">
                  <c:v>73.850118621325478</c:v>
                </c:pt>
                <c:pt idx="324">
                  <c:v>73.800801262029893</c:v>
                </c:pt>
                <c:pt idx="325">
                  <c:v>73.751483902734293</c:v>
                </c:pt>
                <c:pt idx="326">
                  <c:v>56.046551915616561</c:v>
                </c:pt>
                <c:pt idx="327">
                  <c:v>55.356108885478264</c:v>
                </c:pt>
                <c:pt idx="328">
                  <c:v>55.947917197025376</c:v>
                </c:pt>
                <c:pt idx="329">
                  <c:v>55.750647759843005</c:v>
                </c:pt>
                <c:pt idx="330">
                  <c:v>55.602695681956227</c:v>
                </c:pt>
                <c:pt idx="331">
                  <c:v>55.257474166887079</c:v>
                </c:pt>
                <c:pt idx="332">
                  <c:v>59.745353862786004</c:v>
                </c:pt>
                <c:pt idx="333">
                  <c:v>59.548084425603633</c:v>
                </c:pt>
                <c:pt idx="334">
                  <c:v>59.498767066308041</c:v>
                </c:pt>
                <c:pt idx="335">
                  <c:v>59.597401784899226</c:v>
                </c:pt>
                <c:pt idx="336">
                  <c:v>59.646719144194819</c:v>
                </c:pt>
                <c:pt idx="337">
                  <c:v>75.773495633853599</c:v>
                </c:pt>
                <c:pt idx="338">
                  <c:v>58.167198365327039</c:v>
                </c:pt>
                <c:pt idx="339">
                  <c:v>73.504897106256337</c:v>
                </c:pt>
                <c:pt idx="340">
                  <c:v>73.455579746960737</c:v>
                </c:pt>
                <c:pt idx="341">
                  <c:v>73.455579746960737</c:v>
                </c:pt>
                <c:pt idx="342">
                  <c:v>73.356945028369552</c:v>
                </c:pt>
                <c:pt idx="343">
                  <c:v>73.208992950482781</c:v>
                </c:pt>
                <c:pt idx="344">
                  <c:v>73.110358231891595</c:v>
                </c:pt>
                <c:pt idx="345">
                  <c:v>73.258310309778381</c:v>
                </c:pt>
                <c:pt idx="346">
                  <c:v>77.154381694130194</c:v>
                </c:pt>
                <c:pt idx="347">
                  <c:v>73.110358231891595</c:v>
                </c:pt>
                <c:pt idx="348">
                  <c:v>73.356945028369552</c:v>
                </c:pt>
                <c:pt idx="349">
                  <c:v>73.258310309778381</c:v>
                </c:pt>
                <c:pt idx="350">
                  <c:v>73.208992950482781</c:v>
                </c:pt>
                <c:pt idx="351">
                  <c:v>73.110358231891595</c:v>
                </c:pt>
                <c:pt idx="352">
                  <c:v>73.06104087259601</c:v>
                </c:pt>
                <c:pt idx="353">
                  <c:v>73.01172351330041</c:v>
                </c:pt>
                <c:pt idx="354">
                  <c:v>72.814454076118039</c:v>
                </c:pt>
                <c:pt idx="355">
                  <c:v>72.863771435413639</c:v>
                </c:pt>
                <c:pt idx="356">
                  <c:v>72.76513671682244</c:v>
                </c:pt>
                <c:pt idx="357">
                  <c:v>72.715819357526854</c:v>
                </c:pt>
                <c:pt idx="358">
                  <c:v>77.055746975539009</c:v>
                </c:pt>
                <c:pt idx="359">
                  <c:v>76.957112256947823</c:v>
                </c:pt>
                <c:pt idx="360">
                  <c:v>76.809160179061038</c:v>
                </c:pt>
                <c:pt idx="361">
                  <c:v>77.055746975539009</c:v>
                </c:pt>
                <c:pt idx="362">
                  <c:v>71.926741608797371</c:v>
                </c:pt>
                <c:pt idx="363">
                  <c:v>70.496538189225191</c:v>
                </c:pt>
                <c:pt idx="364">
                  <c:v>70.447220829929591</c:v>
                </c:pt>
                <c:pt idx="365">
                  <c:v>70.545855548520777</c:v>
                </c:pt>
                <c:pt idx="366">
                  <c:v>70.496538189225191</c:v>
                </c:pt>
                <c:pt idx="367">
                  <c:v>76.858477538356638</c:v>
                </c:pt>
                <c:pt idx="368">
                  <c:v>76.858477538356638</c:v>
                </c:pt>
                <c:pt idx="369">
                  <c:v>70.397903470634006</c:v>
                </c:pt>
                <c:pt idx="370">
                  <c:v>70.496538189225191</c:v>
                </c:pt>
                <c:pt idx="371">
                  <c:v>70.348586111338406</c:v>
                </c:pt>
                <c:pt idx="372">
                  <c:v>70.496538189225191</c:v>
                </c:pt>
                <c:pt idx="373">
                  <c:v>70.299268752042821</c:v>
                </c:pt>
                <c:pt idx="374">
                  <c:v>76.858477538356638</c:v>
                </c:pt>
                <c:pt idx="375">
                  <c:v>69.559508362608923</c:v>
                </c:pt>
                <c:pt idx="376">
                  <c:v>69.460873644017738</c:v>
                </c:pt>
                <c:pt idx="377">
                  <c:v>69.362238925426553</c:v>
                </c:pt>
                <c:pt idx="378">
                  <c:v>76.463938663991897</c:v>
                </c:pt>
                <c:pt idx="379">
                  <c:v>66.107293211917451</c:v>
                </c:pt>
                <c:pt idx="380">
                  <c:v>65.91002377473508</c:v>
                </c:pt>
                <c:pt idx="381">
                  <c:v>65.71275433755271</c:v>
                </c:pt>
                <c:pt idx="382">
                  <c:v>65.466167541074739</c:v>
                </c:pt>
                <c:pt idx="383">
                  <c:v>65.219580744596783</c:v>
                </c:pt>
                <c:pt idx="384">
                  <c:v>65.022311307414412</c:v>
                </c:pt>
                <c:pt idx="385">
                  <c:v>64.825041870232042</c:v>
                </c:pt>
                <c:pt idx="386">
                  <c:v>64.677089792345257</c:v>
                </c:pt>
                <c:pt idx="387">
                  <c:v>64.479820355162886</c:v>
                </c:pt>
                <c:pt idx="388">
                  <c:v>64.331868277276115</c:v>
                </c:pt>
                <c:pt idx="389">
                  <c:v>64.23323355868493</c:v>
                </c:pt>
                <c:pt idx="390">
                  <c:v>72.863771435413639</c:v>
                </c:pt>
                <c:pt idx="391">
                  <c:v>72.863771435413639</c:v>
                </c:pt>
                <c:pt idx="392">
                  <c:v>72.814454076118039</c:v>
                </c:pt>
                <c:pt idx="393">
                  <c:v>72.76513671682244</c:v>
                </c:pt>
                <c:pt idx="394">
                  <c:v>76.809160179061038</c:v>
                </c:pt>
                <c:pt idx="395">
                  <c:v>72.863771435413639</c:v>
                </c:pt>
                <c:pt idx="396">
                  <c:v>72.715819357526854</c:v>
                </c:pt>
                <c:pt idx="397">
                  <c:v>73.01172351330041</c:v>
                </c:pt>
                <c:pt idx="398">
                  <c:v>76.809160179061038</c:v>
                </c:pt>
                <c:pt idx="399">
                  <c:v>72.814454076118039</c:v>
                </c:pt>
                <c:pt idx="400">
                  <c:v>77.006429616243409</c:v>
                </c:pt>
                <c:pt idx="401">
                  <c:v>77.548920568494935</c:v>
                </c:pt>
                <c:pt idx="402">
                  <c:v>72.715819357526854</c:v>
                </c:pt>
                <c:pt idx="403">
                  <c:v>77.548920568494935</c:v>
                </c:pt>
                <c:pt idx="404">
                  <c:v>72.76513671682244</c:v>
                </c:pt>
                <c:pt idx="405">
                  <c:v>72.814454076118039</c:v>
                </c:pt>
                <c:pt idx="406">
                  <c:v>72.814454076118039</c:v>
                </c:pt>
                <c:pt idx="407">
                  <c:v>76.907794897652224</c:v>
                </c:pt>
                <c:pt idx="408">
                  <c:v>76.907794897652224</c:v>
                </c:pt>
                <c:pt idx="409">
                  <c:v>76.809160179061038</c:v>
                </c:pt>
                <c:pt idx="410">
                  <c:v>76.661208101174267</c:v>
                </c:pt>
                <c:pt idx="411">
                  <c:v>71.877424249501786</c:v>
                </c:pt>
                <c:pt idx="412">
                  <c:v>71.976058968092971</c:v>
                </c:pt>
                <c:pt idx="413">
                  <c:v>74.984417885124117</c:v>
                </c:pt>
                <c:pt idx="414">
                  <c:v>74.935100525828517</c:v>
                </c:pt>
                <c:pt idx="415">
                  <c:v>74.836465807237332</c:v>
                </c:pt>
                <c:pt idx="416">
                  <c:v>74.787148447941746</c:v>
                </c:pt>
                <c:pt idx="417">
                  <c:v>74.688513729350561</c:v>
                </c:pt>
                <c:pt idx="418">
                  <c:v>77.302333772016965</c:v>
                </c:pt>
                <c:pt idx="419">
                  <c:v>74.540561651463776</c:v>
                </c:pt>
                <c:pt idx="420">
                  <c:v>74.49124429216819</c:v>
                </c:pt>
                <c:pt idx="421">
                  <c:v>74.44192693287259</c:v>
                </c:pt>
                <c:pt idx="422">
                  <c:v>74.392609573577005</c:v>
                </c:pt>
                <c:pt idx="423">
                  <c:v>74.392609573577005</c:v>
                </c:pt>
                <c:pt idx="424">
                  <c:v>74.343292214281405</c:v>
                </c:pt>
                <c:pt idx="425">
                  <c:v>74.24465749569022</c:v>
                </c:pt>
                <c:pt idx="426">
                  <c:v>74.195340136394634</c:v>
                </c:pt>
                <c:pt idx="427">
                  <c:v>77.253016412721379</c:v>
                </c:pt>
                <c:pt idx="428">
                  <c:v>65.170263385301183</c:v>
                </c:pt>
                <c:pt idx="429">
                  <c:v>64.972993948118813</c:v>
                </c:pt>
                <c:pt idx="430">
                  <c:v>64.627772433049671</c:v>
                </c:pt>
                <c:pt idx="431">
                  <c:v>64.381185636571701</c:v>
                </c:pt>
                <c:pt idx="432">
                  <c:v>64.134598840093744</c:v>
                </c:pt>
                <c:pt idx="433">
                  <c:v>63.838694684320188</c:v>
                </c:pt>
                <c:pt idx="434">
                  <c:v>63.345521091364262</c:v>
                </c:pt>
                <c:pt idx="435">
                  <c:v>63.000299576295113</c:v>
                </c:pt>
                <c:pt idx="436">
                  <c:v>70.003364596269265</c:v>
                </c:pt>
                <c:pt idx="437">
                  <c:v>69.855412518382479</c:v>
                </c:pt>
                <c:pt idx="438">
                  <c:v>69.017017410357411</c:v>
                </c:pt>
                <c:pt idx="439">
                  <c:v>76.809160179061038</c:v>
                </c:pt>
                <c:pt idx="440">
                  <c:v>69.411556284722153</c:v>
                </c:pt>
                <c:pt idx="441">
                  <c:v>69.855412518382479</c:v>
                </c:pt>
                <c:pt idx="442">
                  <c:v>69.658143081200109</c:v>
                </c:pt>
                <c:pt idx="443">
                  <c:v>69.510191003313338</c:v>
                </c:pt>
                <c:pt idx="444">
                  <c:v>68.819747973175041</c:v>
                </c:pt>
                <c:pt idx="445">
                  <c:v>76.217351867513926</c:v>
                </c:pt>
                <c:pt idx="446">
                  <c:v>67.044323038533705</c:v>
                </c:pt>
                <c:pt idx="447">
                  <c:v>76.513256023287482</c:v>
                </c:pt>
                <c:pt idx="448">
                  <c:v>68.277257020923514</c:v>
                </c:pt>
                <c:pt idx="449">
                  <c:v>68.326574380219114</c:v>
                </c:pt>
                <c:pt idx="450">
                  <c:v>68.918382691766226</c:v>
                </c:pt>
                <c:pt idx="451">
                  <c:v>71.630837453023815</c:v>
                </c:pt>
                <c:pt idx="452">
                  <c:v>71.630837453023815</c:v>
                </c:pt>
                <c:pt idx="453">
                  <c:v>71.334933297250259</c:v>
                </c:pt>
                <c:pt idx="454">
                  <c:v>71.137663860067889</c:v>
                </c:pt>
                <c:pt idx="455">
                  <c:v>70.989711782181118</c:v>
                </c:pt>
                <c:pt idx="456">
                  <c:v>70.841759704294333</c:v>
                </c:pt>
                <c:pt idx="457">
                  <c:v>70.743124985703147</c:v>
                </c:pt>
                <c:pt idx="458">
                  <c:v>76.907794897652224</c:v>
                </c:pt>
                <c:pt idx="459">
                  <c:v>70.496538189225191</c:v>
                </c:pt>
                <c:pt idx="460">
                  <c:v>70.151316674156035</c:v>
                </c:pt>
                <c:pt idx="461">
                  <c:v>70.299268752042821</c:v>
                </c:pt>
                <c:pt idx="462">
                  <c:v>70.151316674156035</c:v>
                </c:pt>
                <c:pt idx="463">
                  <c:v>69.855412518382479</c:v>
                </c:pt>
                <c:pt idx="464">
                  <c:v>69.806095159086894</c:v>
                </c:pt>
                <c:pt idx="465">
                  <c:v>69.559508362608923</c:v>
                </c:pt>
                <c:pt idx="466">
                  <c:v>68.671795895288255</c:v>
                </c:pt>
                <c:pt idx="467">
                  <c:v>68.523843817401485</c:v>
                </c:pt>
                <c:pt idx="468">
                  <c:v>68.671795895288255</c:v>
                </c:pt>
                <c:pt idx="469">
                  <c:v>67.882718146558773</c:v>
                </c:pt>
                <c:pt idx="470">
                  <c:v>68.178622302332343</c:v>
                </c:pt>
                <c:pt idx="471">
                  <c:v>76.463938663991897</c:v>
                </c:pt>
                <c:pt idx="472">
                  <c:v>68.030670224445558</c:v>
                </c:pt>
                <c:pt idx="473">
                  <c:v>76.463938663991897</c:v>
                </c:pt>
                <c:pt idx="474">
                  <c:v>67.19227511642049</c:v>
                </c:pt>
                <c:pt idx="475">
                  <c:v>67.093640397829304</c:v>
                </c:pt>
                <c:pt idx="476">
                  <c:v>66.995005679238119</c:v>
                </c:pt>
                <c:pt idx="477">
                  <c:v>76.168034508218341</c:v>
                </c:pt>
                <c:pt idx="478">
                  <c:v>76.414621304696297</c:v>
                </c:pt>
                <c:pt idx="479">
                  <c:v>66.797736242055748</c:v>
                </c:pt>
                <c:pt idx="480">
                  <c:v>66.847053601351334</c:v>
                </c:pt>
                <c:pt idx="481">
                  <c:v>76.020082430331556</c:v>
                </c:pt>
                <c:pt idx="482">
                  <c:v>63.49347316925104</c:v>
                </c:pt>
                <c:pt idx="483">
                  <c:v>62.901664857703928</c:v>
                </c:pt>
                <c:pt idx="484">
                  <c:v>62.260539186861223</c:v>
                </c:pt>
                <c:pt idx="485">
                  <c:v>61.718048234609711</c:v>
                </c:pt>
                <c:pt idx="486">
                  <c:v>61.372826719540555</c:v>
                </c:pt>
                <c:pt idx="487">
                  <c:v>61.027605204471413</c:v>
                </c:pt>
                <c:pt idx="488">
                  <c:v>75.92144771174037</c:v>
                </c:pt>
                <c:pt idx="489">
                  <c:v>60.731701048697857</c:v>
                </c:pt>
                <c:pt idx="490">
                  <c:v>60.682383689402258</c:v>
                </c:pt>
                <c:pt idx="491">
                  <c:v>60.682383689402258</c:v>
                </c:pt>
                <c:pt idx="492">
                  <c:v>71.58152009372823</c:v>
                </c:pt>
                <c:pt idx="493">
                  <c:v>71.334933297250259</c:v>
                </c:pt>
                <c:pt idx="494">
                  <c:v>70.940394422885518</c:v>
                </c:pt>
                <c:pt idx="495">
                  <c:v>70.792442344998747</c:v>
                </c:pt>
                <c:pt idx="496">
                  <c:v>70.841759704294333</c:v>
                </c:pt>
                <c:pt idx="497">
                  <c:v>69.904729877678079</c:v>
                </c:pt>
                <c:pt idx="498">
                  <c:v>69.362238925426553</c:v>
                </c:pt>
                <c:pt idx="499">
                  <c:v>68.277257020923514</c:v>
                </c:pt>
                <c:pt idx="500">
                  <c:v>68.326574380219114</c:v>
                </c:pt>
                <c:pt idx="501">
                  <c:v>68.277257020923514</c:v>
                </c:pt>
                <c:pt idx="502">
                  <c:v>67.981352865149972</c:v>
                </c:pt>
                <c:pt idx="503">
                  <c:v>66.057975852621851</c:v>
                </c:pt>
                <c:pt idx="504">
                  <c:v>65.91002377473508</c:v>
                </c:pt>
                <c:pt idx="505">
                  <c:v>65.71275433755271</c:v>
                </c:pt>
                <c:pt idx="506">
                  <c:v>65.318215463187968</c:v>
                </c:pt>
                <c:pt idx="507">
                  <c:v>64.726407151640856</c:v>
                </c:pt>
                <c:pt idx="508">
                  <c:v>64.085281480798159</c:v>
                </c:pt>
                <c:pt idx="509">
                  <c:v>63.345521091364262</c:v>
                </c:pt>
                <c:pt idx="510">
                  <c:v>75.674860915262414</c:v>
                </c:pt>
                <c:pt idx="511">
                  <c:v>76.661208101174267</c:v>
                </c:pt>
                <c:pt idx="512">
                  <c:v>68.129304943036743</c:v>
                </c:pt>
                <c:pt idx="513">
                  <c:v>67.981352865149972</c:v>
                </c:pt>
                <c:pt idx="514">
                  <c:v>67.882718146558773</c:v>
                </c:pt>
                <c:pt idx="515">
                  <c:v>77.499603209199336</c:v>
                </c:pt>
                <c:pt idx="516">
                  <c:v>76.463938663991897</c:v>
                </c:pt>
                <c:pt idx="517">
                  <c:v>76.315986586105112</c:v>
                </c:pt>
                <c:pt idx="518">
                  <c:v>76.168034508218341</c:v>
                </c:pt>
                <c:pt idx="519">
                  <c:v>67.19227511642049</c:v>
                </c:pt>
                <c:pt idx="520">
                  <c:v>67.044323038533705</c:v>
                </c:pt>
                <c:pt idx="521">
                  <c:v>66.847053601351334</c:v>
                </c:pt>
                <c:pt idx="522">
                  <c:v>76.513256023287482</c:v>
                </c:pt>
                <c:pt idx="523">
                  <c:v>76.513256023287482</c:v>
                </c:pt>
                <c:pt idx="524">
                  <c:v>66.699101523464563</c:v>
                </c:pt>
                <c:pt idx="525">
                  <c:v>66.699101523464563</c:v>
                </c:pt>
                <c:pt idx="526">
                  <c:v>73.702166543438707</c:v>
                </c:pt>
                <c:pt idx="527">
                  <c:v>73.603531824847522</c:v>
                </c:pt>
                <c:pt idx="528">
                  <c:v>73.504897106256337</c:v>
                </c:pt>
                <c:pt idx="529">
                  <c:v>73.504897106256337</c:v>
                </c:pt>
                <c:pt idx="530">
                  <c:v>73.356945028369552</c:v>
                </c:pt>
                <c:pt idx="531">
                  <c:v>73.258310309778381</c:v>
                </c:pt>
                <c:pt idx="532">
                  <c:v>73.258310309778381</c:v>
                </c:pt>
                <c:pt idx="533">
                  <c:v>73.208992950482781</c:v>
                </c:pt>
                <c:pt idx="534">
                  <c:v>73.06104087259601</c:v>
                </c:pt>
                <c:pt idx="535">
                  <c:v>73.01172351330041</c:v>
                </c:pt>
                <c:pt idx="536">
                  <c:v>72.96240615400481</c:v>
                </c:pt>
                <c:pt idx="537">
                  <c:v>72.715819357526854</c:v>
                </c:pt>
                <c:pt idx="538">
                  <c:v>77.055746975539009</c:v>
                </c:pt>
                <c:pt idx="539">
                  <c:v>76.957112256947823</c:v>
                </c:pt>
                <c:pt idx="540">
                  <c:v>76.957112256947823</c:v>
                </c:pt>
                <c:pt idx="541">
                  <c:v>65.91002377473508</c:v>
                </c:pt>
                <c:pt idx="542">
                  <c:v>65.022311307414412</c:v>
                </c:pt>
                <c:pt idx="543">
                  <c:v>63.986646762206966</c:v>
                </c:pt>
                <c:pt idx="544">
                  <c:v>63.345521091364262</c:v>
                </c:pt>
                <c:pt idx="545">
                  <c:v>63.098934294886298</c:v>
                </c:pt>
                <c:pt idx="546">
                  <c:v>76.069399789627155</c:v>
                </c:pt>
                <c:pt idx="547">
                  <c:v>62.901664857703928</c:v>
                </c:pt>
                <c:pt idx="548">
                  <c:v>63.246886372773076</c:v>
                </c:pt>
                <c:pt idx="549">
                  <c:v>63.394838450659854</c:v>
                </c:pt>
                <c:pt idx="550">
                  <c:v>75.773495633853599</c:v>
                </c:pt>
                <c:pt idx="551">
                  <c:v>71.433568015841445</c:v>
                </c:pt>
                <c:pt idx="552">
                  <c:v>71.285615937954674</c:v>
                </c:pt>
                <c:pt idx="553">
                  <c:v>76.957112256947823</c:v>
                </c:pt>
                <c:pt idx="554">
                  <c:v>71.334933297250259</c:v>
                </c:pt>
                <c:pt idx="555">
                  <c:v>71.088346500772303</c:v>
                </c:pt>
                <c:pt idx="556">
                  <c:v>71.039029141476703</c:v>
                </c:pt>
                <c:pt idx="557">
                  <c:v>71.285615937954674</c:v>
                </c:pt>
                <c:pt idx="558">
                  <c:v>77.006429616243409</c:v>
                </c:pt>
                <c:pt idx="559">
                  <c:v>71.384250656545859</c:v>
                </c:pt>
                <c:pt idx="560">
                  <c:v>71.285615937954674</c:v>
                </c:pt>
                <c:pt idx="561">
                  <c:v>70.989711782181118</c:v>
                </c:pt>
                <c:pt idx="562">
                  <c:v>71.088346500772303</c:v>
                </c:pt>
                <c:pt idx="563">
                  <c:v>70.595172907816377</c:v>
                </c:pt>
                <c:pt idx="564">
                  <c:v>71.630837453023815</c:v>
                </c:pt>
                <c:pt idx="565">
                  <c:v>71.236298578659074</c:v>
                </c:pt>
                <c:pt idx="566">
                  <c:v>74.195340136394634</c:v>
                </c:pt>
                <c:pt idx="567">
                  <c:v>74.096705417803449</c:v>
                </c:pt>
                <c:pt idx="568">
                  <c:v>74.096705417803449</c:v>
                </c:pt>
                <c:pt idx="569">
                  <c:v>73.948753339916664</c:v>
                </c:pt>
                <c:pt idx="570">
                  <c:v>73.850118621325478</c:v>
                </c:pt>
                <c:pt idx="571">
                  <c:v>73.702166543438707</c:v>
                </c:pt>
                <c:pt idx="572">
                  <c:v>77.20369905342578</c:v>
                </c:pt>
                <c:pt idx="573">
                  <c:v>73.554214465551922</c:v>
                </c:pt>
                <c:pt idx="574">
                  <c:v>73.455579746960737</c:v>
                </c:pt>
                <c:pt idx="575">
                  <c:v>73.406262387665151</c:v>
                </c:pt>
                <c:pt idx="576">
                  <c:v>73.356945028369552</c:v>
                </c:pt>
                <c:pt idx="577">
                  <c:v>77.154381694130194</c:v>
                </c:pt>
                <c:pt idx="578">
                  <c:v>73.110358231891595</c:v>
                </c:pt>
                <c:pt idx="579">
                  <c:v>73.06104087259601</c:v>
                </c:pt>
                <c:pt idx="580">
                  <c:v>72.913088794709225</c:v>
                </c:pt>
                <c:pt idx="581">
                  <c:v>65.120946026005598</c:v>
                </c:pt>
                <c:pt idx="582">
                  <c:v>65.071628666709998</c:v>
                </c:pt>
                <c:pt idx="583">
                  <c:v>64.923676588823227</c:v>
                </c:pt>
                <c:pt idx="584">
                  <c:v>64.627772433049671</c:v>
                </c:pt>
                <c:pt idx="585">
                  <c:v>64.4305029958673</c:v>
                </c:pt>
                <c:pt idx="586">
                  <c:v>64.23323355868493</c:v>
                </c:pt>
                <c:pt idx="587">
                  <c:v>64.035964121502559</c:v>
                </c:pt>
                <c:pt idx="588">
                  <c:v>76.217351867513926</c:v>
                </c:pt>
                <c:pt idx="589">
                  <c:v>63.394838450659854</c:v>
                </c:pt>
                <c:pt idx="590">
                  <c:v>63.000299576295113</c:v>
                </c:pt>
                <c:pt idx="591">
                  <c:v>75.92144771174037</c:v>
                </c:pt>
                <c:pt idx="592">
                  <c:v>75.724178274558</c:v>
                </c:pt>
                <c:pt idx="593">
                  <c:v>76.069399789627155</c:v>
                </c:pt>
                <c:pt idx="594">
                  <c:v>73.998070699212263</c:v>
                </c:pt>
                <c:pt idx="595">
                  <c:v>73.948753339916664</c:v>
                </c:pt>
                <c:pt idx="596">
                  <c:v>73.850118621325478</c:v>
                </c:pt>
                <c:pt idx="597">
                  <c:v>73.850118621325478</c:v>
                </c:pt>
                <c:pt idx="598">
                  <c:v>73.850118621325478</c:v>
                </c:pt>
                <c:pt idx="599">
                  <c:v>73.751483902734293</c:v>
                </c:pt>
                <c:pt idx="600">
                  <c:v>73.800801262029893</c:v>
                </c:pt>
                <c:pt idx="601">
                  <c:v>77.20369905342578</c:v>
                </c:pt>
                <c:pt idx="602">
                  <c:v>73.800801262029893</c:v>
                </c:pt>
                <c:pt idx="603">
                  <c:v>73.603531824847522</c:v>
                </c:pt>
                <c:pt idx="604">
                  <c:v>73.603531824847522</c:v>
                </c:pt>
                <c:pt idx="605">
                  <c:v>73.603531824847522</c:v>
                </c:pt>
                <c:pt idx="606">
                  <c:v>73.603531824847522</c:v>
                </c:pt>
                <c:pt idx="607">
                  <c:v>73.504897106256337</c:v>
                </c:pt>
                <c:pt idx="608">
                  <c:v>73.455579746960737</c:v>
                </c:pt>
                <c:pt idx="609">
                  <c:v>68.375891739514714</c:v>
                </c:pt>
                <c:pt idx="610">
                  <c:v>68.277257020923514</c:v>
                </c:pt>
                <c:pt idx="611">
                  <c:v>68.277257020923514</c:v>
                </c:pt>
                <c:pt idx="612">
                  <c:v>68.079987583741143</c:v>
                </c:pt>
                <c:pt idx="613">
                  <c:v>67.932035505854373</c:v>
                </c:pt>
                <c:pt idx="614">
                  <c:v>67.833400787263187</c:v>
                </c:pt>
                <c:pt idx="615">
                  <c:v>76.661208101174267</c:v>
                </c:pt>
                <c:pt idx="616">
                  <c:v>68.129304943036743</c:v>
                </c:pt>
                <c:pt idx="617">
                  <c:v>76.414621304696297</c:v>
                </c:pt>
                <c:pt idx="618">
                  <c:v>76.217351867513926</c:v>
                </c:pt>
                <c:pt idx="619">
                  <c:v>62.852347498408335</c:v>
                </c:pt>
                <c:pt idx="620">
                  <c:v>63.592107887842225</c:v>
                </c:pt>
                <c:pt idx="621">
                  <c:v>63.394838450659854</c:v>
                </c:pt>
                <c:pt idx="622">
                  <c:v>76.168034508218341</c:v>
                </c:pt>
                <c:pt idx="623">
                  <c:v>63.246886372773076</c:v>
                </c:pt>
                <c:pt idx="624">
                  <c:v>62.95098221699952</c:v>
                </c:pt>
                <c:pt idx="625">
                  <c:v>75.97076507103597</c:v>
                </c:pt>
                <c:pt idx="626">
                  <c:v>75.822812993149185</c:v>
                </c:pt>
                <c:pt idx="627">
                  <c:v>63.69074260643341</c:v>
                </c:pt>
                <c:pt idx="628">
                  <c:v>63.838694684320188</c:v>
                </c:pt>
                <c:pt idx="629">
                  <c:v>63.542790528546632</c:v>
                </c:pt>
                <c:pt idx="630">
                  <c:v>63.345521091364262</c:v>
                </c:pt>
                <c:pt idx="631">
                  <c:v>63.444155809955447</c:v>
                </c:pt>
                <c:pt idx="632">
                  <c:v>63.394838450659854</c:v>
                </c:pt>
                <c:pt idx="633">
                  <c:v>66.896370960646934</c:v>
                </c:pt>
                <c:pt idx="634">
                  <c:v>66.847053601351334</c:v>
                </c:pt>
                <c:pt idx="635">
                  <c:v>76.513256023287482</c:v>
                </c:pt>
                <c:pt idx="636">
                  <c:v>66.304562649099822</c:v>
                </c:pt>
                <c:pt idx="637">
                  <c:v>66.699101523464563</c:v>
                </c:pt>
                <c:pt idx="638">
                  <c:v>66.847053601351334</c:v>
                </c:pt>
                <c:pt idx="639">
                  <c:v>66.847053601351334</c:v>
                </c:pt>
                <c:pt idx="640">
                  <c:v>66.156610571213037</c:v>
                </c:pt>
                <c:pt idx="641">
                  <c:v>76.414621304696297</c:v>
                </c:pt>
                <c:pt idx="642">
                  <c:v>65.860706415439481</c:v>
                </c:pt>
                <c:pt idx="643">
                  <c:v>65.91002377473508</c:v>
                </c:pt>
                <c:pt idx="644">
                  <c:v>65.91002377473508</c:v>
                </c:pt>
                <c:pt idx="645">
                  <c:v>65.564802259665925</c:v>
                </c:pt>
                <c:pt idx="646">
                  <c:v>65.416850181779154</c:v>
                </c:pt>
                <c:pt idx="647">
                  <c:v>65.515484900370339</c:v>
                </c:pt>
                <c:pt idx="648">
                  <c:v>65.120946026005598</c:v>
                </c:pt>
                <c:pt idx="649">
                  <c:v>70.249951392747221</c:v>
                </c:pt>
                <c:pt idx="650">
                  <c:v>76.858477538356638</c:v>
                </c:pt>
                <c:pt idx="651">
                  <c:v>70.151316674156035</c:v>
                </c:pt>
                <c:pt idx="652">
                  <c:v>70.05268195556485</c:v>
                </c:pt>
                <c:pt idx="653">
                  <c:v>69.904729877678079</c:v>
                </c:pt>
                <c:pt idx="654">
                  <c:v>69.855412518382479</c:v>
                </c:pt>
                <c:pt idx="655">
                  <c:v>69.756777799791294</c:v>
                </c:pt>
                <c:pt idx="656">
                  <c:v>76.809160179061038</c:v>
                </c:pt>
                <c:pt idx="657">
                  <c:v>69.658143081200109</c:v>
                </c:pt>
                <c:pt idx="658">
                  <c:v>69.559508362608923</c:v>
                </c:pt>
                <c:pt idx="659">
                  <c:v>69.460873644017738</c:v>
                </c:pt>
                <c:pt idx="660">
                  <c:v>69.411556284722153</c:v>
                </c:pt>
                <c:pt idx="661">
                  <c:v>69.263604206835367</c:v>
                </c:pt>
                <c:pt idx="662">
                  <c:v>69.164969488244182</c:v>
                </c:pt>
                <c:pt idx="663">
                  <c:v>69.017017410357411</c:v>
                </c:pt>
                <c:pt idx="664">
                  <c:v>68.523843817401485</c:v>
                </c:pt>
                <c:pt idx="665">
                  <c:v>68.375891739514714</c:v>
                </c:pt>
                <c:pt idx="666">
                  <c:v>76.661208101174267</c:v>
                </c:pt>
                <c:pt idx="667">
                  <c:v>68.079987583741143</c:v>
                </c:pt>
                <c:pt idx="668">
                  <c:v>67.932035505854373</c:v>
                </c:pt>
                <c:pt idx="669">
                  <c:v>77.499603209199336</c:v>
                </c:pt>
                <c:pt idx="670">
                  <c:v>76.463938663991897</c:v>
                </c:pt>
                <c:pt idx="671">
                  <c:v>76.315986586105112</c:v>
                </c:pt>
                <c:pt idx="672">
                  <c:v>76.217351867513926</c:v>
                </c:pt>
                <c:pt idx="673">
                  <c:v>67.19227511642049</c:v>
                </c:pt>
                <c:pt idx="674">
                  <c:v>67.044323038533705</c:v>
                </c:pt>
                <c:pt idx="675">
                  <c:v>68.770430613879455</c:v>
                </c:pt>
                <c:pt idx="676">
                  <c:v>68.671795895288255</c:v>
                </c:pt>
                <c:pt idx="677">
                  <c:v>68.573161176697084</c:v>
                </c:pt>
                <c:pt idx="678">
                  <c:v>68.474526458105885</c:v>
                </c:pt>
                <c:pt idx="679">
                  <c:v>68.375891739514714</c:v>
                </c:pt>
                <c:pt idx="680">
                  <c:v>68.277257020923514</c:v>
                </c:pt>
                <c:pt idx="681">
                  <c:v>68.277257020923514</c:v>
                </c:pt>
                <c:pt idx="682">
                  <c:v>76.661208101174267</c:v>
                </c:pt>
                <c:pt idx="683">
                  <c:v>68.178622302332343</c:v>
                </c:pt>
                <c:pt idx="684">
                  <c:v>76.661208101174267</c:v>
                </c:pt>
                <c:pt idx="685">
                  <c:v>67.093640397829304</c:v>
                </c:pt>
                <c:pt idx="686">
                  <c:v>68.277257020923514</c:v>
                </c:pt>
                <c:pt idx="687">
                  <c:v>68.277257020923514</c:v>
                </c:pt>
                <c:pt idx="688">
                  <c:v>68.326574380219114</c:v>
                </c:pt>
                <c:pt idx="689">
                  <c:v>68.326574380219114</c:v>
                </c:pt>
                <c:pt idx="690">
                  <c:v>67.784083427967602</c:v>
                </c:pt>
                <c:pt idx="691">
                  <c:v>76.759842819765453</c:v>
                </c:pt>
                <c:pt idx="692">
                  <c:v>70.348586111338406</c:v>
                </c:pt>
                <c:pt idx="693">
                  <c:v>70.496538189225191</c:v>
                </c:pt>
                <c:pt idx="694">
                  <c:v>70.447220829929591</c:v>
                </c:pt>
                <c:pt idx="695">
                  <c:v>70.299268752042821</c:v>
                </c:pt>
                <c:pt idx="696">
                  <c:v>69.362238925426553</c:v>
                </c:pt>
                <c:pt idx="697">
                  <c:v>66.403197367691007</c:v>
                </c:pt>
                <c:pt idx="698">
                  <c:v>65.318215463187968</c:v>
                </c:pt>
                <c:pt idx="699">
                  <c:v>76.168034508218341</c:v>
                </c:pt>
                <c:pt idx="700">
                  <c:v>76.562573382583082</c:v>
                </c:pt>
                <c:pt idx="701">
                  <c:v>74.343292214281405</c:v>
                </c:pt>
                <c:pt idx="702">
                  <c:v>74.293974854985819</c:v>
                </c:pt>
                <c:pt idx="703">
                  <c:v>74.195340136394634</c:v>
                </c:pt>
                <c:pt idx="704">
                  <c:v>77.253016412721379</c:v>
                </c:pt>
                <c:pt idx="705">
                  <c:v>74.24465749569022</c:v>
                </c:pt>
                <c:pt idx="706">
                  <c:v>77.302333772016965</c:v>
                </c:pt>
                <c:pt idx="707">
                  <c:v>74.589879010759375</c:v>
                </c:pt>
                <c:pt idx="708">
                  <c:v>77.302333772016965</c:v>
                </c:pt>
                <c:pt idx="709">
                  <c:v>74.589879010759375</c:v>
                </c:pt>
                <c:pt idx="710">
                  <c:v>74.589879010759375</c:v>
                </c:pt>
                <c:pt idx="711">
                  <c:v>74.49124429216819</c:v>
                </c:pt>
                <c:pt idx="712">
                  <c:v>74.392609573577005</c:v>
                </c:pt>
                <c:pt idx="713">
                  <c:v>74.24465749569022</c:v>
                </c:pt>
                <c:pt idx="714">
                  <c:v>74.24465749569022</c:v>
                </c:pt>
                <c:pt idx="715">
                  <c:v>74.096705417803449</c:v>
                </c:pt>
                <c:pt idx="716">
                  <c:v>74.195340136394634</c:v>
                </c:pt>
                <c:pt idx="717">
                  <c:v>74.096705417803449</c:v>
                </c:pt>
                <c:pt idx="718">
                  <c:v>73.948753339916664</c:v>
                </c:pt>
                <c:pt idx="719">
                  <c:v>73.948753339916664</c:v>
                </c:pt>
                <c:pt idx="720">
                  <c:v>73.850118621325478</c:v>
                </c:pt>
                <c:pt idx="721">
                  <c:v>74.787148447941746</c:v>
                </c:pt>
                <c:pt idx="722">
                  <c:v>74.737831088646146</c:v>
                </c:pt>
                <c:pt idx="723">
                  <c:v>77.302333772016965</c:v>
                </c:pt>
                <c:pt idx="724">
                  <c:v>77.302333772016965</c:v>
                </c:pt>
                <c:pt idx="725">
                  <c:v>77.302333772016965</c:v>
                </c:pt>
                <c:pt idx="726">
                  <c:v>74.589879010759375</c:v>
                </c:pt>
                <c:pt idx="727">
                  <c:v>74.589879010759375</c:v>
                </c:pt>
                <c:pt idx="728">
                  <c:v>74.49124429216819</c:v>
                </c:pt>
                <c:pt idx="729">
                  <c:v>74.392609573577005</c:v>
                </c:pt>
                <c:pt idx="730">
                  <c:v>74.343292214281405</c:v>
                </c:pt>
                <c:pt idx="731">
                  <c:v>74.343292214281405</c:v>
                </c:pt>
                <c:pt idx="732">
                  <c:v>74.047388058507849</c:v>
                </c:pt>
                <c:pt idx="733">
                  <c:v>74.047388058507849</c:v>
                </c:pt>
                <c:pt idx="734">
                  <c:v>73.899435980621078</c:v>
                </c:pt>
                <c:pt idx="735">
                  <c:v>73.800801262029893</c:v>
                </c:pt>
                <c:pt idx="736">
                  <c:v>71.039029141476703</c:v>
                </c:pt>
                <c:pt idx="737">
                  <c:v>70.891077063589933</c:v>
                </c:pt>
                <c:pt idx="738">
                  <c:v>70.792442344998747</c:v>
                </c:pt>
                <c:pt idx="739">
                  <c:v>70.743124985703147</c:v>
                </c:pt>
                <c:pt idx="740">
                  <c:v>70.792442344998747</c:v>
                </c:pt>
                <c:pt idx="741">
                  <c:v>70.595172907816377</c:v>
                </c:pt>
                <c:pt idx="742">
                  <c:v>70.447220829929591</c:v>
                </c:pt>
                <c:pt idx="743">
                  <c:v>70.299268752042821</c:v>
                </c:pt>
                <c:pt idx="744">
                  <c:v>76.858477538356638</c:v>
                </c:pt>
                <c:pt idx="745">
                  <c:v>69.658143081200109</c:v>
                </c:pt>
                <c:pt idx="746">
                  <c:v>69.460873644017738</c:v>
                </c:pt>
                <c:pt idx="747">
                  <c:v>69.411556284722153</c:v>
                </c:pt>
                <c:pt idx="748">
                  <c:v>72.025376327388557</c:v>
                </c:pt>
                <c:pt idx="749">
                  <c:v>71.976058968092971</c:v>
                </c:pt>
                <c:pt idx="750">
                  <c:v>71.926741608797371</c:v>
                </c:pt>
                <c:pt idx="751">
                  <c:v>71.877424249501786</c:v>
                </c:pt>
                <c:pt idx="752">
                  <c:v>71.828106890206186</c:v>
                </c:pt>
                <c:pt idx="753">
                  <c:v>71.778789530910601</c:v>
                </c:pt>
                <c:pt idx="754">
                  <c:v>71.729472171615001</c:v>
                </c:pt>
                <c:pt idx="755">
                  <c:v>77.006429616243409</c:v>
                </c:pt>
                <c:pt idx="756">
                  <c:v>71.630837453023815</c:v>
                </c:pt>
                <c:pt idx="757">
                  <c:v>71.334933297250259</c:v>
                </c:pt>
                <c:pt idx="758">
                  <c:v>71.433568015841445</c:v>
                </c:pt>
                <c:pt idx="759">
                  <c:v>71.334933297250259</c:v>
                </c:pt>
                <c:pt idx="760">
                  <c:v>71.236298578659074</c:v>
                </c:pt>
                <c:pt idx="761">
                  <c:v>71.137663860067889</c:v>
                </c:pt>
                <c:pt idx="762">
                  <c:v>71.039029141476703</c:v>
                </c:pt>
                <c:pt idx="763">
                  <c:v>76.513256023287482</c:v>
                </c:pt>
                <c:pt idx="764">
                  <c:v>76.217351867513926</c:v>
                </c:pt>
                <c:pt idx="765">
                  <c:v>67.044323038533705</c:v>
                </c:pt>
                <c:pt idx="766">
                  <c:v>66.551149445577778</c:v>
                </c:pt>
                <c:pt idx="767">
                  <c:v>65.959341134030666</c:v>
                </c:pt>
                <c:pt idx="768">
                  <c:v>66.008658493326266</c:v>
                </c:pt>
                <c:pt idx="769">
                  <c:v>64.874359229527627</c:v>
                </c:pt>
                <c:pt idx="770">
                  <c:v>63.394838450659854</c:v>
                </c:pt>
                <c:pt idx="771">
                  <c:v>63.049616935590706</c:v>
                </c:pt>
                <c:pt idx="772">
                  <c:v>63.098934294886298</c:v>
                </c:pt>
                <c:pt idx="773">
                  <c:v>63.444155809955447</c:v>
                </c:pt>
                <c:pt idx="774">
                  <c:v>63.69074260643341</c:v>
                </c:pt>
                <c:pt idx="775">
                  <c:v>63.986646762206966</c:v>
                </c:pt>
                <c:pt idx="776">
                  <c:v>63.592107887842225</c:v>
                </c:pt>
                <c:pt idx="777">
                  <c:v>63.197569013477484</c:v>
                </c:pt>
                <c:pt idx="778">
                  <c:v>65.022311307414412</c:v>
                </c:pt>
                <c:pt idx="779">
                  <c:v>64.874359229527627</c:v>
                </c:pt>
                <c:pt idx="780">
                  <c:v>64.627772433049671</c:v>
                </c:pt>
                <c:pt idx="781">
                  <c:v>63.888012043615781</c:v>
                </c:pt>
                <c:pt idx="782">
                  <c:v>63.098934294886298</c:v>
                </c:pt>
                <c:pt idx="783">
                  <c:v>61.964635031087667</c:v>
                </c:pt>
                <c:pt idx="784">
                  <c:v>60.879653126584628</c:v>
                </c:pt>
                <c:pt idx="785">
                  <c:v>60.04125801855956</c:v>
                </c:pt>
                <c:pt idx="786">
                  <c:v>58.463102521100595</c:v>
                </c:pt>
                <c:pt idx="787">
                  <c:v>57.279485898006371</c:v>
                </c:pt>
                <c:pt idx="788">
                  <c:v>56.293138712094517</c:v>
                </c:pt>
                <c:pt idx="789">
                  <c:v>56.046551915616561</c:v>
                </c:pt>
                <c:pt idx="790">
                  <c:v>56.046551915616561</c:v>
                </c:pt>
                <c:pt idx="791">
                  <c:v>77.499603209199336</c:v>
                </c:pt>
                <c:pt idx="792">
                  <c:v>76.513256023287482</c:v>
                </c:pt>
                <c:pt idx="793">
                  <c:v>76.414621304696297</c:v>
                </c:pt>
                <c:pt idx="794">
                  <c:v>76.315986586105112</c:v>
                </c:pt>
                <c:pt idx="795">
                  <c:v>76.266669226809526</c:v>
                </c:pt>
                <c:pt idx="796">
                  <c:v>76.217351867513926</c:v>
                </c:pt>
                <c:pt idx="797">
                  <c:v>76.562573382583082</c:v>
                </c:pt>
                <c:pt idx="798">
                  <c:v>67.19227511642049</c:v>
                </c:pt>
                <c:pt idx="799">
                  <c:v>67.14295775712489</c:v>
                </c:pt>
                <c:pt idx="800">
                  <c:v>67.093640397829304</c:v>
                </c:pt>
                <c:pt idx="801">
                  <c:v>67.044323038533705</c:v>
                </c:pt>
                <c:pt idx="802">
                  <c:v>66.995005679238119</c:v>
                </c:pt>
                <c:pt idx="803">
                  <c:v>66.896370960646934</c:v>
                </c:pt>
                <c:pt idx="804">
                  <c:v>66.797736242055748</c:v>
                </c:pt>
                <c:pt idx="805">
                  <c:v>66.649784164168963</c:v>
                </c:pt>
                <c:pt idx="806">
                  <c:v>69.904729877678079</c:v>
                </c:pt>
                <c:pt idx="807">
                  <c:v>69.658143081200109</c:v>
                </c:pt>
                <c:pt idx="808">
                  <c:v>69.559508362608923</c:v>
                </c:pt>
                <c:pt idx="809">
                  <c:v>69.263604206835367</c:v>
                </c:pt>
                <c:pt idx="810">
                  <c:v>76.710525460469853</c:v>
                </c:pt>
                <c:pt idx="811">
                  <c:v>68.523843817401485</c:v>
                </c:pt>
                <c:pt idx="812">
                  <c:v>67.784083427967602</c:v>
                </c:pt>
                <c:pt idx="813">
                  <c:v>66.699101523464563</c:v>
                </c:pt>
                <c:pt idx="814">
                  <c:v>66.304562649099822</c:v>
                </c:pt>
                <c:pt idx="815">
                  <c:v>66.945688319942519</c:v>
                </c:pt>
                <c:pt idx="816">
                  <c:v>76.315986586105112</c:v>
                </c:pt>
                <c:pt idx="817">
                  <c:v>76.168034508218341</c:v>
                </c:pt>
                <c:pt idx="818">
                  <c:v>66.797736242055748</c:v>
                </c:pt>
                <c:pt idx="819">
                  <c:v>66.353880008395407</c:v>
                </c:pt>
                <c:pt idx="820">
                  <c:v>66.847053601351334</c:v>
                </c:pt>
                <c:pt idx="821">
                  <c:v>72.715819357526854</c:v>
                </c:pt>
                <c:pt idx="822">
                  <c:v>72.814454076118039</c:v>
                </c:pt>
                <c:pt idx="823">
                  <c:v>73.01172351330041</c:v>
                </c:pt>
                <c:pt idx="824">
                  <c:v>73.01172351330041</c:v>
                </c:pt>
                <c:pt idx="825">
                  <c:v>72.96240615400481</c:v>
                </c:pt>
                <c:pt idx="826">
                  <c:v>72.913088794709225</c:v>
                </c:pt>
                <c:pt idx="827">
                  <c:v>72.76513671682244</c:v>
                </c:pt>
                <c:pt idx="828">
                  <c:v>72.76513671682244</c:v>
                </c:pt>
                <c:pt idx="829">
                  <c:v>77.548920568494935</c:v>
                </c:pt>
                <c:pt idx="830">
                  <c:v>77.055746975539009</c:v>
                </c:pt>
                <c:pt idx="831">
                  <c:v>76.957112256947823</c:v>
                </c:pt>
                <c:pt idx="832">
                  <c:v>76.858477538356638</c:v>
                </c:pt>
                <c:pt idx="833">
                  <c:v>76.759842819765453</c:v>
                </c:pt>
                <c:pt idx="834">
                  <c:v>77.055746975539009</c:v>
                </c:pt>
                <c:pt idx="835">
                  <c:v>72.074693686684157</c:v>
                </c:pt>
                <c:pt idx="836">
                  <c:v>51.854576375491192</c:v>
                </c:pt>
                <c:pt idx="837">
                  <c:v>52.051845812673562</c:v>
                </c:pt>
                <c:pt idx="838">
                  <c:v>52.298432609151519</c:v>
                </c:pt>
                <c:pt idx="839">
                  <c:v>75.033735244419702</c:v>
                </c:pt>
                <c:pt idx="840">
                  <c:v>51.607989579013221</c:v>
                </c:pt>
                <c:pt idx="841">
                  <c:v>49.684612566485114</c:v>
                </c:pt>
                <c:pt idx="842">
                  <c:v>48.402361224799705</c:v>
                </c:pt>
                <c:pt idx="843">
                  <c:v>46.380349493680413</c:v>
                </c:pt>
                <c:pt idx="844">
                  <c:v>45.344684948472967</c:v>
                </c:pt>
                <c:pt idx="845">
                  <c:v>44.309020403265521</c:v>
                </c:pt>
                <c:pt idx="846">
                  <c:v>44.752876636925855</c:v>
                </c:pt>
                <c:pt idx="847">
                  <c:v>45.640589104246523</c:v>
                </c:pt>
                <c:pt idx="848">
                  <c:v>61.372826719540555</c:v>
                </c:pt>
                <c:pt idx="849">
                  <c:v>64.874359229527627</c:v>
                </c:pt>
                <c:pt idx="850">
                  <c:v>64.726407151640856</c:v>
                </c:pt>
                <c:pt idx="851">
                  <c:v>64.479820355162886</c:v>
                </c:pt>
                <c:pt idx="852">
                  <c:v>64.18391619938933</c:v>
                </c:pt>
                <c:pt idx="853">
                  <c:v>63.937329402911374</c:v>
                </c:pt>
                <c:pt idx="854">
                  <c:v>63.740059965729003</c:v>
                </c:pt>
                <c:pt idx="855">
                  <c:v>69.263604206835367</c:v>
                </c:pt>
                <c:pt idx="856">
                  <c:v>68.819747973175041</c:v>
                </c:pt>
                <c:pt idx="857">
                  <c:v>68.918382691766226</c:v>
                </c:pt>
                <c:pt idx="858">
                  <c:v>76.710525460469853</c:v>
                </c:pt>
                <c:pt idx="859">
                  <c:v>68.326574380219114</c:v>
                </c:pt>
                <c:pt idx="860">
                  <c:v>68.129304943036743</c:v>
                </c:pt>
                <c:pt idx="861">
                  <c:v>66.551149445577778</c:v>
                </c:pt>
                <c:pt idx="862">
                  <c:v>76.414621304696297</c:v>
                </c:pt>
                <c:pt idx="863">
                  <c:v>66.304562649099822</c:v>
                </c:pt>
                <c:pt idx="864">
                  <c:v>66.649784164168963</c:v>
                </c:pt>
                <c:pt idx="865">
                  <c:v>76.414621304696297</c:v>
                </c:pt>
                <c:pt idx="866">
                  <c:v>76.513256023287482</c:v>
                </c:pt>
                <c:pt idx="867">
                  <c:v>76.513256023287482</c:v>
                </c:pt>
                <c:pt idx="868">
                  <c:v>76.562573382583082</c:v>
                </c:pt>
                <c:pt idx="869">
                  <c:v>77.499603209199336</c:v>
                </c:pt>
                <c:pt idx="870">
                  <c:v>74.392609573577005</c:v>
                </c:pt>
                <c:pt idx="871">
                  <c:v>74.24465749569022</c:v>
                </c:pt>
                <c:pt idx="872">
                  <c:v>77.253016412721379</c:v>
                </c:pt>
                <c:pt idx="873">
                  <c:v>74.047388058507849</c:v>
                </c:pt>
                <c:pt idx="874">
                  <c:v>73.998070699212263</c:v>
                </c:pt>
                <c:pt idx="875">
                  <c:v>73.850118621325478</c:v>
                </c:pt>
                <c:pt idx="876">
                  <c:v>77.20369905342578</c:v>
                </c:pt>
                <c:pt idx="877">
                  <c:v>73.554214465551922</c:v>
                </c:pt>
                <c:pt idx="878">
                  <c:v>73.406262387665151</c:v>
                </c:pt>
                <c:pt idx="879">
                  <c:v>77.154381694130194</c:v>
                </c:pt>
                <c:pt idx="880">
                  <c:v>73.06104087259601</c:v>
                </c:pt>
                <c:pt idx="881">
                  <c:v>73.06104087259601</c:v>
                </c:pt>
                <c:pt idx="882">
                  <c:v>72.913088794709225</c:v>
                </c:pt>
                <c:pt idx="883">
                  <c:v>72.863771435413639</c:v>
                </c:pt>
                <c:pt idx="884">
                  <c:v>72.76513671682244</c:v>
                </c:pt>
                <c:pt idx="885">
                  <c:v>66.501832086282192</c:v>
                </c:pt>
                <c:pt idx="886">
                  <c:v>76.463938663991897</c:v>
                </c:pt>
                <c:pt idx="887">
                  <c:v>66.008658493326266</c:v>
                </c:pt>
                <c:pt idx="888">
                  <c:v>65.71275433755271</c:v>
                </c:pt>
                <c:pt idx="889">
                  <c:v>65.367532822483554</c:v>
                </c:pt>
                <c:pt idx="890">
                  <c:v>65.071628666709998</c:v>
                </c:pt>
                <c:pt idx="891">
                  <c:v>64.825041870232042</c:v>
                </c:pt>
                <c:pt idx="892">
                  <c:v>64.726407151640856</c:v>
                </c:pt>
                <c:pt idx="893">
                  <c:v>64.627772433049671</c:v>
                </c:pt>
                <c:pt idx="894">
                  <c:v>64.529137714458486</c:v>
                </c:pt>
                <c:pt idx="895">
                  <c:v>64.4305029958673</c:v>
                </c:pt>
                <c:pt idx="896">
                  <c:v>64.381185636571701</c:v>
                </c:pt>
                <c:pt idx="897">
                  <c:v>64.23323355868493</c:v>
                </c:pt>
                <c:pt idx="898">
                  <c:v>59.005593473352114</c:v>
                </c:pt>
                <c:pt idx="899">
                  <c:v>58.167198365327039</c:v>
                </c:pt>
                <c:pt idx="900">
                  <c:v>75.526908837375629</c:v>
                </c:pt>
                <c:pt idx="901">
                  <c:v>55.849282478434191</c:v>
                </c:pt>
                <c:pt idx="902">
                  <c:v>54.813617933226745</c:v>
                </c:pt>
                <c:pt idx="903">
                  <c:v>53.383414513654557</c:v>
                </c:pt>
                <c:pt idx="904">
                  <c:v>51.706624297604407</c:v>
                </c:pt>
                <c:pt idx="905">
                  <c:v>50.029834081554263</c:v>
                </c:pt>
                <c:pt idx="906">
                  <c:v>48.648948021277675</c:v>
                </c:pt>
                <c:pt idx="907">
                  <c:v>74.343292214281405</c:v>
                </c:pt>
                <c:pt idx="908">
                  <c:v>47.268061961001081</c:v>
                </c:pt>
                <c:pt idx="909">
                  <c:v>47.366696679592266</c:v>
                </c:pt>
                <c:pt idx="910">
                  <c:v>74.293974854985819</c:v>
                </c:pt>
                <c:pt idx="911">
                  <c:v>71.384250656545859</c:v>
                </c:pt>
                <c:pt idx="912">
                  <c:v>71.285615937954674</c:v>
                </c:pt>
                <c:pt idx="913">
                  <c:v>71.236298578659074</c:v>
                </c:pt>
                <c:pt idx="914">
                  <c:v>76.957112256947823</c:v>
                </c:pt>
                <c:pt idx="915">
                  <c:v>71.137663860067889</c:v>
                </c:pt>
                <c:pt idx="916">
                  <c:v>71.137663860067889</c:v>
                </c:pt>
                <c:pt idx="917">
                  <c:v>71.088346500772303</c:v>
                </c:pt>
                <c:pt idx="918">
                  <c:v>71.039029141476703</c:v>
                </c:pt>
                <c:pt idx="919">
                  <c:v>70.989711782181118</c:v>
                </c:pt>
                <c:pt idx="920">
                  <c:v>70.940394422885518</c:v>
                </c:pt>
                <c:pt idx="921">
                  <c:v>70.841759704294333</c:v>
                </c:pt>
                <c:pt idx="922">
                  <c:v>70.792442344998747</c:v>
                </c:pt>
                <c:pt idx="923">
                  <c:v>76.907794897652224</c:v>
                </c:pt>
                <c:pt idx="924">
                  <c:v>70.496538189225191</c:v>
                </c:pt>
                <c:pt idx="925">
                  <c:v>70.249951392747221</c:v>
                </c:pt>
                <c:pt idx="926">
                  <c:v>74.540561651463776</c:v>
                </c:pt>
                <c:pt idx="927">
                  <c:v>74.44192693287259</c:v>
                </c:pt>
                <c:pt idx="928">
                  <c:v>74.392609573577005</c:v>
                </c:pt>
                <c:pt idx="929">
                  <c:v>74.293974854985819</c:v>
                </c:pt>
                <c:pt idx="930">
                  <c:v>73.998070699212263</c:v>
                </c:pt>
                <c:pt idx="931">
                  <c:v>73.899435980621078</c:v>
                </c:pt>
                <c:pt idx="932">
                  <c:v>73.603531824847522</c:v>
                </c:pt>
                <c:pt idx="933">
                  <c:v>73.554214465551922</c:v>
                </c:pt>
                <c:pt idx="934">
                  <c:v>73.258310309778381</c:v>
                </c:pt>
                <c:pt idx="935">
                  <c:v>73.01172351330041</c:v>
                </c:pt>
                <c:pt idx="936">
                  <c:v>76.809160179061038</c:v>
                </c:pt>
                <c:pt idx="937">
                  <c:v>72.074693686684157</c:v>
                </c:pt>
                <c:pt idx="938">
                  <c:v>71.482885375137045</c:v>
                </c:pt>
                <c:pt idx="939">
                  <c:v>71.236298578659074</c:v>
                </c:pt>
                <c:pt idx="940">
                  <c:v>70.743124985703147</c:v>
                </c:pt>
                <c:pt idx="941">
                  <c:v>64.18391619938933</c:v>
                </c:pt>
                <c:pt idx="942">
                  <c:v>64.035964121502559</c:v>
                </c:pt>
                <c:pt idx="943">
                  <c:v>76.266669226809526</c:v>
                </c:pt>
                <c:pt idx="944">
                  <c:v>64.23323355868493</c:v>
                </c:pt>
                <c:pt idx="945">
                  <c:v>64.134598840093744</c:v>
                </c:pt>
                <c:pt idx="946">
                  <c:v>63.986646762206966</c:v>
                </c:pt>
                <c:pt idx="947">
                  <c:v>63.888012043615781</c:v>
                </c:pt>
                <c:pt idx="948">
                  <c:v>63.69074260643341</c:v>
                </c:pt>
                <c:pt idx="949">
                  <c:v>63.394838450659854</c:v>
                </c:pt>
                <c:pt idx="950">
                  <c:v>76.168034508218341</c:v>
                </c:pt>
                <c:pt idx="951">
                  <c:v>63.000299576295113</c:v>
                </c:pt>
                <c:pt idx="952">
                  <c:v>62.852347498408335</c:v>
                </c:pt>
                <c:pt idx="953">
                  <c:v>74.885783166532931</c:v>
                </c:pt>
                <c:pt idx="954">
                  <c:v>74.787148447941746</c:v>
                </c:pt>
                <c:pt idx="955">
                  <c:v>74.737831088646146</c:v>
                </c:pt>
                <c:pt idx="956">
                  <c:v>74.688513729350561</c:v>
                </c:pt>
                <c:pt idx="957">
                  <c:v>74.540561651463776</c:v>
                </c:pt>
                <c:pt idx="958">
                  <c:v>74.49124429216819</c:v>
                </c:pt>
                <c:pt idx="959">
                  <c:v>74.44192693287259</c:v>
                </c:pt>
                <c:pt idx="960">
                  <c:v>74.392609573577005</c:v>
                </c:pt>
                <c:pt idx="961">
                  <c:v>74.343292214281405</c:v>
                </c:pt>
                <c:pt idx="962">
                  <c:v>74.293974854985819</c:v>
                </c:pt>
                <c:pt idx="963">
                  <c:v>74.195340136394634</c:v>
                </c:pt>
                <c:pt idx="964">
                  <c:v>74.096705417803449</c:v>
                </c:pt>
                <c:pt idx="965">
                  <c:v>76.315986586105112</c:v>
                </c:pt>
                <c:pt idx="966">
                  <c:v>76.217351867513926</c:v>
                </c:pt>
                <c:pt idx="967">
                  <c:v>76.168034508218341</c:v>
                </c:pt>
                <c:pt idx="968">
                  <c:v>67.14295775712489</c:v>
                </c:pt>
                <c:pt idx="969">
                  <c:v>67.044323038533705</c:v>
                </c:pt>
                <c:pt idx="970">
                  <c:v>66.995005679238119</c:v>
                </c:pt>
                <c:pt idx="971">
                  <c:v>66.896370960646934</c:v>
                </c:pt>
                <c:pt idx="972">
                  <c:v>66.797736242055748</c:v>
                </c:pt>
                <c:pt idx="973">
                  <c:v>66.699101523464563</c:v>
                </c:pt>
                <c:pt idx="974">
                  <c:v>66.600466804873378</c:v>
                </c:pt>
                <c:pt idx="975">
                  <c:v>70.299268752042821</c:v>
                </c:pt>
                <c:pt idx="976">
                  <c:v>70.348586111338406</c:v>
                </c:pt>
                <c:pt idx="977">
                  <c:v>70.003364596269265</c:v>
                </c:pt>
                <c:pt idx="978">
                  <c:v>69.806095159086894</c:v>
                </c:pt>
                <c:pt idx="979">
                  <c:v>69.559508362608923</c:v>
                </c:pt>
                <c:pt idx="980">
                  <c:v>69.411556284722153</c:v>
                </c:pt>
                <c:pt idx="981">
                  <c:v>69.411556284722153</c:v>
                </c:pt>
                <c:pt idx="982">
                  <c:v>69.658143081200109</c:v>
                </c:pt>
                <c:pt idx="983">
                  <c:v>69.460873644017738</c:v>
                </c:pt>
                <c:pt idx="984">
                  <c:v>69.312921566130967</c:v>
                </c:pt>
                <c:pt idx="985">
                  <c:v>69.312921566130967</c:v>
                </c:pt>
                <c:pt idx="986">
                  <c:v>69.017017410357411</c:v>
                </c:pt>
                <c:pt idx="987">
                  <c:v>68.770430613879455</c:v>
                </c:pt>
                <c:pt idx="988">
                  <c:v>68.869065332470626</c:v>
                </c:pt>
                <c:pt idx="989">
                  <c:v>68.869065332470626</c:v>
                </c:pt>
                <c:pt idx="990">
                  <c:v>71.58152009372823</c:v>
                </c:pt>
                <c:pt idx="991">
                  <c:v>77.006429616243409</c:v>
                </c:pt>
                <c:pt idx="992">
                  <c:v>71.53220273443263</c:v>
                </c:pt>
                <c:pt idx="993">
                  <c:v>71.482885375137045</c:v>
                </c:pt>
                <c:pt idx="994">
                  <c:v>71.334933297250259</c:v>
                </c:pt>
                <c:pt idx="995">
                  <c:v>76.957112256947823</c:v>
                </c:pt>
                <c:pt idx="996">
                  <c:v>71.334933297250259</c:v>
                </c:pt>
                <c:pt idx="997">
                  <c:v>71.53220273443263</c:v>
                </c:pt>
                <c:pt idx="998">
                  <c:v>71.433568015841445</c:v>
                </c:pt>
                <c:pt idx="999">
                  <c:v>71.384250656545859</c:v>
                </c:pt>
                <c:pt idx="1000">
                  <c:v>71.482885375137045</c:v>
                </c:pt>
                <c:pt idx="1001">
                  <c:v>71.334933297250259</c:v>
                </c:pt>
                <c:pt idx="1002">
                  <c:v>71.334933297250259</c:v>
                </c:pt>
                <c:pt idx="1003">
                  <c:v>71.384250656545859</c:v>
                </c:pt>
                <c:pt idx="1004">
                  <c:v>71.236298578659074</c:v>
                </c:pt>
                <c:pt idx="1005">
                  <c:v>66.501832086282192</c:v>
                </c:pt>
                <c:pt idx="1006">
                  <c:v>66.403197367691007</c:v>
                </c:pt>
                <c:pt idx="1007">
                  <c:v>66.205927930508636</c:v>
                </c:pt>
                <c:pt idx="1008">
                  <c:v>66.008658493326266</c:v>
                </c:pt>
                <c:pt idx="1009">
                  <c:v>76.365303945400711</c:v>
                </c:pt>
                <c:pt idx="1010">
                  <c:v>66.008658493326266</c:v>
                </c:pt>
                <c:pt idx="1011">
                  <c:v>66.501832086282192</c:v>
                </c:pt>
                <c:pt idx="1012">
                  <c:v>76.315986586105112</c:v>
                </c:pt>
                <c:pt idx="1013">
                  <c:v>64.23323355868493</c:v>
                </c:pt>
                <c:pt idx="1014">
                  <c:v>64.085281480798159</c:v>
                </c:pt>
                <c:pt idx="1015">
                  <c:v>63.592107887842225</c:v>
                </c:pt>
                <c:pt idx="1016">
                  <c:v>64.23323355868493</c:v>
                </c:pt>
                <c:pt idx="1017">
                  <c:v>64.627772433049671</c:v>
                </c:pt>
                <c:pt idx="1018">
                  <c:v>64.479820355162886</c:v>
                </c:pt>
                <c:pt idx="1019">
                  <c:v>64.085281480798159</c:v>
                </c:pt>
                <c:pt idx="1020">
                  <c:v>76.759842819765453</c:v>
                </c:pt>
                <c:pt idx="1021">
                  <c:v>76.661208101174267</c:v>
                </c:pt>
                <c:pt idx="1022">
                  <c:v>77.055746975539009</c:v>
                </c:pt>
                <c:pt idx="1023">
                  <c:v>72.025376327388557</c:v>
                </c:pt>
                <c:pt idx="1024">
                  <c:v>71.926741608797371</c:v>
                </c:pt>
                <c:pt idx="1025">
                  <c:v>71.828106890206186</c:v>
                </c:pt>
                <c:pt idx="1026">
                  <c:v>71.630837453023815</c:v>
                </c:pt>
                <c:pt idx="1027">
                  <c:v>71.433568015841445</c:v>
                </c:pt>
                <c:pt idx="1028">
                  <c:v>76.957112256947823</c:v>
                </c:pt>
                <c:pt idx="1029">
                  <c:v>72.863771435413639</c:v>
                </c:pt>
                <c:pt idx="1030">
                  <c:v>72.814454076118039</c:v>
                </c:pt>
                <c:pt idx="1031">
                  <c:v>72.715819357526854</c:v>
                </c:pt>
                <c:pt idx="1032">
                  <c:v>76.907794897652224</c:v>
                </c:pt>
                <c:pt idx="1033">
                  <c:v>77.055746975539009</c:v>
                </c:pt>
                <c:pt idx="1034">
                  <c:v>71.877424249501786</c:v>
                </c:pt>
                <c:pt idx="1035">
                  <c:v>71.53220273443263</c:v>
                </c:pt>
                <c:pt idx="1036">
                  <c:v>71.285615937954674</c:v>
                </c:pt>
                <c:pt idx="1037">
                  <c:v>71.039029141476703</c:v>
                </c:pt>
                <c:pt idx="1038">
                  <c:v>70.841759704294333</c:v>
                </c:pt>
                <c:pt idx="1039">
                  <c:v>70.595172907816377</c:v>
                </c:pt>
                <c:pt idx="1040">
                  <c:v>70.397903470634006</c:v>
                </c:pt>
                <c:pt idx="1041">
                  <c:v>76.858477538356638</c:v>
                </c:pt>
                <c:pt idx="1042">
                  <c:v>69.954047236973665</c:v>
                </c:pt>
                <c:pt idx="1043">
                  <c:v>76.809160179061038</c:v>
                </c:pt>
                <c:pt idx="1044">
                  <c:v>59.104228191943299</c:v>
                </c:pt>
                <c:pt idx="1045">
                  <c:v>75.329639400193258</c:v>
                </c:pt>
                <c:pt idx="1046">
                  <c:v>75.231004681602073</c:v>
                </c:pt>
                <c:pt idx="1047">
                  <c:v>75.280322040897673</c:v>
                </c:pt>
                <c:pt idx="1048">
                  <c:v>75.280322040897673</c:v>
                </c:pt>
                <c:pt idx="1049">
                  <c:v>77.40096849060815</c:v>
                </c:pt>
                <c:pt idx="1050">
                  <c:v>75.378956759488858</c:v>
                </c:pt>
                <c:pt idx="1051">
                  <c:v>56.638360227163673</c:v>
                </c:pt>
                <c:pt idx="1052">
                  <c:v>56.194503993503332</c:v>
                </c:pt>
                <c:pt idx="1053">
                  <c:v>56.194503993503332</c:v>
                </c:pt>
                <c:pt idx="1054">
                  <c:v>56.441090789981303</c:v>
                </c:pt>
                <c:pt idx="1055">
                  <c:v>56.687677586459259</c:v>
                </c:pt>
                <c:pt idx="1056">
                  <c:v>57.082216460824</c:v>
                </c:pt>
                <c:pt idx="1057">
                  <c:v>75.231004681602073</c:v>
                </c:pt>
                <c:pt idx="1058">
                  <c:v>76.562573382583082</c:v>
                </c:pt>
                <c:pt idx="1059">
                  <c:v>76.513256023287482</c:v>
                </c:pt>
                <c:pt idx="1060">
                  <c:v>76.365303945400711</c:v>
                </c:pt>
                <c:pt idx="1061">
                  <c:v>76.266669226809526</c:v>
                </c:pt>
                <c:pt idx="1062">
                  <c:v>76.168034508218341</c:v>
                </c:pt>
                <c:pt idx="1063">
                  <c:v>67.19227511642049</c:v>
                </c:pt>
                <c:pt idx="1064">
                  <c:v>63.000299576295113</c:v>
                </c:pt>
                <c:pt idx="1065">
                  <c:v>66.896370960646934</c:v>
                </c:pt>
                <c:pt idx="1066">
                  <c:v>76.513256023287482</c:v>
                </c:pt>
                <c:pt idx="1067">
                  <c:v>66.551149445577778</c:v>
                </c:pt>
                <c:pt idx="1068">
                  <c:v>66.353880008395407</c:v>
                </c:pt>
                <c:pt idx="1069">
                  <c:v>66.205927930508636</c:v>
                </c:pt>
                <c:pt idx="1070">
                  <c:v>65.66343697825711</c:v>
                </c:pt>
                <c:pt idx="1071">
                  <c:v>66.156610571213037</c:v>
                </c:pt>
                <c:pt idx="1072">
                  <c:v>66.156610571213037</c:v>
                </c:pt>
                <c:pt idx="1073">
                  <c:v>64.381185636571701</c:v>
                </c:pt>
                <c:pt idx="1074">
                  <c:v>62.852347498408335</c:v>
                </c:pt>
                <c:pt idx="1075">
                  <c:v>69.806095159086894</c:v>
                </c:pt>
                <c:pt idx="1076">
                  <c:v>69.608825721904523</c:v>
                </c:pt>
                <c:pt idx="1077">
                  <c:v>69.362238925426553</c:v>
                </c:pt>
                <c:pt idx="1078">
                  <c:v>69.115652128948597</c:v>
                </c:pt>
                <c:pt idx="1079">
                  <c:v>68.819747973175041</c:v>
                </c:pt>
                <c:pt idx="1080">
                  <c:v>68.573161176697084</c:v>
                </c:pt>
                <c:pt idx="1081">
                  <c:v>68.277257020923514</c:v>
                </c:pt>
                <c:pt idx="1082">
                  <c:v>68.030670224445558</c:v>
                </c:pt>
                <c:pt idx="1083">
                  <c:v>76.562573382583082</c:v>
                </c:pt>
                <c:pt idx="1084">
                  <c:v>76.217351867513926</c:v>
                </c:pt>
                <c:pt idx="1085">
                  <c:v>66.847053601351334</c:v>
                </c:pt>
                <c:pt idx="1086">
                  <c:v>76.513256023287482</c:v>
                </c:pt>
                <c:pt idx="1087">
                  <c:v>74.737831088646146</c:v>
                </c:pt>
                <c:pt idx="1088">
                  <c:v>77.302333772016965</c:v>
                </c:pt>
                <c:pt idx="1089">
                  <c:v>74.540561651463776</c:v>
                </c:pt>
                <c:pt idx="1090">
                  <c:v>74.49124429216819</c:v>
                </c:pt>
                <c:pt idx="1091">
                  <c:v>70.299268752042821</c:v>
                </c:pt>
                <c:pt idx="1092">
                  <c:v>69.855412518382479</c:v>
                </c:pt>
                <c:pt idx="1093">
                  <c:v>69.855412518382479</c:v>
                </c:pt>
                <c:pt idx="1094">
                  <c:v>70.348586111338406</c:v>
                </c:pt>
                <c:pt idx="1095">
                  <c:v>70.003364596269265</c:v>
                </c:pt>
                <c:pt idx="1096">
                  <c:v>69.559508362608923</c:v>
                </c:pt>
                <c:pt idx="1097">
                  <c:v>69.263604206835367</c:v>
                </c:pt>
                <c:pt idx="1098">
                  <c:v>69.066334769652997</c:v>
                </c:pt>
                <c:pt idx="1099">
                  <c:v>76.759842819765453</c:v>
                </c:pt>
                <c:pt idx="1100">
                  <c:v>68.030670224445558</c:v>
                </c:pt>
                <c:pt idx="1101">
                  <c:v>68.030670224445558</c:v>
                </c:pt>
                <c:pt idx="1102">
                  <c:v>67.833400787263187</c:v>
                </c:pt>
                <c:pt idx="1103">
                  <c:v>67.882718146558773</c:v>
                </c:pt>
                <c:pt idx="1104">
                  <c:v>68.079987583741143</c:v>
                </c:pt>
                <c:pt idx="1105">
                  <c:v>68.129304943036743</c:v>
                </c:pt>
                <c:pt idx="1106">
                  <c:v>66.600466804873378</c:v>
                </c:pt>
                <c:pt idx="1107">
                  <c:v>66.403197367691007</c:v>
                </c:pt>
                <c:pt idx="1108">
                  <c:v>66.156610571213037</c:v>
                </c:pt>
                <c:pt idx="1109">
                  <c:v>65.71275433755271</c:v>
                </c:pt>
                <c:pt idx="1110">
                  <c:v>65.170263385301183</c:v>
                </c:pt>
                <c:pt idx="1111">
                  <c:v>64.627772433049671</c:v>
                </c:pt>
                <c:pt idx="1112">
                  <c:v>59.745353862786004</c:v>
                </c:pt>
                <c:pt idx="1113">
                  <c:v>59.498767066308041</c:v>
                </c:pt>
                <c:pt idx="1114">
                  <c:v>59.153545551238892</c:v>
                </c:pt>
                <c:pt idx="1115">
                  <c:v>59.104228191943299</c:v>
                </c:pt>
                <c:pt idx="1116">
                  <c:v>59.153545551238892</c:v>
                </c:pt>
                <c:pt idx="1117">
                  <c:v>59.054910832647707</c:v>
                </c:pt>
                <c:pt idx="1118">
                  <c:v>58.56173723969178</c:v>
                </c:pt>
                <c:pt idx="1119">
                  <c:v>58.463102521100595</c:v>
                </c:pt>
                <c:pt idx="1120">
                  <c:v>58.068563646735853</c:v>
                </c:pt>
                <c:pt idx="1121">
                  <c:v>77.40096849060815</c:v>
                </c:pt>
                <c:pt idx="1122">
                  <c:v>69.608825721904523</c:v>
                </c:pt>
                <c:pt idx="1123">
                  <c:v>69.559508362608923</c:v>
                </c:pt>
                <c:pt idx="1124">
                  <c:v>69.460873644017738</c:v>
                </c:pt>
                <c:pt idx="1125">
                  <c:v>69.362238925426553</c:v>
                </c:pt>
                <c:pt idx="1126">
                  <c:v>69.115652128948597</c:v>
                </c:pt>
                <c:pt idx="1127">
                  <c:v>68.967700051061826</c:v>
                </c:pt>
                <c:pt idx="1128">
                  <c:v>68.869065332470626</c:v>
                </c:pt>
                <c:pt idx="1129">
                  <c:v>68.819747973175041</c:v>
                </c:pt>
                <c:pt idx="1130">
                  <c:v>68.770430613879455</c:v>
                </c:pt>
                <c:pt idx="1131">
                  <c:v>77.499603209199336</c:v>
                </c:pt>
                <c:pt idx="1132">
                  <c:v>68.573161176697084</c:v>
                </c:pt>
                <c:pt idx="1133">
                  <c:v>68.474526458105885</c:v>
                </c:pt>
                <c:pt idx="1134">
                  <c:v>71.729472171615001</c:v>
                </c:pt>
                <c:pt idx="1135">
                  <c:v>71.778789530910601</c:v>
                </c:pt>
                <c:pt idx="1136">
                  <c:v>77.006429616243409</c:v>
                </c:pt>
                <c:pt idx="1137">
                  <c:v>71.630837453023815</c:v>
                </c:pt>
                <c:pt idx="1138">
                  <c:v>71.58152009372823</c:v>
                </c:pt>
                <c:pt idx="1139">
                  <c:v>71.334933297250259</c:v>
                </c:pt>
                <c:pt idx="1140">
                  <c:v>71.334933297250259</c:v>
                </c:pt>
                <c:pt idx="1141">
                  <c:v>71.482885375137045</c:v>
                </c:pt>
                <c:pt idx="1142">
                  <c:v>71.433568015841445</c:v>
                </c:pt>
                <c:pt idx="1143">
                  <c:v>71.58152009372823</c:v>
                </c:pt>
                <c:pt idx="1144">
                  <c:v>71.53220273443263</c:v>
                </c:pt>
                <c:pt idx="1145">
                  <c:v>71.384250656545859</c:v>
                </c:pt>
                <c:pt idx="1146">
                  <c:v>71.433568015841445</c:v>
                </c:pt>
                <c:pt idx="1147">
                  <c:v>71.482885375137045</c:v>
                </c:pt>
                <c:pt idx="1148">
                  <c:v>63.888012043615781</c:v>
                </c:pt>
                <c:pt idx="1149">
                  <c:v>63.740059965729003</c:v>
                </c:pt>
                <c:pt idx="1150">
                  <c:v>63.592107887842225</c:v>
                </c:pt>
                <c:pt idx="1151">
                  <c:v>63.542790528546632</c:v>
                </c:pt>
                <c:pt idx="1152">
                  <c:v>63.49347316925104</c:v>
                </c:pt>
                <c:pt idx="1153">
                  <c:v>63.394838450659854</c:v>
                </c:pt>
                <c:pt idx="1154">
                  <c:v>76.168034508218341</c:v>
                </c:pt>
                <c:pt idx="1155">
                  <c:v>63.049616935590706</c:v>
                </c:pt>
                <c:pt idx="1156">
                  <c:v>62.852347498408335</c:v>
                </c:pt>
                <c:pt idx="1157">
                  <c:v>75.773495633853599</c:v>
                </c:pt>
                <c:pt idx="1158">
                  <c:v>62.112587108974445</c:v>
                </c:pt>
                <c:pt idx="1159">
                  <c:v>61.767365593905296</c:v>
                </c:pt>
                <c:pt idx="1160">
                  <c:v>61.47146143813174</c:v>
                </c:pt>
                <c:pt idx="1161">
                  <c:v>61.27419200094937</c:v>
                </c:pt>
                <c:pt idx="1162">
                  <c:v>61.076922563766999</c:v>
                </c:pt>
                <c:pt idx="1163">
                  <c:v>70.348586111338406</c:v>
                </c:pt>
                <c:pt idx="1164">
                  <c:v>70.299268752042821</c:v>
                </c:pt>
                <c:pt idx="1165">
                  <c:v>70.299268752042821</c:v>
                </c:pt>
                <c:pt idx="1166">
                  <c:v>76.858477538356638</c:v>
                </c:pt>
                <c:pt idx="1167">
                  <c:v>70.10199931486045</c:v>
                </c:pt>
                <c:pt idx="1168">
                  <c:v>69.954047236973665</c:v>
                </c:pt>
                <c:pt idx="1169">
                  <c:v>69.855412518382479</c:v>
                </c:pt>
                <c:pt idx="1170">
                  <c:v>69.756777799791294</c:v>
                </c:pt>
                <c:pt idx="1171">
                  <c:v>69.658143081200109</c:v>
                </c:pt>
                <c:pt idx="1172">
                  <c:v>69.559508362608923</c:v>
                </c:pt>
                <c:pt idx="1173">
                  <c:v>69.460873644017738</c:v>
                </c:pt>
                <c:pt idx="1174">
                  <c:v>69.411556284722153</c:v>
                </c:pt>
                <c:pt idx="1175">
                  <c:v>71.433568015841445</c:v>
                </c:pt>
                <c:pt idx="1176">
                  <c:v>71.433568015841445</c:v>
                </c:pt>
                <c:pt idx="1177">
                  <c:v>71.236298578659074</c:v>
                </c:pt>
                <c:pt idx="1178">
                  <c:v>71.039029141476703</c:v>
                </c:pt>
                <c:pt idx="1179">
                  <c:v>76.907794897652224</c:v>
                </c:pt>
                <c:pt idx="1180">
                  <c:v>76.907794897652224</c:v>
                </c:pt>
                <c:pt idx="1181">
                  <c:v>70.792442344998747</c:v>
                </c:pt>
                <c:pt idx="1182">
                  <c:v>71.039029141476703</c:v>
                </c:pt>
                <c:pt idx="1183">
                  <c:v>70.989711782181118</c:v>
                </c:pt>
                <c:pt idx="1184">
                  <c:v>70.299268752042821</c:v>
                </c:pt>
                <c:pt idx="1185">
                  <c:v>70.151316674156035</c:v>
                </c:pt>
                <c:pt idx="1186">
                  <c:v>70.10199931486045</c:v>
                </c:pt>
                <c:pt idx="1187">
                  <c:v>67.044323038533705</c:v>
                </c:pt>
                <c:pt idx="1188">
                  <c:v>66.797736242055748</c:v>
                </c:pt>
                <c:pt idx="1189">
                  <c:v>66.896370960646934</c:v>
                </c:pt>
                <c:pt idx="1190">
                  <c:v>66.847053601351334</c:v>
                </c:pt>
                <c:pt idx="1191">
                  <c:v>66.847053601351334</c:v>
                </c:pt>
                <c:pt idx="1192">
                  <c:v>66.797736242055748</c:v>
                </c:pt>
                <c:pt idx="1193">
                  <c:v>66.896370960646934</c:v>
                </c:pt>
                <c:pt idx="1194">
                  <c:v>66.945688319942519</c:v>
                </c:pt>
                <c:pt idx="1195">
                  <c:v>66.797736242055748</c:v>
                </c:pt>
                <c:pt idx="1196">
                  <c:v>66.600466804873378</c:v>
                </c:pt>
                <c:pt idx="1197">
                  <c:v>66.847053601351334</c:v>
                </c:pt>
                <c:pt idx="1198">
                  <c:v>66.896370960646934</c:v>
                </c:pt>
                <c:pt idx="1199">
                  <c:v>66.699101523464563</c:v>
                </c:pt>
                <c:pt idx="1200">
                  <c:v>66.699101523464563</c:v>
                </c:pt>
                <c:pt idx="1201">
                  <c:v>66.797736242055748</c:v>
                </c:pt>
                <c:pt idx="1202">
                  <c:v>77.006429616243409</c:v>
                </c:pt>
                <c:pt idx="1203">
                  <c:v>77.006429616243409</c:v>
                </c:pt>
                <c:pt idx="1204">
                  <c:v>71.433568015841445</c:v>
                </c:pt>
                <c:pt idx="1205">
                  <c:v>71.285615937954674</c:v>
                </c:pt>
                <c:pt idx="1206">
                  <c:v>76.957112256947823</c:v>
                </c:pt>
                <c:pt idx="1207">
                  <c:v>70.891077063589933</c:v>
                </c:pt>
                <c:pt idx="1208">
                  <c:v>76.907794897652224</c:v>
                </c:pt>
                <c:pt idx="1209">
                  <c:v>70.496538189225191</c:v>
                </c:pt>
                <c:pt idx="1210">
                  <c:v>70.496538189225191</c:v>
                </c:pt>
                <c:pt idx="1211">
                  <c:v>70.496538189225191</c:v>
                </c:pt>
                <c:pt idx="1212">
                  <c:v>70.545855548520777</c:v>
                </c:pt>
                <c:pt idx="1213">
                  <c:v>70.595172907816377</c:v>
                </c:pt>
                <c:pt idx="1214">
                  <c:v>70.447220829929591</c:v>
                </c:pt>
                <c:pt idx="1215">
                  <c:v>70.249951392747221</c:v>
                </c:pt>
                <c:pt idx="1216">
                  <c:v>70.05268195556485</c:v>
                </c:pt>
                <c:pt idx="1217">
                  <c:v>73.751483902734293</c:v>
                </c:pt>
                <c:pt idx="1218">
                  <c:v>73.702166543438707</c:v>
                </c:pt>
                <c:pt idx="1219">
                  <c:v>73.603531824847522</c:v>
                </c:pt>
                <c:pt idx="1220">
                  <c:v>73.406262387665151</c:v>
                </c:pt>
                <c:pt idx="1221">
                  <c:v>73.258310309778381</c:v>
                </c:pt>
                <c:pt idx="1222">
                  <c:v>77.154381694130194</c:v>
                </c:pt>
                <c:pt idx="1223">
                  <c:v>73.06104087259601</c:v>
                </c:pt>
                <c:pt idx="1224">
                  <c:v>72.96240615400481</c:v>
                </c:pt>
                <c:pt idx="1225">
                  <c:v>72.863771435413639</c:v>
                </c:pt>
                <c:pt idx="1226">
                  <c:v>77.055746975539009</c:v>
                </c:pt>
                <c:pt idx="1227">
                  <c:v>72.715819357526854</c:v>
                </c:pt>
                <c:pt idx="1228">
                  <c:v>76.858477538356638</c:v>
                </c:pt>
                <c:pt idx="1229">
                  <c:v>76.759842819765453</c:v>
                </c:pt>
                <c:pt idx="1230">
                  <c:v>77.055746975539009</c:v>
                </c:pt>
                <c:pt idx="1231">
                  <c:v>77.055746975539009</c:v>
                </c:pt>
                <c:pt idx="1232">
                  <c:v>70.940394422885518</c:v>
                </c:pt>
                <c:pt idx="1233">
                  <c:v>70.792442344998747</c:v>
                </c:pt>
                <c:pt idx="1234">
                  <c:v>70.792442344998747</c:v>
                </c:pt>
                <c:pt idx="1235">
                  <c:v>70.743124985703147</c:v>
                </c:pt>
                <c:pt idx="1236">
                  <c:v>70.05268195556485</c:v>
                </c:pt>
                <c:pt idx="1237">
                  <c:v>69.806095159086894</c:v>
                </c:pt>
                <c:pt idx="1238">
                  <c:v>69.756777799791294</c:v>
                </c:pt>
                <c:pt idx="1239">
                  <c:v>70.003364596269265</c:v>
                </c:pt>
                <c:pt idx="1240">
                  <c:v>69.855412518382479</c:v>
                </c:pt>
                <c:pt idx="1241">
                  <c:v>69.608825721904523</c:v>
                </c:pt>
                <c:pt idx="1242">
                  <c:v>69.460873644017738</c:v>
                </c:pt>
                <c:pt idx="1243">
                  <c:v>69.017017410357411</c:v>
                </c:pt>
                <c:pt idx="1244">
                  <c:v>68.819747973175041</c:v>
                </c:pt>
                <c:pt idx="1245">
                  <c:v>68.770430613879455</c:v>
                </c:pt>
                <c:pt idx="1246">
                  <c:v>68.967700051061826</c:v>
                </c:pt>
                <c:pt idx="1247">
                  <c:v>66.501832086282192</c:v>
                </c:pt>
                <c:pt idx="1248">
                  <c:v>66.304562649099822</c:v>
                </c:pt>
                <c:pt idx="1249">
                  <c:v>65.91002377473508</c:v>
                </c:pt>
                <c:pt idx="1250">
                  <c:v>65.66343697825711</c:v>
                </c:pt>
                <c:pt idx="1251">
                  <c:v>64.972993948118813</c:v>
                </c:pt>
                <c:pt idx="1252">
                  <c:v>64.726407151640856</c:v>
                </c:pt>
                <c:pt idx="1253">
                  <c:v>63.888012043615781</c:v>
                </c:pt>
                <c:pt idx="1254">
                  <c:v>63.69074260643341</c:v>
                </c:pt>
                <c:pt idx="1255">
                  <c:v>77.45028584990375</c:v>
                </c:pt>
                <c:pt idx="1256">
                  <c:v>61.47146143813174</c:v>
                </c:pt>
                <c:pt idx="1257">
                  <c:v>61.767365593905296</c:v>
                </c:pt>
                <c:pt idx="1258">
                  <c:v>61.718048234609711</c:v>
                </c:pt>
                <c:pt idx="1259">
                  <c:v>62.161904468270038</c:v>
                </c:pt>
                <c:pt idx="1260">
                  <c:v>75.724178274558</c:v>
                </c:pt>
                <c:pt idx="1261">
                  <c:v>76.463938663991897</c:v>
                </c:pt>
                <c:pt idx="1262">
                  <c:v>66.107293211917451</c:v>
                </c:pt>
                <c:pt idx="1263">
                  <c:v>65.811389056143895</c:v>
                </c:pt>
                <c:pt idx="1264">
                  <c:v>65.416850181779154</c:v>
                </c:pt>
                <c:pt idx="1265">
                  <c:v>76.315986586105112</c:v>
                </c:pt>
                <c:pt idx="1266">
                  <c:v>63.394838450659854</c:v>
                </c:pt>
                <c:pt idx="1267">
                  <c:v>63.69074260643341</c:v>
                </c:pt>
                <c:pt idx="1268">
                  <c:v>63.049616935590706</c:v>
                </c:pt>
                <c:pt idx="1269">
                  <c:v>61.422144078836155</c:v>
                </c:pt>
                <c:pt idx="1270">
                  <c:v>75.773495633853599</c:v>
                </c:pt>
                <c:pt idx="1271">
                  <c:v>58.019246287440268</c:v>
                </c:pt>
                <c:pt idx="1272">
                  <c:v>75.231004681602073</c:v>
                </c:pt>
                <c:pt idx="1273">
                  <c:v>57.1315338201196</c:v>
                </c:pt>
                <c:pt idx="1274">
                  <c:v>71.285615937954674</c:v>
                </c:pt>
                <c:pt idx="1275">
                  <c:v>71.137663860067889</c:v>
                </c:pt>
                <c:pt idx="1276">
                  <c:v>70.891077063589933</c:v>
                </c:pt>
                <c:pt idx="1277">
                  <c:v>70.743124985703147</c:v>
                </c:pt>
                <c:pt idx="1278">
                  <c:v>70.496538189225191</c:v>
                </c:pt>
                <c:pt idx="1279">
                  <c:v>69.115652128948597</c:v>
                </c:pt>
                <c:pt idx="1280">
                  <c:v>70.397903470634006</c:v>
                </c:pt>
                <c:pt idx="1281">
                  <c:v>70.249951392747221</c:v>
                </c:pt>
                <c:pt idx="1282">
                  <c:v>70.05268195556485</c:v>
                </c:pt>
                <c:pt idx="1283">
                  <c:v>76.809160179061038</c:v>
                </c:pt>
                <c:pt idx="1284">
                  <c:v>69.608825721904523</c:v>
                </c:pt>
                <c:pt idx="1285">
                  <c:v>69.263604206835367</c:v>
                </c:pt>
                <c:pt idx="1286">
                  <c:v>69.017017410357411</c:v>
                </c:pt>
                <c:pt idx="1287">
                  <c:v>68.967700051061826</c:v>
                </c:pt>
                <c:pt idx="1288">
                  <c:v>76.710525460469853</c:v>
                </c:pt>
                <c:pt idx="1289">
                  <c:v>68.178622302332343</c:v>
                </c:pt>
                <c:pt idx="1290">
                  <c:v>68.129304943036743</c:v>
                </c:pt>
                <c:pt idx="1291">
                  <c:v>68.030670224445558</c:v>
                </c:pt>
                <c:pt idx="1292">
                  <c:v>67.833400787263187</c:v>
                </c:pt>
                <c:pt idx="1293">
                  <c:v>76.414621304696297</c:v>
                </c:pt>
                <c:pt idx="1294">
                  <c:v>76.562573382583082</c:v>
                </c:pt>
                <c:pt idx="1295">
                  <c:v>66.995005679238119</c:v>
                </c:pt>
                <c:pt idx="1296">
                  <c:v>66.896370960646934</c:v>
                </c:pt>
                <c:pt idx="1297">
                  <c:v>76.513256023287482</c:v>
                </c:pt>
                <c:pt idx="1298">
                  <c:v>66.649784164168963</c:v>
                </c:pt>
                <c:pt idx="1299">
                  <c:v>66.551149445577778</c:v>
                </c:pt>
                <c:pt idx="1300">
                  <c:v>66.501832086282192</c:v>
                </c:pt>
                <c:pt idx="1301">
                  <c:v>68.129304943036743</c:v>
                </c:pt>
                <c:pt idx="1302">
                  <c:v>67.932035505854373</c:v>
                </c:pt>
                <c:pt idx="1303">
                  <c:v>77.499603209199336</c:v>
                </c:pt>
                <c:pt idx="1304">
                  <c:v>76.315986586105112</c:v>
                </c:pt>
                <c:pt idx="1305">
                  <c:v>67.14295775712489</c:v>
                </c:pt>
                <c:pt idx="1306">
                  <c:v>66.797736242055748</c:v>
                </c:pt>
                <c:pt idx="1307">
                  <c:v>66.501832086282192</c:v>
                </c:pt>
                <c:pt idx="1308">
                  <c:v>76.463938663991897</c:v>
                </c:pt>
                <c:pt idx="1309">
                  <c:v>65.959341134030666</c:v>
                </c:pt>
                <c:pt idx="1310">
                  <c:v>65.66343697825711</c:v>
                </c:pt>
                <c:pt idx="1311">
                  <c:v>65.416850181779154</c:v>
                </c:pt>
                <c:pt idx="1312">
                  <c:v>71.53220273443263</c:v>
                </c:pt>
                <c:pt idx="1313">
                  <c:v>71.58152009372823</c:v>
                </c:pt>
                <c:pt idx="1314">
                  <c:v>71.384250656545859</c:v>
                </c:pt>
                <c:pt idx="1315">
                  <c:v>71.334933297250259</c:v>
                </c:pt>
                <c:pt idx="1316">
                  <c:v>71.285615937954674</c:v>
                </c:pt>
                <c:pt idx="1317">
                  <c:v>71.137663860067889</c:v>
                </c:pt>
                <c:pt idx="1318">
                  <c:v>71.088346500772303</c:v>
                </c:pt>
                <c:pt idx="1319">
                  <c:v>71.088346500772303</c:v>
                </c:pt>
                <c:pt idx="1320">
                  <c:v>71.039029141476703</c:v>
                </c:pt>
                <c:pt idx="1321">
                  <c:v>70.940394422885518</c:v>
                </c:pt>
                <c:pt idx="1322">
                  <c:v>70.989711782181118</c:v>
                </c:pt>
                <c:pt idx="1323">
                  <c:v>76.759842819765453</c:v>
                </c:pt>
                <c:pt idx="1324">
                  <c:v>69.115652128948597</c:v>
                </c:pt>
                <c:pt idx="1325">
                  <c:v>69.017017410357411</c:v>
                </c:pt>
                <c:pt idx="1326">
                  <c:v>68.869065332470626</c:v>
                </c:pt>
                <c:pt idx="1327">
                  <c:v>76.710525460469853</c:v>
                </c:pt>
                <c:pt idx="1328">
                  <c:v>68.62247853599267</c:v>
                </c:pt>
                <c:pt idx="1329">
                  <c:v>68.523843817401485</c:v>
                </c:pt>
                <c:pt idx="1330">
                  <c:v>68.474526458105885</c:v>
                </c:pt>
                <c:pt idx="1331">
                  <c:v>68.474526458105885</c:v>
                </c:pt>
                <c:pt idx="1332">
                  <c:v>68.474526458105885</c:v>
                </c:pt>
                <c:pt idx="1333">
                  <c:v>68.425209098810299</c:v>
                </c:pt>
                <c:pt idx="1334">
                  <c:v>68.474526458105885</c:v>
                </c:pt>
                <c:pt idx="1335">
                  <c:v>68.425209098810299</c:v>
                </c:pt>
                <c:pt idx="1336">
                  <c:v>68.375891739514714</c:v>
                </c:pt>
                <c:pt idx="1337">
                  <c:v>68.326574380219114</c:v>
                </c:pt>
                <c:pt idx="1338">
                  <c:v>54.764300573931152</c:v>
                </c:pt>
                <c:pt idx="1339">
                  <c:v>75.280322040897673</c:v>
                </c:pt>
                <c:pt idx="1340">
                  <c:v>57.328803257301971</c:v>
                </c:pt>
                <c:pt idx="1341">
                  <c:v>56.983581742232815</c:v>
                </c:pt>
                <c:pt idx="1342">
                  <c:v>56.687677586459259</c:v>
                </c:pt>
                <c:pt idx="1343">
                  <c:v>56.243821352798932</c:v>
                </c:pt>
                <c:pt idx="1344">
                  <c:v>55.849282478434191</c:v>
                </c:pt>
                <c:pt idx="1345">
                  <c:v>75.378956759488858</c:v>
                </c:pt>
                <c:pt idx="1346">
                  <c:v>68.573161176697084</c:v>
                </c:pt>
                <c:pt idx="1347">
                  <c:v>68.62247853599267</c:v>
                </c:pt>
                <c:pt idx="1348">
                  <c:v>68.523843817401485</c:v>
                </c:pt>
                <c:pt idx="1349">
                  <c:v>68.425209098810299</c:v>
                </c:pt>
                <c:pt idx="1350">
                  <c:v>68.326574380219114</c:v>
                </c:pt>
                <c:pt idx="1351">
                  <c:v>68.129304943036743</c:v>
                </c:pt>
                <c:pt idx="1352">
                  <c:v>68.079987583741143</c:v>
                </c:pt>
                <c:pt idx="1353">
                  <c:v>77.499603209199336</c:v>
                </c:pt>
                <c:pt idx="1354">
                  <c:v>77.499603209199336</c:v>
                </c:pt>
                <c:pt idx="1355">
                  <c:v>76.414621304696297</c:v>
                </c:pt>
                <c:pt idx="1356">
                  <c:v>76.168034508218341</c:v>
                </c:pt>
                <c:pt idx="1357">
                  <c:v>66.995005679238119</c:v>
                </c:pt>
                <c:pt idx="1358">
                  <c:v>76.513256023287482</c:v>
                </c:pt>
                <c:pt idx="1359">
                  <c:v>66.403197367691007</c:v>
                </c:pt>
                <c:pt idx="1360">
                  <c:v>66.008658493326266</c:v>
                </c:pt>
                <c:pt idx="1361">
                  <c:v>60.485114252219887</c:v>
                </c:pt>
                <c:pt idx="1362">
                  <c:v>59.30149762912567</c:v>
                </c:pt>
                <c:pt idx="1363">
                  <c:v>75.231004681602073</c:v>
                </c:pt>
                <c:pt idx="1364">
                  <c:v>57.230168538710785</c:v>
                </c:pt>
                <c:pt idx="1365">
                  <c:v>56.490408149276888</c:v>
                </c:pt>
                <c:pt idx="1366">
                  <c:v>55.454743604069449</c:v>
                </c:pt>
                <c:pt idx="1367">
                  <c:v>54.271126980975225</c:v>
                </c:pt>
                <c:pt idx="1368">
                  <c:v>53.630001310132521</c:v>
                </c:pt>
                <c:pt idx="1369">
                  <c:v>53.136827717176601</c:v>
                </c:pt>
                <c:pt idx="1370">
                  <c:v>53.038192998585416</c:v>
                </c:pt>
                <c:pt idx="1371">
                  <c:v>53.087510357881001</c:v>
                </c:pt>
                <c:pt idx="1372">
                  <c:v>53.679318669428113</c:v>
                </c:pt>
                <c:pt idx="1373">
                  <c:v>54.961570011113523</c:v>
                </c:pt>
                <c:pt idx="1374">
                  <c:v>56.441090789981303</c:v>
                </c:pt>
                <c:pt idx="1375">
                  <c:v>58.019246287440268</c:v>
                </c:pt>
                <c:pt idx="1376">
                  <c:v>74.737831088646146</c:v>
                </c:pt>
                <c:pt idx="1377">
                  <c:v>77.302333772016965</c:v>
                </c:pt>
                <c:pt idx="1378">
                  <c:v>74.589879010759375</c:v>
                </c:pt>
                <c:pt idx="1379">
                  <c:v>74.49124429216819</c:v>
                </c:pt>
                <c:pt idx="1380">
                  <c:v>74.44192693287259</c:v>
                </c:pt>
                <c:pt idx="1381">
                  <c:v>74.343292214281405</c:v>
                </c:pt>
                <c:pt idx="1382">
                  <c:v>77.253016412721379</c:v>
                </c:pt>
                <c:pt idx="1383">
                  <c:v>74.047388058507849</c:v>
                </c:pt>
                <c:pt idx="1384">
                  <c:v>73.998070699212263</c:v>
                </c:pt>
                <c:pt idx="1385">
                  <c:v>73.800801262029893</c:v>
                </c:pt>
                <c:pt idx="1386">
                  <c:v>73.702166543438707</c:v>
                </c:pt>
                <c:pt idx="1387">
                  <c:v>73.504897106256337</c:v>
                </c:pt>
                <c:pt idx="1388">
                  <c:v>73.504897106256337</c:v>
                </c:pt>
                <c:pt idx="1389">
                  <c:v>73.455579746960737</c:v>
                </c:pt>
                <c:pt idx="1390">
                  <c:v>73.356945028369552</c:v>
                </c:pt>
                <c:pt idx="1391">
                  <c:v>70.644490267111962</c:v>
                </c:pt>
                <c:pt idx="1392">
                  <c:v>70.595172907816377</c:v>
                </c:pt>
                <c:pt idx="1393">
                  <c:v>70.545855548520777</c:v>
                </c:pt>
                <c:pt idx="1394">
                  <c:v>70.644490267111962</c:v>
                </c:pt>
                <c:pt idx="1395">
                  <c:v>70.792442344998747</c:v>
                </c:pt>
                <c:pt idx="1396">
                  <c:v>68.573161176697084</c:v>
                </c:pt>
                <c:pt idx="1397">
                  <c:v>69.115652128948597</c:v>
                </c:pt>
                <c:pt idx="1398">
                  <c:v>70.397903470634006</c:v>
                </c:pt>
                <c:pt idx="1399">
                  <c:v>70.447220829929591</c:v>
                </c:pt>
                <c:pt idx="1400">
                  <c:v>70.792442344998747</c:v>
                </c:pt>
                <c:pt idx="1401">
                  <c:v>67.882718146558773</c:v>
                </c:pt>
                <c:pt idx="1402">
                  <c:v>70.397903470634006</c:v>
                </c:pt>
                <c:pt idx="1403">
                  <c:v>68.819747973175041</c:v>
                </c:pt>
                <c:pt idx="1404">
                  <c:v>68.770430613879455</c:v>
                </c:pt>
                <c:pt idx="1405">
                  <c:v>68.819747973175041</c:v>
                </c:pt>
                <c:pt idx="1406">
                  <c:v>68.375891739514714</c:v>
                </c:pt>
                <c:pt idx="1407">
                  <c:v>76.661208101174267</c:v>
                </c:pt>
                <c:pt idx="1408">
                  <c:v>67.932035505854373</c:v>
                </c:pt>
                <c:pt idx="1409">
                  <c:v>67.932035505854373</c:v>
                </c:pt>
                <c:pt idx="1410">
                  <c:v>76.513256023287482</c:v>
                </c:pt>
                <c:pt idx="1411">
                  <c:v>67.784083427967602</c:v>
                </c:pt>
                <c:pt idx="1412">
                  <c:v>76.365303945400711</c:v>
                </c:pt>
                <c:pt idx="1413">
                  <c:v>58.759006676874151</c:v>
                </c:pt>
                <c:pt idx="1414">
                  <c:v>58.216515724622631</c:v>
                </c:pt>
                <c:pt idx="1415">
                  <c:v>57.279485898006371</c:v>
                </c:pt>
                <c:pt idx="1416">
                  <c:v>55.997234556320961</c:v>
                </c:pt>
                <c:pt idx="1417">
                  <c:v>54.961570011113523</c:v>
                </c:pt>
                <c:pt idx="1418">
                  <c:v>75.329639400193258</c:v>
                </c:pt>
                <c:pt idx="1419">
                  <c:v>54.073857543792855</c:v>
                </c:pt>
                <c:pt idx="1420">
                  <c:v>75.083052603715302</c:v>
                </c:pt>
                <c:pt idx="1421">
                  <c:v>49.7832472850763</c:v>
                </c:pt>
                <c:pt idx="1422">
                  <c:v>74.49124429216819</c:v>
                </c:pt>
                <c:pt idx="1423">
                  <c:v>74.195340136394634</c:v>
                </c:pt>
                <c:pt idx="1424">
                  <c:v>77.302333772016965</c:v>
                </c:pt>
                <c:pt idx="1425">
                  <c:v>48.648948021277675</c:v>
                </c:pt>
                <c:pt idx="1426">
                  <c:v>49.585977847893929</c:v>
                </c:pt>
                <c:pt idx="1427">
                  <c:v>51.164133345352894</c:v>
                </c:pt>
                <c:pt idx="1428">
                  <c:v>74.935100525828517</c:v>
                </c:pt>
                <c:pt idx="1429">
                  <c:v>74.787148447941746</c:v>
                </c:pt>
                <c:pt idx="1430">
                  <c:v>74.787148447941746</c:v>
                </c:pt>
                <c:pt idx="1431">
                  <c:v>74.737831088646146</c:v>
                </c:pt>
                <c:pt idx="1432">
                  <c:v>71.630837453023815</c:v>
                </c:pt>
                <c:pt idx="1433">
                  <c:v>71.53220273443263</c:v>
                </c:pt>
                <c:pt idx="1434">
                  <c:v>71.334933297250259</c:v>
                </c:pt>
                <c:pt idx="1435">
                  <c:v>71.137663860067889</c:v>
                </c:pt>
                <c:pt idx="1436">
                  <c:v>70.989711782181118</c:v>
                </c:pt>
                <c:pt idx="1437">
                  <c:v>70.940394422885518</c:v>
                </c:pt>
                <c:pt idx="1438">
                  <c:v>70.940394422885518</c:v>
                </c:pt>
                <c:pt idx="1439">
                  <c:v>70.891077063589933</c:v>
                </c:pt>
                <c:pt idx="1440">
                  <c:v>69.608825721904523</c:v>
                </c:pt>
                <c:pt idx="1441">
                  <c:v>69.559508362608923</c:v>
                </c:pt>
                <c:pt idx="1442">
                  <c:v>69.510191003313338</c:v>
                </c:pt>
                <c:pt idx="1443">
                  <c:v>69.411556284722153</c:v>
                </c:pt>
                <c:pt idx="1444">
                  <c:v>69.164969488244182</c:v>
                </c:pt>
                <c:pt idx="1445">
                  <c:v>69.017017410357411</c:v>
                </c:pt>
                <c:pt idx="1446">
                  <c:v>68.819747973175041</c:v>
                </c:pt>
                <c:pt idx="1447">
                  <c:v>68.671795895288255</c:v>
                </c:pt>
                <c:pt idx="1448">
                  <c:v>68.573161176697084</c:v>
                </c:pt>
                <c:pt idx="1449">
                  <c:v>68.030670224445558</c:v>
                </c:pt>
                <c:pt idx="1450">
                  <c:v>68.869065332470626</c:v>
                </c:pt>
                <c:pt idx="1451">
                  <c:v>68.62247853599267</c:v>
                </c:pt>
                <c:pt idx="1452">
                  <c:v>68.079987583741143</c:v>
                </c:pt>
                <c:pt idx="1453">
                  <c:v>70.10199931486045</c:v>
                </c:pt>
                <c:pt idx="1454">
                  <c:v>70.05268195556485</c:v>
                </c:pt>
                <c:pt idx="1455">
                  <c:v>70.003364596269265</c:v>
                </c:pt>
                <c:pt idx="1456">
                  <c:v>69.954047236973665</c:v>
                </c:pt>
                <c:pt idx="1457">
                  <c:v>69.806095159086894</c:v>
                </c:pt>
                <c:pt idx="1458">
                  <c:v>76.809160179061038</c:v>
                </c:pt>
                <c:pt idx="1459">
                  <c:v>69.608825721904523</c:v>
                </c:pt>
                <c:pt idx="1460">
                  <c:v>69.460873644017738</c:v>
                </c:pt>
                <c:pt idx="1461">
                  <c:v>69.312921566130967</c:v>
                </c:pt>
                <c:pt idx="1462">
                  <c:v>68.869065332470626</c:v>
                </c:pt>
                <c:pt idx="1463">
                  <c:v>68.277257020923514</c:v>
                </c:pt>
                <c:pt idx="1464">
                  <c:v>68.277257020923514</c:v>
                </c:pt>
                <c:pt idx="1465">
                  <c:v>68.129304943036743</c:v>
                </c:pt>
                <c:pt idx="1466">
                  <c:v>68.030670224445558</c:v>
                </c:pt>
                <c:pt idx="1467">
                  <c:v>68.030670224445558</c:v>
                </c:pt>
                <c:pt idx="1468">
                  <c:v>69.954047236973665</c:v>
                </c:pt>
                <c:pt idx="1469">
                  <c:v>69.806095159086894</c:v>
                </c:pt>
                <c:pt idx="1470">
                  <c:v>69.756777799791294</c:v>
                </c:pt>
                <c:pt idx="1471">
                  <c:v>69.658143081200109</c:v>
                </c:pt>
                <c:pt idx="1472">
                  <c:v>69.559508362608923</c:v>
                </c:pt>
                <c:pt idx="1473">
                  <c:v>69.460873644017738</c:v>
                </c:pt>
                <c:pt idx="1474">
                  <c:v>69.312921566130967</c:v>
                </c:pt>
                <c:pt idx="1475">
                  <c:v>63.542790528546632</c:v>
                </c:pt>
                <c:pt idx="1476">
                  <c:v>63.444155809955447</c:v>
                </c:pt>
                <c:pt idx="1477">
                  <c:v>63.098934294886298</c:v>
                </c:pt>
                <c:pt idx="1478">
                  <c:v>75.92144771174037</c:v>
                </c:pt>
                <c:pt idx="1479">
                  <c:v>61.668730875314111</c:v>
                </c:pt>
                <c:pt idx="1480">
                  <c:v>61.027605204471413</c:v>
                </c:pt>
                <c:pt idx="1481">
                  <c:v>60.633066330106672</c:v>
                </c:pt>
                <c:pt idx="1482">
                  <c:v>70.940394422885518</c:v>
                </c:pt>
                <c:pt idx="1483">
                  <c:v>70.841759704294333</c:v>
                </c:pt>
                <c:pt idx="1484">
                  <c:v>70.792442344998747</c:v>
                </c:pt>
                <c:pt idx="1485">
                  <c:v>76.907794897652224</c:v>
                </c:pt>
                <c:pt idx="1486">
                  <c:v>70.595172907816377</c:v>
                </c:pt>
                <c:pt idx="1487">
                  <c:v>70.348586111338406</c:v>
                </c:pt>
                <c:pt idx="1488">
                  <c:v>70.447220829929591</c:v>
                </c:pt>
                <c:pt idx="1489">
                  <c:v>70.397903470634006</c:v>
                </c:pt>
                <c:pt idx="1490">
                  <c:v>70.299268752042821</c:v>
                </c:pt>
                <c:pt idx="1491">
                  <c:v>76.858477538356638</c:v>
                </c:pt>
                <c:pt idx="1492">
                  <c:v>70.151316674156035</c:v>
                </c:pt>
                <c:pt idx="1493">
                  <c:v>70.05268195556485</c:v>
                </c:pt>
                <c:pt idx="1494">
                  <c:v>69.954047236973665</c:v>
                </c:pt>
                <c:pt idx="1495">
                  <c:v>69.855412518382479</c:v>
                </c:pt>
                <c:pt idx="1496">
                  <c:v>69.806095159086894</c:v>
                </c:pt>
                <c:pt idx="1497">
                  <c:v>69.164969488244182</c:v>
                </c:pt>
                <c:pt idx="1498">
                  <c:v>69.115652128948597</c:v>
                </c:pt>
                <c:pt idx="1499">
                  <c:v>69.017017410357411</c:v>
                </c:pt>
                <c:pt idx="1500">
                  <c:v>68.918382691766226</c:v>
                </c:pt>
                <c:pt idx="1501">
                  <c:v>68.770430613879455</c:v>
                </c:pt>
                <c:pt idx="1502">
                  <c:v>68.573161176697084</c:v>
                </c:pt>
                <c:pt idx="1503">
                  <c:v>68.474526458105885</c:v>
                </c:pt>
                <c:pt idx="1504">
                  <c:v>68.375891739514714</c:v>
                </c:pt>
                <c:pt idx="1505">
                  <c:v>68.326574380219114</c:v>
                </c:pt>
                <c:pt idx="1506">
                  <c:v>68.277257020923514</c:v>
                </c:pt>
                <c:pt idx="1507">
                  <c:v>76.661208101174267</c:v>
                </c:pt>
                <c:pt idx="1508">
                  <c:v>68.178622302332343</c:v>
                </c:pt>
                <c:pt idx="1509">
                  <c:v>68.129304943036743</c:v>
                </c:pt>
                <c:pt idx="1510">
                  <c:v>77.006429616243409</c:v>
                </c:pt>
                <c:pt idx="1511">
                  <c:v>76.957112256947823</c:v>
                </c:pt>
                <c:pt idx="1512">
                  <c:v>76.957112256947823</c:v>
                </c:pt>
                <c:pt idx="1513">
                  <c:v>76.957112256947823</c:v>
                </c:pt>
                <c:pt idx="1514">
                  <c:v>77.006429616243409</c:v>
                </c:pt>
                <c:pt idx="1515">
                  <c:v>77.006429616243409</c:v>
                </c:pt>
                <c:pt idx="1516">
                  <c:v>77.006429616243409</c:v>
                </c:pt>
                <c:pt idx="1517">
                  <c:v>77.006429616243409</c:v>
                </c:pt>
                <c:pt idx="1518">
                  <c:v>77.006429616243409</c:v>
                </c:pt>
                <c:pt idx="1519">
                  <c:v>76.907794897652224</c:v>
                </c:pt>
                <c:pt idx="1520">
                  <c:v>76.858477538356638</c:v>
                </c:pt>
                <c:pt idx="1521">
                  <c:v>76.759842819765453</c:v>
                </c:pt>
                <c:pt idx="1522">
                  <c:v>76.661208101174267</c:v>
                </c:pt>
                <c:pt idx="1523">
                  <c:v>77.055746975539009</c:v>
                </c:pt>
                <c:pt idx="1524">
                  <c:v>72.074693686684157</c:v>
                </c:pt>
                <c:pt idx="1525">
                  <c:v>76.759842819765453</c:v>
                </c:pt>
                <c:pt idx="1526">
                  <c:v>76.661208101174267</c:v>
                </c:pt>
                <c:pt idx="1527">
                  <c:v>72.074693686684157</c:v>
                </c:pt>
                <c:pt idx="1528">
                  <c:v>71.976058968092971</c:v>
                </c:pt>
                <c:pt idx="1529">
                  <c:v>71.877424249501786</c:v>
                </c:pt>
                <c:pt idx="1530">
                  <c:v>71.778789530910601</c:v>
                </c:pt>
                <c:pt idx="1531">
                  <c:v>71.630837453023815</c:v>
                </c:pt>
                <c:pt idx="1532">
                  <c:v>71.482885375137045</c:v>
                </c:pt>
                <c:pt idx="1533">
                  <c:v>71.384250656545859</c:v>
                </c:pt>
                <c:pt idx="1534">
                  <c:v>71.236298578659074</c:v>
                </c:pt>
                <c:pt idx="1535">
                  <c:v>71.088346500772303</c:v>
                </c:pt>
                <c:pt idx="1536">
                  <c:v>70.940394422885518</c:v>
                </c:pt>
                <c:pt idx="1537">
                  <c:v>70.792442344998747</c:v>
                </c:pt>
                <c:pt idx="1538">
                  <c:v>76.907794897652224</c:v>
                </c:pt>
                <c:pt idx="1539">
                  <c:v>70.545855548520777</c:v>
                </c:pt>
                <c:pt idx="1540">
                  <c:v>66.896370960646934</c:v>
                </c:pt>
                <c:pt idx="1541">
                  <c:v>66.353880008395407</c:v>
                </c:pt>
                <c:pt idx="1542">
                  <c:v>76.513256023287482</c:v>
                </c:pt>
                <c:pt idx="1543">
                  <c:v>66.896370960646934</c:v>
                </c:pt>
                <c:pt idx="1544">
                  <c:v>67.19227511642049</c:v>
                </c:pt>
                <c:pt idx="1545">
                  <c:v>66.995005679238119</c:v>
                </c:pt>
                <c:pt idx="1546">
                  <c:v>66.008658493326266</c:v>
                </c:pt>
                <c:pt idx="1547">
                  <c:v>65.71275433755271</c:v>
                </c:pt>
                <c:pt idx="1548">
                  <c:v>65.515484900370339</c:v>
                </c:pt>
                <c:pt idx="1549">
                  <c:v>65.367532822483554</c:v>
                </c:pt>
                <c:pt idx="1550">
                  <c:v>65.860706415439481</c:v>
                </c:pt>
                <c:pt idx="1551">
                  <c:v>66.205927930508636</c:v>
                </c:pt>
                <c:pt idx="1552">
                  <c:v>66.304562649099822</c:v>
                </c:pt>
                <c:pt idx="1553">
                  <c:v>75.724178274558</c:v>
                </c:pt>
                <c:pt idx="1554">
                  <c:v>61.570096156722926</c:v>
                </c:pt>
                <c:pt idx="1555">
                  <c:v>60.879653126584628</c:v>
                </c:pt>
                <c:pt idx="1556">
                  <c:v>60.485114252219887</c:v>
                </c:pt>
                <c:pt idx="1557">
                  <c:v>59.745353862786004</c:v>
                </c:pt>
                <c:pt idx="1558">
                  <c:v>58.956276114056521</c:v>
                </c:pt>
                <c:pt idx="1559">
                  <c:v>75.576226196671229</c:v>
                </c:pt>
                <c:pt idx="1560">
                  <c:v>75.576226196671229</c:v>
                </c:pt>
                <c:pt idx="1561">
                  <c:v>75.576226196671229</c:v>
                </c:pt>
                <c:pt idx="1562">
                  <c:v>55.602695681956227</c:v>
                </c:pt>
                <c:pt idx="1563">
                  <c:v>53.679318669428113</c:v>
                </c:pt>
                <c:pt idx="1564">
                  <c:v>74.984417885124117</c:v>
                </c:pt>
                <c:pt idx="1565">
                  <c:v>51.805259016195592</c:v>
                </c:pt>
                <c:pt idx="1566">
                  <c:v>76.463938663991897</c:v>
                </c:pt>
                <c:pt idx="1567">
                  <c:v>67.833400787263187</c:v>
                </c:pt>
                <c:pt idx="1568">
                  <c:v>76.365303945400711</c:v>
                </c:pt>
                <c:pt idx="1569">
                  <c:v>76.414621304696297</c:v>
                </c:pt>
                <c:pt idx="1570">
                  <c:v>67.14295775712489</c:v>
                </c:pt>
                <c:pt idx="1571">
                  <c:v>66.205927930508636</c:v>
                </c:pt>
                <c:pt idx="1572">
                  <c:v>64.134598840093744</c:v>
                </c:pt>
                <c:pt idx="1573">
                  <c:v>63.937329402911374</c:v>
                </c:pt>
                <c:pt idx="1574">
                  <c:v>64.4305029958673</c:v>
                </c:pt>
                <c:pt idx="1575">
                  <c:v>63.888012043615781</c:v>
                </c:pt>
                <c:pt idx="1576">
                  <c:v>64.4305029958673</c:v>
                </c:pt>
                <c:pt idx="1577">
                  <c:v>64.972993948118813</c:v>
                </c:pt>
                <c:pt idx="1578">
                  <c:v>64.972993948118813</c:v>
                </c:pt>
                <c:pt idx="1579">
                  <c:v>65.120946026005598</c:v>
                </c:pt>
                <c:pt idx="1580">
                  <c:v>64.923676588823227</c:v>
                </c:pt>
                <c:pt idx="1581">
                  <c:v>71.828106890206186</c:v>
                </c:pt>
                <c:pt idx="1582">
                  <c:v>71.828106890206186</c:v>
                </c:pt>
                <c:pt idx="1583">
                  <c:v>71.778789530910601</c:v>
                </c:pt>
                <c:pt idx="1584">
                  <c:v>72.124011045979742</c:v>
                </c:pt>
                <c:pt idx="1585">
                  <c:v>71.778789530910601</c:v>
                </c:pt>
                <c:pt idx="1586">
                  <c:v>71.778789530910601</c:v>
                </c:pt>
                <c:pt idx="1587">
                  <c:v>71.729472171615001</c:v>
                </c:pt>
                <c:pt idx="1588">
                  <c:v>71.482885375137045</c:v>
                </c:pt>
                <c:pt idx="1589">
                  <c:v>71.828106890206186</c:v>
                </c:pt>
                <c:pt idx="1590">
                  <c:v>71.53220273443263</c:v>
                </c:pt>
                <c:pt idx="1591">
                  <c:v>71.58152009372823</c:v>
                </c:pt>
                <c:pt idx="1592">
                  <c:v>71.630837453023815</c:v>
                </c:pt>
                <c:pt idx="1593">
                  <c:v>71.482885375137045</c:v>
                </c:pt>
                <c:pt idx="1594">
                  <c:v>71.53220273443263</c:v>
                </c:pt>
                <c:pt idx="1595">
                  <c:v>71.137663860067889</c:v>
                </c:pt>
                <c:pt idx="1596">
                  <c:v>68.523843817401485</c:v>
                </c:pt>
                <c:pt idx="1597">
                  <c:v>68.474526458105885</c:v>
                </c:pt>
                <c:pt idx="1598">
                  <c:v>68.523843817401485</c:v>
                </c:pt>
                <c:pt idx="1599">
                  <c:v>68.573161176697084</c:v>
                </c:pt>
                <c:pt idx="1600">
                  <c:v>68.573161176697084</c:v>
                </c:pt>
                <c:pt idx="1601">
                  <c:v>68.573161176697084</c:v>
                </c:pt>
                <c:pt idx="1602">
                  <c:v>68.523843817401485</c:v>
                </c:pt>
                <c:pt idx="1603">
                  <c:v>68.523843817401485</c:v>
                </c:pt>
                <c:pt idx="1604">
                  <c:v>68.474526458105885</c:v>
                </c:pt>
                <c:pt idx="1605">
                  <c:v>68.129304943036743</c:v>
                </c:pt>
                <c:pt idx="1606">
                  <c:v>68.573161176697084</c:v>
                </c:pt>
                <c:pt idx="1607">
                  <c:v>68.573161176697084</c:v>
                </c:pt>
                <c:pt idx="1608">
                  <c:v>68.425209098810299</c:v>
                </c:pt>
                <c:pt idx="1609">
                  <c:v>70.989711782181118</c:v>
                </c:pt>
                <c:pt idx="1610">
                  <c:v>70.940394422885518</c:v>
                </c:pt>
                <c:pt idx="1611">
                  <c:v>70.792442344998747</c:v>
                </c:pt>
                <c:pt idx="1612">
                  <c:v>70.644490267111962</c:v>
                </c:pt>
                <c:pt idx="1613">
                  <c:v>70.447220829929591</c:v>
                </c:pt>
                <c:pt idx="1614">
                  <c:v>70.249951392747221</c:v>
                </c:pt>
                <c:pt idx="1615">
                  <c:v>70.05268195556485</c:v>
                </c:pt>
                <c:pt idx="1616">
                  <c:v>69.855412518382479</c:v>
                </c:pt>
                <c:pt idx="1617">
                  <c:v>69.658143081200109</c:v>
                </c:pt>
                <c:pt idx="1618">
                  <c:v>69.460873644017738</c:v>
                </c:pt>
                <c:pt idx="1619">
                  <c:v>69.263604206835367</c:v>
                </c:pt>
                <c:pt idx="1620">
                  <c:v>69.066334769652997</c:v>
                </c:pt>
                <c:pt idx="1621">
                  <c:v>68.918382691766226</c:v>
                </c:pt>
                <c:pt idx="1622">
                  <c:v>68.770430613879455</c:v>
                </c:pt>
                <c:pt idx="1623">
                  <c:v>76.710525460469853</c:v>
                </c:pt>
                <c:pt idx="1624">
                  <c:v>62.112587108974445</c:v>
                </c:pt>
                <c:pt idx="1625">
                  <c:v>61.422144078836155</c:v>
                </c:pt>
                <c:pt idx="1626">
                  <c:v>60.386479533628702</c:v>
                </c:pt>
                <c:pt idx="1627">
                  <c:v>59.548084425603633</c:v>
                </c:pt>
                <c:pt idx="1628">
                  <c:v>59.696036503490411</c:v>
                </c:pt>
                <c:pt idx="1629">
                  <c:v>59.449449707012448</c:v>
                </c:pt>
                <c:pt idx="1630">
                  <c:v>75.378956759488858</c:v>
                </c:pt>
                <c:pt idx="1631">
                  <c:v>53.580683950836928</c:v>
                </c:pt>
                <c:pt idx="1632">
                  <c:v>51.657306938308821</c:v>
                </c:pt>
                <c:pt idx="1633">
                  <c:v>50.276420878032226</c:v>
                </c:pt>
                <c:pt idx="1634">
                  <c:v>59.30149762912567</c:v>
                </c:pt>
                <c:pt idx="1635">
                  <c:v>57.920611568849083</c:v>
                </c:pt>
                <c:pt idx="1636">
                  <c:v>56.441090789981303</c:v>
                </c:pt>
                <c:pt idx="1637">
                  <c:v>54.714983214635559</c:v>
                </c:pt>
                <c:pt idx="1638">
                  <c:v>51.607989579013221</c:v>
                </c:pt>
                <c:pt idx="1639">
                  <c:v>48.648948021277675</c:v>
                </c:pt>
                <c:pt idx="1640">
                  <c:v>46.429666852976005</c:v>
                </c:pt>
                <c:pt idx="1641">
                  <c:v>74.293974854985819</c:v>
                </c:pt>
                <c:pt idx="1642">
                  <c:v>77.253016412721379</c:v>
                </c:pt>
                <c:pt idx="1643">
                  <c:v>42.237691312850636</c:v>
                </c:pt>
                <c:pt idx="1644">
                  <c:v>41.94178715707708</c:v>
                </c:pt>
                <c:pt idx="1645">
                  <c:v>42.336326031441821</c:v>
                </c:pt>
                <c:pt idx="1646">
                  <c:v>73.998070699212263</c:v>
                </c:pt>
                <c:pt idx="1647">
                  <c:v>43.766529451014001</c:v>
                </c:pt>
                <c:pt idx="1648">
                  <c:v>44.802193996221447</c:v>
                </c:pt>
              </c:numCache>
            </c:numRef>
          </c:xVal>
          <c:yVal>
            <c:numRef>
              <c:f>Regression!RegChartScaleLoc</c:f>
              <c:numCache>
                <c:formatCode>0.0000</c:formatCode>
                <c:ptCount val="1649"/>
                <c:pt idx="0">
                  <c:v>0.24386089976838693</c:v>
                </c:pt>
                <c:pt idx="1">
                  <c:v>0.83205223578621912</c:v>
                </c:pt>
                <c:pt idx="2">
                  <c:v>0.84613265920114444</c:v>
                </c:pt>
                <c:pt idx="3">
                  <c:v>0.86506744540511049</c:v>
                </c:pt>
                <c:pt idx="4">
                  <c:v>0.87900146468062168</c:v>
                </c:pt>
                <c:pt idx="5">
                  <c:v>0.89724436728762247</c:v>
                </c:pt>
                <c:pt idx="6">
                  <c:v>0.90622844487058585</c:v>
                </c:pt>
                <c:pt idx="7">
                  <c:v>0.92405748393161025</c:v>
                </c:pt>
                <c:pt idx="8">
                  <c:v>0.94167098409596894</c:v>
                </c:pt>
                <c:pt idx="9">
                  <c:v>0.95848901686282062</c:v>
                </c:pt>
                <c:pt idx="10">
                  <c:v>0.97478382027972421</c:v>
                </c:pt>
                <c:pt idx="11">
                  <c:v>0.99115457360387882</c:v>
                </c:pt>
                <c:pt idx="12">
                  <c:v>1.007259676012999</c:v>
                </c:pt>
                <c:pt idx="13">
                  <c:v>1.842880706005017</c:v>
                </c:pt>
                <c:pt idx="14">
                  <c:v>1.0358122380390269</c:v>
                </c:pt>
                <c:pt idx="15">
                  <c:v>1.0551945117054569</c:v>
                </c:pt>
                <c:pt idx="16">
                  <c:v>0.7844009671292046</c:v>
                </c:pt>
                <c:pt idx="17">
                  <c:v>0.21760782915908733</c:v>
                </c:pt>
                <c:pt idx="18">
                  <c:v>0.77343220699942772</c:v>
                </c:pt>
                <c:pt idx="19">
                  <c:v>0.75234581166200798</c:v>
                </c:pt>
                <c:pt idx="20">
                  <c:v>0.73065146179872875</c:v>
                </c:pt>
                <c:pt idx="21">
                  <c:v>0.70255330102088076</c:v>
                </c:pt>
                <c:pt idx="22">
                  <c:v>0.69109029005549394</c:v>
                </c:pt>
                <c:pt idx="23">
                  <c:v>0.59952139659936232</c:v>
                </c:pt>
                <c:pt idx="24">
                  <c:v>0.44773547773830519</c:v>
                </c:pt>
                <c:pt idx="25">
                  <c:v>0.48692679900989871</c:v>
                </c:pt>
                <c:pt idx="26">
                  <c:v>0.73260520776309301</c:v>
                </c:pt>
                <c:pt idx="27">
                  <c:v>0.77514163371658074</c:v>
                </c:pt>
                <c:pt idx="28">
                  <c:v>0.79051936204196349</c:v>
                </c:pt>
                <c:pt idx="29">
                  <c:v>0.75410338793482501</c:v>
                </c:pt>
                <c:pt idx="30">
                  <c:v>0.72705849947153367</c:v>
                </c:pt>
                <c:pt idx="31">
                  <c:v>0.84384805900886495</c:v>
                </c:pt>
                <c:pt idx="32">
                  <c:v>0.51440002437893406</c:v>
                </c:pt>
                <c:pt idx="33">
                  <c:v>0.71779252746201228</c:v>
                </c:pt>
                <c:pt idx="34">
                  <c:v>0.70082399829591302</c:v>
                </c:pt>
                <c:pt idx="35">
                  <c:v>0.69486466128428359</c:v>
                </c:pt>
                <c:pt idx="36">
                  <c:v>0.68885396655677245</c:v>
                </c:pt>
                <c:pt idx="37">
                  <c:v>0.67683527994143189</c:v>
                </c:pt>
                <c:pt idx="38">
                  <c:v>0.65864667749562944</c:v>
                </c:pt>
                <c:pt idx="39">
                  <c:v>0.6399416256799163</c:v>
                </c:pt>
                <c:pt idx="40">
                  <c:v>0.60766896502161794</c:v>
                </c:pt>
                <c:pt idx="41">
                  <c:v>0.56648208199241168</c:v>
                </c:pt>
                <c:pt idx="42">
                  <c:v>0.85811726338130367</c:v>
                </c:pt>
                <c:pt idx="43">
                  <c:v>1.1816455538309709</c:v>
                </c:pt>
                <c:pt idx="44">
                  <c:v>1.1987827659219514</c:v>
                </c:pt>
                <c:pt idx="45">
                  <c:v>0.79386040017363557</c:v>
                </c:pt>
                <c:pt idx="46">
                  <c:v>1.185676264432987</c:v>
                </c:pt>
                <c:pt idx="47">
                  <c:v>1.2641728132329204</c:v>
                </c:pt>
                <c:pt idx="48">
                  <c:v>1.2831899872030839</c:v>
                </c:pt>
                <c:pt idx="49">
                  <c:v>1.3018368593505671</c:v>
                </c:pt>
                <c:pt idx="50">
                  <c:v>1.3203142420767575</c:v>
                </c:pt>
                <c:pt idx="51">
                  <c:v>0.84039094277018433</c:v>
                </c:pt>
                <c:pt idx="52">
                  <c:v>0.82594500103229374</c:v>
                </c:pt>
                <c:pt idx="53">
                  <c:v>0.42049861946768652</c:v>
                </c:pt>
                <c:pt idx="54">
                  <c:v>0.45692580619866613</c:v>
                </c:pt>
                <c:pt idx="55">
                  <c:v>0.78617282663241483</c:v>
                </c:pt>
                <c:pt idx="56">
                  <c:v>0.82062558741823888</c:v>
                </c:pt>
                <c:pt idx="57">
                  <c:v>0.80092336308305112</c:v>
                </c:pt>
                <c:pt idx="58">
                  <c:v>0.75449661083097774</c:v>
                </c:pt>
                <c:pt idx="59">
                  <c:v>0.785752570004566</c:v>
                </c:pt>
                <c:pt idx="60">
                  <c:v>0.75464229723836862</c:v>
                </c:pt>
                <c:pt idx="61">
                  <c:v>0.6005897958048283</c:v>
                </c:pt>
                <c:pt idx="62">
                  <c:v>0.72143270726294884</c:v>
                </c:pt>
                <c:pt idx="63">
                  <c:v>0.72687164302406626</c:v>
                </c:pt>
                <c:pt idx="64">
                  <c:v>0.62013930777583282</c:v>
                </c:pt>
                <c:pt idx="65">
                  <c:v>0.67683527994143189</c:v>
                </c:pt>
                <c:pt idx="66">
                  <c:v>0.66509512674466043</c:v>
                </c:pt>
                <c:pt idx="67">
                  <c:v>0.64623677017968706</c:v>
                </c:pt>
                <c:pt idx="68">
                  <c:v>0.62067341356750116</c:v>
                </c:pt>
                <c:pt idx="69">
                  <c:v>0.62663758428732308</c:v>
                </c:pt>
                <c:pt idx="70">
                  <c:v>0.76976457468582504</c:v>
                </c:pt>
                <c:pt idx="71">
                  <c:v>0.62067341356750116</c:v>
                </c:pt>
                <c:pt idx="72">
                  <c:v>0.60024098225121447</c:v>
                </c:pt>
                <c:pt idx="73">
                  <c:v>0.58715690291541012</c:v>
                </c:pt>
                <c:pt idx="74">
                  <c:v>0.55259923092063701</c:v>
                </c:pt>
                <c:pt idx="75">
                  <c:v>0.52268465307921563</c:v>
                </c:pt>
                <c:pt idx="76">
                  <c:v>0.50717390982679333</c:v>
                </c:pt>
                <c:pt idx="77">
                  <c:v>0.55889893533373347</c:v>
                </c:pt>
                <c:pt idx="78">
                  <c:v>0.47371212843390281</c:v>
                </c:pt>
                <c:pt idx="79">
                  <c:v>0.92878184989868406</c:v>
                </c:pt>
                <c:pt idx="80">
                  <c:v>1.1241907662569828</c:v>
                </c:pt>
                <c:pt idx="81">
                  <c:v>1.1098877224062</c:v>
                </c:pt>
                <c:pt idx="82">
                  <c:v>1.0952938617664585</c:v>
                </c:pt>
                <c:pt idx="83">
                  <c:v>1.0915888818370147</c:v>
                </c:pt>
                <c:pt idx="84">
                  <c:v>1.0841410918210279</c:v>
                </c:pt>
                <c:pt idx="85">
                  <c:v>1.0542556407897909</c:v>
                </c:pt>
                <c:pt idx="86">
                  <c:v>1.0542556407897909</c:v>
                </c:pt>
                <c:pt idx="87">
                  <c:v>1.0466509534833686</c:v>
                </c:pt>
                <c:pt idx="88">
                  <c:v>1.0350844567933299</c:v>
                </c:pt>
                <c:pt idx="89">
                  <c:v>1.3733089607029141</c:v>
                </c:pt>
                <c:pt idx="90">
                  <c:v>1.1926561073491819</c:v>
                </c:pt>
                <c:pt idx="91">
                  <c:v>0.97103581862502109</c:v>
                </c:pt>
                <c:pt idx="92">
                  <c:v>0.97911274273830107</c:v>
                </c:pt>
                <c:pt idx="93">
                  <c:v>1.061805864481141</c:v>
                </c:pt>
                <c:pt idx="94">
                  <c:v>1.0465426483348499</c:v>
                </c:pt>
                <c:pt idx="95">
                  <c:v>1.3105471206733783</c:v>
                </c:pt>
                <c:pt idx="96">
                  <c:v>1.4956576232279857</c:v>
                </c:pt>
                <c:pt idx="97">
                  <c:v>1.2703093035435147</c:v>
                </c:pt>
                <c:pt idx="98">
                  <c:v>1.144513246663436</c:v>
                </c:pt>
                <c:pt idx="99">
                  <c:v>1.2734044717330715</c:v>
                </c:pt>
                <c:pt idx="100">
                  <c:v>0.77891185466950519</c:v>
                </c:pt>
                <c:pt idx="101">
                  <c:v>0.99495681592183483</c:v>
                </c:pt>
                <c:pt idx="102">
                  <c:v>0.97853895749613018</c:v>
                </c:pt>
                <c:pt idx="103">
                  <c:v>0.97439138599265052</c:v>
                </c:pt>
                <c:pt idx="104">
                  <c:v>0.94091046725364436</c:v>
                </c:pt>
                <c:pt idx="105">
                  <c:v>0.49700159338409089</c:v>
                </c:pt>
                <c:pt idx="106">
                  <c:v>0.94067293966965171</c:v>
                </c:pt>
                <c:pt idx="107">
                  <c:v>0.91460037546622663</c:v>
                </c:pt>
                <c:pt idx="108">
                  <c:v>0.3508362942116105</c:v>
                </c:pt>
                <c:pt idx="109">
                  <c:v>0.30152803549269447</c:v>
                </c:pt>
                <c:pt idx="110">
                  <c:v>0.24238905920968798</c:v>
                </c:pt>
                <c:pt idx="111">
                  <c:v>0.16305210797530253</c:v>
                </c:pt>
                <c:pt idx="112">
                  <c:v>0.96748255631247504</c:v>
                </c:pt>
                <c:pt idx="113">
                  <c:v>1.0507433906376134</c:v>
                </c:pt>
                <c:pt idx="114">
                  <c:v>0.61340278425039929</c:v>
                </c:pt>
                <c:pt idx="115">
                  <c:v>0.79025263038788784</c:v>
                </c:pt>
                <c:pt idx="116">
                  <c:v>0.35822622347144467</c:v>
                </c:pt>
                <c:pt idx="117">
                  <c:v>0.43942239858145865</c:v>
                </c:pt>
                <c:pt idx="118">
                  <c:v>0.50607767006341076</c:v>
                </c:pt>
                <c:pt idx="119">
                  <c:v>0.59325883377532607</c:v>
                </c:pt>
                <c:pt idx="120">
                  <c:v>0.64418967370241731</c:v>
                </c:pt>
                <c:pt idx="121">
                  <c:v>0.22312163917608913</c:v>
                </c:pt>
                <c:pt idx="122">
                  <c:v>9.7577179885873944E-2</c:v>
                </c:pt>
                <c:pt idx="123">
                  <c:v>0.99181937568173018</c:v>
                </c:pt>
                <c:pt idx="124">
                  <c:v>0.79025263038788784</c:v>
                </c:pt>
                <c:pt idx="125">
                  <c:v>0.33323413818345698</c:v>
                </c:pt>
                <c:pt idx="126">
                  <c:v>0.39897861353371489</c:v>
                </c:pt>
                <c:pt idx="127">
                  <c:v>0.44659239305307208</c:v>
                </c:pt>
                <c:pt idx="128">
                  <c:v>0.4977962909010718</c:v>
                </c:pt>
                <c:pt idx="129">
                  <c:v>0.5511965160111878</c:v>
                </c:pt>
                <c:pt idx="130">
                  <c:v>0.58658172250689966</c:v>
                </c:pt>
                <c:pt idx="131">
                  <c:v>0.63270227899031994</c:v>
                </c:pt>
                <c:pt idx="132">
                  <c:v>0.67568205284543337</c:v>
                </c:pt>
                <c:pt idx="133">
                  <c:v>0.82063524368882224</c:v>
                </c:pt>
                <c:pt idx="134">
                  <c:v>0.87251283978583738</c:v>
                </c:pt>
                <c:pt idx="135">
                  <c:v>0.78617792612494342</c:v>
                </c:pt>
                <c:pt idx="136">
                  <c:v>0.96616139106896526</c:v>
                </c:pt>
                <c:pt idx="137">
                  <c:v>1.0071787872085656</c:v>
                </c:pt>
                <c:pt idx="138">
                  <c:v>0.75279114396356128</c:v>
                </c:pt>
                <c:pt idx="139">
                  <c:v>0.74225039088092259</c:v>
                </c:pt>
                <c:pt idx="140">
                  <c:v>0.73126289627617347</c:v>
                </c:pt>
                <c:pt idx="141">
                  <c:v>0.72451859833192711</c:v>
                </c:pt>
                <c:pt idx="142">
                  <c:v>0.68413836541409334</c:v>
                </c:pt>
                <c:pt idx="143">
                  <c:v>0.66679837933606578</c:v>
                </c:pt>
                <c:pt idx="144">
                  <c:v>0.6418899554179871</c:v>
                </c:pt>
                <c:pt idx="145">
                  <c:v>0.6348746846723462</c:v>
                </c:pt>
                <c:pt idx="146">
                  <c:v>0.64799915771640026</c:v>
                </c:pt>
                <c:pt idx="147">
                  <c:v>0.64239335603832182</c:v>
                </c:pt>
                <c:pt idx="148">
                  <c:v>1.5557524853876892</c:v>
                </c:pt>
                <c:pt idx="149">
                  <c:v>1.4521413792172977</c:v>
                </c:pt>
                <c:pt idx="150">
                  <c:v>1.2155431588642187</c:v>
                </c:pt>
                <c:pt idx="151">
                  <c:v>0.96246170844397383</c:v>
                </c:pt>
                <c:pt idx="152">
                  <c:v>1.0108861385256553</c:v>
                </c:pt>
                <c:pt idx="153">
                  <c:v>1.0106636868409122</c:v>
                </c:pt>
                <c:pt idx="154">
                  <c:v>0.99461821103621206</c:v>
                </c:pt>
                <c:pt idx="155">
                  <c:v>0.99065118440395306</c:v>
                </c:pt>
                <c:pt idx="156">
                  <c:v>0.97853895749613018</c:v>
                </c:pt>
                <c:pt idx="157">
                  <c:v>0.95350086294885383</c:v>
                </c:pt>
                <c:pt idx="158">
                  <c:v>0.95338359892563018</c:v>
                </c:pt>
                <c:pt idx="159">
                  <c:v>0.92766804461745722</c:v>
                </c:pt>
                <c:pt idx="160">
                  <c:v>0.91877490357465397</c:v>
                </c:pt>
                <c:pt idx="161">
                  <c:v>0.26849990811455798</c:v>
                </c:pt>
                <c:pt idx="162">
                  <c:v>0.29492013284435797</c:v>
                </c:pt>
                <c:pt idx="163">
                  <c:v>0.4250296862147635</c:v>
                </c:pt>
                <c:pt idx="164">
                  <c:v>1.0508736155511464</c:v>
                </c:pt>
                <c:pt idx="165">
                  <c:v>0.42348903448172903</c:v>
                </c:pt>
                <c:pt idx="166">
                  <c:v>0.41408338365366887</c:v>
                </c:pt>
                <c:pt idx="167">
                  <c:v>0.4143463336773105</c:v>
                </c:pt>
                <c:pt idx="168">
                  <c:v>0.39487613075592437</c:v>
                </c:pt>
                <c:pt idx="169">
                  <c:v>0.38505486102945286</c:v>
                </c:pt>
                <c:pt idx="170">
                  <c:v>0.38505486102945286</c:v>
                </c:pt>
                <c:pt idx="171">
                  <c:v>0.37410369081474543</c:v>
                </c:pt>
                <c:pt idx="172">
                  <c:v>0.36222115799221211</c:v>
                </c:pt>
                <c:pt idx="173">
                  <c:v>0.36131799236324963</c:v>
                </c:pt>
                <c:pt idx="174">
                  <c:v>1.1421016336607204</c:v>
                </c:pt>
                <c:pt idx="175">
                  <c:v>0.33817022646392542</c:v>
                </c:pt>
                <c:pt idx="176">
                  <c:v>1.1560088909973496</c:v>
                </c:pt>
                <c:pt idx="177">
                  <c:v>0.24244117497305423</c:v>
                </c:pt>
                <c:pt idx="178">
                  <c:v>0.93483244092401907</c:v>
                </c:pt>
                <c:pt idx="179">
                  <c:v>0.95589690296850893</c:v>
                </c:pt>
                <c:pt idx="180">
                  <c:v>0.97246601134596178</c:v>
                </c:pt>
                <c:pt idx="181">
                  <c:v>0.98875750178770339</c:v>
                </c:pt>
                <c:pt idx="182">
                  <c:v>1.008919019630562</c:v>
                </c:pt>
                <c:pt idx="183">
                  <c:v>1.013147714259139</c:v>
                </c:pt>
                <c:pt idx="184">
                  <c:v>1.0023224894967968</c:v>
                </c:pt>
                <c:pt idx="185">
                  <c:v>1.0223314001743287</c:v>
                </c:pt>
                <c:pt idx="186">
                  <c:v>1.0417386201682817</c:v>
                </c:pt>
                <c:pt idx="187">
                  <c:v>1.0607910324778189</c:v>
                </c:pt>
                <c:pt idx="188">
                  <c:v>1.0904992020011208</c:v>
                </c:pt>
                <c:pt idx="189">
                  <c:v>1.112259718231257</c:v>
                </c:pt>
                <c:pt idx="190">
                  <c:v>1.1335013016774367</c:v>
                </c:pt>
                <c:pt idx="191">
                  <c:v>0.62614457962528425</c:v>
                </c:pt>
                <c:pt idx="192">
                  <c:v>0.6064409902976583</c:v>
                </c:pt>
                <c:pt idx="193">
                  <c:v>0.57912745671973009</c:v>
                </c:pt>
                <c:pt idx="194">
                  <c:v>0.53595563521841572</c:v>
                </c:pt>
                <c:pt idx="195">
                  <c:v>0.49697756722870701</c:v>
                </c:pt>
                <c:pt idx="196">
                  <c:v>0.44567764301002105</c:v>
                </c:pt>
                <c:pt idx="197">
                  <c:v>0.38792642943864197</c:v>
                </c:pt>
                <c:pt idx="198">
                  <c:v>0.31957353115380566</c:v>
                </c:pt>
                <c:pt idx="199">
                  <c:v>0.21319528539528185</c:v>
                </c:pt>
                <c:pt idx="200">
                  <c:v>0.10697308339425282</c:v>
                </c:pt>
                <c:pt idx="201">
                  <c:v>0.26142330571179317</c:v>
                </c:pt>
                <c:pt idx="202">
                  <c:v>0.36516166187683718</c:v>
                </c:pt>
                <c:pt idx="203">
                  <c:v>0.43617773744203625</c:v>
                </c:pt>
                <c:pt idx="204">
                  <c:v>1.520499718083274</c:v>
                </c:pt>
                <c:pt idx="205">
                  <c:v>0.18371998741521414</c:v>
                </c:pt>
                <c:pt idx="206">
                  <c:v>0.79848686435221683</c:v>
                </c:pt>
                <c:pt idx="207">
                  <c:v>0.1570740912918811</c:v>
                </c:pt>
                <c:pt idx="208">
                  <c:v>0.77285839634513354</c:v>
                </c:pt>
                <c:pt idx="209">
                  <c:v>0.78312540832823208</c:v>
                </c:pt>
                <c:pt idx="210">
                  <c:v>0.74105525089310009</c:v>
                </c:pt>
                <c:pt idx="211">
                  <c:v>0.72447807401121045</c:v>
                </c:pt>
                <c:pt idx="212">
                  <c:v>0.7188674952621994</c:v>
                </c:pt>
                <c:pt idx="213">
                  <c:v>0.47454529865333772</c:v>
                </c:pt>
                <c:pt idx="214">
                  <c:v>0.5435966305430765</c:v>
                </c:pt>
                <c:pt idx="215">
                  <c:v>0.56625838117995886</c:v>
                </c:pt>
                <c:pt idx="216">
                  <c:v>0.66691272005595892</c:v>
                </c:pt>
                <c:pt idx="217">
                  <c:v>0.33888345332973308</c:v>
                </c:pt>
                <c:pt idx="218">
                  <c:v>0.33598722804880682</c:v>
                </c:pt>
                <c:pt idx="219">
                  <c:v>1.498502303977042</c:v>
                </c:pt>
                <c:pt idx="220">
                  <c:v>0.31727843614821666</c:v>
                </c:pt>
                <c:pt idx="221">
                  <c:v>0.33770749092789148</c:v>
                </c:pt>
                <c:pt idx="222">
                  <c:v>0.39654841982912742</c:v>
                </c:pt>
                <c:pt idx="223">
                  <c:v>0.39190372353942665</c:v>
                </c:pt>
                <c:pt idx="224">
                  <c:v>0.35864515704422989</c:v>
                </c:pt>
                <c:pt idx="225">
                  <c:v>0.47616762350199804</c:v>
                </c:pt>
                <c:pt idx="226">
                  <c:v>0.56825828640829956</c:v>
                </c:pt>
                <c:pt idx="227">
                  <c:v>0.65291533423480941</c:v>
                </c:pt>
                <c:pt idx="228">
                  <c:v>0.69163242816610038</c:v>
                </c:pt>
                <c:pt idx="229">
                  <c:v>0.6794818280339312</c:v>
                </c:pt>
                <c:pt idx="230">
                  <c:v>0.64462043903992394</c:v>
                </c:pt>
                <c:pt idx="231">
                  <c:v>0.58185890338087953</c:v>
                </c:pt>
                <c:pt idx="232">
                  <c:v>0.8291089825647312</c:v>
                </c:pt>
                <c:pt idx="233">
                  <c:v>0.82897670978979754</c:v>
                </c:pt>
                <c:pt idx="234">
                  <c:v>0.81915171757426752</c:v>
                </c:pt>
                <c:pt idx="235">
                  <c:v>0.79913972132168398</c:v>
                </c:pt>
                <c:pt idx="236">
                  <c:v>0.77875433437254216</c:v>
                </c:pt>
                <c:pt idx="237">
                  <c:v>0.77339738713462991</c:v>
                </c:pt>
                <c:pt idx="238">
                  <c:v>0.75767665599478184</c:v>
                </c:pt>
                <c:pt idx="239">
                  <c:v>0.75231501999106343</c:v>
                </c:pt>
                <c:pt idx="240">
                  <c:v>0.73062465983860858</c:v>
                </c:pt>
                <c:pt idx="241">
                  <c:v>0.70827044007352846</c:v>
                </c:pt>
                <c:pt idx="242">
                  <c:v>0.87215269063722711</c:v>
                </c:pt>
                <c:pt idx="243">
                  <c:v>0.65481653928876693</c:v>
                </c:pt>
                <c:pt idx="244">
                  <c:v>0.62960452560033797</c:v>
                </c:pt>
                <c:pt idx="245">
                  <c:v>0.59677574889698204</c:v>
                </c:pt>
                <c:pt idx="246">
                  <c:v>1.0132107847422243</c:v>
                </c:pt>
                <c:pt idx="247">
                  <c:v>0.7485251964734092</c:v>
                </c:pt>
                <c:pt idx="248">
                  <c:v>0.66985801717190996</c:v>
                </c:pt>
                <c:pt idx="249">
                  <c:v>0.71012116865025499</c:v>
                </c:pt>
                <c:pt idx="250">
                  <c:v>0.71533984975199427</c:v>
                </c:pt>
                <c:pt idx="251">
                  <c:v>0.69815625083212485</c:v>
                </c:pt>
                <c:pt idx="252">
                  <c:v>0.70346426452476996</c:v>
                </c:pt>
                <c:pt idx="253">
                  <c:v>0.68598371290856963</c:v>
                </c:pt>
                <c:pt idx="254">
                  <c:v>0.66212387650533711</c:v>
                </c:pt>
                <c:pt idx="255">
                  <c:v>0.6372002693255705</c:v>
                </c:pt>
                <c:pt idx="256">
                  <c:v>0.86749948489765849</c:v>
                </c:pt>
                <c:pt idx="257">
                  <c:v>0.61197535212063003</c:v>
                </c:pt>
                <c:pt idx="258">
                  <c:v>0.57167436276484629</c:v>
                </c:pt>
                <c:pt idx="259">
                  <c:v>0.55733260748666147</c:v>
                </c:pt>
                <c:pt idx="260">
                  <c:v>0.91239175093820535</c:v>
                </c:pt>
                <c:pt idx="261">
                  <c:v>0.49605515666279176</c:v>
                </c:pt>
                <c:pt idx="262">
                  <c:v>0.90099944115194963</c:v>
                </c:pt>
                <c:pt idx="263">
                  <c:v>1.6610710800885542</c:v>
                </c:pt>
                <c:pt idx="264">
                  <c:v>0.94868803209003283</c:v>
                </c:pt>
                <c:pt idx="265">
                  <c:v>0.97385365222046638</c:v>
                </c:pt>
                <c:pt idx="266">
                  <c:v>1.0063559894730005</c:v>
                </c:pt>
                <c:pt idx="267">
                  <c:v>1.0378423064216817</c:v>
                </c:pt>
                <c:pt idx="268">
                  <c:v>1.0796134198898204</c:v>
                </c:pt>
                <c:pt idx="269">
                  <c:v>1.1198298293788045</c:v>
                </c:pt>
                <c:pt idx="270">
                  <c:v>1.8629827735305571</c:v>
                </c:pt>
                <c:pt idx="271">
                  <c:v>0.78443251851361551</c:v>
                </c:pt>
                <c:pt idx="272">
                  <c:v>1.666043887764004</c:v>
                </c:pt>
                <c:pt idx="273">
                  <c:v>0.82033467320815812</c:v>
                </c:pt>
                <c:pt idx="274">
                  <c:v>0.83542602099518648</c:v>
                </c:pt>
                <c:pt idx="275">
                  <c:v>1.7502362996943519</c:v>
                </c:pt>
                <c:pt idx="276">
                  <c:v>0.86936984093507008</c:v>
                </c:pt>
                <c:pt idx="277">
                  <c:v>1.8130690427817382</c:v>
                </c:pt>
                <c:pt idx="278">
                  <c:v>0.91959838670066085</c:v>
                </c:pt>
                <c:pt idx="279">
                  <c:v>0.95409286801673954</c:v>
                </c:pt>
                <c:pt idx="280">
                  <c:v>0.97937716660244278</c:v>
                </c:pt>
                <c:pt idx="281">
                  <c:v>1.0080602149933771</c:v>
                </c:pt>
                <c:pt idx="282">
                  <c:v>0.4326684169357376</c:v>
                </c:pt>
                <c:pt idx="283">
                  <c:v>0.81989736651200518</c:v>
                </c:pt>
                <c:pt idx="284">
                  <c:v>0.4132676489821368</c:v>
                </c:pt>
                <c:pt idx="285">
                  <c:v>0.40335308361606104</c:v>
                </c:pt>
                <c:pt idx="286">
                  <c:v>0.39318863877314414</c:v>
                </c:pt>
                <c:pt idx="287">
                  <c:v>0.38275440630873669</c:v>
                </c:pt>
                <c:pt idx="288">
                  <c:v>0.38275440630873669</c:v>
                </c:pt>
                <c:pt idx="289">
                  <c:v>0.38246876347831937</c:v>
                </c:pt>
                <c:pt idx="290">
                  <c:v>0.37143981580596797</c:v>
                </c:pt>
                <c:pt idx="291">
                  <c:v>0.3597699275435034</c:v>
                </c:pt>
                <c:pt idx="292">
                  <c:v>0.93818600233897331</c:v>
                </c:pt>
                <c:pt idx="293">
                  <c:v>0.31047564603523387</c:v>
                </c:pt>
                <c:pt idx="294">
                  <c:v>1.034577424280271</c:v>
                </c:pt>
                <c:pt idx="295">
                  <c:v>0.27412488237005184</c:v>
                </c:pt>
                <c:pt idx="296">
                  <c:v>0.35142780404114399</c:v>
                </c:pt>
                <c:pt idx="297">
                  <c:v>0.40467626756850589</c:v>
                </c:pt>
                <c:pt idx="298">
                  <c:v>1.2425372373115569</c:v>
                </c:pt>
                <c:pt idx="299">
                  <c:v>0.49425332883445289</c:v>
                </c:pt>
                <c:pt idx="300">
                  <c:v>0.54819910649308401</c:v>
                </c:pt>
                <c:pt idx="301">
                  <c:v>0.59066164740606886</c:v>
                </c:pt>
                <c:pt idx="302">
                  <c:v>1.3505736860994046</c:v>
                </c:pt>
                <c:pt idx="303">
                  <c:v>0.67422279857033762</c:v>
                </c:pt>
                <c:pt idx="304">
                  <c:v>0.67474699890380097</c:v>
                </c:pt>
                <c:pt idx="305">
                  <c:v>0.72041638802774322</c:v>
                </c:pt>
                <c:pt idx="306">
                  <c:v>0.74801755920776791</c:v>
                </c:pt>
                <c:pt idx="307">
                  <c:v>0.76923970244007323</c:v>
                </c:pt>
                <c:pt idx="308">
                  <c:v>1.8087081155101985</c:v>
                </c:pt>
                <c:pt idx="309">
                  <c:v>0.8389652305735924</c:v>
                </c:pt>
                <c:pt idx="310">
                  <c:v>0.85374335582995609</c:v>
                </c:pt>
                <c:pt idx="311">
                  <c:v>0.84993107166945403</c:v>
                </c:pt>
                <c:pt idx="312">
                  <c:v>0.88217334609253317</c:v>
                </c:pt>
                <c:pt idx="313">
                  <c:v>1.9828485906886231</c:v>
                </c:pt>
                <c:pt idx="314">
                  <c:v>1.1024598151827043</c:v>
                </c:pt>
                <c:pt idx="315">
                  <c:v>1.0950859470768672</c:v>
                </c:pt>
                <c:pt idx="316">
                  <c:v>1.0840362437749871</c:v>
                </c:pt>
                <c:pt idx="317">
                  <c:v>1.0766419856251992</c:v>
                </c:pt>
                <c:pt idx="318">
                  <c:v>0.79422217400793127</c:v>
                </c:pt>
                <c:pt idx="319">
                  <c:v>1.0539331080938792</c:v>
                </c:pt>
                <c:pt idx="320">
                  <c:v>1.4439875604706658</c:v>
                </c:pt>
                <c:pt idx="321">
                  <c:v>1.3287494240247204</c:v>
                </c:pt>
                <c:pt idx="322">
                  <c:v>1.3317085525855039</c:v>
                </c:pt>
                <c:pt idx="323">
                  <c:v>1.0687725858823609</c:v>
                </c:pt>
                <c:pt idx="324">
                  <c:v>0.99518288088635487</c:v>
                </c:pt>
                <c:pt idx="325">
                  <c:v>0.97485197441752236</c:v>
                </c:pt>
                <c:pt idx="326">
                  <c:v>0.55899102914852505</c:v>
                </c:pt>
                <c:pt idx="327">
                  <c:v>0.93428188722422156</c:v>
                </c:pt>
                <c:pt idx="328">
                  <c:v>0.68669847805062068</c:v>
                </c:pt>
                <c:pt idx="329">
                  <c:v>0.97566281731838245</c:v>
                </c:pt>
                <c:pt idx="330">
                  <c:v>1.0120594923393056</c:v>
                </c:pt>
                <c:pt idx="331">
                  <c:v>1.0320385983316376</c:v>
                </c:pt>
                <c:pt idx="332">
                  <c:v>1.0687344717175908</c:v>
                </c:pt>
                <c:pt idx="333">
                  <c:v>1.0838061245922661</c:v>
                </c:pt>
                <c:pt idx="334">
                  <c:v>1.1093709504905667</c:v>
                </c:pt>
                <c:pt idx="335">
                  <c:v>1.1306738052729066</c:v>
                </c:pt>
                <c:pt idx="336">
                  <c:v>1.1619976498195639</c:v>
                </c:pt>
                <c:pt idx="337">
                  <c:v>1.7319887235144129</c:v>
                </c:pt>
                <c:pt idx="338">
                  <c:v>1.1703986710643546</c:v>
                </c:pt>
                <c:pt idx="339">
                  <c:v>1.2316307098773942</c:v>
                </c:pt>
                <c:pt idx="340">
                  <c:v>1.097849721849498</c:v>
                </c:pt>
                <c:pt idx="341">
                  <c:v>1.0146631471722347</c:v>
                </c:pt>
                <c:pt idx="342">
                  <c:v>1.0145523955209848</c:v>
                </c:pt>
                <c:pt idx="343">
                  <c:v>0.9701107114549552</c:v>
                </c:pt>
                <c:pt idx="344">
                  <c:v>0.99439280243379058</c:v>
                </c:pt>
                <c:pt idx="345">
                  <c:v>1.006536878983739</c:v>
                </c:pt>
                <c:pt idx="346">
                  <c:v>0.52817920493903481</c:v>
                </c:pt>
                <c:pt idx="347">
                  <c:v>0.96172534461078674</c:v>
                </c:pt>
                <c:pt idx="348">
                  <c:v>0.62473405699693152</c:v>
                </c:pt>
                <c:pt idx="349">
                  <c:v>0.61163435312288505</c:v>
                </c:pt>
                <c:pt idx="350">
                  <c:v>0.59162758642928992</c:v>
                </c:pt>
                <c:pt idx="351">
                  <c:v>0.57777817812016308</c:v>
                </c:pt>
                <c:pt idx="352">
                  <c:v>0.5565560368692436</c:v>
                </c:pt>
                <c:pt idx="353">
                  <c:v>0.54923313148929254</c:v>
                </c:pt>
                <c:pt idx="354">
                  <c:v>0.51890967741717708</c:v>
                </c:pt>
                <c:pt idx="355">
                  <c:v>0.4953931482934355</c:v>
                </c:pt>
                <c:pt idx="356">
                  <c:v>0.47876913271320604</c:v>
                </c:pt>
                <c:pt idx="357">
                  <c:v>0.43493992449772367</c:v>
                </c:pt>
                <c:pt idx="358">
                  <c:v>0.75382306215187833</c:v>
                </c:pt>
                <c:pt idx="359">
                  <c:v>0.78511361535909918</c:v>
                </c:pt>
                <c:pt idx="360">
                  <c:v>0.81035259932873915</c:v>
                </c:pt>
                <c:pt idx="361">
                  <c:v>0.88091097235136329</c:v>
                </c:pt>
                <c:pt idx="362">
                  <c:v>0.19031704371910654</c:v>
                </c:pt>
                <c:pt idx="363">
                  <c:v>0.80961368711548964</c:v>
                </c:pt>
                <c:pt idx="364">
                  <c:v>0.79460944085383611</c:v>
                </c:pt>
                <c:pt idx="365">
                  <c:v>0.7743875120487127</c:v>
                </c:pt>
                <c:pt idx="366">
                  <c:v>0.76914209165483127</c:v>
                </c:pt>
                <c:pt idx="367">
                  <c:v>0.72161598223363754</c:v>
                </c:pt>
                <c:pt idx="368">
                  <c:v>0.72161598223363754</c:v>
                </c:pt>
                <c:pt idx="369">
                  <c:v>0.70393070247145939</c:v>
                </c:pt>
                <c:pt idx="370">
                  <c:v>0.69264978021971535</c:v>
                </c:pt>
                <c:pt idx="371">
                  <c:v>0.66294886902420069</c:v>
                </c:pt>
                <c:pt idx="372">
                  <c:v>0.6448790218551449</c:v>
                </c:pt>
                <c:pt idx="373">
                  <c:v>0.63202667452846761</c:v>
                </c:pt>
                <c:pt idx="374">
                  <c:v>0.84409644077799129</c:v>
                </c:pt>
                <c:pt idx="375">
                  <c:v>0.59823519518034085</c:v>
                </c:pt>
                <c:pt idx="376">
                  <c:v>0.57071895173190612</c:v>
                </c:pt>
                <c:pt idx="377">
                  <c:v>0.57052781062299496</c:v>
                </c:pt>
                <c:pt idx="378">
                  <c:v>1.4558780507069609</c:v>
                </c:pt>
                <c:pt idx="379">
                  <c:v>0.71579248701219489</c:v>
                </c:pt>
                <c:pt idx="380">
                  <c:v>0.73807203401493382</c:v>
                </c:pt>
                <c:pt idx="381">
                  <c:v>0.74911124029562737</c:v>
                </c:pt>
                <c:pt idx="382">
                  <c:v>0.76530004616999825</c:v>
                </c:pt>
                <c:pt idx="383">
                  <c:v>0.79131384547457329</c:v>
                </c:pt>
                <c:pt idx="384">
                  <c:v>0.80162203216338312</c:v>
                </c:pt>
                <c:pt idx="385">
                  <c:v>0.43325739400998292</c:v>
                </c:pt>
                <c:pt idx="386">
                  <c:v>0.5176250327377333</c:v>
                </c:pt>
                <c:pt idx="387">
                  <c:v>0.84600052125965708</c:v>
                </c:pt>
                <c:pt idx="388">
                  <c:v>0.85090577697851999</c:v>
                </c:pt>
                <c:pt idx="389">
                  <c:v>0.86037273574891915</c:v>
                </c:pt>
                <c:pt idx="390">
                  <c:v>1.0296336922458056</c:v>
                </c:pt>
                <c:pt idx="391">
                  <c:v>1.021846573243874</c:v>
                </c:pt>
                <c:pt idx="392">
                  <c:v>1.0099979484554522</c:v>
                </c:pt>
                <c:pt idx="393">
                  <c:v>0.99800874975483245</c:v>
                </c:pt>
                <c:pt idx="394">
                  <c:v>0.45418592480488751</c:v>
                </c:pt>
                <c:pt idx="395">
                  <c:v>1.0060915352666877</c:v>
                </c:pt>
                <c:pt idx="396">
                  <c:v>0.99394277121695462</c:v>
                </c:pt>
                <c:pt idx="397">
                  <c:v>0.96988006281653372</c:v>
                </c:pt>
                <c:pt idx="398">
                  <c:v>0.43623867792115317</c:v>
                </c:pt>
                <c:pt idx="399">
                  <c:v>0.96137682309386252</c:v>
                </c:pt>
                <c:pt idx="400">
                  <c:v>0.33292618039199329</c:v>
                </c:pt>
                <c:pt idx="401">
                  <c:v>0.26849990811455798</c:v>
                </c:pt>
                <c:pt idx="402">
                  <c:v>0.94449578776750265</c:v>
                </c:pt>
                <c:pt idx="403">
                  <c:v>8.8422619537099928E-2</c:v>
                </c:pt>
                <c:pt idx="404">
                  <c:v>0.87884640474163456</c:v>
                </c:pt>
                <c:pt idx="405">
                  <c:v>0.89243755119288359</c:v>
                </c:pt>
                <c:pt idx="406">
                  <c:v>0.88344196534282282</c:v>
                </c:pt>
                <c:pt idx="407">
                  <c:v>0.17525988627295552</c:v>
                </c:pt>
                <c:pt idx="408">
                  <c:v>0.12138850044195758</c:v>
                </c:pt>
                <c:pt idx="409">
                  <c:v>0.18282559546264998</c:v>
                </c:pt>
                <c:pt idx="410">
                  <c:v>0.24025500047719198</c:v>
                </c:pt>
                <c:pt idx="411">
                  <c:v>0.81151387682894904</c:v>
                </c:pt>
                <c:pt idx="412">
                  <c:v>0.78157042195831594</c:v>
                </c:pt>
                <c:pt idx="413">
                  <c:v>1.1316795247918829</c:v>
                </c:pt>
                <c:pt idx="414">
                  <c:v>0.98438902781823945</c:v>
                </c:pt>
                <c:pt idx="415">
                  <c:v>0.90829429717457244</c:v>
                </c:pt>
                <c:pt idx="416">
                  <c:v>0.88596984648032984</c:v>
                </c:pt>
                <c:pt idx="417">
                  <c:v>0.87677850497372334</c:v>
                </c:pt>
                <c:pt idx="418">
                  <c:v>0.56503086347260478</c:v>
                </c:pt>
                <c:pt idx="419">
                  <c:v>0.85349941562744469</c:v>
                </c:pt>
                <c:pt idx="420">
                  <c:v>0.83927576725083497</c:v>
                </c:pt>
                <c:pt idx="421">
                  <c:v>0.8344360149522283</c:v>
                </c:pt>
                <c:pt idx="422">
                  <c:v>0.82956808331753373</c:v>
                </c:pt>
                <c:pt idx="423">
                  <c:v>0.8198819449592909</c:v>
                </c:pt>
                <c:pt idx="424">
                  <c:v>0.8149271748276129</c:v>
                </c:pt>
                <c:pt idx="425">
                  <c:v>0.81479014132461713</c:v>
                </c:pt>
                <c:pt idx="426">
                  <c:v>0.79987906887717075</c:v>
                </c:pt>
                <c:pt idx="427">
                  <c:v>0.36791444989927613</c:v>
                </c:pt>
                <c:pt idx="428">
                  <c:v>0.58882450820381982</c:v>
                </c:pt>
                <c:pt idx="429">
                  <c:v>0.60260353902086328</c:v>
                </c:pt>
                <c:pt idx="430">
                  <c:v>0.62279037627608302</c:v>
                </c:pt>
                <c:pt idx="431">
                  <c:v>0.64217236237680253</c:v>
                </c:pt>
                <c:pt idx="432">
                  <c:v>0.67296439770176486</c:v>
                </c:pt>
                <c:pt idx="433">
                  <c:v>0.90809543837373985</c:v>
                </c:pt>
                <c:pt idx="434">
                  <c:v>0.46366754765041918</c:v>
                </c:pt>
                <c:pt idx="435">
                  <c:v>0.71509554365960815</c:v>
                </c:pt>
                <c:pt idx="436">
                  <c:v>0.75796514963781247</c:v>
                </c:pt>
                <c:pt idx="437">
                  <c:v>0.75246024500237274</c:v>
                </c:pt>
                <c:pt idx="438">
                  <c:v>0.70175555392980504</c:v>
                </c:pt>
                <c:pt idx="439">
                  <c:v>0.76990171745031233</c:v>
                </c:pt>
                <c:pt idx="440">
                  <c:v>0.72476199031446242</c:v>
                </c:pt>
                <c:pt idx="441">
                  <c:v>0.77339738713462991</c:v>
                </c:pt>
                <c:pt idx="442">
                  <c:v>0.7627142141327713</c:v>
                </c:pt>
                <c:pt idx="443">
                  <c:v>0.73584758772148384</c:v>
                </c:pt>
                <c:pt idx="444">
                  <c:v>0.74560005498567838</c:v>
                </c:pt>
                <c:pt idx="445">
                  <c:v>1.0205125135378068</c:v>
                </c:pt>
                <c:pt idx="446">
                  <c:v>0.60027109959265512</c:v>
                </c:pt>
                <c:pt idx="447">
                  <c:v>0.74928125918994126</c:v>
                </c:pt>
                <c:pt idx="448">
                  <c:v>0.70626895363509057</c:v>
                </c:pt>
                <c:pt idx="449">
                  <c:v>0.67748830867170917</c:v>
                </c:pt>
                <c:pt idx="450">
                  <c:v>0.70160033654134657</c:v>
                </c:pt>
                <c:pt idx="451">
                  <c:v>0.83542726005460222</c:v>
                </c:pt>
                <c:pt idx="452">
                  <c:v>0.83542726005460222</c:v>
                </c:pt>
                <c:pt idx="453">
                  <c:v>0.81567714554004678</c:v>
                </c:pt>
                <c:pt idx="454">
                  <c:v>0.81540725514553569</c:v>
                </c:pt>
                <c:pt idx="455">
                  <c:v>0.80037384823719371</c:v>
                </c:pt>
                <c:pt idx="456">
                  <c:v>0.82474436187394928</c:v>
                </c:pt>
                <c:pt idx="457">
                  <c:v>0.78491304665982087</c:v>
                </c:pt>
                <c:pt idx="458">
                  <c:v>0.59399040816186843</c:v>
                </c:pt>
                <c:pt idx="459">
                  <c:v>0.78963722034865769</c:v>
                </c:pt>
                <c:pt idx="460">
                  <c:v>0.80418937454383466</c:v>
                </c:pt>
                <c:pt idx="461">
                  <c:v>0.80934288159460099</c:v>
                </c:pt>
                <c:pt idx="462">
                  <c:v>0.82381293605192463</c:v>
                </c:pt>
                <c:pt idx="463">
                  <c:v>0.77339738713462991</c:v>
                </c:pt>
                <c:pt idx="464">
                  <c:v>0.75767665599478184</c:v>
                </c:pt>
                <c:pt idx="465">
                  <c:v>0.71945850116343502</c:v>
                </c:pt>
                <c:pt idx="466">
                  <c:v>0.85981916213185583</c:v>
                </c:pt>
                <c:pt idx="467">
                  <c:v>0.8455783282613355</c:v>
                </c:pt>
                <c:pt idx="468">
                  <c:v>0.83148560390192572</c:v>
                </c:pt>
                <c:pt idx="469">
                  <c:v>0.81097778806802623</c:v>
                </c:pt>
                <c:pt idx="470">
                  <c:v>0.78129014036669897</c:v>
                </c:pt>
                <c:pt idx="471">
                  <c:v>0.89956585904185149</c:v>
                </c:pt>
                <c:pt idx="472">
                  <c:v>0.7655901648092156</c:v>
                </c:pt>
                <c:pt idx="473">
                  <c:v>0.9171579948562536</c:v>
                </c:pt>
                <c:pt idx="474">
                  <c:v>1.1167864036138675</c:v>
                </c:pt>
                <c:pt idx="475">
                  <c:v>0.78994110347708357</c:v>
                </c:pt>
                <c:pt idx="476">
                  <c:v>0.69283720175031793</c:v>
                </c:pt>
                <c:pt idx="477">
                  <c:v>1.0007999278514594</c:v>
                </c:pt>
                <c:pt idx="478">
                  <c:v>0.73868418812140368</c:v>
                </c:pt>
                <c:pt idx="479">
                  <c:v>0.5795015627488842</c:v>
                </c:pt>
                <c:pt idx="480">
                  <c:v>0.58644487632472375</c:v>
                </c:pt>
                <c:pt idx="481">
                  <c:v>1.70160279031516</c:v>
                </c:pt>
                <c:pt idx="482">
                  <c:v>0.30793495049067737</c:v>
                </c:pt>
                <c:pt idx="483">
                  <c:v>0.3579046505795358</c:v>
                </c:pt>
                <c:pt idx="484">
                  <c:v>0.37082681488909169</c:v>
                </c:pt>
                <c:pt idx="485">
                  <c:v>0.91874867878098543</c:v>
                </c:pt>
                <c:pt idx="486">
                  <c:v>0.31659389727088705</c:v>
                </c:pt>
                <c:pt idx="487">
                  <c:v>0.46063072619607298</c:v>
                </c:pt>
                <c:pt idx="488">
                  <c:v>1.6247998954769327</c:v>
                </c:pt>
                <c:pt idx="489">
                  <c:v>0.51067822555988462</c:v>
                </c:pt>
                <c:pt idx="490">
                  <c:v>0.54850751855621394</c:v>
                </c:pt>
                <c:pt idx="491">
                  <c:v>0.5906008436526039</c:v>
                </c:pt>
                <c:pt idx="492">
                  <c:v>0.95576131579292212</c:v>
                </c:pt>
                <c:pt idx="493">
                  <c:v>0.94284977242668921</c:v>
                </c:pt>
                <c:pt idx="494">
                  <c:v>0.92527585364928511</c:v>
                </c:pt>
                <c:pt idx="495">
                  <c:v>0.92077045383906808</c:v>
                </c:pt>
                <c:pt idx="496">
                  <c:v>0.87182126500213786</c:v>
                </c:pt>
                <c:pt idx="497">
                  <c:v>0.8932649579263171</c:v>
                </c:pt>
                <c:pt idx="498">
                  <c:v>0.87906784805226224</c:v>
                </c:pt>
                <c:pt idx="499">
                  <c:v>0.8685586525404233</c:v>
                </c:pt>
                <c:pt idx="500">
                  <c:v>0.8640114398291463</c:v>
                </c:pt>
                <c:pt idx="501">
                  <c:v>0.84996873215935509</c:v>
                </c:pt>
                <c:pt idx="502">
                  <c:v>0.83057155591239906</c:v>
                </c:pt>
                <c:pt idx="503">
                  <c:v>0.54480161216527589</c:v>
                </c:pt>
                <c:pt idx="504">
                  <c:v>0.59418067030101107</c:v>
                </c:pt>
                <c:pt idx="505">
                  <c:v>0.62083898011927496</c:v>
                </c:pt>
                <c:pt idx="506">
                  <c:v>0.65897588566307974</c:v>
                </c:pt>
                <c:pt idx="507">
                  <c:v>0.68376002118518986</c:v>
                </c:pt>
                <c:pt idx="508">
                  <c:v>0.7908560495803032</c:v>
                </c:pt>
                <c:pt idx="509">
                  <c:v>0.75266458572146078</c:v>
                </c:pt>
                <c:pt idx="510">
                  <c:v>1.6565971635897212</c:v>
                </c:pt>
                <c:pt idx="511">
                  <c:v>1.0547171380718554</c:v>
                </c:pt>
                <c:pt idx="512">
                  <c:v>0.4846897920636366</c:v>
                </c:pt>
                <c:pt idx="513">
                  <c:v>0.47603664576273103</c:v>
                </c:pt>
                <c:pt idx="514">
                  <c:v>0.45871507723237437</c:v>
                </c:pt>
                <c:pt idx="515">
                  <c:v>1.1586322515857554</c:v>
                </c:pt>
                <c:pt idx="516">
                  <c:v>1.0994177524679554</c:v>
                </c:pt>
                <c:pt idx="517">
                  <c:v>1.1031846450718719</c:v>
                </c:pt>
                <c:pt idx="518">
                  <c:v>1.0996972216363379</c:v>
                </c:pt>
                <c:pt idx="519">
                  <c:v>0.45705247054556097</c:v>
                </c:pt>
                <c:pt idx="520">
                  <c:v>0.44786584699231657</c:v>
                </c:pt>
                <c:pt idx="521">
                  <c:v>0.44738027654952967</c:v>
                </c:pt>
                <c:pt idx="522">
                  <c:v>1.1663739667204795</c:v>
                </c:pt>
                <c:pt idx="523">
                  <c:v>1.1732043073312788</c:v>
                </c:pt>
                <c:pt idx="524">
                  <c:v>0.4193585624478372</c:v>
                </c:pt>
                <c:pt idx="525">
                  <c:v>0.39985901662685869</c:v>
                </c:pt>
                <c:pt idx="526">
                  <c:v>1.1651657477181161</c:v>
                </c:pt>
                <c:pt idx="527">
                  <c:v>1.1581916854317562</c:v>
                </c:pt>
                <c:pt idx="528">
                  <c:v>1.1301672032649674</c:v>
                </c:pt>
                <c:pt idx="529">
                  <c:v>1.1442156325445845</c:v>
                </c:pt>
                <c:pt idx="530">
                  <c:v>1.1264770453672992</c:v>
                </c:pt>
                <c:pt idx="531">
                  <c:v>1.1192626831165147</c:v>
                </c:pt>
                <c:pt idx="532">
                  <c:v>1.5858162787078696</c:v>
                </c:pt>
                <c:pt idx="533">
                  <c:v>1.5882960006980846</c:v>
                </c:pt>
                <c:pt idx="534">
                  <c:v>1.4377197580423009</c:v>
                </c:pt>
                <c:pt idx="535">
                  <c:v>1.129667095032348</c:v>
                </c:pt>
                <c:pt idx="536">
                  <c:v>1.2015717726173103</c:v>
                </c:pt>
                <c:pt idx="537">
                  <c:v>1.025583829834025</c:v>
                </c:pt>
                <c:pt idx="538">
                  <c:v>0.58538556765684202</c:v>
                </c:pt>
                <c:pt idx="539">
                  <c:v>0.57137813996554743</c:v>
                </c:pt>
                <c:pt idx="540">
                  <c:v>0.54268873956976449</c:v>
                </c:pt>
                <c:pt idx="541">
                  <c:v>0.25593198570320569</c:v>
                </c:pt>
                <c:pt idx="542">
                  <c:v>0.25974557640392537</c:v>
                </c:pt>
                <c:pt idx="543">
                  <c:v>0.27884052001493947</c:v>
                </c:pt>
                <c:pt idx="544">
                  <c:v>0.29523457649889184</c:v>
                </c:pt>
                <c:pt idx="545">
                  <c:v>0.35729106546696676</c:v>
                </c:pt>
                <c:pt idx="546">
                  <c:v>1.5152998048266035</c:v>
                </c:pt>
                <c:pt idx="547">
                  <c:v>0.45605845177547932</c:v>
                </c:pt>
                <c:pt idx="548">
                  <c:v>0.51297394831634591</c:v>
                </c:pt>
                <c:pt idx="549">
                  <c:v>0.56456545453372353</c:v>
                </c:pt>
                <c:pt idx="550">
                  <c:v>1.3120512735221594</c:v>
                </c:pt>
                <c:pt idx="551">
                  <c:v>0.69988178458244488</c:v>
                </c:pt>
                <c:pt idx="552">
                  <c:v>0.71656543400424821</c:v>
                </c:pt>
                <c:pt idx="553">
                  <c:v>0.66378677281304488</c:v>
                </c:pt>
                <c:pt idx="554">
                  <c:v>0.64011299665705401</c:v>
                </c:pt>
                <c:pt idx="555">
                  <c:v>0.65814681651346363</c:v>
                </c:pt>
                <c:pt idx="556">
                  <c:v>0.58752972434571915</c:v>
                </c:pt>
                <c:pt idx="557">
                  <c:v>0.64623677017968706</c:v>
                </c:pt>
                <c:pt idx="558">
                  <c:v>0.6453951227308411</c:v>
                </c:pt>
                <c:pt idx="559">
                  <c:v>0.63393006284823494</c:v>
                </c:pt>
                <c:pt idx="560">
                  <c:v>0.64623677017968706</c:v>
                </c:pt>
                <c:pt idx="561">
                  <c:v>0.45749727818028552</c:v>
                </c:pt>
                <c:pt idx="562">
                  <c:v>0.50738955865962299</c:v>
                </c:pt>
                <c:pt idx="563">
                  <c:v>0.42009762350152469</c:v>
                </c:pt>
                <c:pt idx="564">
                  <c:v>0.4676673452353774</c:v>
                </c:pt>
                <c:pt idx="565">
                  <c:v>0.30007595925481695</c:v>
                </c:pt>
                <c:pt idx="566">
                  <c:v>1.5379447425230426</c:v>
                </c:pt>
                <c:pt idx="567">
                  <c:v>1.3790291796015248</c:v>
                </c:pt>
                <c:pt idx="568">
                  <c:v>1.3790291796015248</c:v>
                </c:pt>
                <c:pt idx="569">
                  <c:v>1.3287494240247204</c:v>
                </c:pt>
                <c:pt idx="570">
                  <c:v>1.0687725858823609</c:v>
                </c:pt>
                <c:pt idx="571">
                  <c:v>1.0030652553965897</c:v>
                </c:pt>
                <c:pt idx="572">
                  <c:v>0.65643568059847024</c:v>
                </c:pt>
                <c:pt idx="573">
                  <c:v>0.99890669789606712</c:v>
                </c:pt>
                <c:pt idx="574">
                  <c:v>0.99076445214231201</c:v>
                </c:pt>
                <c:pt idx="575">
                  <c:v>0.96207442178710167</c:v>
                </c:pt>
                <c:pt idx="576">
                  <c:v>0.95785561387528639</c:v>
                </c:pt>
                <c:pt idx="577">
                  <c:v>0.46373256853775047</c:v>
                </c:pt>
                <c:pt idx="578">
                  <c:v>0.91925996303276236</c:v>
                </c:pt>
                <c:pt idx="579">
                  <c:v>0.91484406667064433</c:v>
                </c:pt>
                <c:pt idx="580">
                  <c:v>0.90146686203985071</c:v>
                </c:pt>
                <c:pt idx="581">
                  <c:v>0.69470727549846334</c:v>
                </c:pt>
                <c:pt idx="582">
                  <c:v>0.71182337888267899</c:v>
                </c:pt>
                <c:pt idx="583">
                  <c:v>0.72868974676384102</c:v>
                </c:pt>
                <c:pt idx="584">
                  <c:v>0.74002074753922742</c:v>
                </c:pt>
                <c:pt idx="585">
                  <c:v>0.85442777041259665</c:v>
                </c:pt>
                <c:pt idx="586">
                  <c:v>0.53129302420501479</c:v>
                </c:pt>
                <c:pt idx="587">
                  <c:v>0.40683697927748125</c:v>
                </c:pt>
                <c:pt idx="588">
                  <c:v>1.6147585372503968</c:v>
                </c:pt>
                <c:pt idx="589">
                  <c:v>0.79893242162403755</c:v>
                </c:pt>
                <c:pt idx="590">
                  <c:v>0.80942487852795952</c:v>
                </c:pt>
                <c:pt idx="591">
                  <c:v>1.6780180384269205</c:v>
                </c:pt>
                <c:pt idx="592">
                  <c:v>1.6876257664456014</c:v>
                </c:pt>
                <c:pt idx="593">
                  <c:v>1.7179307143273559</c:v>
                </c:pt>
                <c:pt idx="594">
                  <c:v>1.4956576232279857</c:v>
                </c:pt>
                <c:pt idx="595">
                  <c:v>1.3875653329915769</c:v>
                </c:pt>
                <c:pt idx="596">
                  <c:v>1.2734044717330715</c:v>
                </c:pt>
                <c:pt idx="597">
                  <c:v>1.3346611248035287</c:v>
                </c:pt>
                <c:pt idx="598">
                  <c:v>1.2090482121064257</c:v>
                </c:pt>
                <c:pt idx="599">
                  <c:v>0.99913184548655298</c:v>
                </c:pt>
                <c:pt idx="600">
                  <c:v>0.98712354147812975</c:v>
                </c:pt>
                <c:pt idx="601">
                  <c:v>0.59245302517898046</c:v>
                </c:pt>
                <c:pt idx="602">
                  <c:v>0.9708041643928208</c:v>
                </c:pt>
                <c:pt idx="603">
                  <c:v>0.953970527198996</c:v>
                </c:pt>
                <c:pt idx="604">
                  <c:v>0.94556010227131215</c:v>
                </c:pt>
                <c:pt idx="605">
                  <c:v>0.93707419516830992</c:v>
                </c:pt>
                <c:pt idx="606">
                  <c:v>0.92851073633714098</c:v>
                </c:pt>
                <c:pt idx="607">
                  <c:v>0.91101965807809637</c:v>
                </c:pt>
                <c:pt idx="608">
                  <c:v>0.87060575893609482</c:v>
                </c:pt>
                <c:pt idx="609">
                  <c:v>0.72868401580949727</c:v>
                </c:pt>
                <c:pt idx="610">
                  <c:v>0.70626895363509057</c:v>
                </c:pt>
                <c:pt idx="611">
                  <c:v>0.69486847046162448</c:v>
                </c:pt>
                <c:pt idx="612">
                  <c:v>0.69455577234874988</c:v>
                </c:pt>
                <c:pt idx="613">
                  <c:v>1.2035339021630038</c:v>
                </c:pt>
                <c:pt idx="614">
                  <c:v>1.1421536382406061</c:v>
                </c:pt>
                <c:pt idx="615">
                  <c:v>0.61134939233555774</c:v>
                </c:pt>
                <c:pt idx="616">
                  <c:v>1.047617859813885</c:v>
                </c:pt>
                <c:pt idx="617">
                  <c:v>1.0358533908809411</c:v>
                </c:pt>
                <c:pt idx="618">
                  <c:v>1.0589351802483709</c:v>
                </c:pt>
                <c:pt idx="619">
                  <c:v>0.8714171601518198</c:v>
                </c:pt>
                <c:pt idx="620">
                  <c:v>0.8750236084873495</c:v>
                </c:pt>
                <c:pt idx="621">
                  <c:v>0.89334900529224204</c:v>
                </c:pt>
                <c:pt idx="622">
                  <c:v>1.6991707823280706</c:v>
                </c:pt>
                <c:pt idx="623">
                  <c:v>0.93290549157249858</c:v>
                </c:pt>
                <c:pt idx="624">
                  <c:v>0.95023670656205494</c:v>
                </c:pt>
                <c:pt idx="625">
                  <c:v>1.7502362996943519</c:v>
                </c:pt>
                <c:pt idx="626">
                  <c:v>1.7616906855816861</c:v>
                </c:pt>
                <c:pt idx="627">
                  <c:v>0.91941771102235981</c:v>
                </c:pt>
                <c:pt idx="628">
                  <c:v>0.95754298439822871</c:v>
                </c:pt>
                <c:pt idx="629">
                  <c:v>0.97443453006916481</c:v>
                </c:pt>
                <c:pt idx="630">
                  <c:v>0.99895467849855824</c:v>
                </c:pt>
                <c:pt idx="631">
                  <c:v>1.0380618500956234</c:v>
                </c:pt>
                <c:pt idx="632">
                  <c:v>1.0647108763506066</c:v>
                </c:pt>
                <c:pt idx="633">
                  <c:v>0.37840255744047052</c:v>
                </c:pt>
                <c:pt idx="634">
                  <c:v>0.38895366448886837</c:v>
                </c:pt>
                <c:pt idx="635">
                  <c:v>1.3084306604425273</c:v>
                </c:pt>
                <c:pt idx="636">
                  <c:v>0.33548685033151859</c:v>
                </c:pt>
                <c:pt idx="637">
                  <c:v>0.35728341661983676</c:v>
                </c:pt>
                <c:pt idx="638">
                  <c:v>0.34545101209705503</c:v>
                </c:pt>
                <c:pt idx="639">
                  <c:v>0.2956143609475661</c:v>
                </c:pt>
                <c:pt idx="640">
                  <c:v>0.27007864385632407</c:v>
                </c:pt>
                <c:pt idx="641">
                  <c:v>1.3386894366465449</c:v>
                </c:pt>
                <c:pt idx="642">
                  <c:v>0.37080719154253089</c:v>
                </c:pt>
                <c:pt idx="643">
                  <c:v>0.3597235986854086</c:v>
                </c:pt>
                <c:pt idx="644">
                  <c:v>0.3121716264790626</c:v>
                </c:pt>
                <c:pt idx="645">
                  <c:v>0.20567672065309528</c:v>
                </c:pt>
                <c:pt idx="646">
                  <c:v>5.188341312163941E-2</c:v>
                </c:pt>
                <c:pt idx="647">
                  <c:v>0.62119378209593235</c:v>
                </c:pt>
                <c:pt idx="648">
                  <c:v>0.62190338079281493</c:v>
                </c:pt>
                <c:pt idx="649">
                  <c:v>0.82394586869233177</c:v>
                </c:pt>
                <c:pt idx="650">
                  <c:v>0.63942495527536325</c:v>
                </c:pt>
                <c:pt idx="651">
                  <c:v>0.79419578719013517</c:v>
                </c:pt>
                <c:pt idx="652">
                  <c:v>0.78393525969760758</c:v>
                </c:pt>
                <c:pt idx="653">
                  <c:v>0.7682877411677258</c:v>
                </c:pt>
                <c:pt idx="654">
                  <c:v>0.75246024500237274</c:v>
                </c:pt>
                <c:pt idx="655">
                  <c:v>0.74162278340410503</c:v>
                </c:pt>
                <c:pt idx="656">
                  <c:v>0.78021107702301684</c:v>
                </c:pt>
                <c:pt idx="657">
                  <c:v>0.70842454854441361</c:v>
                </c:pt>
                <c:pt idx="658">
                  <c:v>0.68534661234529648</c:v>
                </c:pt>
                <c:pt idx="659">
                  <c:v>0.66146406986134187</c:v>
                </c:pt>
                <c:pt idx="660">
                  <c:v>0.63046954626063711</c:v>
                </c:pt>
                <c:pt idx="661">
                  <c:v>0.61090459576123779</c:v>
                </c:pt>
                <c:pt idx="662">
                  <c:v>0.58398576011192638</c:v>
                </c:pt>
                <c:pt idx="663">
                  <c:v>0.56280736618752703</c:v>
                </c:pt>
                <c:pt idx="664">
                  <c:v>0.2892691631553081</c:v>
                </c:pt>
                <c:pt idx="665">
                  <c:v>0.35204828045895559</c:v>
                </c:pt>
                <c:pt idx="666">
                  <c:v>1.2230934610508979</c:v>
                </c:pt>
                <c:pt idx="667">
                  <c:v>0.45217405457730597</c:v>
                </c:pt>
                <c:pt idx="668">
                  <c:v>0.49469536135241521</c:v>
                </c:pt>
                <c:pt idx="669">
                  <c:v>1.3556814563514001</c:v>
                </c:pt>
                <c:pt idx="670">
                  <c:v>1.3236465886396387</c:v>
                </c:pt>
                <c:pt idx="671">
                  <c:v>1.3327820351895068</c:v>
                </c:pt>
                <c:pt idx="672">
                  <c:v>1.3507203492785422</c:v>
                </c:pt>
                <c:pt idx="673">
                  <c:v>0.6678623634690205</c:v>
                </c:pt>
                <c:pt idx="674">
                  <c:v>0.69735569141234088</c:v>
                </c:pt>
                <c:pt idx="675">
                  <c:v>0.14386391370642049</c:v>
                </c:pt>
                <c:pt idx="676">
                  <c:v>6.71207850332666E-2</c:v>
                </c:pt>
                <c:pt idx="677">
                  <c:v>0.1081039195398369</c:v>
                </c:pt>
                <c:pt idx="678">
                  <c:v>0.16696752215986982</c:v>
                </c:pt>
                <c:pt idx="679">
                  <c:v>0.2099283111890759</c:v>
                </c:pt>
                <c:pt idx="680">
                  <c:v>0.24548256981023506</c:v>
                </c:pt>
                <c:pt idx="681">
                  <c:v>0.30365931458608553</c:v>
                </c:pt>
                <c:pt idx="682">
                  <c:v>1.2099573684109215</c:v>
                </c:pt>
                <c:pt idx="683">
                  <c:v>0.37463079404539046</c:v>
                </c:pt>
                <c:pt idx="684">
                  <c:v>1.2296088829429683</c:v>
                </c:pt>
                <c:pt idx="685">
                  <c:v>0.53527417496277696</c:v>
                </c:pt>
                <c:pt idx="686">
                  <c:v>0.46903958079452768</c:v>
                </c:pt>
                <c:pt idx="687">
                  <c:v>0.50194164561845289</c:v>
                </c:pt>
                <c:pt idx="688">
                  <c:v>0.54015761887770664</c:v>
                </c:pt>
                <c:pt idx="689">
                  <c:v>0.56896178731806368</c:v>
                </c:pt>
                <c:pt idx="690">
                  <c:v>0.13607455578551919</c:v>
                </c:pt>
                <c:pt idx="691">
                  <c:v>1.0771094301175335</c:v>
                </c:pt>
                <c:pt idx="692">
                  <c:v>0.95012474448549988</c:v>
                </c:pt>
                <c:pt idx="693">
                  <c:v>1.0192364365652173</c:v>
                </c:pt>
                <c:pt idx="694">
                  <c:v>0.94179774366170343</c:v>
                </c:pt>
                <c:pt idx="695">
                  <c:v>0.76885717420062294</c:v>
                </c:pt>
                <c:pt idx="696">
                  <c:v>9.9708281473803326E-2</c:v>
                </c:pt>
                <c:pt idx="697">
                  <c:v>0.28352011111683612</c:v>
                </c:pt>
                <c:pt idx="698">
                  <c:v>0.31426608474102902</c:v>
                </c:pt>
                <c:pt idx="699">
                  <c:v>1.2235051927506135</c:v>
                </c:pt>
                <c:pt idx="700">
                  <c:v>1.2231756326615972</c:v>
                </c:pt>
                <c:pt idx="701">
                  <c:v>1.0466509534833686</c:v>
                </c:pt>
                <c:pt idx="702">
                  <c:v>1.0350844567933299</c:v>
                </c:pt>
                <c:pt idx="703">
                  <c:v>1.3138538699989186</c:v>
                </c:pt>
                <c:pt idx="704">
                  <c:v>1.0383987929781977</c:v>
                </c:pt>
                <c:pt idx="705">
                  <c:v>1.3704399047450158</c:v>
                </c:pt>
                <c:pt idx="706">
                  <c:v>0.88471888854959124</c:v>
                </c:pt>
                <c:pt idx="707">
                  <c:v>1.0953979339758599</c:v>
                </c:pt>
                <c:pt idx="708">
                  <c:v>0.84782129095734859</c:v>
                </c:pt>
                <c:pt idx="709">
                  <c:v>1.0732965339897562</c:v>
                </c:pt>
                <c:pt idx="710">
                  <c:v>1.065827560433537</c:v>
                </c:pt>
                <c:pt idx="711">
                  <c:v>1.0581984660745389</c:v>
                </c:pt>
                <c:pt idx="712">
                  <c:v>1.0274481165507707</c:v>
                </c:pt>
                <c:pt idx="713">
                  <c:v>1.2484283240864413</c:v>
                </c:pt>
                <c:pt idx="714">
                  <c:v>1.2484283240864413</c:v>
                </c:pt>
                <c:pt idx="715">
                  <c:v>0.97115174025594586</c:v>
                </c:pt>
                <c:pt idx="716">
                  <c:v>1.042664832229419</c:v>
                </c:pt>
                <c:pt idx="717">
                  <c:v>0.94615348322702764</c:v>
                </c:pt>
                <c:pt idx="718">
                  <c:v>0.92462352308614248</c:v>
                </c:pt>
                <c:pt idx="719">
                  <c:v>0.92462352308614248</c:v>
                </c:pt>
                <c:pt idx="720">
                  <c:v>0.89820708332009391</c:v>
                </c:pt>
                <c:pt idx="721">
                  <c:v>1.1100936200800315</c:v>
                </c:pt>
                <c:pt idx="722">
                  <c:v>1.099194071037582</c:v>
                </c:pt>
                <c:pt idx="723">
                  <c:v>0.86646651786350326</c:v>
                </c:pt>
                <c:pt idx="724">
                  <c:v>0.86646651786350326</c:v>
                </c:pt>
                <c:pt idx="725">
                  <c:v>0.84782129095734859</c:v>
                </c:pt>
                <c:pt idx="726">
                  <c:v>1.0583058760514297</c:v>
                </c:pt>
                <c:pt idx="727">
                  <c:v>1.0507303488480122</c:v>
                </c:pt>
                <c:pt idx="728">
                  <c:v>1.0429909556627019</c:v>
                </c:pt>
                <c:pt idx="729">
                  <c:v>1.0428821767493766</c:v>
                </c:pt>
                <c:pt idx="730">
                  <c:v>1.4771243626283441</c:v>
                </c:pt>
                <c:pt idx="731">
                  <c:v>1.5302495743389977</c:v>
                </c:pt>
                <c:pt idx="732">
                  <c:v>0.96697204109058921</c:v>
                </c:pt>
                <c:pt idx="733">
                  <c:v>0.97519808145671416</c:v>
                </c:pt>
                <c:pt idx="734">
                  <c:v>0.97091996001550007</c:v>
                </c:pt>
                <c:pt idx="735">
                  <c:v>0.94579727468185348</c:v>
                </c:pt>
                <c:pt idx="736">
                  <c:v>0.87207362083083029</c:v>
                </c:pt>
                <c:pt idx="737">
                  <c:v>0.86729198009696784</c:v>
                </c:pt>
                <c:pt idx="738">
                  <c:v>0.84854457241255443</c:v>
                </c:pt>
                <c:pt idx="739">
                  <c:v>0.84376011618293012</c:v>
                </c:pt>
                <c:pt idx="740">
                  <c:v>0.8198210261308444</c:v>
                </c:pt>
                <c:pt idx="741">
                  <c:v>0.80974915054548202</c:v>
                </c:pt>
                <c:pt idx="742">
                  <c:v>0.80459793695271153</c:v>
                </c:pt>
                <c:pt idx="743">
                  <c:v>0.78935963106419982</c:v>
                </c:pt>
                <c:pt idx="744">
                  <c:v>0.67587466834366861</c:v>
                </c:pt>
                <c:pt idx="745">
                  <c:v>0.78337731970238778</c:v>
                </c:pt>
                <c:pt idx="746">
                  <c:v>0.78309856544279166</c:v>
                </c:pt>
                <c:pt idx="747">
                  <c:v>0.76757669944170615</c:v>
                </c:pt>
                <c:pt idx="748">
                  <c:v>0.56163627624691304</c:v>
                </c:pt>
                <c:pt idx="749">
                  <c:v>0.55438108057105229</c:v>
                </c:pt>
                <c:pt idx="750">
                  <c:v>0.53222844645305223</c:v>
                </c:pt>
                <c:pt idx="751">
                  <c:v>0.5245667909916405</c:v>
                </c:pt>
                <c:pt idx="752">
                  <c:v>0.50109803456162616</c:v>
                </c:pt>
                <c:pt idx="753">
                  <c:v>0.49295289461267855</c:v>
                </c:pt>
                <c:pt idx="754">
                  <c:v>0.4679013303534752</c:v>
                </c:pt>
                <c:pt idx="755">
                  <c:v>0.80016847489591247</c:v>
                </c:pt>
                <c:pt idx="756">
                  <c:v>0.43216240974505127</c:v>
                </c:pt>
                <c:pt idx="757">
                  <c:v>0.41247318222083307</c:v>
                </c:pt>
                <c:pt idx="758">
                  <c:v>0.41273814065615011</c:v>
                </c:pt>
                <c:pt idx="759">
                  <c:v>0.39263225952815739</c:v>
                </c:pt>
                <c:pt idx="760">
                  <c:v>0.37143981580596797</c:v>
                </c:pt>
                <c:pt idx="761">
                  <c:v>0.34896289468665415</c:v>
                </c:pt>
                <c:pt idx="762">
                  <c:v>0.32493503814343061</c:v>
                </c:pt>
                <c:pt idx="763">
                  <c:v>1.0280107085009691</c:v>
                </c:pt>
                <c:pt idx="764">
                  <c:v>1.036052585807985</c:v>
                </c:pt>
                <c:pt idx="765">
                  <c:v>0.57304195115660495</c:v>
                </c:pt>
                <c:pt idx="766">
                  <c:v>0.55795929325478044</c:v>
                </c:pt>
                <c:pt idx="767">
                  <c:v>0.54225819810294829</c:v>
                </c:pt>
                <c:pt idx="768">
                  <c:v>0.53494373112894045</c:v>
                </c:pt>
                <c:pt idx="769">
                  <c:v>0.52506035283324726</c:v>
                </c:pt>
                <c:pt idx="770">
                  <c:v>0.55172966948681379</c:v>
                </c:pt>
                <c:pt idx="771">
                  <c:v>0.55824860156670275</c:v>
                </c:pt>
                <c:pt idx="772">
                  <c:v>0.48974101344074733</c:v>
                </c:pt>
                <c:pt idx="773">
                  <c:v>0.44794770233486442</c:v>
                </c:pt>
                <c:pt idx="774">
                  <c:v>0.33663284266129212</c:v>
                </c:pt>
                <c:pt idx="775">
                  <c:v>0.33759910239326602</c:v>
                </c:pt>
                <c:pt idx="776">
                  <c:v>0.35928009844894032</c:v>
                </c:pt>
                <c:pt idx="777">
                  <c:v>0.33501662429088719</c:v>
                </c:pt>
                <c:pt idx="778">
                  <c:v>0.58228600090058169</c:v>
                </c:pt>
                <c:pt idx="779">
                  <c:v>0.6027865597433647</c:v>
                </c:pt>
                <c:pt idx="780">
                  <c:v>0.63548732338477576</c:v>
                </c:pt>
                <c:pt idx="781">
                  <c:v>0.65533957867789916</c:v>
                </c:pt>
                <c:pt idx="782">
                  <c:v>0.12573033006823015</c:v>
                </c:pt>
                <c:pt idx="783">
                  <c:v>0.67659347407977721</c:v>
                </c:pt>
                <c:pt idx="784">
                  <c:v>0.69008971413521825</c:v>
                </c:pt>
                <c:pt idx="785">
                  <c:v>0.71978886548491183</c:v>
                </c:pt>
                <c:pt idx="786">
                  <c:v>0.7111476804836403</c:v>
                </c:pt>
                <c:pt idx="787">
                  <c:v>0.71306385011872697</c:v>
                </c:pt>
                <c:pt idx="788">
                  <c:v>0.7257678129716284</c:v>
                </c:pt>
                <c:pt idx="789">
                  <c:v>0.76373923501735752</c:v>
                </c:pt>
                <c:pt idx="790">
                  <c:v>0.79453459467066279</c:v>
                </c:pt>
                <c:pt idx="791">
                  <c:v>1.3497741152392428</c:v>
                </c:pt>
                <c:pt idx="792">
                  <c:v>1.3084306604425273</c:v>
                </c:pt>
                <c:pt idx="793">
                  <c:v>1.3085066768271845</c:v>
                </c:pt>
                <c:pt idx="794">
                  <c:v>1.3146743604377185</c:v>
                </c:pt>
                <c:pt idx="795">
                  <c:v>1.3237967320785355</c:v>
                </c:pt>
                <c:pt idx="796">
                  <c:v>1.3268485676258721</c:v>
                </c:pt>
                <c:pt idx="797">
                  <c:v>1.3534189965079815</c:v>
                </c:pt>
                <c:pt idx="798">
                  <c:v>0.59177333774405128</c:v>
                </c:pt>
                <c:pt idx="799">
                  <c:v>0.58507970738881321</c:v>
                </c:pt>
                <c:pt idx="800">
                  <c:v>0.59195858041976523</c:v>
                </c:pt>
                <c:pt idx="801">
                  <c:v>0.5987584650440948</c:v>
                </c:pt>
                <c:pt idx="802">
                  <c:v>0.60548202328885281</c:v>
                </c:pt>
                <c:pt idx="803">
                  <c:v>0.60566321398995615</c:v>
                </c:pt>
                <c:pt idx="804">
                  <c:v>0.63166134037328314</c:v>
                </c:pt>
                <c:pt idx="805">
                  <c:v>0.6382106346992632</c:v>
                </c:pt>
                <c:pt idx="806">
                  <c:v>0.84738096720768807</c:v>
                </c:pt>
                <c:pt idx="807">
                  <c:v>0.84233080364894275</c:v>
                </c:pt>
                <c:pt idx="808">
                  <c:v>0.82301623376468847</c:v>
                </c:pt>
                <c:pt idx="809">
                  <c:v>0.83227076917395282</c:v>
                </c:pt>
                <c:pt idx="810">
                  <c:v>0.79051936204196349</c:v>
                </c:pt>
                <c:pt idx="811">
                  <c:v>0.80691285811233004</c:v>
                </c:pt>
                <c:pt idx="812">
                  <c:v>0.81084425156446704</c:v>
                </c:pt>
                <c:pt idx="813">
                  <c:v>1.3435949603177513</c:v>
                </c:pt>
                <c:pt idx="814">
                  <c:v>1.1785863567338914</c:v>
                </c:pt>
                <c:pt idx="815">
                  <c:v>1.202645106265523</c:v>
                </c:pt>
                <c:pt idx="816">
                  <c:v>0.92167341626362453</c:v>
                </c:pt>
                <c:pt idx="817">
                  <c:v>0.54105351192943274</c:v>
                </c:pt>
                <c:pt idx="818">
                  <c:v>0.99537361712421812</c:v>
                </c:pt>
                <c:pt idx="819">
                  <c:v>0.75264798180718517</c:v>
                </c:pt>
                <c:pt idx="820">
                  <c:v>0.81449561482670596</c:v>
                </c:pt>
                <c:pt idx="821">
                  <c:v>0.57701615829880171</c:v>
                </c:pt>
                <c:pt idx="822">
                  <c:v>0.57720668734747738</c:v>
                </c:pt>
                <c:pt idx="823">
                  <c:v>0.56358875992484125</c:v>
                </c:pt>
                <c:pt idx="824">
                  <c:v>0.56358875992484125</c:v>
                </c:pt>
                <c:pt idx="825">
                  <c:v>0.55635843975021004</c:v>
                </c:pt>
                <c:pt idx="826">
                  <c:v>0.5342864673782729</c:v>
                </c:pt>
                <c:pt idx="827">
                  <c:v>0.52644561098295861</c:v>
                </c:pt>
                <c:pt idx="828">
                  <c:v>0.51104789243455417</c:v>
                </c:pt>
                <c:pt idx="829">
                  <c:v>0.74243634724361351</c:v>
                </c:pt>
                <c:pt idx="830">
                  <c:v>0.71015816162037926</c:v>
                </c:pt>
                <c:pt idx="831">
                  <c:v>0.72146909614912014</c:v>
                </c:pt>
                <c:pt idx="832">
                  <c:v>0.73260520776309301</c:v>
                </c:pt>
                <c:pt idx="833">
                  <c:v>0.75424359435650523</c:v>
                </c:pt>
                <c:pt idx="834">
                  <c:v>0.80508071159172045</c:v>
                </c:pt>
                <c:pt idx="835">
                  <c:v>0.3160529557453548</c:v>
                </c:pt>
                <c:pt idx="836">
                  <c:v>0.19823717216915665</c:v>
                </c:pt>
                <c:pt idx="837">
                  <c:v>8.7807592226089012E-2</c:v>
                </c:pt>
                <c:pt idx="838">
                  <c:v>0.12553646361493992</c:v>
                </c:pt>
                <c:pt idx="839">
                  <c:v>1.9058657067359099</c:v>
                </c:pt>
                <c:pt idx="840">
                  <c:v>0.28521301773820512</c:v>
                </c:pt>
                <c:pt idx="841">
                  <c:v>0.21354703213716439</c:v>
                </c:pt>
                <c:pt idx="842">
                  <c:v>0.31073149399237887</c:v>
                </c:pt>
                <c:pt idx="843">
                  <c:v>0.17008591686614577</c:v>
                </c:pt>
                <c:pt idx="844">
                  <c:v>8.4679066995101859E-2</c:v>
                </c:pt>
                <c:pt idx="845">
                  <c:v>0.17509642013199461</c:v>
                </c:pt>
                <c:pt idx="846">
                  <c:v>8.69688224659564E-2</c:v>
                </c:pt>
                <c:pt idx="847">
                  <c:v>0.150191973094638</c:v>
                </c:pt>
                <c:pt idx="848">
                  <c:v>0.7232197395006148</c:v>
                </c:pt>
                <c:pt idx="849">
                  <c:v>0.7765253638027364</c:v>
                </c:pt>
                <c:pt idx="850">
                  <c:v>0.60268818389867618</c:v>
                </c:pt>
                <c:pt idx="851">
                  <c:v>0.62943435234125189</c:v>
                </c:pt>
                <c:pt idx="852">
                  <c:v>0.84639707577115786</c:v>
                </c:pt>
                <c:pt idx="853">
                  <c:v>0.86999481908778864</c:v>
                </c:pt>
                <c:pt idx="854">
                  <c:v>0.90622844487058585</c:v>
                </c:pt>
                <c:pt idx="855">
                  <c:v>0.81285153159201506</c:v>
                </c:pt>
                <c:pt idx="856">
                  <c:v>0.81715005994235845</c:v>
                </c:pt>
                <c:pt idx="857">
                  <c:v>0.80745174563712407</c:v>
                </c:pt>
                <c:pt idx="858">
                  <c:v>0.79051936204196349</c:v>
                </c:pt>
                <c:pt idx="859">
                  <c:v>0.80664365215753198</c:v>
                </c:pt>
                <c:pt idx="860">
                  <c:v>0.8063746042913541</c:v>
                </c:pt>
                <c:pt idx="861">
                  <c:v>0.85244051247430419</c:v>
                </c:pt>
                <c:pt idx="862">
                  <c:v>0.83991291141166646</c:v>
                </c:pt>
                <c:pt idx="863">
                  <c:v>1.2445128821320115</c:v>
                </c:pt>
                <c:pt idx="864">
                  <c:v>1.3465248943954204</c:v>
                </c:pt>
                <c:pt idx="865">
                  <c:v>0.87713935400607845</c:v>
                </c:pt>
                <c:pt idx="866">
                  <c:v>0.88608353801256545</c:v>
                </c:pt>
                <c:pt idx="867">
                  <c:v>0.90393819995155855</c:v>
                </c:pt>
                <c:pt idx="868">
                  <c:v>0.92571612238763146</c:v>
                </c:pt>
                <c:pt idx="869">
                  <c:v>0.97101878008890297</c:v>
                </c:pt>
                <c:pt idx="870">
                  <c:v>1.0805032348521664</c:v>
                </c:pt>
                <c:pt idx="871">
                  <c:v>1.0691965921214677</c:v>
                </c:pt>
                <c:pt idx="872">
                  <c:v>0.78409649860824893</c:v>
                </c:pt>
                <c:pt idx="873">
                  <c:v>1.4930240735344504</c:v>
                </c:pt>
                <c:pt idx="874">
                  <c:v>1.3847257895960934</c:v>
                </c:pt>
                <c:pt idx="875">
                  <c:v>1.2090482121064257</c:v>
                </c:pt>
                <c:pt idx="876">
                  <c:v>0.66849775310511417</c:v>
                </c:pt>
                <c:pt idx="877">
                  <c:v>0.9908777850605156</c:v>
                </c:pt>
                <c:pt idx="878">
                  <c:v>0.97853895749613018</c:v>
                </c:pt>
                <c:pt idx="879">
                  <c:v>0.5128273863379148</c:v>
                </c:pt>
                <c:pt idx="880">
                  <c:v>0.94912637925348642</c:v>
                </c:pt>
                <c:pt idx="881">
                  <c:v>0.94067293966965171</c:v>
                </c:pt>
                <c:pt idx="882">
                  <c:v>0.92766804461745722</c:v>
                </c:pt>
                <c:pt idx="883">
                  <c:v>0.9058248869651796</c:v>
                </c:pt>
                <c:pt idx="884">
                  <c:v>0.89683948901135102</c:v>
                </c:pt>
                <c:pt idx="885">
                  <c:v>0.47321850346710403</c:v>
                </c:pt>
                <c:pt idx="886">
                  <c:v>1.3710873432124986</c:v>
                </c:pt>
                <c:pt idx="887">
                  <c:v>0.52245217664160515</c:v>
                </c:pt>
                <c:pt idx="888">
                  <c:v>0.55277961876011783</c:v>
                </c:pt>
                <c:pt idx="889">
                  <c:v>0.57471577138520114</c:v>
                </c:pt>
                <c:pt idx="890">
                  <c:v>0.60242051182426426</c:v>
                </c:pt>
                <c:pt idx="891">
                  <c:v>0.63513943718254595</c:v>
                </c:pt>
                <c:pt idx="892">
                  <c:v>0.67197589025143201</c:v>
                </c:pt>
                <c:pt idx="893">
                  <c:v>0.7181073290165163</c:v>
                </c:pt>
                <c:pt idx="894">
                  <c:v>0.84515265565003095</c:v>
                </c:pt>
                <c:pt idx="895">
                  <c:v>0.26225830247411636</c:v>
                </c:pt>
                <c:pt idx="896">
                  <c:v>0.84613265920114444</c:v>
                </c:pt>
                <c:pt idx="897">
                  <c:v>0.88779027127093146</c:v>
                </c:pt>
                <c:pt idx="898">
                  <c:v>0.47403805042349367</c:v>
                </c:pt>
                <c:pt idx="899">
                  <c:v>0.48434946669063883</c:v>
                </c:pt>
                <c:pt idx="900">
                  <c:v>1.7977605190497996</c:v>
                </c:pt>
                <c:pt idx="901">
                  <c:v>0.52898455827109903</c:v>
                </c:pt>
                <c:pt idx="902">
                  <c:v>0.55333831416561485</c:v>
                </c:pt>
                <c:pt idx="903">
                  <c:v>0.54904940486025489</c:v>
                </c:pt>
                <c:pt idx="904">
                  <c:v>0.52276302988355561</c:v>
                </c:pt>
                <c:pt idx="905">
                  <c:v>0.49506857098354096</c:v>
                </c:pt>
                <c:pt idx="906">
                  <c:v>0.4982615596128363</c:v>
                </c:pt>
                <c:pt idx="907">
                  <c:v>2.1279881238621807</c:v>
                </c:pt>
                <c:pt idx="908">
                  <c:v>0.58962690799188966</c:v>
                </c:pt>
                <c:pt idx="909">
                  <c:v>0.66606203565287225</c:v>
                </c:pt>
                <c:pt idx="910">
                  <c:v>2.1999931502954353</c:v>
                </c:pt>
                <c:pt idx="911">
                  <c:v>0.73867033915845326</c:v>
                </c:pt>
                <c:pt idx="912">
                  <c:v>0.72762629892635577</c:v>
                </c:pt>
                <c:pt idx="913">
                  <c:v>0.722040982432548</c:v>
                </c:pt>
                <c:pt idx="914">
                  <c:v>0.65163787825311648</c:v>
                </c:pt>
                <c:pt idx="915">
                  <c:v>0.68789660305431255</c:v>
                </c:pt>
                <c:pt idx="916">
                  <c:v>0.67618621588741157</c:v>
                </c:pt>
                <c:pt idx="917">
                  <c:v>0.65814681651346363</c:v>
                </c:pt>
                <c:pt idx="918">
                  <c:v>0.65196674990517578</c:v>
                </c:pt>
                <c:pt idx="919">
                  <c:v>0.64572756822395316</c:v>
                </c:pt>
                <c:pt idx="920">
                  <c:v>0.62681235498705135</c:v>
                </c:pt>
                <c:pt idx="921">
                  <c:v>0.6137596035159375</c:v>
                </c:pt>
                <c:pt idx="922">
                  <c:v>0.60712804565203282</c:v>
                </c:pt>
                <c:pt idx="923">
                  <c:v>0.80029999345985126</c:v>
                </c:pt>
                <c:pt idx="924">
                  <c:v>0.59327412518942646</c:v>
                </c:pt>
                <c:pt idx="925">
                  <c:v>0.58603812631731544</c:v>
                </c:pt>
                <c:pt idx="926">
                  <c:v>0.76463605356815034</c:v>
                </c:pt>
                <c:pt idx="927">
                  <c:v>0.74329783765678048</c:v>
                </c:pt>
                <c:pt idx="928">
                  <c:v>0.71584802282416993</c:v>
                </c:pt>
                <c:pt idx="929">
                  <c:v>0.69301000230223564</c:v>
                </c:pt>
                <c:pt idx="930">
                  <c:v>0.65701493086293294</c:v>
                </c:pt>
                <c:pt idx="931">
                  <c:v>0.61928892327887619</c:v>
                </c:pt>
                <c:pt idx="932">
                  <c:v>0.60570664106185179</c:v>
                </c:pt>
                <c:pt idx="933">
                  <c:v>0.54302773353960809</c:v>
                </c:pt>
                <c:pt idx="934">
                  <c:v>0.5274880054512231</c:v>
                </c:pt>
                <c:pt idx="935">
                  <c:v>0.45365789665453066</c:v>
                </c:pt>
                <c:pt idx="936">
                  <c:v>0.73811018418899366</c:v>
                </c:pt>
                <c:pt idx="937">
                  <c:v>0.3160529557453548</c:v>
                </c:pt>
                <c:pt idx="938">
                  <c:v>0.22506943737150689</c:v>
                </c:pt>
                <c:pt idx="939">
                  <c:v>1.0394386275695555</c:v>
                </c:pt>
                <c:pt idx="940">
                  <c:v>0.42731744587808301</c:v>
                </c:pt>
                <c:pt idx="941">
                  <c:v>1.0099247123021853</c:v>
                </c:pt>
                <c:pt idx="942">
                  <c:v>1.0374040671369116</c:v>
                </c:pt>
                <c:pt idx="943">
                  <c:v>1.7455060102296731</c:v>
                </c:pt>
                <c:pt idx="944">
                  <c:v>1.0897664475887774</c:v>
                </c:pt>
                <c:pt idx="945">
                  <c:v>1.1044330580079391</c:v>
                </c:pt>
                <c:pt idx="946">
                  <c:v>1.1296169573003847</c:v>
                </c:pt>
                <c:pt idx="947">
                  <c:v>1.1576581008800335</c:v>
                </c:pt>
                <c:pt idx="948">
                  <c:v>1.1783735682137582</c:v>
                </c:pt>
                <c:pt idx="949">
                  <c:v>1.2054742270527625</c:v>
                </c:pt>
                <c:pt idx="950">
                  <c:v>1.8990152161186009</c:v>
                </c:pt>
                <c:pt idx="951">
                  <c:v>1.2766599019981133</c:v>
                </c:pt>
                <c:pt idx="952">
                  <c:v>1.3168425742200918</c:v>
                </c:pt>
                <c:pt idx="953">
                  <c:v>1.0201995106894692</c:v>
                </c:pt>
                <c:pt idx="954">
                  <c:v>1.0043033441681766</c:v>
                </c:pt>
                <c:pt idx="955">
                  <c:v>1.0002615600261879</c:v>
                </c:pt>
                <c:pt idx="956">
                  <c:v>1.4025085298642244</c:v>
                </c:pt>
                <c:pt idx="957">
                  <c:v>1.1625678779051529</c:v>
                </c:pt>
                <c:pt idx="958">
                  <c:v>1.0952938617664585</c:v>
                </c:pt>
                <c:pt idx="959">
                  <c:v>0.94234062126963269</c:v>
                </c:pt>
                <c:pt idx="960">
                  <c:v>0.91212631557212853</c:v>
                </c:pt>
                <c:pt idx="961">
                  <c:v>0.88989898412578727</c:v>
                </c:pt>
                <c:pt idx="962">
                  <c:v>0.86710226370359611</c:v>
                </c:pt>
                <c:pt idx="963">
                  <c:v>0.84834502400008305</c:v>
                </c:pt>
                <c:pt idx="964">
                  <c:v>0.83874266536559139</c:v>
                </c:pt>
                <c:pt idx="965">
                  <c:v>1.4587195304176843</c:v>
                </c:pt>
                <c:pt idx="966">
                  <c:v>1.4696995440608993</c:v>
                </c:pt>
                <c:pt idx="967">
                  <c:v>1.4778644737356559</c:v>
                </c:pt>
                <c:pt idx="968">
                  <c:v>0.88859052882290668</c:v>
                </c:pt>
                <c:pt idx="969">
                  <c:v>0.89765701275779286</c:v>
                </c:pt>
                <c:pt idx="970">
                  <c:v>0.9196923760460306</c:v>
                </c:pt>
                <c:pt idx="971">
                  <c:v>0.93701855708983106</c:v>
                </c:pt>
                <c:pt idx="972">
                  <c:v>0.94562125501528693</c:v>
                </c:pt>
                <c:pt idx="973">
                  <c:v>0.60626236279728396</c:v>
                </c:pt>
                <c:pt idx="974">
                  <c:v>0.30971146648688042</c:v>
                </c:pt>
                <c:pt idx="975">
                  <c:v>0.78935963106419982</c:v>
                </c:pt>
                <c:pt idx="976">
                  <c:v>0.77410444712506388</c:v>
                </c:pt>
                <c:pt idx="977">
                  <c:v>0.78894352517990629</c:v>
                </c:pt>
                <c:pt idx="978">
                  <c:v>0.77847350624199874</c:v>
                </c:pt>
                <c:pt idx="979">
                  <c:v>0.77297356226993585</c:v>
                </c:pt>
                <c:pt idx="980">
                  <c:v>0.73569929613592189</c:v>
                </c:pt>
                <c:pt idx="981">
                  <c:v>0.72476199031446242</c:v>
                </c:pt>
                <c:pt idx="982">
                  <c:v>0.71961021898825239</c:v>
                </c:pt>
                <c:pt idx="983">
                  <c:v>0.61126153329656219</c:v>
                </c:pt>
                <c:pt idx="984">
                  <c:v>0.66722879039152361</c:v>
                </c:pt>
                <c:pt idx="985">
                  <c:v>0.64284308992873318</c:v>
                </c:pt>
                <c:pt idx="986">
                  <c:v>0.62977752752758143</c:v>
                </c:pt>
                <c:pt idx="987">
                  <c:v>0.66030979482309804</c:v>
                </c:pt>
                <c:pt idx="988">
                  <c:v>0.64826942305219792</c:v>
                </c:pt>
                <c:pt idx="989">
                  <c:v>0.5834257233195097</c:v>
                </c:pt>
                <c:pt idx="990">
                  <c:v>0.89535495969638235</c:v>
                </c:pt>
                <c:pt idx="991">
                  <c:v>0.25485628712665886</c:v>
                </c:pt>
                <c:pt idx="992">
                  <c:v>0.87270538366994888</c:v>
                </c:pt>
                <c:pt idx="993">
                  <c:v>0.85880332614278387</c:v>
                </c:pt>
                <c:pt idx="994">
                  <c:v>0.82541095254760866</c:v>
                </c:pt>
                <c:pt idx="995">
                  <c:v>0.44821707793383159</c:v>
                </c:pt>
                <c:pt idx="996">
                  <c:v>0.82541095254760866</c:v>
                </c:pt>
                <c:pt idx="997">
                  <c:v>0.84480309058895642</c:v>
                </c:pt>
                <c:pt idx="998">
                  <c:v>0.83516324341712689</c:v>
                </c:pt>
                <c:pt idx="999">
                  <c:v>0.79088821772462281</c:v>
                </c:pt>
                <c:pt idx="1000">
                  <c:v>0.79102740477108691</c:v>
                </c:pt>
                <c:pt idx="1001">
                  <c:v>0.76515294654754762</c:v>
                </c:pt>
                <c:pt idx="1002">
                  <c:v>0.76515294654754762</c:v>
                </c:pt>
                <c:pt idx="1003">
                  <c:v>0.7599881519772077</c:v>
                </c:pt>
                <c:pt idx="1004">
                  <c:v>0.75449661083097774</c:v>
                </c:pt>
                <c:pt idx="1005">
                  <c:v>0.55065683416665223</c:v>
                </c:pt>
                <c:pt idx="1006">
                  <c:v>0.52063139674558978</c:v>
                </c:pt>
                <c:pt idx="1007">
                  <c:v>0.50462726072744368</c:v>
                </c:pt>
                <c:pt idx="1008">
                  <c:v>0.45419198205909128</c:v>
                </c:pt>
                <c:pt idx="1009">
                  <c:v>1.268235102011982</c:v>
                </c:pt>
                <c:pt idx="1010">
                  <c:v>0.37734706231910475</c:v>
                </c:pt>
                <c:pt idx="1011">
                  <c:v>0.37878475166485853</c:v>
                </c:pt>
                <c:pt idx="1012">
                  <c:v>1.2901355102792795</c:v>
                </c:pt>
                <c:pt idx="1013">
                  <c:v>0.35000648530867362</c:v>
                </c:pt>
                <c:pt idx="1014">
                  <c:v>0.25740909367552911</c:v>
                </c:pt>
                <c:pt idx="1015">
                  <c:v>0.25528725325307705</c:v>
                </c:pt>
                <c:pt idx="1016">
                  <c:v>0.19303677901542221</c:v>
                </c:pt>
                <c:pt idx="1017">
                  <c:v>0.36365819992383958</c:v>
                </c:pt>
                <c:pt idx="1018">
                  <c:v>0.45218363202202999</c:v>
                </c:pt>
                <c:pt idx="1019">
                  <c:v>0.45315449876631969</c:v>
                </c:pt>
                <c:pt idx="1020">
                  <c:v>0.37068563267608362</c:v>
                </c:pt>
                <c:pt idx="1021">
                  <c:v>0.37097765160215423</c:v>
                </c:pt>
                <c:pt idx="1022">
                  <c:v>0.48233296364964656</c:v>
                </c:pt>
                <c:pt idx="1023">
                  <c:v>0.73421906266795445</c:v>
                </c:pt>
                <c:pt idx="1024">
                  <c:v>0.73406898605572246</c:v>
                </c:pt>
                <c:pt idx="1025">
                  <c:v>0.71182045850966513</c:v>
                </c:pt>
                <c:pt idx="1026">
                  <c:v>0.68869436256030858</c:v>
                </c:pt>
                <c:pt idx="1027">
                  <c:v>0.66476480912019287</c:v>
                </c:pt>
                <c:pt idx="1028">
                  <c:v>0.71030746955870805</c:v>
                </c:pt>
                <c:pt idx="1029">
                  <c:v>0.44439735429413846</c:v>
                </c:pt>
                <c:pt idx="1030">
                  <c:v>0.41643342014663826</c:v>
                </c:pt>
                <c:pt idx="1031">
                  <c:v>0.37582944037174965</c:v>
                </c:pt>
                <c:pt idx="1032">
                  <c:v>0.75931326917444752</c:v>
                </c:pt>
                <c:pt idx="1033">
                  <c:v>0.82469221497176137</c:v>
                </c:pt>
                <c:pt idx="1034">
                  <c:v>0.25981481659215466</c:v>
                </c:pt>
                <c:pt idx="1035">
                  <c:v>0.20682919140827949</c:v>
                </c:pt>
                <c:pt idx="1036">
                  <c:v>0.13517293051128024</c:v>
                </c:pt>
                <c:pt idx="1037">
                  <c:v>7.8958681446397255E-2</c:v>
                </c:pt>
                <c:pt idx="1038">
                  <c:v>0.99181937568173018</c:v>
                </c:pt>
                <c:pt idx="1039">
                  <c:v>0.47371212843390281</c:v>
                </c:pt>
                <c:pt idx="1040">
                  <c:v>0.28201670268603474</c:v>
                </c:pt>
                <c:pt idx="1041">
                  <c:v>1.0844081222054403</c:v>
                </c:pt>
                <c:pt idx="1042">
                  <c:v>0.39037846687735861</c:v>
                </c:pt>
                <c:pt idx="1043">
                  <c:v>1.1453727831908576</c:v>
                </c:pt>
                <c:pt idx="1044">
                  <c:v>0.61996573205349736</c:v>
                </c:pt>
                <c:pt idx="1045">
                  <c:v>1.7889552255576622</c:v>
                </c:pt>
                <c:pt idx="1046">
                  <c:v>1.8067818979603543</c:v>
                </c:pt>
                <c:pt idx="1047">
                  <c:v>1.8309140539794704</c:v>
                </c:pt>
                <c:pt idx="1048">
                  <c:v>1.8439578145984301</c:v>
                </c:pt>
                <c:pt idx="1049">
                  <c:v>1.9421302964621072</c:v>
                </c:pt>
                <c:pt idx="1050">
                  <c:v>1.8824978714284233</c:v>
                </c:pt>
                <c:pt idx="1051">
                  <c:v>0.85197496982663867</c:v>
                </c:pt>
                <c:pt idx="1052">
                  <c:v>0.89380613753115712</c:v>
                </c:pt>
                <c:pt idx="1053">
                  <c:v>0.53739722096786247</c:v>
                </c:pt>
                <c:pt idx="1054">
                  <c:v>0.62485325067057496</c:v>
                </c:pt>
                <c:pt idx="1055">
                  <c:v>0.95376785481635451</c:v>
                </c:pt>
                <c:pt idx="1056">
                  <c:v>1.0791704235120918</c:v>
                </c:pt>
                <c:pt idx="1057">
                  <c:v>2.0276324872838991</c:v>
                </c:pt>
                <c:pt idx="1058">
                  <c:v>1.2743626980396279</c:v>
                </c:pt>
                <c:pt idx="1059">
                  <c:v>1.283771914008274</c:v>
                </c:pt>
                <c:pt idx="1060">
                  <c:v>1.2931897254792573</c:v>
                </c:pt>
                <c:pt idx="1061">
                  <c:v>1.3055645412700148</c:v>
                </c:pt>
                <c:pt idx="1062">
                  <c:v>1.31174614126365</c:v>
                </c:pt>
                <c:pt idx="1063">
                  <c:v>0.56413432103844208</c:v>
                </c:pt>
                <c:pt idx="1064">
                  <c:v>0.77925154358136761</c:v>
                </c:pt>
                <c:pt idx="1065">
                  <c:v>0.61871008882721645</c:v>
                </c:pt>
                <c:pt idx="1066">
                  <c:v>1.4027375581855888</c:v>
                </c:pt>
                <c:pt idx="1067">
                  <c:v>0.65077423726925854</c:v>
                </c:pt>
                <c:pt idx="1068">
                  <c:v>0.67520094674781062</c:v>
                </c:pt>
                <c:pt idx="1069">
                  <c:v>0.69295656532673411</c:v>
                </c:pt>
                <c:pt idx="1070">
                  <c:v>0.19440009339519679</c:v>
                </c:pt>
                <c:pt idx="1071">
                  <c:v>9.5096828164671646E-2</c:v>
                </c:pt>
                <c:pt idx="1072">
                  <c:v>0.23867908807057056</c:v>
                </c:pt>
                <c:pt idx="1073">
                  <c:v>0.11388895049600406</c:v>
                </c:pt>
                <c:pt idx="1074">
                  <c:v>0.1536004251976292</c:v>
                </c:pt>
                <c:pt idx="1075">
                  <c:v>0.18144061757183352</c:v>
                </c:pt>
                <c:pt idx="1076">
                  <c:v>0.22210435627399328</c:v>
                </c:pt>
                <c:pt idx="1077">
                  <c:v>0.27172740766809783</c:v>
                </c:pt>
                <c:pt idx="1078">
                  <c:v>0.33810471392325975</c:v>
                </c:pt>
                <c:pt idx="1079">
                  <c:v>0.36186015061288174</c:v>
                </c:pt>
                <c:pt idx="1080">
                  <c:v>0.41403168309962807</c:v>
                </c:pt>
                <c:pt idx="1081">
                  <c:v>0.45169069585810623</c:v>
                </c:pt>
                <c:pt idx="1082">
                  <c:v>0.47804936138648008</c:v>
                </c:pt>
                <c:pt idx="1083">
                  <c:v>1.2992001828293096</c:v>
                </c:pt>
                <c:pt idx="1084">
                  <c:v>1.3147501477994474</c:v>
                </c:pt>
                <c:pt idx="1085">
                  <c:v>0.58564175165536791</c:v>
                </c:pt>
                <c:pt idx="1086">
                  <c:v>1.397029899696878</c:v>
                </c:pt>
                <c:pt idx="1087">
                  <c:v>1.0546866968778841</c:v>
                </c:pt>
                <c:pt idx="1088">
                  <c:v>0.80924308526223965</c:v>
                </c:pt>
                <c:pt idx="1089">
                  <c:v>1.0237192775740067</c:v>
                </c:pt>
                <c:pt idx="1090">
                  <c:v>1.0275584039780348</c:v>
                </c:pt>
                <c:pt idx="1091">
                  <c:v>0.81915171757426752</c:v>
                </c:pt>
                <c:pt idx="1092">
                  <c:v>0.803781167733569</c:v>
                </c:pt>
                <c:pt idx="1093">
                  <c:v>0.803781167733569</c:v>
                </c:pt>
                <c:pt idx="1094">
                  <c:v>0.81432935100371728</c:v>
                </c:pt>
                <c:pt idx="1095">
                  <c:v>0.71457461303097947</c:v>
                </c:pt>
                <c:pt idx="1096">
                  <c:v>0.76257105200360686</c:v>
                </c:pt>
                <c:pt idx="1097">
                  <c:v>0.7190034900936455</c:v>
                </c:pt>
                <c:pt idx="1098">
                  <c:v>0.74059240413952554</c:v>
                </c:pt>
                <c:pt idx="1099">
                  <c:v>0.77514163371658074</c:v>
                </c:pt>
                <c:pt idx="1100">
                  <c:v>0.71151930597055157</c:v>
                </c:pt>
                <c:pt idx="1101">
                  <c:v>0.68870334084807538</c:v>
                </c:pt>
                <c:pt idx="1102">
                  <c:v>1.1421536382406061</c:v>
                </c:pt>
                <c:pt idx="1103">
                  <c:v>1.0662541702563566</c:v>
                </c:pt>
                <c:pt idx="1104">
                  <c:v>0.88651453421379289</c:v>
                </c:pt>
                <c:pt idx="1105">
                  <c:v>0.88205979491449737</c:v>
                </c:pt>
                <c:pt idx="1106">
                  <c:v>0.91145230391430232</c:v>
                </c:pt>
                <c:pt idx="1107">
                  <c:v>0.64407161763920961</c:v>
                </c:pt>
                <c:pt idx="1108">
                  <c:v>0.71011349590346373</c:v>
                </c:pt>
                <c:pt idx="1109">
                  <c:v>1.0042269421417807</c:v>
                </c:pt>
                <c:pt idx="1110">
                  <c:v>1.0552473029560419</c:v>
                </c:pt>
                <c:pt idx="1111">
                  <c:v>1.0966578355233711</c:v>
                </c:pt>
                <c:pt idx="1112">
                  <c:v>0.99113176399814285</c:v>
                </c:pt>
                <c:pt idx="1113">
                  <c:v>1.0034459248598588</c:v>
                </c:pt>
                <c:pt idx="1114">
                  <c:v>1.0157277024142088</c:v>
                </c:pt>
                <c:pt idx="1115">
                  <c:v>1.0429639019769723</c:v>
                </c:pt>
                <c:pt idx="1116">
                  <c:v>1.0693965554574292</c:v>
                </c:pt>
                <c:pt idx="1117">
                  <c:v>1.0916987480415772</c:v>
                </c:pt>
                <c:pt idx="1118">
                  <c:v>0.26470781779486297</c:v>
                </c:pt>
                <c:pt idx="1119">
                  <c:v>0.74410776740596374</c:v>
                </c:pt>
                <c:pt idx="1120">
                  <c:v>1.1498290093415704</c:v>
                </c:pt>
                <c:pt idx="1121">
                  <c:v>2.1229778463684865</c:v>
                </c:pt>
                <c:pt idx="1122">
                  <c:v>0.73790889109083235</c:v>
                </c:pt>
                <c:pt idx="1123">
                  <c:v>0.75404159758067679</c:v>
                </c:pt>
                <c:pt idx="1124">
                  <c:v>0.77507654832363315</c:v>
                </c:pt>
                <c:pt idx="1125">
                  <c:v>0.78545219261794885</c:v>
                </c:pt>
                <c:pt idx="1126">
                  <c:v>0.80089998167189902</c:v>
                </c:pt>
                <c:pt idx="1127">
                  <c:v>0.81592192386506701</c:v>
                </c:pt>
                <c:pt idx="1128">
                  <c:v>0.82578484144380715</c:v>
                </c:pt>
                <c:pt idx="1129">
                  <c:v>0.84023223023676508</c:v>
                </c:pt>
                <c:pt idx="1130">
                  <c:v>0.85443539405275848</c:v>
                </c:pt>
                <c:pt idx="1131">
                  <c:v>1.5275194688695233</c:v>
                </c:pt>
                <c:pt idx="1132">
                  <c:v>0.88228010741145269</c:v>
                </c:pt>
                <c:pt idx="1133">
                  <c:v>0.89140945693171592</c:v>
                </c:pt>
                <c:pt idx="1134">
                  <c:v>0.96838694591814933</c:v>
                </c:pt>
                <c:pt idx="1135">
                  <c:v>0.95599304046297073</c:v>
                </c:pt>
                <c:pt idx="1136">
                  <c:v>0.17588229899630692</c:v>
                </c:pt>
                <c:pt idx="1137">
                  <c:v>0.95163190886019644</c:v>
                </c:pt>
                <c:pt idx="1138">
                  <c:v>0.88638949339900985</c:v>
                </c:pt>
                <c:pt idx="1139">
                  <c:v>0.934340226328646</c:v>
                </c:pt>
                <c:pt idx="1140">
                  <c:v>0.90833339366572186</c:v>
                </c:pt>
                <c:pt idx="1141">
                  <c:v>0.88626491239861427</c:v>
                </c:pt>
                <c:pt idx="1142">
                  <c:v>0.87257893114756002</c:v>
                </c:pt>
                <c:pt idx="1143">
                  <c:v>0.8208941132051355</c:v>
                </c:pt>
                <c:pt idx="1144">
                  <c:v>0.82567789037659534</c:v>
                </c:pt>
                <c:pt idx="1145">
                  <c:v>0.81083431977741127</c:v>
                </c:pt>
                <c:pt idx="1146">
                  <c:v>0.825544399879931</c:v>
                </c:pt>
                <c:pt idx="1147">
                  <c:v>0.80106083981423293</c:v>
                </c:pt>
                <c:pt idx="1148">
                  <c:v>0.43567356976812993</c:v>
                </c:pt>
                <c:pt idx="1149">
                  <c:v>0.4627172746781234</c:v>
                </c:pt>
                <c:pt idx="1150">
                  <c:v>0.47162077131144553</c:v>
                </c:pt>
                <c:pt idx="1151">
                  <c:v>0.49649049196751388</c:v>
                </c:pt>
                <c:pt idx="1152">
                  <c:v>0.52017275245380867</c:v>
                </c:pt>
                <c:pt idx="1153">
                  <c:v>0.53551682164610992</c:v>
                </c:pt>
                <c:pt idx="1154">
                  <c:v>1.5361828956627601</c:v>
                </c:pt>
                <c:pt idx="1155">
                  <c:v>0.55813894814583076</c:v>
                </c:pt>
                <c:pt idx="1156">
                  <c:v>0.90693596427888956</c:v>
                </c:pt>
                <c:pt idx="1157">
                  <c:v>1.3715928126105306</c:v>
                </c:pt>
                <c:pt idx="1158">
                  <c:v>0.59462016237093152</c:v>
                </c:pt>
                <c:pt idx="1159">
                  <c:v>0.5885241805681195</c:v>
                </c:pt>
                <c:pt idx="1160">
                  <c:v>0.5890906639778366</c:v>
                </c:pt>
                <c:pt idx="1161">
                  <c:v>0.58946826826106946</c:v>
                </c:pt>
                <c:pt idx="1162">
                  <c:v>0.58984583242943933</c:v>
                </c:pt>
                <c:pt idx="1163">
                  <c:v>0.75318682717844698</c:v>
                </c:pt>
                <c:pt idx="1164">
                  <c:v>0.74779280652178282</c:v>
                </c:pt>
                <c:pt idx="1165">
                  <c:v>0.72611762728340501</c:v>
                </c:pt>
                <c:pt idx="1166">
                  <c:v>0.74343201105964751</c:v>
                </c:pt>
                <c:pt idx="1167">
                  <c:v>0.70346426452476996</c:v>
                </c:pt>
                <c:pt idx="1168">
                  <c:v>0.69752936749929251</c:v>
                </c:pt>
                <c:pt idx="1169">
                  <c:v>0.67407831659034845</c:v>
                </c:pt>
                <c:pt idx="1170">
                  <c:v>0.66195890943723323</c:v>
                </c:pt>
                <c:pt idx="1171">
                  <c:v>0.64961350780332583</c:v>
                </c:pt>
                <c:pt idx="1172">
                  <c:v>0.63702896684187194</c:v>
                </c:pt>
                <c:pt idx="1173">
                  <c:v>0.62419081657409203</c:v>
                </c:pt>
                <c:pt idx="1174">
                  <c:v>0.60460303117125647</c:v>
                </c:pt>
                <c:pt idx="1175">
                  <c:v>0.78589261877530836</c:v>
                </c:pt>
                <c:pt idx="1176">
                  <c:v>0.78589261877530836</c:v>
                </c:pt>
                <c:pt idx="1177">
                  <c:v>0.76500922929281778</c:v>
                </c:pt>
                <c:pt idx="1178">
                  <c:v>0.74354003830955584</c:v>
                </c:pt>
                <c:pt idx="1179">
                  <c:v>0.71598407940186337</c:v>
                </c:pt>
                <c:pt idx="1180">
                  <c:v>0.70473565417117334</c:v>
                </c:pt>
                <c:pt idx="1181">
                  <c:v>0.70455290866581322</c:v>
                </c:pt>
                <c:pt idx="1182">
                  <c:v>0.68773710280688971</c:v>
                </c:pt>
                <c:pt idx="1183">
                  <c:v>0.71610566461778236</c:v>
                </c:pt>
                <c:pt idx="1184">
                  <c:v>0.63202667452846761</c:v>
                </c:pt>
                <c:pt idx="1185">
                  <c:v>0.57205639176249301</c:v>
                </c:pt>
                <c:pt idx="1186">
                  <c:v>0.56493580688747269</c:v>
                </c:pt>
                <c:pt idx="1187">
                  <c:v>0.46535789937697358</c:v>
                </c:pt>
                <c:pt idx="1188">
                  <c:v>0.45610043552836854</c:v>
                </c:pt>
                <c:pt idx="1189">
                  <c:v>0.43848677799591801</c:v>
                </c:pt>
                <c:pt idx="1190">
                  <c:v>0.42915595785834532</c:v>
                </c:pt>
                <c:pt idx="1191">
                  <c:v>0.41012261640281933</c:v>
                </c:pt>
                <c:pt idx="1192">
                  <c:v>0.43823886243322224</c:v>
                </c:pt>
                <c:pt idx="1193">
                  <c:v>0.31052404586699078</c:v>
                </c:pt>
                <c:pt idx="1194">
                  <c:v>0.29756838174220823</c:v>
                </c:pt>
                <c:pt idx="1195">
                  <c:v>0.28325457339633253</c:v>
                </c:pt>
                <c:pt idx="1196">
                  <c:v>0.25263249836529894</c:v>
                </c:pt>
                <c:pt idx="1197">
                  <c:v>0.26898867337449128</c:v>
                </c:pt>
                <c:pt idx="1198">
                  <c:v>0.22023271181590337</c:v>
                </c:pt>
                <c:pt idx="1199">
                  <c:v>0.12695627866760339</c:v>
                </c:pt>
                <c:pt idx="1200">
                  <c:v>0.12695627866760339</c:v>
                </c:pt>
                <c:pt idx="1201">
                  <c:v>1.9016299269832684E-2</c:v>
                </c:pt>
                <c:pt idx="1202">
                  <c:v>0.21660017266442921</c:v>
                </c:pt>
                <c:pt idx="1203">
                  <c:v>0.12228463273113997</c:v>
                </c:pt>
                <c:pt idx="1204">
                  <c:v>0.92587175838450808</c:v>
                </c:pt>
                <c:pt idx="1205">
                  <c:v>0.92999690008099023</c:v>
                </c:pt>
                <c:pt idx="1206">
                  <c:v>0.32405681080257764</c:v>
                </c:pt>
                <c:pt idx="1207">
                  <c:v>0.87645262819137015</c:v>
                </c:pt>
                <c:pt idx="1208">
                  <c:v>0.47431817107654534</c:v>
                </c:pt>
                <c:pt idx="1209">
                  <c:v>0.87595100404159987</c:v>
                </c:pt>
                <c:pt idx="1210">
                  <c:v>0.86678513495507936</c:v>
                </c:pt>
                <c:pt idx="1211">
                  <c:v>0.84815628723385017</c:v>
                </c:pt>
                <c:pt idx="1212">
                  <c:v>0.83397737272950812</c:v>
                </c:pt>
                <c:pt idx="1213">
                  <c:v>0.80974915054548202</c:v>
                </c:pt>
                <c:pt idx="1214">
                  <c:v>0.80459793695271153</c:v>
                </c:pt>
                <c:pt idx="1215">
                  <c:v>0.79433363381862232</c:v>
                </c:pt>
                <c:pt idx="1216">
                  <c:v>0.76328718578331689</c:v>
                </c:pt>
                <c:pt idx="1217">
                  <c:v>1.5608031983097932</c:v>
                </c:pt>
                <c:pt idx="1218">
                  <c:v>1.401676864738439</c:v>
                </c:pt>
                <c:pt idx="1219">
                  <c:v>1.2252210322114223</c:v>
                </c:pt>
                <c:pt idx="1220">
                  <c:v>1.1717104458806198</c:v>
                </c:pt>
                <c:pt idx="1221">
                  <c:v>1.006536878983739</c:v>
                </c:pt>
                <c:pt idx="1222">
                  <c:v>0.58557548611382304</c:v>
                </c:pt>
                <c:pt idx="1223">
                  <c:v>0.97404660920260622</c:v>
                </c:pt>
                <c:pt idx="1224">
                  <c:v>0.95738850404724485</c:v>
                </c:pt>
                <c:pt idx="1225">
                  <c:v>0.94889110578237423</c:v>
                </c:pt>
                <c:pt idx="1226">
                  <c:v>0.32087230074584866</c:v>
                </c:pt>
                <c:pt idx="1227">
                  <c:v>0.91877490357465397</c:v>
                </c:pt>
                <c:pt idx="1228">
                  <c:v>0.26562881125499727</c:v>
                </c:pt>
                <c:pt idx="1229">
                  <c:v>0.2652162405132078</c:v>
                </c:pt>
                <c:pt idx="1230">
                  <c:v>0.15776614226778568</c:v>
                </c:pt>
                <c:pt idx="1231">
                  <c:v>0.26987701186477286</c:v>
                </c:pt>
                <c:pt idx="1232">
                  <c:v>0.78519274155471253</c:v>
                </c:pt>
                <c:pt idx="1233">
                  <c:v>0.7798790587264991</c:v>
                </c:pt>
                <c:pt idx="1234">
                  <c:v>0.75912038697237094</c:v>
                </c:pt>
                <c:pt idx="1235">
                  <c:v>0.75376864447566949</c:v>
                </c:pt>
                <c:pt idx="1236">
                  <c:v>0.73122266298085115</c:v>
                </c:pt>
                <c:pt idx="1237">
                  <c:v>0.72536424485737938</c:v>
                </c:pt>
                <c:pt idx="1238">
                  <c:v>0.73077412134253072</c:v>
                </c:pt>
                <c:pt idx="1239">
                  <c:v>0.68021772965025729</c:v>
                </c:pt>
                <c:pt idx="1240">
                  <c:v>0.64994959710706335</c:v>
                </c:pt>
                <c:pt idx="1241">
                  <c:v>0.60496382592462272</c:v>
                </c:pt>
                <c:pt idx="1242">
                  <c:v>0.59805279756949459</c:v>
                </c:pt>
                <c:pt idx="1243">
                  <c:v>0.57682376163235749</c:v>
                </c:pt>
                <c:pt idx="1244">
                  <c:v>1.1430992134176727</c:v>
                </c:pt>
                <c:pt idx="1245">
                  <c:v>1.2142032465037753</c:v>
                </c:pt>
                <c:pt idx="1246">
                  <c:v>1.1327141716556615</c:v>
                </c:pt>
                <c:pt idx="1247">
                  <c:v>1.0188475004873614</c:v>
                </c:pt>
                <c:pt idx="1248">
                  <c:v>0.768331460186927</c:v>
                </c:pt>
                <c:pt idx="1249">
                  <c:v>0.7677712235309766</c:v>
                </c:pt>
                <c:pt idx="1250">
                  <c:v>0.77260799067311325</c:v>
                </c:pt>
                <c:pt idx="1251">
                  <c:v>0.73992887212949332</c:v>
                </c:pt>
                <c:pt idx="1252">
                  <c:v>0.74494770347634631</c:v>
                </c:pt>
                <c:pt idx="1253">
                  <c:v>0.75966818635809719</c:v>
                </c:pt>
                <c:pt idx="1254">
                  <c:v>0.75938755575779548</c:v>
                </c:pt>
                <c:pt idx="1255">
                  <c:v>1.3289284264834327</c:v>
                </c:pt>
                <c:pt idx="1256">
                  <c:v>0.75093701732794049</c:v>
                </c:pt>
                <c:pt idx="1257">
                  <c:v>0.70754339423480472</c:v>
                </c:pt>
                <c:pt idx="1258">
                  <c:v>0.67864533172623431</c:v>
                </c:pt>
                <c:pt idx="1259">
                  <c:v>0.64928217564082058</c:v>
                </c:pt>
                <c:pt idx="1260">
                  <c:v>1.3029239392943588</c:v>
                </c:pt>
                <c:pt idx="1261">
                  <c:v>1.3115182952754847</c:v>
                </c:pt>
                <c:pt idx="1262">
                  <c:v>0.38070767654911947</c:v>
                </c:pt>
                <c:pt idx="1263">
                  <c:v>0.4399091968373578</c:v>
                </c:pt>
                <c:pt idx="1264">
                  <c:v>0.50823097798280159</c:v>
                </c:pt>
                <c:pt idx="1265">
                  <c:v>1.4696333515460118</c:v>
                </c:pt>
                <c:pt idx="1266">
                  <c:v>0.61858380582319283</c:v>
                </c:pt>
                <c:pt idx="1267">
                  <c:v>0.82976624998737525</c:v>
                </c:pt>
                <c:pt idx="1268">
                  <c:v>0.74242591153947779</c:v>
                </c:pt>
                <c:pt idx="1269">
                  <c:v>0.78155751811994045</c:v>
                </c:pt>
                <c:pt idx="1270">
                  <c:v>1.8087081155101985</c:v>
                </c:pt>
                <c:pt idx="1271">
                  <c:v>0.85942049116018038</c:v>
                </c:pt>
                <c:pt idx="1272">
                  <c:v>1.9266146806486861</c:v>
                </c:pt>
                <c:pt idx="1273">
                  <c:v>0.14503568744854597</c:v>
                </c:pt>
                <c:pt idx="1274">
                  <c:v>0.63375701451952515</c:v>
                </c:pt>
                <c:pt idx="1275">
                  <c:v>0.62716189840106806</c:v>
                </c:pt>
                <c:pt idx="1276">
                  <c:v>0.60730835774553205</c:v>
                </c:pt>
                <c:pt idx="1277">
                  <c:v>0.6004232756138459</c:v>
                </c:pt>
                <c:pt idx="1278">
                  <c:v>0.57965549796140581</c:v>
                </c:pt>
                <c:pt idx="1279">
                  <c:v>1.0486526188094951</c:v>
                </c:pt>
                <c:pt idx="1280">
                  <c:v>0.57946683049046566</c:v>
                </c:pt>
                <c:pt idx="1281">
                  <c:v>0.55811597093949294</c:v>
                </c:pt>
                <c:pt idx="1282">
                  <c:v>0.55772433956555267</c:v>
                </c:pt>
                <c:pt idx="1283">
                  <c:v>0.91239175093820535</c:v>
                </c:pt>
                <c:pt idx="1284">
                  <c:v>0.53489589637197643</c:v>
                </c:pt>
                <c:pt idx="1285">
                  <c:v>1.2470943008005644</c:v>
                </c:pt>
                <c:pt idx="1286">
                  <c:v>1.0561383237403446</c:v>
                </c:pt>
                <c:pt idx="1287">
                  <c:v>0.98161647605408642</c:v>
                </c:pt>
                <c:pt idx="1288">
                  <c:v>0.86762015125059999</c:v>
                </c:pt>
                <c:pt idx="1289">
                  <c:v>0.37463079404539046</c:v>
                </c:pt>
                <c:pt idx="1290">
                  <c:v>0.4054848067003658</c:v>
                </c:pt>
                <c:pt idx="1291">
                  <c:v>0.42498240588493508</c:v>
                </c:pt>
                <c:pt idx="1292">
                  <c:v>0.44387022863763181</c:v>
                </c:pt>
                <c:pt idx="1293">
                  <c:v>1.277611067114558</c:v>
                </c:pt>
                <c:pt idx="1294">
                  <c:v>1.3114425376348546</c:v>
                </c:pt>
                <c:pt idx="1295">
                  <c:v>0.50476645799683961</c:v>
                </c:pt>
                <c:pt idx="1296">
                  <c:v>0.53568339772756224</c:v>
                </c:pt>
                <c:pt idx="1297">
                  <c:v>1.3739621809414799</c:v>
                </c:pt>
                <c:pt idx="1298">
                  <c:v>0.61266957405300349</c:v>
                </c:pt>
                <c:pt idx="1299">
                  <c:v>0.66293406852840142</c:v>
                </c:pt>
                <c:pt idx="1300">
                  <c:v>0.70391928201230458</c:v>
                </c:pt>
                <c:pt idx="1301">
                  <c:v>0.52557941636214978</c:v>
                </c:pt>
                <c:pt idx="1302">
                  <c:v>0.55553442291336419</c:v>
                </c:pt>
                <c:pt idx="1303">
                  <c:v>1.3790577967568103</c:v>
                </c:pt>
                <c:pt idx="1304">
                  <c:v>1.3506469681805986</c:v>
                </c:pt>
                <c:pt idx="1305">
                  <c:v>0.67389686152784412</c:v>
                </c:pt>
                <c:pt idx="1306">
                  <c:v>0.72580334999323459</c:v>
                </c:pt>
                <c:pt idx="1307">
                  <c:v>0.76899245259046423</c:v>
                </c:pt>
                <c:pt idx="1308">
                  <c:v>1.5150449461296565</c:v>
                </c:pt>
                <c:pt idx="1309">
                  <c:v>0.86274356232234339</c:v>
                </c:pt>
                <c:pt idx="1310">
                  <c:v>0.32555388088332721</c:v>
                </c:pt>
                <c:pt idx="1311">
                  <c:v>0.95566272839499911</c:v>
                </c:pt>
                <c:pt idx="1312">
                  <c:v>0.78603270430239225</c:v>
                </c:pt>
                <c:pt idx="1313">
                  <c:v>0.77071155166576766</c:v>
                </c:pt>
                <c:pt idx="1314">
                  <c:v>0.74940505105656907</c:v>
                </c:pt>
                <c:pt idx="1315">
                  <c:v>0.72219311288160448</c:v>
                </c:pt>
                <c:pt idx="1316">
                  <c:v>0.70533113608441167</c:v>
                </c:pt>
                <c:pt idx="1317">
                  <c:v>0.68789660305431255</c:v>
                </c:pt>
                <c:pt idx="1318">
                  <c:v>0.68198611613799676</c:v>
                </c:pt>
                <c:pt idx="1319">
                  <c:v>0.65814681651346363</c:v>
                </c:pt>
                <c:pt idx="1320">
                  <c:v>0.63959889757838417</c:v>
                </c:pt>
                <c:pt idx="1321">
                  <c:v>0.57358375556038632</c:v>
                </c:pt>
                <c:pt idx="1322">
                  <c:v>0.56667527017787411</c:v>
                </c:pt>
                <c:pt idx="1323">
                  <c:v>0.77514163371658074</c:v>
                </c:pt>
                <c:pt idx="1324">
                  <c:v>0.77749171130485861</c:v>
                </c:pt>
                <c:pt idx="1325">
                  <c:v>0.76700846198976436</c:v>
                </c:pt>
                <c:pt idx="1326">
                  <c:v>0.77198582848275699</c:v>
                </c:pt>
                <c:pt idx="1327">
                  <c:v>0.82996553802532813</c:v>
                </c:pt>
                <c:pt idx="1328">
                  <c:v>0.76644075095559949</c:v>
                </c:pt>
                <c:pt idx="1329">
                  <c:v>0.76629890509434118</c:v>
                </c:pt>
                <c:pt idx="1330">
                  <c:v>0.77142215293268923</c:v>
                </c:pt>
                <c:pt idx="1331">
                  <c:v>0.77142215293268923</c:v>
                </c:pt>
                <c:pt idx="1332">
                  <c:v>0.77142215293268923</c:v>
                </c:pt>
                <c:pt idx="1333">
                  <c:v>0.76615709189740844</c:v>
                </c:pt>
                <c:pt idx="1334">
                  <c:v>0.76099838424110522</c:v>
                </c:pt>
                <c:pt idx="1335">
                  <c:v>0.76615709189740844</c:v>
                </c:pt>
                <c:pt idx="1336">
                  <c:v>0.760855605524137</c:v>
                </c:pt>
                <c:pt idx="1337">
                  <c:v>0.74487058941566908</c:v>
                </c:pt>
                <c:pt idx="1338">
                  <c:v>1.032625615149777</c:v>
                </c:pt>
                <c:pt idx="1339">
                  <c:v>1.8439578145984301</c:v>
                </c:pt>
                <c:pt idx="1340">
                  <c:v>1.1045264701450264</c:v>
                </c:pt>
                <c:pt idx="1341">
                  <c:v>1.1370101644941182</c:v>
                </c:pt>
                <c:pt idx="1342">
                  <c:v>1.1719607357649722</c:v>
                </c:pt>
                <c:pt idx="1343">
                  <c:v>1.2093688631439559</c:v>
                </c:pt>
                <c:pt idx="1344">
                  <c:v>1.2423973939779938</c:v>
                </c:pt>
                <c:pt idx="1345">
                  <c:v>2.1922764641834176</c:v>
                </c:pt>
                <c:pt idx="1346">
                  <c:v>0.19035302923057099</c:v>
                </c:pt>
                <c:pt idx="1347">
                  <c:v>0.16839392316451163</c:v>
                </c:pt>
                <c:pt idx="1348">
                  <c:v>0.16774522754558827</c:v>
                </c:pt>
                <c:pt idx="1349">
                  <c:v>0.10930144233317098</c:v>
                </c:pt>
                <c:pt idx="1350">
                  <c:v>6.5152846928220945E-2</c:v>
                </c:pt>
                <c:pt idx="1351">
                  <c:v>6.8418413213281168E-2</c:v>
                </c:pt>
                <c:pt idx="1352">
                  <c:v>0.11303528917829035</c:v>
                </c:pt>
                <c:pt idx="1353">
                  <c:v>1.2578391901559909</c:v>
                </c:pt>
                <c:pt idx="1354">
                  <c:v>1.2578391901559909</c:v>
                </c:pt>
                <c:pt idx="1355">
                  <c:v>1.2002211446408806</c:v>
                </c:pt>
                <c:pt idx="1356">
                  <c:v>1.2037551497095289</c:v>
                </c:pt>
                <c:pt idx="1357">
                  <c:v>0.17649524159053798</c:v>
                </c:pt>
                <c:pt idx="1358">
                  <c:v>1.2649624412227689</c:v>
                </c:pt>
                <c:pt idx="1359">
                  <c:v>0.18016637019894238</c:v>
                </c:pt>
                <c:pt idx="1360">
                  <c:v>0.18257316384231431</c:v>
                </c:pt>
                <c:pt idx="1361">
                  <c:v>0.49206717370944403</c:v>
                </c:pt>
                <c:pt idx="1362">
                  <c:v>1.2451603749758704</c:v>
                </c:pt>
                <c:pt idx="1363">
                  <c:v>1.6004467893037386</c:v>
                </c:pt>
                <c:pt idx="1364">
                  <c:v>0.51675935050584443</c:v>
                </c:pt>
                <c:pt idx="1365">
                  <c:v>0.49137566841859465</c:v>
                </c:pt>
                <c:pt idx="1366">
                  <c:v>0.40892445668274569</c:v>
                </c:pt>
                <c:pt idx="1367">
                  <c:v>0.40576235591273696</c:v>
                </c:pt>
                <c:pt idx="1368">
                  <c:v>0.37315070675217171</c:v>
                </c:pt>
                <c:pt idx="1369">
                  <c:v>0.37170715754726535</c:v>
                </c:pt>
                <c:pt idx="1370">
                  <c:v>0.3492048001793554</c:v>
                </c:pt>
                <c:pt idx="1371">
                  <c:v>0.31311532419899152</c:v>
                </c:pt>
                <c:pt idx="1372">
                  <c:v>0.22654742657076332</c:v>
                </c:pt>
                <c:pt idx="1373">
                  <c:v>9.9252248851357361E-2</c:v>
                </c:pt>
                <c:pt idx="1374">
                  <c:v>0.26561344966578926</c:v>
                </c:pt>
                <c:pt idx="1375">
                  <c:v>0.33912433844823708</c:v>
                </c:pt>
                <c:pt idx="1376">
                  <c:v>1.1207851687190853</c:v>
                </c:pt>
                <c:pt idx="1377">
                  <c:v>0.90260223627816449</c:v>
                </c:pt>
                <c:pt idx="1378">
                  <c:v>1.0880806828833347</c:v>
                </c:pt>
                <c:pt idx="1379">
                  <c:v>1.1025631835080636</c:v>
                </c:pt>
                <c:pt idx="1380">
                  <c:v>1.0915888818370147</c:v>
                </c:pt>
                <c:pt idx="1381">
                  <c:v>1.076747495592834</c:v>
                </c:pt>
                <c:pt idx="1382">
                  <c:v>0.80422037044708794</c:v>
                </c:pt>
                <c:pt idx="1383">
                  <c:v>1.545601689444267</c:v>
                </c:pt>
                <c:pt idx="1384">
                  <c:v>1.4956576232279857</c:v>
                </c:pt>
                <c:pt idx="1385">
                  <c:v>1.0724503574052608</c:v>
                </c:pt>
                <c:pt idx="1386">
                  <c:v>1.0797683058618108</c:v>
                </c:pt>
                <c:pt idx="1387">
                  <c:v>0.97045715510139285</c:v>
                </c:pt>
                <c:pt idx="1388">
                  <c:v>0.97865358687296</c:v>
                </c:pt>
                <c:pt idx="1389">
                  <c:v>0.97450643809834314</c:v>
                </c:pt>
                <c:pt idx="1390">
                  <c:v>0.95785561387528639</c:v>
                </c:pt>
                <c:pt idx="1391">
                  <c:v>0.80487051002892573</c:v>
                </c:pt>
                <c:pt idx="1392">
                  <c:v>0.79982495857398594</c:v>
                </c:pt>
                <c:pt idx="1393">
                  <c:v>0.79474740135022426</c:v>
                </c:pt>
                <c:pt idx="1394">
                  <c:v>0.78477325388276487</c:v>
                </c:pt>
                <c:pt idx="1395">
                  <c:v>0.76956972008948354</c:v>
                </c:pt>
                <c:pt idx="1396">
                  <c:v>0.71794262118121988</c:v>
                </c:pt>
                <c:pt idx="1397">
                  <c:v>0.71319862122537181</c:v>
                </c:pt>
                <c:pt idx="1398">
                  <c:v>0.72626837954754853</c:v>
                </c:pt>
                <c:pt idx="1399">
                  <c:v>0.73182108712919602</c:v>
                </c:pt>
                <c:pt idx="1400">
                  <c:v>0.73777786466797168</c:v>
                </c:pt>
                <c:pt idx="1401">
                  <c:v>0.44096003898916175</c:v>
                </c:pt>
                <c:pt idx="1402">
                  <c:v>0.74793922505727817</c:v>
                </c:pt>
                <c:pt idx="1403">
                  <c:v>0.64199500306690871</c:v>
                </c:pt>
                <c:pt idx="1404">
                  <c:v>0.62296740423449237</c:v>
                </c:pt>
                <c:pt idx="1405">
                  <c:v>0.62943152461691276</c:v>
                </c:pt>
                <c:pt idx="1406">
                  <c:v>1.1035606099987354</c:v>
                </c:pt>
                <c:pt idx="1407">
                  <c:v>0.76490218544490407</c:v>
                </c:pt>
                <c:pt idx="1408">
                  <c:v>0.57474468239313459</c:v>
                </c:pt>
                <c:pt idx="1409">
                  <c:v>0.5462453228084807</c:v>
                </c:pt>
                <c:pt idx="1410">
                  <c:v>1.0586436996375437</c:v>
                </c:pt>
                <c:pt idx="1411">
                  <c:v>0.4920869081567249</c:v>
                </c:pt>
                <c:pt idx="1412">
                  <c:v>1.0922198612284073</c:v>
                </c:pt>
                <c:pt idx="1413">
                  <c:v>0.23957609709626615</c:v>
                </c:pt>
                <c:pt idx="1414">
                  <c:v>0.31396742590500765</c:v>
                </c:pt>
                <c:pt idx="1415">
                  <c:v>0.3530645384481097</c:v>
                </c:pt>
                <c:pt idx="1416">
                  <c:v>0.39939702757099732</c:v>
                </c:pt>
                <c:pt idx="1417">
                  <c:v>0.46674075939651399</c:v>
                </c:pt>
                <c:pt idx="1418">
                  <c:v>1.9057203811604824</c:v>
                </c:pt>
                <c:pt idx="1419">
                  <c:v>0.65413944469686869</c:v>
                </c:pt>
                <c:pt idx="1420">
                  <c:v>2.0019262379913259</c:v>
                </c:pt>
                <c:pt idx="1421">
                  <c:v>0.56370025933418355</c:v>
                </c:pt>
                <c:pt idx="1422">
                  <c:v>2.1335477866390806</c:v>
                </c:pt>
                <c:pt idx="1423">
                  <c:v>2.1374164535295228</c:v>
                </c:pt>
                <c:pt idx="1424">
                  <c:v>2.240225155656431</c:v>
                </c:pt>
                <c:pt idx="1425">
                  <c:v>0.60038339172599309</c:v>
                </c:pt>
                <c:pt idx="1426">
                  <c:v>0.63113442530936725</c:v>
                </c:pt>
                <c:pt idx="1427">
                  <c:v>0.66534826724492502</c:v>
                </c:pt>
                <c:pt idx="1428">
                  <c:v>1.0847717649741426</c:v>
                </c:pt>
                <c:pt idx="1429">
                  <c:v>1.0660412081750816</c:v>
                </c:pt>
                <c:pt idx="1430">
                  <c:v>1.0509468087978511</c:v>
                </c:pt>
                <c:pt idx="1431">
                  <c:v>1.0546866968778841</c:v>
                </c:pt>
                <c:pt idx="1432">
                  <c:v>0.58864788745983598</c:v>
                </c:pt>
                <c:pt idx="1433">
                  <c:v>0.58846155773484576</c:v>
                </c:pt>
                <c:pt idx="1434">
                  <c:v>0.58808886162934693</c:v>
                </c:pt>
                <c:pt idx="1435">
                  <c:v>0.57396541276973168</c:v>
                </c:pt>
                <c:pt idx="1436">
                  <c:v>0.56667527017787411</c:v>
                </c:pt>
                <c:pt idx="1437">
                  <c:v>0.54502350663244681</c:v>
                </c:pt>
                <c:pt idx="1438">
                  <c:v>0.53016673966924399</c:v>
                </c:pt>
                <c:pt idx="1439">
                  <c:v>0.52247531716755524</c:v>
                </c:pt>
                <c:pt idx="1440">
                  <c:v>3.7547019093653107E-2</c:v>
                </c:pt>
                <c:pt idx="1441">
                  <c:v>0.20359915669577142</c:v>
                </c:pt>
                <c:pt idx="1442">
                  <c:v>0.33681221983304177</c:v>
                </c:pt>
                <c:pt idx="1443">
                  <c:v>0.45771344418721693</c:v>
                </c:pt>
                <c:pt idx="1444">
                  <c:v>0.54580320296727602</c:v>
                </c:pt>
                <c:pt idx="1445">
                  <c:v>0.60836605112534414</c:v>
                </c:pt>
                <c:pt idx="1446">
                  <c:v>0.62170684820299138</c:v>
                </c:pt>
                <c:pt idx="1447">
                  <c:v>0.64094257011242362</c:v>
                </c:pt>
                <c:pt idx="1448">
                  <c:v>0.65345197077903627</c:v>
                </c:pt>
                <c:pt idx="1449">
                  <c:v>0.63580033251513068</c:v>
                </c:pt>
                <c:pt idx="1450">
                  <c:v>0.68866876054542892</c:v>
                </c:pt>
                <c:pt idx="1451">
                  <c:v>0.7393862095712237</c:v>
                </c:pt>
                <c:pt idx="1452">
                  <c:v>0.77704817972815521</c:v>
                </c:pt>
                <c:pt idx="1453">
                  <c:v>0.84763922235036027</c:v>
                </c:pt>
                <c:pt idx="1454">
                  <c:v>0.84284991644157636</c:v>
                </c:pt>
                <c:pt idx="1455">
                  <c:v>0.82844805292812096</c:v>
                </c:pt>
                <c:pt idx="1456">
                  <c:v>0.81379138859628464</c:v>
                </c:pt>
                <c:pt idx="1457">
                  <c:v>0.80866657359051874</c:v>
                </c:pt>
                <c:pt idx="1458">
                  <c:v>0.70488625569951491</c:v>
                </c:pt>
                <c:pt idx="1459">
                  <c:v>0.78838923444390263</c:v>
                </c:pt>
                <c:pt idx="1460">
                  <c:v>0.78309856544279166</c:v>
                </c:pt>
                <c:pt idx="1461">
                  <c:v>0.76743459056085672</c:v>
                </c:pt>
                <c:pt idx="1462">
                  <c:v>0.7615698164525051</c:v>
                </c:pt>
                <c:pt idx="1463">
                  <c:v>0.7285349148277368</c:v>
                </c:pt>
                <c:pt idx="1464">
                  <c:v>0.73941650356898725</c:v>
                </c:pt>
                <c:pt idx="1465">
                  <c:v>0.72280739003379768</c:v>
                </c:pt>
                <c:pt idx="1466">
                  <c:v>0.71151930597055157</c:v>
                </c:pt>
                <c:pt idx="1467">
                  <c:v>0.70020426107819189</c:v>
                </c:pt>
                <c:pt idx="1468">
                  <c:v>0.55868684330569929</c:v>
                </c:pt>
                <c:pt idx="1469">
                  <c:v>0.58001552054836236</c:v>
                </c:pt>
                <c:pt idx="1470">
                  <c:v>0.61356398253313216</c:v>
                </c:pt>
                <c:pt idx="1471">
                  <c:v>0.62661960659523441</c:v>
                </c:pt>
                <c:pt idx="1472">
                  <c:v>0.65177991941492808</c:v>
                </c:pt>
                <c:pt idx="1473">
                  <c:v>0.67600446381291168</c:v>
                </c:pt>
                <c:pt idx="1474">
                  <c:v>0.70515448292558036</c:v>
                </c:pt>
                <c:pt idx="1475">
                  <c:v>0.78357543015816911</c:v>
                </c:pt>
                <c:pt idx="1476">
                  <c:v>0.80384695804252793</c:v>
                </c:pt>
                <c:pt idx="1477">
                  <c:v>0.81909856230537015</c:v>
                </c:pt>
                <c:pt idx="1478">
                  <c:v>1.6780180384269205</c:v>
                </c:pt>
                <c:pt idx="1479">
                  <c:v>0.82594322734039827</c:v>
                </c:pt>
                <c:pt idx="1480">
                  <c:v>0.83165317165738206</c:v>
                </c:pt>
                <c:pt idx="1481">
                  <c:v>0.84174800869275135</c:v>
                </c:pt>
                <c:pt idx="1482">
                  <c:v>0.61393800781023322</c:v>
                </c:pt>
                <c:pt idx="1483">
                  <c:v>0.6137596035159375</c:v>
                </c:pt>
                <c:pt idx="1484">
                  <c:v>0.59382713954124122</c:v>
                </c:pt>
                <c:pt idx="1485">
                  <c:v>0.80029999345985126</c:v>
                </c:pt>
                <c:pt idx="1486">
                  <c:v>0.59345847389297446</c:v>
                </c:pt>
                <c:pt idx="1487">
                  <c:v>0.58622462219653237</c:v>
                </c:pt>
                <c:pt idx="1488">
                  <c:v>0.58641110469770685</c:v>
                </c:pt>
                <c:pt idx="1489">
                  <c:v>0.57946683049046566</c:v>
                </c:pt>
                <c:pt idx="1490">
                  <c:v>0.57927814704805713</c:v>
                </c:pt>
                <c:pt idx="1491">
                  <c:v>0.85351014402915115</c:v>
                </c:pt>
                <c:pt idx="1492">
                  <c:v>0.57205639176249301</c:v>
                </c:pt>
                <c:pt idx="1493">
                  <c:v>0.55772433956555267</c:v>
                </c:pt>
                <c:pt idx="1494">
                  <c:v>0.55752848617308959</c:v>
                </c:pt>
                <c:pt idx="1495">
                  <c:v>0.55733260748666147</c:v>
                </c:pt>
                <c:pt idx="1496">
                  <c:v>0.53530379328744848</c:v>
                </c:pt>
                <c:pt idx="1497">
                  <c:v>0.55596073853677996</c:v>
                </c:pt>
                <c:pt idx="1498">
                  <c:v>0.54863155488858917</c:v>
                </c:pt>
                <c:pt idx="1499">
                  <c:v>1.1978725181956194</c:v>
                </c:pt>
                <c:pt idx="1500">
                  <c:v>1.0635714312752877</c:v>
                </c:pt>
                <c:pt idx="1501">
                  <c:v>0.91397356552482567</c:v>
                </c:pt>
                <c:pt idx="1502">
                  <c:v>0.62261784872922876</c:v>
                </c:pt>
                <c:pt idx="1503">
                  <c:v>0.47717858504703625</c:v>
                </c:pt>
                <c:pt idx="1504">
                  <c:v>0.45990000125529001</c:v>
                </c:pt>
                <c:pt idx="1505">
                  <c:v>0.45101253953144255</c:v>
                </c:pt>
                <c:pt idx="1506">
                  <c:v>0.44194638357315824</c:v>
                </c:pt>
                <c:pt idx="1507">
                  <c:v>1.0772044434474159</c:v>
                </c:pt>
                <c:pt idx="1508">
                  <c:v>0.42323182643903134</c:v>
                </c:pt>
                <c:pt idx="1509">
                  <c:v>0.41355707568775646</c:v>
                </c:pt>
                <c:pt idx="1510">
                  <c:v>0.55196693973327182</c:v>
                </c:pt>
                <c:pt idx="1511">
                  <c:v>0.5733639263593554</c:v>
                </c:pt>
                <c:pt idx="1512">
                  <c:v>0.5733639263593554</c:v>
                </c:pt>
                <c:pt idx="1513">
                  <c:v>0.58713469275588881</c:v>
                </c:pt>
                <c:pt idx="1514">
                  <c:v>0.59381028759412569</c:v>
                </c:pt>
                <c:pt idx="1515">
                  <c:v>0.60711754162653919</c:v>
                </c:pt>
                <c:pt idx="1516">
                  <c:v>0.60711754162653919</c:v>
                </c:pt>
                <c:pt idx="1517">
                  <c:v>0.62013930777583282</c:v>
                </c:pt>
                <c:pt idx="1518">
                  <c:v>0.6453951227308411</c:v>
                </c:pt>
                <c:pt idx="1519">
                  <c:v>0.65782133096504136</c:v>
                </c:pt>
                <c:pt idx="1520">
                  <c:v>0.67587466834366861</c:v>
                </c:pt>
                <c:pt idx="1521">
                  <c:v>0.699271419332542</c:v>
                </c:pt>
                <c:pt idx="1522">
                  <c:v>0.71075551391771596</c:v>
                </c:pt>
                <c:pt idx="1523">
                  <c:v>0.78497939776724834</c:v>
                </c:pt>
                <c:pt idx="1524">
                  <c:v>0.36309563928750366</c:v>
                </c:pt>
                <c:pt idx="1525">
                  <c:v>0.44869827686146435</c:v>
                </c:pt>
                <c:pt idx="1526">
                  <c:v>0.48322537316348885</c:v>
                </c:pt>
                <c:pt idx="1527">
                  <c:v>0.65981336860868489</c:v>
                </c:pt>
                <c:pt idx="1528">
                  <c:v>0.63496841692353612</c:v>
                </c:pt>
                <c:pt idx="1529">
                  <c:v>0.60911118174758483</c:v>
                </c:pt>
                <c:pt idx="1530">
                  <c:v>0.58210676871119926</c:v>
                </c:pt>
                <c:pt idx="1531">
                  <c:v>0.54642816481825374</c:v>
                </c:pt>
                <c:pt idx="1532">
                  <c:v>0.52373070124710752</c:v>
                </c:pt>
                <c:pt idx="1533">
                  <c:v>0.47555510513483146</c:v>
                </c:pt>
                <c:pt idx="1534">
                  <c:v>0.43114903711970248</c:v>
                </c:pt>
                <c:pt idx="1535">
                  <c:v>0.38161074070729428</c:v>
                </c:pt>
                <c:pt idx="1536">
                  <c:v>0.32459884722063065</c:v>
                </c:pt>
                <c:pt idx="1537">
                  <c:v>0.25515174455269796</c:v>
                </c:pt>
                <c:pt idx="1538">
                  <c:v>0.41778435227779637</c:v>
                </c:pt>
                <c:pt idx="1539">
                  <c:v>0.74280205917396824</c:v>
                </c:pt>
                <c:pt idx="1540">
                  <c:v>0.37840255744047052</c:v>
                </c:pt>
                <c:pt idx="1541">
                  <c:v>0.3903570806438218</c:v>
                </c:pt>
                <c:pt idx="1542">
                  <c:v>1.3205873792297382</c:v>
                </c:pt>
                <c:pt idx="1543">
                  <c:v>0.45506645275305424</c:v>
                </c:pt>
                <c:pt idx="1544">
                  <c:v>0.47159630925168722</c:v>
                </c:pt>
                <c:pt idx="1545">
                  <c:v>0.47206017065263517</c:v>
                </c:pt>
                <c:pt idx="1546">
                  <c:v>0.49092412989645973</c:v>
                </c:pt>
                <c:pt idx="1547">
                  <c:v>0.50758237511285353</c:v>
                </c:pt>
                <c:pt idx="1548">
                  <c:v>0.5385440810362887</c:v>
                </c:pt>
                <c:pt idx="1549">
                  <c:v>0.57471577138520114</c:v>
                </c:pt>
                <c:pt idx="1550">
                  <c:v>0.61410356489229956</c:v>
                </c:pt>
                <c:pt idx="1551">
                  <c:v>0.66950679313299</c:v>
                </c:pt>
                <c:pt idx="1552">
                  <c:v>0.6927975229645793</c:v>
                </c:pt>
                <c:pt idx="1553">
                  <c:v>1.5075960200195264</c:v>
                </c:pt>
                <c:pt idx="1554">
                  <c:v>0.93153568547189758</c:v>
                </c:pt>
                <c:pt idx="1555">
                  <c:v>0.37495437474258103</c:v>
                </c:pt>
                <c:pt idx="1556">
                  <c:v>0.4352257320314713</c:v>
                </c:pt>
                <c:pt idx="1557">
                  <c:v>0.46374176643398529</c:v>
                </c:pt>
                <c:pt idx="1558">
                  <c:v>0.48251071347351582</c:v>
                </c:pt>
                <c:pt idx="1559">
                  <c:v>1.7550082063917749</c:v>
                </c:pt>
                <c:pt idx="1560">
                  <c:v>1.7910560816388392</c:v>
                </c:pt>
                <c:pt idx="1561">
                  <c:v>1.8176228843960511</c:v>
                </c:pt>
                <c:pt idx="1562">
                  <c:v>0.61997474165668232</c:v>
                </c:pt>
                <c:pt idx="1563">
                  <c:v>0.6170901310970166</c:v>
                </c:pt>
                <c:pt idx="1564">
                  <c:v>1.9575844915519116</c:v>
                </c:pt>
                <c:pt idx="1565">
                  <c:v>0.69369865851278156</c:v>
                </c:pt>
                <c:pt idx="1566">
                  <c:v>0.49544223358791156</c:v>
                </c:pt>
                <c:pt idx="1567">
                  <c:v>0.71121426039431612</c:v>
                </c:pt>
                <c:pt idx="1568">
                  <c:v>0.31847050877773325</c:v>
                </c:pt>
                <c:pt idx="1569">
                  <c:v>0.47545303851136372</c:v>
                </c:pt>
                <c:pt idx="1570">
                  <c:v>0.65148955906553885</c:v>
                </c:pt>
                <c:pt idx="1571">
                  <c:v>0.69158864935503206</c:v>
                </c:pt>
                <c:pt idx="1572">
                  <c:v>0.75474542164105074</c:v>
                </c:pt>
                <c:pt idx="1573">
                  <c:v>0.75446258837832036</c:v>
                </c:pt>
                <c:pt idx="1574">
                  <c:v>0.72273922995388973</c:v>
                </c:pt>
                <c:pt idx="1575">
                  <c:v>0.70513089945687413</c:v>
                </c:pt>
                <c:pt idx="1576">
                  <c:v>0.68878329000507199</c:v>
                </c:pt>
                <c:pt idx="1577">
                  <c:v>0.64783301201215893</c:v>
                </c:pt>
                <c:pt idx="1578">
                  <c:v>0.64783301201215893</c:v>
                </c:pt>
                <c:pt idx="1579">
                  <c:v>0.6418899554179871</c:v>
                </c:pt>
                <c:pt idx="1580">
                  <c:v>0.64155437314058172</c:v>
                </c:pt>
                <c:pt idx="1581">
                  <c:v>0.89119365498090175</c:v>
                </c:pt>
                <c:pt idx="1582">
                  <c:v>0.89119365498090175</c:v>
                </c:pt>
                <c:pt idx="1583">
                  <c:v>0.868435261620776</c:v>
                </c:pt>
                <c:pt idx="1584">
                  <c:v>0.88256211778828098</c:v>
                </c:pt>
                <c:pt idx="1585">
                  <c:v>0.84984188274577721</c:v>
                </c:pt>
                <c:pt idx="1586">
                  <c:v>0.87758423675740305</c:v>
                </c:pt>
                <c:pt idx="1587">
                  <c:v>0.86376048636404301</c:v>
                </c:pt>
                <c:pt idx="1588">
                  <c:v>0.79102740477108691</c:v>
                </c:pt>
                <c:pt idx="1589">
                  <c:v>0.83569145552437574</c:v>
                </c:pt>
                <c:pt idx="1590">
                  <c:v>0.81594720236715823</c:v>
                </c:pt>
                <c:pt idx="1591">
                  <c:v>0.78100605997381012</c:v>
                </c:pt>
                <c:pt idx="1592">
                  <c:v>0.77594685039232814</c:v>
                </c:pt>
                <c:pt idx="1593">
                  <c:v>0.79102740477108691</c:v>
                </c:pt>
                <c:pt idx="1594">
                  <c:v>0.76544048039088219</c:v>
                </c:pt>
                <c:pt idx="1595">
                  <c:v>0.79557596486377335</c:v>
                </c:pt>
                <c:pt idx="1596">
                  <c:v>0.32864326733116245</c:v>
                </c:pt>
                <c:pt idx="1597">
                  <c:v>0.31608641901486584</c:v>
                </c:pt>
                <c:pt idx="1598">
                  <c:v>0.21002868500249297</c:v>
                </c:pt>
                <c:pt idx="1599">
                  <c:v>0.1081039195398369</c:v>
                </c:pt>
                <c:pt idx="1600">
                  <c:v>0.20888660286854935</c:v>
                </c:pt>
                <c:pt idx="1601">
                  <c:v>0.3025794871023037</c:v>
                </c:pt>
                <c:pt idx="1602">
                  <c:v>0.31567425601738175</c:v>
                </c:pt>
                <c:pt idx="1603">
                  <c:v>0.34003503212416952</c:v>
                </c:pt>
                <c:pt idx="1604">
                  <c:v>0.37375571431126564</c:v>
                </c:pt>
                <c:pt idx="1605">
                  <c:v>0.36396505137882484</c:v>
                </c:pt>
                <c:pt idx="1606">
                  <c:v>0.35142780404114399</c:v>
                </c:pt>
                <c:pt idx="1607">
                  <c:v>0.46834065354978632</c:v>
                </c:pt>
                <c:pt idx="1608">
                  <c:v>0.46009097493201717</c:v>
                </c:pt>
                <c:pt idx="1609">
                  <c:v>0.33683902536540539</c:v>
                </c:pt>
                <c:pt idx="1610">
                  <c:v>0.32459884722063065</c:v>
                </c:pt>
                <c:pt idx="1611">
                  <c:v>0.31152848516842802</c:v>
                </c:pt>
                <c:pt idx="1612">
                  <c:v>0.29788533798396588</c:v>
                </c:pt>
                <c:pt idx="1613">
                  <c:v>0.29715174110301851</c:v>
                </c:pt>
                <c:pt idx="1614">
                  <c:v>1.1126381455492387</c:v>
                </c:pt>
                <c:pt idx="1615">
                  <c:v>0.8889678791643264</c:v>
                </c:pt>
                <c:pt idx="1616">
                  <c:v>0.70873282982640418</c:v>
                </c:pt>
                <c:pt idx="1617">
                  <c:v>0.46297069855988093</c:v>
                </c:pt>
                <c:pt idx="1618">
                  <c:v>0.26484695080009218</c:v>
                </c:pt>
                <c:pt idx="1619">
                  <c:v>0.2318064214447039</c:v>
                </c:pt>
                <c:pt idx="1620">
                  <c:v>0.23086375471824461</c:v>
                </c:pt>
                <c:pt idx="1621">
                  <c:v>0.24689623555586637</c:v>
                </c:pt>
                <c:pt idx="1622">
                  <c:v>0.22944262449255989</c:v>
                </c:pt>
                <c:pt idx="1623">
                  <c:v>1.110035684541006</c:v>
                </c:pt>
                <c:pt idx="1624">
                  <c:v>0.40225887935259508</c:v>
                </c:pt>
                <c:pt idx="1625">
                  <c:v>0.50215881409288887</c:v>
                </c:pt>
                <c:pt idx="1626">
                  <c:v>0.43547938641844658</c:v>
                </c:pt>
                <c:pt idx="1627">
                  <c:v>0.46421917754979969</c:v>
                </c:pt>
                <c:pt idx="1628">
                  <c:v>0.52068753166308668</c:v>
                </c:pt>
                <c:pt idx="1629">
                  <c:v>0.57238271194872026</c:v>
                </c:pt>
                <c:pt idx="1630">
                  <c:v>1.7732296007877151</c:v>
                </c:pt>
                <c:pt idx="1631">
                  <c:v>0.3961796701984972</c:v>
                </c:pt>
                <c:pt idx="1632">
                  <c:v>1.0078032779392236</c:v>
                </c:pt>
                <c:pt idx="1633">
                  <c:v>0.39549893890560589</c:v>
                </c:pt>
                <c:pt idx="1634">
                  <c:v>0.12737989961362123</c:v>
                </c:pt>
                <c:pt idx="1635">
                  <c:v>0.11266852830249229</c:v>
                </c:pt>
                <c:pt idx="1636">
                  <c:v>0.15942653300409729</c:v>
                </c:pt>
                <c:pt idx="1637">
                  <c:v>0.17205752000363933</c:v>
                </c:pt>
                <c:pt idx="1638">
                  <c:v>0.35612904093277353</c:v>
                </c:pt>
                <c:pt idx="1639">
                  <c:v>0.4653449335693165</c:v>
                </c:pt>
                <c:pt idx="1640">
                  <c:v>0.53288618484955519</c:v>
                </c:pt>
                <c:pt idx="1641">
                  <c:v>2.1034676881946677</c:v>
                </c:pt>
                <c:pt idx="1642">
                  <c:v>2.2562365508567859</c:v>
                </c:pt>
                <c:pt idx="1643">
                  <c:v>0.61608445940796241</c:v>
                </c:pt>
                <c:pt idx="1644">
                  <c:v>0.61559000426215982</c:v>
                </c:pt>
                <c:pt idx="1645">
                  <c:v>0.58960143762083683</c:v>
                </c:pt>
                <c:pt idx="1646">
                  <c:v>2.1598089005060612</c:v>
                </c:pt>
                <c:pt idx="1647">
                  <c:v>0.49621432769107071</c:v>
                </c:pt>
                <c:pt idx="1648">
                  <c:v>0.4384645419926847</c:v>
                </c:pt>
              </c:numCache>
            </c:numRef>
          </c:yVal>
          <c:smooth val="0"/>
          <c:extLst>
            <c:ext xmlns:c16="http://schemas.microsoft.com/office/drawing/2014/chart" uri="{C3380CC4-5D6E-409C-BE32-E72D297353CC}">
              <c16:uniqueId val="{00000001-03EB-4C4C-BF7D-488303A7F217}"/>
            </c:ext>
          </c:extLst>
        </c:ser>
        <c:dLbls>
          <c:showLegendKey val="0"/>
          <c:showVal val="0"/>
          <c:showCatName val="0"/>
          <c:showSerName val="0"/>
          <c:showPercent val="0"/>
          <c:showBubbleSize val="0"/>
        </c:dLbls>
        <c:axId val="145767311"/>
        <c:axId val="145767791"/>
      </c:scatterChart>
      <c:valAx>
        <c:axId val="145767311"/>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45767791"/>
        <c:crosses val="autoZero"/>
        <c:crossBetween val="midCat"/>
      </c:valAx>
      <c:valAx>
        <c:axId val="145767791"/>
        <c:scaling>
          <c:orientation val="minMax"/>
        </c:scaling>
        <c:delete val="0"/>
        <c:axPos val="l"/>
        <c:majorGridlines/>
        <c:title>
          <c:tx>
            <c:rich>
              <a:bodyPr/>
              <a:lstStyle/>
              <a:p>
                <a:pPr>
                  <a:defRPr/>
                </a:pPr>
                <a:r>
                  <a:rPr lang="en-US"/>
                  <a:t>√|Studentized Residual|</a:t>
                </a:r>
              </a:p>
            </c:rich>
          </c:tx>
          <c:overlay val="0"/>
        </c:title>
        <c:numFmt formatCode="0" sourceLinked="0"/>
        <c:majorTickMark val="out"/>
        <c:minorTickMark val="none"/>
        <c:tickLblPos val="nextTo"/>
        <c:crossAx val="14576731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Cook's Distance</a:t>
            </a:r>
          </a:p>
        </c:rich>
      </c:tx>
      <c:overlay val="0"/>
      <c:spPr>
        <a:solidFill>
          <a:srgbClr val="CAEDFB"/>
        </a:solidFill>
      </c:sp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1649"/>
                <c:pt idx="0">
                  <c:v>1.6877941700465421E-6</c:v>
                </c:pt>
                <c:pt idx="1">
                  <c:v>2.4341161908842459E-4</c:v>
                </c:pt>
                <c:pt idx="2">
                  <c:v>2.5428057080293472E-4</c:v>
                </c:pt>
                <c:pt idx="3">
                  <c:v>2.8664573706460903E-4</c:v>
                </c:pt>
                <c:pt idx="4">
                  <c:v>3.1286679249455996E-4</c:v>
                </c:pt>
                <c:pt idx="5">
                  <c:v>3.5058074868978689E-4</c:v>
                </c:pt>
                <c:pt idx="6">
                  <c:v>3.706740030978155E-4</c:v>
                </c:pt>
                <c:pt idx="7">
                  <c:v>4.2033412667800084E-4</c:v>
                </c:pt>
                <c:pt idx="8">
                  <c:v>4.8322821712246979E-4</c:v>
                </c:pt>
                <c:pt idx="9">
                  <c:v>5.186854847894839E-4</c:v>
                </c:pt>
                <c:pt idx="10">
                  <c:v>5.374097053110771E-4</c:v>
                </c:pt>
                <c:pt idx="11">
                  <c:v>5.8368584870744766E-4</c:v>
                </c:pt>
                <c:pt idx="12">
                  <c:v>6.3258854551746324E-4</c:v>
                </c:pt>
                <c:pt idx="13">
                  <c:v>9.5964243773902624E-3</c:v>
                </c:pt>
                <c:pt idx="14">
                  <c:v>8.3601107521040572E-4</c:v>
                </c:pt>
                <c:pt idx="15">
                  <c:v>9.3646885882987948E-4</c:v>
                </c:pt>
                <c:pt idx="16">
                  <c:v>1.7988844580680703E-4</c:v>
                </c:pt>
                <c:pt idx="17">
                  <c:v>1.7948739542550246E-6</c:v>
                </c:pt>
                <c:pt idx="18">
                  <c:v>1.5767633589127816E-4</c:v>
                </c:pt>
                <c:pt idx="19">
                  <c:v>1.3910756370507686E-4</c:v>
                </c:pt>
                <c:pt idx="20">
                  <c:v>1.2195136516785209E-4</c:v>
                </c:pt>
                <c:pt idx="21">
                  <c:v>1.0201990317920617E-4</c:v>
                </c:pt>
                <c:pt idx="22">
                  <c:v>9.5522780741534328E-5</c:v>
                </c:pt>
                <c:pt idx="23">
                  <c:v>1.0914799376851617E-4</c:v>
                </c:pt>
                <c:pt idx="24">
                  <c:v>3.1919021896397426E-5</c:v>
                </c:pt>
                <c:pt idx="25">
                  <c:v>2.2266420913315341E-5</c:v>
                </c:pt>
                <c:pt idx="26">
                  <c:v>2.1832767817229763E-4</c:v>
                </c:pt>
                <c:pt idx="27">
                  <c:v>2.6936350856915045E-4</c:v>
                </c:pt>
                <c:pt idx="28">
                  <c:v>2.8910201479616436E-4</c:v>
                </c:pt>
                <c:pt idx="29">
                  <c:v>2.451051055949215E-4</c:v>
                </c:pt>
                <c:pt idx="30">
                  <c:v>2.1345525513955004E-4</c:v>
                </c:pt>
                <c:pt idx="31">
                  <c:v>3.9651636785228116E-4</c:v>
                </c:pt>
                <c:pt idx="32">
                  <c:v>5.4753012403541589E-5</c:v>
                </c:pt>
                <c:pt idx="33">
                  <c:v>9.6769590559367082E-5</c:v>
                </c:pt>
                <c:pt idx="34">
                  <c:v>8.7418368183537161E-5</c:v>
                </c:pt>
                <c:pt idx="35">
                  <c:v>8.3028864928877494E-5</c:v>
                </c:pt>
                <c:pt idx="36">
                  <c:v>7.8867356366463332E-5</c:v>
                </c:pt>
                <c:pt idx="37">
                  <c:v>7.1971910513888345E-5</c:v>
                </c:pt>
                <c:pt idx="38">
                  <c:v>6.3586758300596927E-5</c:v>
                </c:pt>
                <c:pt idx="39">
                  <c:v>5.5872751146952387E-5</c:v>
                </c:pt>
                <c:pt idx="40">
                  <c:v>4.4829278690169351E-5</c:v>
                </c:pt>
                <c:pt idx="41">
                  <c:v>3.3310871546257132E-5</c:v>
                </c:pt>
                <c:pt idx="42">
                  <c:v>4.1420561741480056E-4</c:v>
                </c:pt>
                <c:pt idx="43">
                  <c:v>1.8120800721752829E-3</c:v>
                </c:pt>
                <c:pt idx="44">
                  <c:v>2.0222908585168561E-3</c:v>
                </c:pt>
                <c:pt idx="45">
                  <c:v>3.9762176585336848E-4</c:v>
                </c:pt>
                <c:pt idx="46">
                  <c:v>2.0226043302471117E-3</c:v>
                </c:pt>
                <c:pt idx="47">
                  <c:v>2.6910158751298945E-3</c:v>
                </c:pt>
                <c:pt idx="48">
                  <c:v>2.9402945969350075E-3</c:v>
                </c:pt>
                <c:pt idx="49">
                  <c:v>3.1599547998267937E-3</c:v>
                </c:pt>
                <c:pt idx="50">
                  <c:v>3.4398325343674794E-3</c:v>
                </c:pt>
                <c:pt idx="51">
                  <c:v>1.7566812671439429E-4</c:v>
                </c:pt>
                <c:pt idx="52">
                  <c:v>1.6300207968813945E-4</c:v>
                </c:pt>
                <c:pt idx="53">
                  <c:v>2.4259144248281542E-5</c:v>
                </c:pt>
                <c:pt idx="54">
                  <c:v>3.3822049961957297E-5</c:v>
                </c:pt>
                <c:pt idx="55">
                  <c:v>1.3237594956857091E-4</c:v>
                </c:pt>
                <c:pt idx="56">
                  <c:v>1.5322755811059824E-4</c:v>
                </c:pt>
                <c:pt idx="57">
                  <c:v>1.3903383831523285E-4</c:v>
                </c:pt>
                <c:pt idx="58">
                  <c:v>1.0796122122878687E-4</c:v>
                </c:pt>
                <c:pt idx="59">
                  <c:v>1.2817995955347457E-4</c:v>
                </c:pt>
                <c:pt idx="60">
                  <c:v>1.0905396579342129E-4</c:v>
                </c:pt>
                <c:pt idx="61">
                  <c:v>1.0016993404802546E-4</c:v>
                </c:pt>
                <c:pt idx="62">
                  <c:v>8.7291891819646982E-5</c:v>
                </c:pt>
                <c:pt idx="63">
                  <c:v>8.9622460073268711E-5</c:v>
                </c:pt>
                <c:pt idx="64">
                  <c:v>1.1475568777930032E-4</c:v>
                </c:pt>
                <c:pt idx="65">
                  <c:v>7.1971910513888345E-5</c:v>
                </c:pt>
                <c:pt idx="66">
                  <c:v>6.7806610621359107E-5</c:v>
                </c:pt>
                <c:pt idx="67">
                  <c:v>5.8371922388846537E-5</c:v>
                </c:pt>
                <c:pt idx="68">
                  <c:v>4.8791716429789396E-5</c:v>
                </c:pt>
                <c:pt idx="69">
                  <c:v>4.9688553230462874E-5</c:v>
                </c:pt>
                <c:pt idx="70">
                  <c:v>2.682014431404006E-4</c:v>
                </c:pt>
                <c:pt idx="71">
                  <c:v>4.8791716429789396E-5</c:v>
                </c:pt>
                <c:pt idx="72">
                  <c:v>4.124356693201045E-5</c:v>
                </c:pt>
                <c:pt idx="73">
                  <c:v>3.8300750018768299E-5</c:v>
                </c:pt>
                <c:pt idx="74">
                  <c:v>3.0657351231585897E-5</c:v>
                </c:pt>
                <c:pt idx="75">
                  <c:v>2.4335351792587889E-5</c:v>
                </c:pt>
                <c:pt idx="76">
                  <c:v>2.1572786809138234E-5</c:v>
                </c:pt>
                <c:pt idx="77">
                  <c:v>3.1001790043496366E-5</c:v>
                </c:pt>
                <c:pt idx="78">
                  <c:v>1.5947641344644647E-5</c:v>
                </c:pt>
                <c:pt idx="79">
                  <c:v>6.0495112845700312E-4</c:v>
                </c:pt>
                <c:pt idx="80">
                  <c:v>8.3991820522884275E-4</c:v>
                </c:pt>
                <c:pt idx="81">
                  <c:v>7.9798206120209627E-4</c:v>
                </c:pt>
                <c:pt idx="82">
                  <c:v>7.4499314761198514E-4</c:v>
                </c:pt>
                <c:pt idx="83">
                  <c:v>7.2920683259470134E-4</c:v>
                </c:pt>
                <c:pt idx="84">
                  <c:v>6.9846581572014193E-4</c:v>
                </c:pt>
                <c:pt idx="85">
                  <c:v>6.2457653889976482E-4</c:v>
                </c:pt>
                <c:pt idx="86">
                  <c:v>6.2457653889976482E-4</c:v>
                </c:pt>
                <c:pt idx="87">
                  <c:v>6.0674949961101658E-4</c:v>
                </c:pt>
                <c:pt idx="88">
                  <c:v>5.7584919253884155E-4</c:v>
                </c:pt>
                <c:pt idx="89">
                  <c:v>1.7567403285102816E-3</c:v>
                </c:pt>
                <c:pt idx="90">
                  <c:v>9.8391085660908331E-4</c:v>
                </c:pt>
                <c:pt idx="91">
                  <c:v>4.2572632586574636E-4</c:v>
                </c:pt>
                <c:pt idx="92">
                  <c:v>4.3336389142636868E-4</c:v>
                </c:pt>
                <c:pt idx="93">
                  <c:v>6.4266169015505343E-4</c:v>
                </c:pt>
                <c:pt idx="94">
                  <c:v>5.9709589875024595E-4</c:v>
                </c:pt>
                <c:pt idx="95">
                  <c:v>2.3796537495132035E-3</c:v>
                </c:pt>
                <c:pt idx="96">
                  <c:v>2.3961735066293753E-3</c:v>
                </c:pt>
                <c:pt idx="97">
                  <c:v>1.2278910293723787E-3</c:v>
                </c:pt>
                <c:pt idx="98">
                  <c:v>7.9685387349665449E-4</c:v>
                </c:pt>
                <c:pt idx="99">
                  <c:v>1.2304636400774773E-3</c:v>
                </c:pt>
                <c:pt idx="100">
                  <c:v>2.946382620521474E-4</c:v>
                </c:pt>
                <c:pt idx="101">
                  <c:v>4.4156698346441858E-4</c:v>
                </c:pt>
                <c:pt idx="102">
                  <c:v>4.0103671274521697E-4</c:v>
                </c:pt>
                <c:pt idx="103">
                  <c:v>3.9139426531735602E-4</c:v>
                </c:pt>
                <c:pt idx="104">
                  <c:v>3.3538129392086355E-4</c:v>
                </c:pt>
                <c:pt idx="105">
                  <c:v>4.8461255932366197E-5</c:v>
                </c:pt>
                <c:pt idx="106">
                  <c:v>3.2556060401536715E-4</c:v>
                </c:pt>
                <c:pt idx="107">
                  <c:v>2.8289947666004973E-4</c:v>
                </c:pt>
                <c:pt idx="108">
                  <c:v>5.3064819291809871E-6</c:v>
                </c:pt>
                <c:pt idx="109">
                  <c:v>2.864493006851826E-6</c:v>
                </c:pt>
                <c:pt idx="110">
                  <c:v>1.183813070946438E-6</c:v>
                </c:pt>
                <c:pt idx="111">
                  <c:v>2.3998367955220308E-7</c:v>
                </c:pt>
                <c:pt idx="112">
                  <c:v>6.745251777501059E-4</c:v>
                </c:pt>
                <c:pt idx="113">
                  <c:v>4.0075614695213172E-4</c:v>
                </c:pt>
                <c:pt idx="114">
                  <c:v>4.4981777515051618E-5</c:v>
                </c:pt>
                <c:pt idx="115">
                  <c:v>2.9791558855338913E-4</c:v>
                </c:pt>
                <c:pt idx="116">
                  <c:v>5.0606023423813373E-6</c:v>
                </c:pt>
                <c:pt idx="117">
                  <c:v>1.1339918576618171E-5</c:v>
                </c:pt>
                <c:pt idx="118">
                  <c:v>2.0157720270030841E-5</c:v>
                </c:pt>
                <c:pt idx="119">
                  <c:v>3.8067080320765318E-5</c:v>
                </c:pt>
                <c:pt idx="120">
                  <c:v>5.3891894342337251E-5</c:v>
                </c:pt>
                <c:pt idx="121">
                  <c:v>8.1481739561900566E-7</c:v>
                </c:pt>
                <c:pt idx="122">
                  <c:v>2.9439506991512802E-8</c:v>
                </c:pt>
                <c:pt idx="123">
                  <c:v>3.1183219174103549E-4</c:v>
                </c:pt>
                <c:pt idx="124">
                  <c:v>2.9791558855338913E-4</c:v>
                </c:pt>
                <c:pt idx="125">
                  <c:v>3.9051380299497322E-6</c:v>
                </c:pt>
                <c:pt idx="126">
                  <c:v>7.9754062904223286E-6</c:v>
                </c:pt>
                <c:pt idx="127">
                  <c:v>1.2414983528057049E-5</c:v>
                </c:pt>
                <c:pt idx="128">
                  <c:v>1.8982332439072265E-5</c:v>
                </c:pt>
                <c:pt idx="129">
                  <c:v>2.8474708068517175E-5</c:v>
                </c:pt>
                <c:pt idx="130">
                  <c:v>3.631919770044973E-5</c:v>
                </c:pt>
                <c:pt idx="131">
                  <c:v>4.8942982626222232E-5</c:v>
                </c:pt>
                <c:pt idx="132">
                  <c:v>6.3448526753243122E-5</c:v>
                </c:pt>
                <c:pt idx="133">
                  <c:v>1.4591323161776786E-4</c:v>
                </c:pt>
                <c:pt idx="134">
                  <c:v>4.1244204484722089E-4</c:v>
                </c:pt>
                <c:pt idx="135">
                  <c:v>1.2081682982461216E-4</c:v>
                </c:pt>
                <c:pt idx="136">
                  <c:v>3.3296036604626154E-4</c:v>
                </c:pt>
                <c:pt idx="137">
                  <c:v>3.6979588995942079E-4</c:v>
                </c:pt>
                <c:pt idx="138">
                  <c:v>1.1818058827303671E-4</c:v>
                </c:pt>
                <c:pt idx="139">
                  <c:v>1.1036511962457585E-4</c:v>
                </c:pt>
                <c:pt idx="140">
                  <c:v>1.0523066020749876E-4</c:v>
                </c:pt>
                <c:pt idx="141">
                  <c:v>1.1341921759649195E-4</c:v>
                </c:pt>
                <c:pt idx="142">
                  <c:v>9.6221288093902791E-5</c:v>
                </c:pt>
                <c:pt idx="143">
                  <c:v>8.3720643504214994E-5</c:v>
                </c:pt>
                <c:pt idx="144">
                  <c:v>7.5119352238100107E-5</c:v>
                </c:pt>
                <c:pt idx="145">
                  <c:v>7.6942856025713106E-5</c:v>
                </c:pt>
                <c:pt idx="146">
                  <c:v>7.8602354633256982E-5</c:v>
                </c:pt>
                <c:pt idx="147">
                  <c:v>7.212047489988013E-5</c:v>
                </c:pt>
                <c:pt idx="148">
                  <c:v>2.7413552327171251E-3</c:v>
                </c:pt>
                <c:pt idx="149">
                  <c:v>2.0650520259421581E-3</c:v>
                </c:pt>
                <c:pt idx="150">
                  <c:v>1.0061903751651332E-3</c:v>
                </c:pt>
                <c:pt idx="151">
                  <c:v>6.8686237939585674E-4</c:v>
                </c:pt>
                <c:pt idx="152">
                  <c:v>4.7053142438676672E-4</c:v>
                </c:pt>
                <c:pt idx="153">
                  <c:v>4.5635025458333885E-4</c:v>
                </c:pt>
                <c:pt idx="154">
                  <c:v>4.2182355980533055E-4</c:v>
                </c:pt>
                <c:pt idx="155">
                  <c:v>4.1818048951908026E-4</c:v>
                </c:pt>
                <c:pt idx="156">
                  <c:v>4.0103671274521697E-4</c:v>
                </c:pt>
                <c:pt idx="157">
                  <c:v>3.5114532229377362E-4</c:v>
                </c:pt>
                <c:pt idx="158">
                  <c:v>3.459700450767741E-4</c:v>
                </c:pt>
                <c:pt idx="159">
                  <c:v>3.0150173859468197E-4</c:v>
                </c:pt>
                <c:pt idx="160">
                  <c:v>2.8224886235056267E-4</c:v>
                </c:pt>
                <c:pt idx="161">
                  <c:v>4.3911024844377673E-6</c:v>
                </c:pt>
                <c:pt idx="162">
                  <c:v>5.9159130140928369E-6</c:v>
                </c:pt>
                <c:pt idx="163">
                  <c:v>9.9499651973932294E-6</c:v>
                </c:pt>
                <c:pt idx="164">
                  <c:v>9.0282385439461558E-4</c:v>
                </c:pt>
                <c:pt idx="165">
                  <c:v>1.0027264416835689E-5</c:v>
                </c:pt>
                <c:pt idx="166">
                  <c:v>9.1426122517300882E-6</c:v>
                </c:pt>
                <c:pt idx="167">
                  <c:v>9.1230126603216679E-6</c:v>
                </c:pt>
                <c:pt idx="168">
                  <c:v>7.4937905417786186E-6</c:v>
                </c:pt>
                <c:pt idx="169">
                  <c:v>6.7391619519407668E-6</c:v>
                </c:pt>
                <c:pt idx="170">
                  <c:v>6.7391619519407668E-6</c:v>
                </c:pt>
                <c:pt idx="171">
                  <c:v>6.0370669378898411E-6</c:v>
                </c:pt>
                <c:pt idx="172">
                  <c:v>5.395740772533507E-6</c:v>
                </c:pt>
                <c:pt idx="173">
                  <c:v>5.4441476411130497E-6</c:v>
                </c:pt>
                <c:pt idx="174">
                  <c:v>1.2301441093567889E-3</c:v>
                </c:pt>
                <c:pt idx="175">
                  <c:v>4.2076101204706433E-6</c:v>
                </c:pt>
                <c:pt idx="176">
                  <c:v>1.2911647994613164E-3</c:v>
                </c:pt>
                <c:pt idx="177">
                  <c:v>1.0997818838333935E-6</c:v>
                </c:pt>
                <c:pt idx="178">
                  <c:v>3.3545207599097976E-4</c:v>
                </c:pt>
                <c:pt idx="179">
                  <c:v>3.6403245749966291E-4</c:v>
                </c:pt>
                <c:pt idx="180">
                  <c:v>3.899362532042299E-4</c:v>
                </c:pt>
                <c:pt idx="181">
                  <c:v>4.1673027783907117E-4</c:v>
                </c:pt>
                <c:pt idx="182">
                  <c:v>4.6191602309687255E-4</c:v>
                </c:pt>
                <c:pt idx="183">
                  <c:v>4.8771443319430604E-4</c:v>
                </c:pt>
                <c:pt idx="184">
                  <c:v>5.4166710796696481E-4</c:v>
                </c:pt>
                <c:pt idx="185">
                  <c:v>6.0998249646282139E-4</c:v>
                </c:pt>
                <c:pt idx="186">
                  <c:v>6.6289442079809128E-4</c:v>
                </c:pt>
                <c:pt idx="187">
                  <c:v>7.1843879209302524E-4</c:v>
                </c:pt>
                <c:pt idx="188">
                  <c:v>8.0236471833263477E-4</c:v>
                </c:pt>
                <c:pt idx="189">
                  <c:v>8.6835088506009069E-4</c:v>
                </c:pt>
                <c:pt idx="190">
                  <c:v>9.2180416410220809E-4</c:v>
                </c:pt>
                <c:pt idx="191">
                  <c:v>5.3425090404622493E-5</c:v>
                </c:pt>
                <c:pt idx="192">
                  <c:v>4.7785023034233277E-5</c:v>
                </c:pt>
                <c:pt idx="193">
                  <c:v>4.0659663706541737E-5</c:v>
                </c:pt>
                <c:pt idx="194">
                  <c:v>3.0181397059512932E-5</c:v>
                </c:pt>
                <c:pt idx="195">
                  <c:v>2.2726468914248185E-5</c:v>
                </c:pt>
                <c:pt idx="196">
                  <c:v>1.5075690768366629E-5</c:v>
                </c:pt>
                <c:pt idx="197">
                  <c:v>8.7670530018093548E-6</c:v>
                </c:pt>
                <c:pt idx="198">
                  <c:v>4.1472016778573667E-6</c:v>
                </c:pt>
                <c:pt idx="199">
                  <c:v>8.6247249328790889E-7</c:v>
                </c:pt>
                <c:pt idx="200">
                  <c:v>5.8376203473370399E-8</c:v>
                </c:pt>
                <c:pt idx="201">
                  <c:v>2.2290920503571977E-6</c:v>
                </c:pt>
                <c:pt idx="202">
                  <c:v>9.172740877720179E-6</c:v>
                </c:pt>
                <c:pt idx="203">
                  <c:v>2.0051574555838475E-5</c:v>
                </c:pt>
                <c:pt idx="204">
                  <c:v>3.6270959647525807E-3</c:v>
                </c:pt>
                <c:pt idx="205">
                  <c:v>8.0165032561973504E-7</c:v>
                </c:pt>
                <c:pt idx="206">
                  <c:v>1.7269256100900163E-4</c:v>
                </c:pt>
                <c:pt idx="207">
                  <c:v>4.8348361929284765E-7</c:v>
                </c:pt>
                <c:pt idx="208">
                  <c:v>1.4834638239882421E-4</c:v>
                </c:pt>
                <c:pt idx="209">
                  <c:v>1.5638766714083204E-4</c:v>
                </c:pt>
                <c:pt idx="210">
                  <c:v>1.2363882312879765E-4</c:v>
                </c:pt>
                <c:pt idx="211">
                  <c:v>1.1061542438960559E-4</c:v>
                </c:pt>
                <c:pt idx="212">
                  <c:v>1.0649754208161882E-4</c:v>
                </c:pt>
                <c:pt idx="213">
                  <c:v>3.8135942212890568E-5</c:v>
                </c:pt>
                <c:pt idx="214">
                  <c:v>7.3774119027975629E-5</c:v>
                </c:pt>
                <c:pt idx="215">
                  <c:v>7.9776642006703039E-5</c:v>
                </c:pt>
                <c:pt idx="216">
                  <c:v>7.8355900813058117E-5</c:v>
                </c:pt>
                <c:pt idx="217">
                  <c:v>6.5427571451481377E-6</c:v>
                </c:pt>
                <c:pt idx="218">
                  <c:v>7.2882743082874132E-6</c:v>
                </c:pt>
                <c:pt idx="219">
                  <c:v>4.1951762605228499E-3</c:v>
                </c:pt>
                <c:pt idx="220">
                  <c:v>7.8978451734279332E-6</c:v>
                </c:pt>
                <c:pt idx="221">
                  <c:v>1.217997595386777E-5</c:v>
                </c:pt>
                <c:pt idx="222">
                  <c:v>3.1720069437994798E-5</c:v>
                </c:pt>
                <c:pt idx="223">
                  <c:v>3.7796808582427538E-5</c:v>
                </c:pt>
                <c:pt idx="224">
                  <c:v>2.803419969517457E-5</c:v>
                </c:pt>
                <c:pt idx="225">
                  <c:v>1.1963345552580948E-4</c:v>
                </c:pt>
                <c:pt idx="226">
                  <c:v>3.5278852726500296E-4</c:v>
                </c:pt>
                <c:pt idx="227">
                  <c:v>8.8545616730766378E-4</c:v>
                </c:pt>
                <c:pt idx="228">
                  <c:v>1.3016171665744837E-3</c:v>
                </c:pt>
                <c:pt idx="229">
                  <c:v>1.2392204693726699E-3</c:v>
                </c:pt>
                <c:pt idx="230">
                  <c:v>9.3274879814735459E-4</c:v>
                </c:pt>
                <c:pt idx="231">
                  <c:v>5.4761789874817432E-4</c:v>
                </c:pt>
                <c:pt idx="232">
                  <c:v>1.4873077144090849E-4</c:v>
                </c:pt>
                <c:pt idx="233">
                  <c:v>1.4778750964408765E-4</c:v>
                </c:pt>
                <c:pt idx="234">
                  <c:v>1.4016562966716529E-4</c:v>
                </c:pt>
                <c:pt idx="235">
                  <c:v>1.2581264603946419E-4</c:v>
                </c:pt>
                <c:pt idx="236">
                  <c:v>1.1302502743473682E-4</c:v>
                </c:pt>
                <c:pt idx="237">
                  <c:v>1.0941900304299872E-4</c:v>
                </c:pt>
                <c:pt idx="238">
                  <c:v>1.0065340340826797E-4</c:v>
                </c:pt>
                <c:pt idx="239">
                  <c:v>9.7714033566881987E-5</c:v>
                </c:pt>
                <c:pt idx="240">
                  <c:v>8.67419764432606E-5</c:v>
                </c:pt>
                <c:pt idx="241">
                  <c:v>7.6482448229119637E-5</c:v>
                </c:pt>
                <c:pt idx="242">
                  <c:v>4.3170254035265645E-4</c:v>
                </c:pt>
                <c:pt idx="243">
                  <c:v>5.5832596330868607E-5</c:v>
                </c:pt>
                <c:pt idx="244">
                  <c:v>4.785849638893173E-5</c:v>
                </c:pt>
                <c:pt idx="245">
                  <c:v>3.8767368671083906E-5</c:v>
                </c:pt>
                <c:pt idx="246">
                  <c:v>3.2420757849988956E-4</c:v>
                </c:pt>
                <c:pt idx="247">
                  <c:v>1.0078865534421021E-4</c:v>
                </c:pt>
                <c:pt idx="248">
                  <c:v>1.5380146293559417E-4</c:v>
                </c:pt>
                <c:pt idx="249">
                  <c:v>8.1350034179796701E-5</c:v>
                </c:pt>
                <c:pt idx="250">
                  <c:v>8.2414575479299143E-5</c:v>
                </c:pt>
                <c:pt idx="251">
                  <c:v>7.4150039278691695E-5</c:v>
                </c:pt>
                <c:pt idx="252">
                  <c:v>7.5544280088354643E-5</c:v>
                </c:pt>
                <c:pt idx="253">
                  <c:v>6.7932462578864102E-5</c:v>
                </c:pt>
                <c:pt idx="254">
                  <c:v>5.8781267636682393E-5</c:v>
                </c:pt>
                <c:pt idx="255">
                  <c:v>5.0182906472989547E-5</c:v>
                </c:pt>
                <c:pt idx="256">
                  <c:v>4.2589317695512145E-4</c:v>
                </c:pt>
                <c:pt idx="257">
                  <c:v>4.2896086750989812E-5</c:v>
                </c:pt>
                <c:pt idx="258">
                  <c:v>3.276551553084529E-5</c:v>
                </c:pt>
                <c:pt idx="259">
                  <c:v>2.950799916634447E-5</c:v>
                </c:pt>
                <c:pt idx="260">
                  <c:v>5.2113372650590623E-4</c:v>
                </c:pt>
                <c:pt idx="261">
                  <c:v>1.8402854353756355E-5</c:v>
                </c:pt>
                <c:pt idx="262">
                  <c:v>3.2693199952482524E-4</c:v>
                </c:pt>
                <c:pt idx="263">
                  <c:v>5.2488688666518391E-3</c:v>
                </c:pt>
                <c:pt idx="264">
                  <c:v>4.1137000790727633E-4</c:v>
                </c:pt>
                <c:pt idx="265">
                  <c:v>4.7138511448687311E-4</c:v>
                </c:pt>
                <c:pt idx="266">
                  <c:v>5.5481940794025299E-4</c:v>
                </c:pt>
                <c:pt idx="267">
                  <c:v>6.4785237285180865E-4</c:v>
                </c:pt>
                <c:pt idx="268">
                  <c:v>7.8947510260457608E-4</c:v>
                </c:pt>
                <c:pt idx="269">
                  <c:v>9.5109025964641161E-4</c:v>
                </c:pt>
                <c:pt idx="270">
                  <c:v>7.9814423505315587E-3</c:v>
                </c:pt>
                <c:pt idx="271">
                  <c:v>2.3643874281316742E-4</c:v>
                </c:pt>
                <c:pt idx="272">
                  <c:v>5.0644408544781479E-3</c:v>
                </c:pt>
                <c:pt idx="273">
                  <c:v>3.1865711408517351E-4</c:v>
                </c:pt>
                <c:pt idx="274">
                  <c:v>3.6795544810654687E-4</c:v>
                </c:pt>
                <c:pt idx="275">
                  <c:v>6.1683995997703243E-3</c:v>
                </c:pt>
                <c:pt idx="276">
                  <c:v>4.9222079253560173E-4</c:v>
                </c:pt>
                <c:pt idx="277">
                  <c:v>6.9906411777303518E-3</c:v>
                </c:pt>
                <c:pt idx="278">
                  <c:v>7.002844106163375E-4</c:v>
                </c:pt>
                <c:pt idx="279">
                  <c:v>8.480257243575933E-4</c:v>
                </c:pt>
                <c:pt idx="280">
                  <c:v>9.9776185274805902E-4</c:v>
                </c:pt>
                <c:pt idx="281">
                  <c:v>1.1939391688226887E-3</c:v>
                </c:pt>
                <c:pt idx="282">
                  <c:v>1.2410854957975426E-5</c:v>
                </c:pt>
                <c:pt idx="283">
                  <c:v>3.5063490376495063E-4</c:v>
                </c:pt>
                <c:pt idx="284">
                  <c:v>1.0107938988395524E-5</c:v>
                </c:pt>
                <c:pt idx="285">
                  <c:v>9.1244566574719594E-6</c:v>
                </c:pt>
                <c:pt idx="286">
                  <c:v>8.1966222400410538E-6</c:v>
                </c:pt>
                <c:pt idx="287">
                  <c:v>7.3234408921230872E-6</c:v>
                </c:pt>
                <c:pt idx="288">
                  <c:v>7.3234408921230872E-6</c:v>
                </c:pt>
                <c:pt idx="289">
                  <c:v>7.2300375091873127E-6</c:v>
                </c:pt>
                <c:pt idx="290">
                  <c:v>6.3415064218720531E-6</c:v>
                </c:pt>
                <c:pt idx="291">
                  <c:v>5.4623316987831046E-6</c:v>
                </c:pt>
                <c:pt idx="292">
                  <c:v>5.9181398575878965E-4</c:v>
                </c:pt>
                <c:pt idx="293">
                  <c:v>2.924586742962339E-6</c:v>
                </c:pt>
                <c:pt idx="294">
                  <c:v>3.5664499763895607E-4</c:v>
                </c:pt>
                <c:pt idx="295">
                  <c:v>1.7258994559108331E-6</c:v>
                </c:pt>
                <c:pt idx="296">
                  <c:v>4.6921125623666543E-6</c:v>
                </c:pt>
                <c:pt idx="297">
                  <c:v>8.3007095746571428E-6</c:v>
                </c:pt>
                <c:pt idx="298">
                  <c:v>1.7507383615822112E-3</c:v>
                </c:pt>
                <c:pt idx="299">
                  <c:v>1.8758612946897644E-5</c:v>
                </c:pt>
                <c:pt idx="300">
                  <c:v>2.8654423391519395E-5</c:v>
                </c:pt>
                <c:pt idx="301">
                  <c:v>3.916057924653504E-5</c:v>
                </c:pt>
                <c:pt idx="302">
                  <c:v>2.3491614914614013E-3</c:v>
                </c:pt>
                <c:pt idx="303">
                  <c:v>7.1822497026759313E-5</c:v>
                </c:pt>
                <c:pt idx="304">
                  <c:v>2.1998778935065086E-4</c:v>
                </c:pt>
                <c:pt idx="305">
                  <c:v>2.8175642782428867E-4</c:v>
                </c:pt>
                <c:pt idx="306">
                  <c:v>3.3952688446999734E-4</c:v>
                </c:pt>
                <c:pt idx="307">
                  <c:v>3.8521339504683327E-4</c:v>
                </c:pt>
                <c:pt idx="308">
                  <c:v>6.8139860186039363E-3</c:v>
                </c:pt>
                <c:pt idx="309">
                  <c:v>5.5287996317662476E-4</c:v>
                </c:pt>
                <c:pt idx="310">
                  <c:v>6.3172366890643322E-4</c:v>
                </c:pt>
                <c:pt idx="311">
                  <c:v>6.7855056780472022E-4</c:v>
                </c:pt>
                <c:pt idx="312">
                  <c:v>7.8219938804482243E-4</c:v>
                </c:pt>
                <c:pt idx="313">
                  <c:v>1.2762400591985081E-2</c:v>
                </c:pt>
                <c:pt idx="314">
                  <c:v>7.5275912209237048E-4</c:v>
                </c:pt>
                <c:pt idx="315">
                  <c:v>7.2143704159174666E-4</c:v>
                </c:pt>
                <c:pt idx="316">
                  <c:v>6.8737158325255388E-4</c:v>
                </c:pt>
                <c:pt idx="317">
                  <c:v>6.6880823335913736E-4</c:v>
                </c:pt>
                <c:pt idx="318">
                  <c:v>3.2097502364371078E-4</c:v>
                </c:pt>
                <c:pt idx="319">
                  <c:v>5.9537396583348161E-4</c:v>
                </c:pt>
                <c:pt idx="320">
                  <c:v>2.0658776418846351E-3</c:v>
                </c:pt>
                <c:pt idx="321">
                  <c:v>1.4812322014119857E-3</c:v>
                </c:pt>
                <c:pt idx="322">
                  <c:v>1.4830598134463137E-3</c:v>
                </c:pt>
                <c:pt idx="323">
                  <c:v>6.105827418549049E-4</c:v>
                </c:pt>
                <c:pt idx="324">
                  <c:v>4.5551950773034961E-4</c:v>
                </c:pt>
                <c:pt idx="325">
                  <c:v>4.1624911912583359E-4</c:v>
                </c:pt>
                <c:pt idx="326">
                  <c:v>1.6646184314151748E-4</c:v>
                </c:pt>
                <c:pt idx="327">
                  <c:v>1.4134831079805619E-3</c:v>
                </c:pt>
                <c:pt idx="328">
                  <c:v>3.8377341012956471E-4</c:v>
                </c:pt>
                <c:pt idx="329">
                  <c:v>1.602376962421156E-3</c:v>
                </c:pt>
                <c:pt idx="330">
                  <c:v>1.8890389098425654E-3</c:v>
                </c:pt>
                <c:pt idx="331">
                  <c:v>2.1296338372059835E-3</c:v>
                </c:pt>
                <c:pt idx="332">
                  <c:v>1.3449208485557371E-3</c:v>
                </c:pt>
                <c:pt idx="333">
                  <c:v>1.4643373257982187E-3</c:v>
                </c:pt>
                <c:pt idx="334">
                  <c:v>1.6191213621975329E-3</c:v>
                </c:pt>
                <c:pt idx="335">
                  <c:v>1.7220263703875023E-3</c:v>
                </c:pt>
                <c:pt idx="336">
                  <c:v>1.9070430496496962E-3</c:v>
                </c:pt>
                <c:pt idx="337">
                  <c:v>5.7293787070155826E-3</c:v>
                </c:pt>
                <c:pt idx="338">
                  <c:v>2.4234665191563338E-3</c:v>
                </c:pt>
                <c:pt idx="339">
                  <c:v>1.0214563817004809E-3</c:v>
                </c:pt>
                <c:pt idx="340">
                  <c:v>6.4010186489097916E-4</c:v>
                </c:pt>
                <c:pt idx="341">
                  <c:v>4.6705180589072591E-4</c:v>
                </c:pt>
                <c:pt idx="342">
                  <c:v>4.6002203709109873E-4</c:v>
                </c:pt>
                <c:pt idx="343">
                  <c:v>3.762597175628306E-4</c:v>
                </c:pt>
                <c:pt idx="344">
                  <c:v>4.0944887374697291E-4</c:v>
                </c:pt>
                <c:pt idx="345">
                  <c:v>4.3920209560183361E-4</c:v>
                </c:pt>
                <c:pt idx="346">
                  <c:v>6.1814268594461046E-5</c:v>
                </c:pt>
                <c:pt idx="347">
                  <c:v>3.5823831816968605E-4</c:v>
                </c:pt>
                <c:pt idx="348">
                  <c:v>6.6139581381558345E-5</c:v>
                </c:pt>
                <c:pt idx="349">
                  <c:v>5.9884319186620315E-5</c:v>
                </c:pt>
                <c:pt idx="350">
                  <c:v>5.2047058522963729E-5</c:v>
                </c:pt>
                <c:pt idx="351">
                  <c:v>4.6667263227892512E-5</c:v>
                </c:pt>
                <c:pt idx="352">
                  <c:v>3.9894482274922852E-5</c:v>
                </c:pt>
                <c:pt idx="353">
                  <c:v>3.7569222344303253E-5</c:v>
                </c:pt>
                <c:pt idx="354">
                  <c:v>2.9112653094446635E-5</c:v>
                </c:pt>
                <c:pt idx="355">
                  <c:v>2.4350429466876157E-5</c:v>
                </c:pt>
                <c:pt idx="356">
                  <c:v>2.0953123294105066E-5</c:v>
                </c:pt>
                <c:pt idx="357">
                  <c:v>1.4174664994727888E-5</c:v>
                </c:pt>
                <c:pt idx="358">
                  <c:v>2.5251185712942367E-4</c:v>
                </c:pt>
                <c:pt idx="359">
                  <c:v>2.9252004189266642E-4</c:v>
                </c:pt>
                <c:pt idx="360">
                  <c:v>3.2427980129907057E-4</c:v>
                </c:pt>
                <c:pt idx="361">
                  <c:v>4.7090377722586109E-4</c:v>
                </c:pt>
                <c:pt idx="362">
                  <c:v>4.699151410514912E-7</c:v>
                </c:pt>
                <c:pt idx="363">
                  <c:v>1.352277169171533E-4</c:v>
                </c:pt>
                <c:pt idx="364">
                  <c:v>1.2511266346587732E-4</c:v>
                </c:pt>
                <c:pt idx="365">
                  <c:v>1.1352858324527541E-4</c:v>
                </c:pt>
                <c:pt idx="366">
                  <c:v>1.10149027001533E-4</c:v>
                </c:pt>
                <c:pt idx="367">
                  <c:v>2.0551965554092673E-4</c:v>
                </c:pt>
                <c:pt idx="368">
                  <c:v>2.0551965554092673E-4</c:v>
                </c:pt>
                <c:pt idx="369">
                  <c:v>7.6840121887457582E-5</c:v>
                </c:pt>
                <c:pt idx="370">
                  <c:v>7.2445122697340828E-5</c:v>
                </c:pt>
                <c:pt idx="371">
                  <c:v>6.0286628741201327E-5</c:v>
                </c:pt>
                <c:pt idx="372">
                  <c:v>5.4433636265313499E-5</c:v>
                </c:pt>
                <c:pt idx="373">
                  <c:v>4.9673616418556197E-5</c:v>
                </c:pt>
                <c:pt idx="374">
                  <c:v>3.847663346347479E-4</c:v>
                </c:pt>
                <c:pt idx="375">
                  <c:v>3.8927198827804829E-5</c:v>
                </c:pt>
                <c:pt idx="376">
                  <c:v>3.2209808994543687E-5</c:v>
                </c:pt>
                <c:pt idx="377">
                  <c:v>3.2148518828731636E-5</c:v>
                </c:pt>
                <c:pt idx="378">
                  <c:v>3.1972428045804278E-3</c:v>
                </c:pt>
                <c:pt idx="379">
                  <c:v>1.0096268618855866E-4</c:v>
                </c:pt>
                <c:pt idx="380">
                  <c:v>1.1720013610625496E-4</c:v>
                </c:pt>
                <c:pt idx="381">
                  <c:v>1.2782181192337033E-4</c:v>
                </c:pt>
                <c:pt idx="382">
                  <c:v>1.4423236497608836E-4</c:v>
                </c:pt>
                <c:pt idx="383">
                  <c:v>1.7095859802095361E-4</c:v>
                </c:pt>
                <c:pt idx="384">
                  <c:v>1.8546343640833433E-4</c:v>
                </c:pt>
                <c:pt idx="385">
                  <c:v>1.6310169142806997E-5</c:v>
                </c:pt>
                <c:pt idx="386">
                  <c:v>3.3999877017321217E-5</c:v>
                </c:pt>
                <c:pt idx="387">
                  <c:v>2.5020321658256444E-4</c:v>
                </c:pt>
                <c:pt idx="388">
                  <c:v>2.6210259752713476E-4</c:v>
                </c:pt>
                <c:pt idx="389">
                  <c:v>2.7828224350779821E-4</c:v>
                </c:pt>
                <c:pt idx="390">
                  <c:v>4.5439926909071523E-4</c:v>
                </c:pt>
                <c:pt idx="391">
                  <c:v>4.4080794567915346E-4</c:v>
                </c:pt>
                <c:pt idx="392">
                  <c:v>4.1782716411683379E-4</c:v>
                </c:pt>
                <c:pt idx="393">
                  <c:v>3.9562305570807807E-4</c:v>
                </c:pt>
                <c:pt idx="394">
                  <c:v>3.2000625362052404E-5</c:v>
                </c:pt>
                <c:pt idx="395">
                  <c:v>4.1424437804277138E-4</c:v>
                </c:pt>
                <c:pt idx="396">
                  <c:v>3.865816386063452E-4</c:v>
                </c:pt>
                <c:pt idx="397">
                  <c:v>3.6532334350152299E-4</c:v>
                </c:pt>
                <c:pt idx="398">
                  <c:v>2.7234565699382148E-5</c:v>
                </c:pt>
                <c:pt idx="399">
                  <c:v>3.4299619043494758E-4</c:v>
                </c:pt>
                <c:pt idx="400">
                  <c:v>9.5325473788055456E-6</c:v>
                </c:pt>
                <c:pt idx="401">
                  <c:v>4.3911024844377673E-6</c:v>
                </c:pt>
                <c:pt idx="402">
                  <c:v>3.1520696560627702E-4</c:v>
                </c:pt>
                <c:pt idx="403">
                  <c:v>5.1647643965302248E-8</c:v>
                </c:pt>
                <c:pt idx="404">
                  <c:v>2.3790091876689542E-4</c:v>
                </c:pt>
                <c:pt idx="405">
                  <c:v>2.5469830112293099E-4</c:v>
                </c:pt>
                <c:pt idx="406">
                  <c:v>2.4458330317655861E-4</c:v>
                </c:pt>
                <c:pt idx="407">
                  <c:v>7.2070831106480915E-7</c:v>
                </c:pt>
                <c:pt idx="408">
                  <c:v>1.658592181901257E-7</c:v>
                </c:pt>
                <c:pt idx="409">
                  <c:v>8.4017889210580564E-7</c:v>
                </c:pt>
                <c:pt idx="410">
                  <c:v>2.4472218323662668E-6</c:v>
                </c:pt>
                <c:pt idx="411">
                  <c:v>1.5445856723455528E-4</c:v>
                </c:pt>
                <c:pt idx="412">
                  <c:v>1.3442940034138492E-4</c:v>
                </c:pt>
                <c:pt idx="413">
                  <c:v>9.1903764685023032E-4</c:v>
                </c:pt>
                <c:pt idx="414">
                  <c:v>5.2197448423211537E-4</c:v>
                </c:pt>
                <c:pt idx="415">
                  <c:v>3.7237696448181494E-4</c:v>
                </c:pt>
                <c:pt idx="416">
                  <c:v>3.3442928230060029E-4</c:v>
                </c:pt>
                <c:pt idx="417">
                  <c:v>3.1572114375489181E-4</c:v>
                </c:pt>
                <c:pt idx="418">
                  <c:v>8.2861748764489503E-5</c:v>
                </c:pt>
                <c:pt idx="419">
                  <c:v>2.7686213492116425E-4</c:v>
                </c:pt>
                <c:pt idx="420">
                  <c:v>2.5683156483250781E-4</c:v>
                </c:pt>
                <c:pt idx="421">
                  <c:v>2.4899262068235769E-4</c:v>
                </c:pt>
                <c:pt idx="422">
                  <c:v>2.4133098897368967E-4</c:v>
                </c:pt>
                <c:pt idx="423">
                  <c:v>2.3025562288068308E-4</c:v>
                </c:pt>
                <c:pt idx="424">
                  <c:v>2.2298576216614178E-4</c:v>
                </c:pt>
                <c:pt idx="425">
                  <c:v>2.1938120891626809E-4</c:v>
                </c:pt>
                <c:pt idx="426">
                  <c:v>2.021770640693912E-4</c:v>
                </c:pt>
                <c:pt idx="427">
                  <c:v>1.4780549764804069E-5</c:v>
                </c:pt>
                <c:pt idx="428">
                  <c:v>5.2800604640080364E-5</c:v>
                </c:pt>
                <c:pt idx="429">
                  <c:v>5.9670756325776303E-5</c:v>
                </c:pt>
                <c:pt idx="430">
                  <c:v>7.1798995251993482E-5</c:v>
                </c:pt>
                <c:pt idx="431">
                  <c:v>8.4365675192125513E-5</c:v>
                </c:pt>
                <c:pt idx="432">
                  <c:v>1.0581001641700611E-4</c:v>
                </c:pt>
                <c:pt idx="433">
                  <c:v>3.6785026913295949E-4</c:v>
                </c:pt>
                <c:pt idx="434">
                  <c:v>2.7074479473645241E-5</c:v>
                </c:pt>
                <c:pt idx="435">
                  <c:v>1.6198785224474886E-4</c:v>
                </c:pt>
                <c:pt idx="436">
                  <c:v>1.0143075650498933E-4</c:v>
                </c:pt>
                <c:pt idx="437">
                  <c:v>9.8042909311212164E-5</c:v>
                </c:pt>
                <c:pt idx="438">
                  <c:v>7.3736388728778388E-5</c:v>
                </c:pt>
                <c:pt idx="439">
                  <c:v>2.6421954104648859E-4</c:v>
                </c:pt>
                <c:pt idx="440">
                  <c:v>8.373948852460489E-5</c:v>
                </c:pt>
                <c:pt idx="441">
                  <c:v>1.0941900304299872E-4</c:v>
                </c:pt>
                <c:pt idx="442">
                  <c:v>1.0301473948173167E-4</c:v>
                </c:pt>
                <c:pt idx="443">
                  <c:v>8.9054532709767674E-5</c:v>
                </c:pt>
                <c:pt idx="444">
                  <c:v>9.4336469316893222E-5</c:v>
                </c:pt>
                <c:pt idx="445">
                  <c:v>7.4188734257754564E-4</c:v>
                </c:pt>
                <c:pt idx="446">
                  <c:v>4.4656901500282777E-5</c:v>
                </c:pt>
                <c:pt idx="447">
                  <c:v>2.2609323260928941E-4</c:v>
                </c:pt>
                <c:pt idx="448">
                  <c:v>7.757008237872082E-5</c:v>
                </c:pt>
                <c:pt idx="449">
                  <c:v>6.5512822036096913E-5</c:v>
                </c:pt>
                <c:pt idx="450">
                  <c:v>7.3798382020719421E-5</c:v>
                </c:pt>
                <c:pt idx="451">
                  <c:v>1.6879965022280414E-4</c:v>
                </c:pt>
                <c:pt idx="452">
                  <c:v>1.6879965022280414E-4</c:v>
                </c:pt>
                <c:pt idx="453">
                  <c:v>1.4885042036812186E-4</c:v>
                </c:pt>
                <c:pt idx="454">
                  <c:v>1.459702646876556E-4</c:v>
                </c:pt>
                <c:pt idx="455">
                  <c:v>1.3379817621743227E-4</c:v>
                </c:pt>
                <c:pt idx="456">
                  <c:v>1.4909669465203325E-4</c:v>
                </c:pt>
                <c:pt idx="457">
                  <c:v>1.2142667272013543E-4</c:v>
                </c:pt>
                <c:pt idx="458">
                  <c:v>9.5092695059939363E-5</c:v>
                </c:pt>
                <c:pt idx="459">
                  <c:v>1.2236713543736205E-4</c:v>
                </c:pt>
                <c:pt idx="460">
                  <c:v>1.2929337498669626E-4</c:v>
                </c:pt>
                <c:pt idx="461">
                  <c:v>1.3357166906773017E-4</c:v>
                </c:pt>
                <c:pt idx="462">
                  <c:v>1.4238275062289983E-4</c:v>
                </c:pt>
                <c:pt idx="463">
                  <c:v>1.0941900304299872E-4</c:v>
                </c:pt>
                <c:pt idx="464">
                  <c:v>1.0065340340826797E-4</c:v>
                </c:pt>
                <c:pt idx="465">
                  <c:v>8.1430726392189682E-5</c:v>
                </c:pt>
                <c:pt idx="466">
                  <c:v>1.6754980638788422E-4</c:v>
                </c:pt>
                <c:pt idx="467">
                  <c:v>1.5756994905511104E-4</c:v>
                </c:pt>
                <c:pt idx="468">
                  <c:v>1.4653264505247031E-4</c:v>
                </c:pt>
                <c:pt idx="469">
                  <c:v>1.3816797050458847E-4</c:v>
                </c:pt>
                <c:pt idx="470">
                  <c:v>1.1678987479905311E-4</c:v>
                </c:pt>
                <c:pt idx="471">
                  <c:v>4.6602314055793864E-4</c:v>
                </c:pt>
                <c:pt idx="472">
                  <c:v>1.0864992609828593E-4</c:v>
                </c:pt>
                <c:pt idx="473">
                  <c:v>5.0356118769544764E-4</c:v>
                </c:pt>
                <c:pt idx="474">
                  <c:v>5.2703464902207166E-4</c:v>
                </c:pt>
                <c:pt idx="475">
                  <c:v>1.3324761680613941E-4</c:v>
                </c:pt>
                <c:pt idx="476">
                  <c:v>7.9667143288106906E-5</c:v>
                </c:pt>
                <c:pt idx="477">
                  <c:v>6.8077364097661941E-4</c:v>
                </c:pt>
                <c:pt idx="478">
                  <c:v>2.1022044394171288E-4</c:v>
                </c:pt>
                <c:pt idx="479">
                  <c:v>3.9843368905225545E-5</c:v>
                </c:pt>
                <c:pt idx="480">
                  <c:v>4.1557342735388798E-5</c:v>
                </c:pt>
                <c:pt idx="481">
                  <c:v>5.5549324338948717E-3</c:v>
                </c:pt>
                <c:pt idx="482">
                  <c:v>5.1424439932199981E-6</c:v>
                </c:pt>
                <c:pt idx="483">
                  <c:v>1.0328447990692423E-5</c:v>
                </c:pt>
                <c:pt idx="484">
                  <c:v>1.3200892944673626E-5</c:v>
                </c:pt>
                <c:pt idx="485">
                  <c:v>5.4244122578195298E-4</c:v>
                </c:pt>
                <c:pt idx="486">
                  <c:v>8.0772614374713547E-6</c:v>
                </c:pt>
                <c:pt idx="487">
                  <c:v>3.8203705509588243E-5</c:v>
                </c:pt>
                <c:pt idx="488">
                  <c:v>4.5448870709891313E-3</c:v>
                </c:pt>
                <c:pt idx="489">
                  <c:v>6.0416771921970719E-5</c:v>
                </c:pt>
                <c:pt idx="490">
                  <c:v>8.1019652975635996E-5</c:v>
                </c:pt>
                <c:pt idx="491">
                  <c:v>1.0890210911998179E-4</c:v>
                </c:pt>
                <c:pt idx="492">
                  <c:v>2.8764927321186568E-4</c:v>
                </c:pt>
                <c:pt idx="493">
                  <c:v>2.6573385744721987E-4</c:v>
                </c:pt>
                <c:pt idx="494">
                  <c:v>2.3802490418804153E-4</c:v>
                </c:pt>
                <c:pt idx="495">
                  <c:v>2.3077643246750671E-4</c:v>
                </c:pt>
                <c:pt idx="496">
                  <c:v>1.8616602506652053E-4</c:v>
                </c:pt>
                <c:pt idx="497">
                  <c:v>1.9500525816330559E-4</c:v>
                </c:pt>
                <c:pt idx="498">
                  <c:v>1.811937761779491E-4</c:v>
                </c:pt>
                <c:pt idx="499">
                  <c:v>1.7742319415291942E-4</c:v>
                </c:pt>
                <c:pt idx="500">
                  <c:v>1.7329939968089818E-4</c:v>
                </c:pt>
                <c:pt idx="501">
                  <c:v>1.6271424961286079E-4</c:v>
                </c:pt>
                <c:pt idx="502">
                  <c:v>1.5098944760844795E-4</c:v>
                </c:pt>
                <c:pt idx="503">
                  <c:v>3.4104343347886408E-5</c:v>
                </c:pt>
                <c:pt idx="504">
                  <c:v>4.9227433439235995E-5</c:v>
                </c:pt>
                <c:pt idx="505">
                  <c:v>6.0302542331444476E-5</c:v>
                </c:pt>
                <c:pt idx="506">
                  <c:v>8.1025349772995782E-5</c:v>
                </c:pt>
                <c:pt idx="507">
                  <c:v>1.0273219600734597E-4</c:v>
                </c:pt>
                <c:pt idx="508">
                  <c:v>2.0340742015387151E-4</c:v>
                </c:pt>
                <c:pt idx="509">
                  <c:v>1.879919455866461E-4</c:v>
                </c:pt>
                <c:pt idx="510">
                  <c:v>4.7190854707324552E-3</c:v>
                </c:pt>
                <c:pt idx="511">
                  <c:v>9.0892407754689943E-4</c:v>
                </c:pt>
                <c:pt idx="512">
                  <c:v>1.7348335145430316E-5</c:v>
                </c:pt>
                <c:pt idx="513">
                  <c:v>1.6292957547006258E-5</c:v>
                </c:pt>
                <c:pt idx="514">
                  <c:v>1.4143067052929993E-5</c:v>
                </c:pt>
                <c:pt idx="515">
                  <c:v>1.5109287258681927E-3</c:v>
                </c:pt>
                <c:pt idx="516">
                  <c:v>1.0397444379393185E-3</c:v>
                </c:pt>
                <c:pt idx="517">
                  <c:v>1.0293215060009314E-3</c:v>
                </c:pt>
                <c:pt idx="518">
                  <c:v>9.9244439112743978E-4</c:v>
                </c:pt>
                <c:pt idx="519">
                  <c:v>1.4785054832848363E-5</c:v>
                </c:pt>
                <c:pt idx="520">
                  <c:v>1.3838551392330227E-5</c:v>
                </c:pt>
                <c:pt idx="521">
                  <c:v>1.4074932459883525E-5</c:v>
                </c:pt>
                <c:pt idx="522">
                  <c:v>1.3275758788100554E-3</c:v>
                </c:pt>
                <c:pt idx="523">
                  <c:v>1.3589474946803812E-3</c:v>
                </c:pt>
                <c:pt idx="524">
                  <c:v>1.1050418266620699E-5</c:v>
                </c:pt>
                <c:pt idx="525">
                  <c:v>9.1340678151419053E-6</c:v>
                </c:pt>
                <c:pt idx="526">
                  <c:v>8.4307125160364583E-4</c:v>
                </c:pt>
                <c:pt idx="527">
                  <c:v>8.1077703436007646E-4</c:v>
                </c:pt>
                <c:pt idx="528">
                  <c:v>7.2421679152533884E-4</c:v>
                </c:pt>
                <c:pt idx="529">
                  <c:v>7.6090300087470195E-4</c:v>
                </c:pt>
                <c:pt idx="530">
                  <c:v>6.991495778009844E-4</c:v>
                </c:pt>
                <c:pt idx="531">
                  <c:v>6.7154285659461058E-4</c:v>
                </c:pt>
                <c:pt idx="532">
                  <c:v>2.7061827593506255E-3</c:v>
                </c:pt>
                <c:pt idx="533">
                  <c:v>2.7035119596157302E-3</c:v>
                </c:pt>
                <c:pt idx="534">
                  <c:v>1.7765367939974305E-3</c:v>
                </c:pt>
                <c:pt idx="535">
                  <c:v>6.7236827150804013E-4</c:v>
                </c:pt>
                <c:pt idx="536">
                  <c:v>8.5457734649913605E-4</c:v>
                </c:pt>
                <c:pt idx="537">
                  <c:v>4.3820806244982416E-4</c:v>
                </c:pt>
                <c:pt idx="538">
                  <c:v>9.182736873333625E-5</c:v>
                </c:pt>
                <c:pt idx="539">
                  <c:v>8.2057838893345405E-5</c:v>
                </c:pt>
                <c:pt idx="540">
                  <c:v>6.6777296526247663E-5</c:v>
                </c:pt>
                <c:pt idx="541">
                  <c:v>1.6944602341313564E-6</c:v>
                </c:pt>
                <c:pt idx="542">
                  <c:v>2.0444305520728903E-6</c:v>
                </c:pt>
                <c:pt idx="543">
                  <c:v>3.1934032871411758E-6</c:v>
                </c:pt>
                <c:pt idx="544">
                  <c:v>4.4504321948698405E-6</c:v>
                </c:pt>
                <c:pt idx="545">
                  <c:v>9.9351226602417953E-6</c:v>
                </c:pt>
                <c:pt idx="546">
                  <c:v>3.5212631383798507E-3</c:v>
                </c:pt>
                <c:pt idx="547">
                  <c:v>2.7230005861619677E-5</c:v>
                </c:pt>
                <c:pt idx="548">
                  <c:v>4.1214828422304329E-5</c:v>
                </c:pt>
                <c:pt idx="549">
                  <c:v>5.9036763759549191E-5</c:v>
                </c:pt>
                <c:pt idx="550">
                  <c:v>1.8868202026184346E-3</c:v>
                </c:pt>
                <c:pt idx="551">
                  <c:v>8.1465700950909736E-5</c:v>
                </c:pt>
                <c:pt idx="552">
                  <c:v>8.8239035798593358E-5</c:v>
                </c:pt>
                <c:pt idx="553">
                  <c:v>1.4946515864136406E-4</c:v>
                </c:pt>
                <c:pt idx="554">
                  <c:v>5.6455137543088241E-5</c:v>
                </c:pt>
                <c:pt idx="555">
                  <c:v>6.1685723748588827E-5</c:v>
                </c:pt>
                <c:pt idx="556">
                  <c:v>3.9010682255344675E-5</c:v>
                </c:pt>
                <c:pt idx="557">
                  <c:v>5.8371922388846537E-5</c:v>
                </c:pt>
                <c:pt idx="558">
                  <c:v>1.3462319581738436E-4</c:v>
                </c:pt>
                <c:pt idx="559">
                  <c:v>5.4565991937614293E-5</c:v>
                </c:pt>
                <c:pt idx="560">
                  <c:v>5.8371922388846537E-5</c:v>
                </c:pt>
                <c:pt idx="561">
                  <c:v>1.4283435984996747E-5</c:v>
                </c:pt>
                <c:pt idx="562">
                  <c:v>2.1790120312541329E-5</c:v>
                </c:pt>
                <c:pt idx="563">
                  <c:v>9.8636883634919605E-6</c:v>
                </c:pt>
                <c:pt idx="564">
                  <c:v>1.6576206917153647E-5</c:v>
                </c:pt>
                <c:pt idx="565">
                  <c:v>2.7012415898694696E-6</c:v>
                </c:pt>
                <c:pt idx="566">
                  <c:v>2.7631056013963139E-3</c:v>
                </c:pt>
                <c:pt idx="567">
                  <c:v>1.7586873096088413E-3</c:v>
                </c:pt>
                <c:pt idx="568">
                  <c:v>1.7586873096088413E-3</c:v>
                </c:pt>
                <c:pt idx="569">
                  <c:v>1.4812322014119857E-3</c:v>
                </c:pt>
                <c:pt idx="570">
                  <c:v>6.105827418549049E-4</c:v>
                </c:pt>
                <c:pt idx="571">
                  <c:v>4.6305245701356825E-4</c:v>
                </c:pt>
                <c:pt idx="572">
                  <c:v>1.4862935942660261E-4</c:v>
                </c:pt>
                <c:pt idx="573">
                  <c:v>4.4527847785130888E-4</c:v>
                </c:pt>
                <c:pt idx="574">
                  <c:v>4.2457964730165468E-4</c:v>
                </c:pt>
                <c:pt idx="575">
                  <c:v>3.7471952574059069E-4</c:v>
                </c:pt>
                <c:pt idx="576">
                  <c:v>3.6549455379266256E-4</c:v>
                </c:pt>
                <c:pt idx="577">
                  <c:v>3.6731099872493845E-5</c:v>
                </c:pt>
                <c:pt idx="578">
                  <c:v>2.9903441591077581E-4</c:v>
                </c:pt>
                <c:pt idx="579">
                  <c:v>2.912497391978435E-4</c:v>
                </c:pt>
                <c:pt idx="580">
                  <c:v>2.6885523710926785E-4</c:v>
                </c:pt>
                <c:pt idx="581">
                  <c:v>1.0306635188652311E-4</c:v>
                </c:pt>
                <c:pt idx="582">
                  <c:v>1.1445289478822247E-4</c:v>
                </c:pt>
                <c:pt idx="583">
                  <c:v>1.2855035463131719E-4</c:v>
                </c:pt>
                <c:pt idx="584">
                  <c:v>1.4312858533541503E-4</c:v>
                </c:pt>
                <c:pt idx="585">
                  <c:v>2.623507319576933E-4</c:v>
                </c:pt>
                <c:pt idx="586">
                  <c:v>4.0464613110724629E-5</c:v>
                </c:pt>
                <c:pt idx="587">
                  <c:v>1.435763006113319E-5</c:v>
                </c:pt>
                <c:pt idx="588">
                  <c:v>4.6504500211373935E-3</c:v>
                </c:pt>
                <c:pt idx="589">
                  <c:v>2.3675846952501701E-4</c:v>
                </c:pt>
                <c:pt idx="590">
                  <c:v>2.6590858308639593E-4</c:v>
                </c:pt>
                <c:pt idx="591">
                  <c:v>5.1702324271816688E-3</c:v>
                </c:pt>
                <c:pt idx="592">
                  <c:v>5.1234656267411336E-3</c:v>
                </c:pt>
                <c:pt idx="593">
                  <c:v>5.8173713630581799E-3</c:v>
                </c:pt>
                <c:pt idx="594">
                  <c:v>2.3961735066293753E-3</c:v>
                </c:pt>
                <c:pt idx="595">
                  <c:v>1.7614266029572423E-3</c:v>
                </c:pt>
                <c:pt idx="596">
                  <c:v>1.2304636400774773E-3</c:v>
                </c:pt>
                <c:pt idx="597">
                  <c:v>1.4848662823785373E-3</c:v>
                </c:pt>
                <c:pt idx="598">
                  <c:v>9.9994883588985176E-4</c:v>
                </c:pt>
                <c:pt idx="599">
                  <c:v>4.5929300487624198E-4</c:v>
                </c:pt>
                <c:pt idx="600">
                  <c:v>4.4094196287021366E-4</c:v>
                </c:pt>
                <c:pt idx="601">
                  <c:v>9.8616951937218389E-5</c:v>
                </c:pt>
                <c:pt idx="602">
                  <c:v>4.124980655579907E-4</c:v>
                </c:pt>
                <c:pt idx="603">
                  <c:v>3.731809766727406E-4</c:v>
                </c:pt>
                <c:pt idx="604">
                  <c:v>3.6019379168826716E-4</c:v>
                </c:pt>
                <c:pt idx="605">
                  <c:v>3.4743661216174562E-4</c:v>
                </c:pt>
                <c:pt idx="606">
                  <c:v>3.3490943809317961E-4</c:v>
                </c:pt>
                <c:pt idx="607">
                  <c:v>3.0577979317854606E-4</c:v>
                </c:pt>
                <c:pt idx="608">
                  <c:v>2.5314167548772415E-4</c:v>
                </c:pt>
                <c:pt idx="609">
                  <c:v>8.7464690320850032E-5</c:v>
                </c:pt>
                <c:pt idx="610">
                  <c:v>7.757008237872082E-5</c:v>
                </c:pt>
                <c:pt idx="611">
                  <c:v>7.2681555559290863E-5</c:v>
                </c:pt>
                <c:pt idx="612">
                  <c:v>7.3371439585964362E-5</c:v>
                </c:pt>
                <c:pt idx="613">
                  <c:v>6.6790447679909183E-4</c:v>
                </c:pt>
                <c:pt idx="614">
                  <c:v>5.4551598677993836E-4</c:v>
                </c:pt>
                <c:pt idx="615">
                  <c:v>1.0259862391942205E-4</c:v>
                </c:pt>
                <c:pt idx="616">
                  <c:v>3.7862900942171196E-4</c:v>
                </c:pt>
                <c:pt idx="617">
                  <c:v>8.1289210522496563E-4</c:v>
                </c:pt>
                <c:pt idx="618">
                  <c:v>8.6008650033794277E-4</c:v>
                </c:pt>
                <c:pt idx="619">
                  <c:v>3.6587997177584875E-4</c:v>
                </c:pt>
                <c:pt idx="620">
                  <c:v>3.2998058369160515E-4</c:v>
                </c:pt>
                <c:pt idx="621">
                  <c:v>3.7012632387713992E-4</c:v>
                </c:pt>
                <c:pt idx="622">
                  <c:v>5.6566824190996158E-3</c:v>
                </c:pt>
                <c:pt idx="623">
                  <c:v>4.5084043007613252E-4</c:v>
                </c:pt>
                <c:pt idx="624">
                  <c:v>5.0912391364817014E-4</c:v>
                </c:pt>
                <c:pt idx="625">
                  <c:v>6.1683995997703243E-3</c:v>
                </c:pt>
                <c:pt idx="626">
                  <c:v>6.1817691917099779E-3</c:v>
                </c:pt>
                <c:pt idx="627">
                  <c:v>3.9586395716627461E-4</c:v>
                </c:pt>
                <c:pt idx="628">
                  <c:v>4.5475576827575811E-4</c:v>
                </c:pt>
                <c:pt idx="629">
                  <c:v>5.1154173959497143E-4</c:v>
                </c:pt>
                <c:pt idx="630">
                  <c:v>5.8333287771850225E-4</c:v>
                </c:pt>
                <c:pt idx="631">
                  <c:v>6.6940911063547153E-4</c:v>
                </c:pt>
                <c:pt idx="632">
                  <c:v>7.4677901120517246E-4</c:v>
                </c:pt>
                <c:pt idx="633">
                  <c:v>7.164591087286156E-6</c:v>
                </c:pt>
                <c:pt idx="634">
                  <c:v>8.0413775846717537E-6</c:v>
                </c:pt>
                <c:pt idx="635">
                  <c:v>2.1023786217062019E-3</c:v>
                </c:pt>
                <c:pt idx="636">
                  <c:v>4.7489551529438629E-6</c:v>
                </c:pt>
                <c:pt idx="637">
                  <c:v>5.8222130386517893E-6</c:v>
                </c:pt>
                <c:pt idx="638">
                  <c:v>5.0036262541082072E-6</c:v>
                </c:pt>
                <c:pt idx="639">
                  <c:v>2.6831261873883104E-6</c:v>
                </c:pt>
                <c:pt idx="640">
                  <c:v>2.0330815673281133E-6</c:v>
                </c:pt>
                <c:pt idx="641">
                  <c:v>2.2675615453844949E-3</c:v>
                </c:pt>
                <c:pt idx="642">
                  <c:v>7.5173460577193898E-6</c:v>
                </c:pt>
                <c:pt idx="643">
                  <c:v>6.6131570120367375E-6</c:v>
                </c:pt>
                <c:pt idx="644">
                  <c:v>3.7506524690438621E-6</c:v>
                </c:pt>
                <c:pt idx="645">
                  <c:v>7.4181022768657407E-7</c:v>
                </c:pt>
                <c:pt idx="646">
                  <c:v>3.0687998772175037E-9</c:v>
                </c:pt>
                <c:pt idx="647">
                  <c:v>6.216461768542784E-5</c:v>
                </c:pt>
                <c:pt idx="648">
                  <c:v>6.6191342018939934E-5</c:v>
                </c:pt>
                <c:pt idx="649">
                  <c:v>1.4312430548881099E-4</c:v>
                </c:pt>
                <c:pt idx="650">
                  <c:v>1.267030639468723E-4</c:v>
                </c:pt>
                <c:pt idx="651">
                  <c:v>1.2298531722579789E-4</c:v>
                </c:pt>
                <c:pt idx="652">
                  <c:v>1.1627795052302998E-4</c:v>
                </c:pt>
                <c:pt idx="653">
                  <c:v>1.0671383984190833E-4</c:v>
                </c:pt>
                <c:pt idx="654">
                  <c:v>9.8042909311212164E-5</c:v>
                </c:pt>
                <c:pt idx="655">
                  <c:v>9.227631944651592E-5</c:v>
                </c:pt>
                <c:pt idx="656">
                  <c:v>2.7865845684577479E-4</c:v>
                </c:pt>
                <c:pt idx="657">
                  <c:v>7.6670168296285527E-5</c:v>
                </c:pt>
                <c:pt idx="658">
                  <c:v>6.7051175507400055E-5</c:v>
                </c:pt>
                <c:pt idx="659">
                  <c:v>5.8119786052328713E-5</c:v>
                </c:pt>
                <c:pt idx="660">
                  <c:v>4.7951822979593967E-5</c:v>
                </c:pt>
                <c:pt idx="661">
                  <c:v>4.2259408827564829E-5</c:v>
                </c:pt>
                <c:pt idx="662">
                  <c:v>3.5305023662261307E-5</c:v>
                </c:pt>
                <c:pt idx="663">
                  <c:v>3.0505456053369592E-5</c:v>
                </c:pt>
                <c:pt idx="664">
                  <c:v>2.1580752129828962E-6</c:v>
                </c:pt>
                <c:pt idx="665">
                  <c:v>4.7652391379348378E-6</c:v>
                </c:pt>
                <c:pt idx="666">
                  <c:v>1.6436985567449931E-3</c:v>
                </c:pt>
                <c:pt idx="667">
                  <c:v>1.3180172583821526E-5</c:v>
                </c:pt>
                <c:pt idx="668">
                  <c:v>1.9064806135386196E-5</c:v>
                </c:pt>
                <c:pt idx="669">
                  <c:v>2.8319928156738663E-3</c:v>
                </c:pt>
                <c:pt idx="670">
                  <c:v>2.1845591251154371E-3</c:v>
                </c:pt>
                <c:pt idx="671">
                  <c:v>2.192778346292861E-3</c:v>
                </c:pt>
                <c:pt idx="672">
                  <c:v>2.2768079284362502E-3</c:v>
                </c:pt>
                <c:pt idx="673">
                  <c:v>6.7407244840426606E-5</c:v>
                </c:pt>
                <c:pt idx="674">
                  <c:v>8.1342262381919341E-5</c:v>
                </c:pt>
                <c:pt idx="675">
                  <c:v>1.3092697734297673E-7</c:v>
                </c:pt>
                <c:pt idx="676">
                  <c:v>6.2221941865924107E-9</c:v>
                </c:pt>
                <c:pt idx="677">
                  <c:v>4.2013581899986407E-8</c:v>
                </c:pt>
                <c:pt idx="678">
                  <c:v>2.4003408347082549E-7</c:v>
                </c:pt>
                <c:pt idx="679">
                  <c:v>6.0250386688310607E-7</c:v>
                </c:pt>
                <c:pt idx="680">
                  <c:v>1.1321303507390944E-6</c:v>
                </c:pt>
                <c:pt idx="681">
                  <c:v>2.6506978081753582E-6</c:v>
                </c:pt>
                <c:pt idx="682">
                  <c:v>1.5742143652408534E-3</c:v>
                </c:pt>
                <c:pt idx="683">
                  <c:v>6.1740438459070294E-6</c:v>
                </c:pt>
                <c:pt idx="684">
                  <c:v>1.6790033560132628E-3</c:v>
                </c:pt>
                <c:pt idx="685">
                  <c:v>2.809220079488504E-5</c:v>
                </c:pt>
                <c:pt idx="686">
                  <c:v>1.5088697833016245E-5</c:v>
                </c:pt>
                <c:pt idx="687">
                  <c:v>1.9789130388000533E-5</c:v>
                </c:pt>
                <c:pt idx="688">
                  <c:v>2.6472875182121134E-5</c:v>
                </c:pt>
                <c:pt idx="689">
                  <c:v>3.258753302433324E-5</c:v>
                </c:pt>
                <c:pt idx="690">
                  <c:v>1.1030665592677151E-7</c:v>
                </c:pt>
                <c:pt idx="691">
                  <c:v>1.0042776950067768E-3</c:v>
                </c:pt>
                <c:pt idx="692">
                  <c:v>2.5434510121185157E-4</c:v>
                </c:pt>
                <c:pt idx="693">
                  <c:v>3.3966759210377675E-4</c:v>
                </c:pt>
                <c:pt idx="694">
                  <c:v>2.4689765756677316E-4</c:v>
                </c:pt>
                <c:pt idx="695">
                  <c:v>1.0878445291570812E-4</c:v>
                </c:pt>
                <c:pt idx="696">
                  <c:v>2.9990148490211312E-8</c:v>
                </c:pt>
                <c:pt idx="697">
                  <c:v>2.3924201505291129E-6</c:v>
                </c:pt>
                <c:pt idx="698">
                  <c:v>4.1911469124542395E-6</c:v>
                </c:pt>
                <c:pt idx="699">
                  <c:v>1.5206768621165072E-3</c:v>
                </c:pt>
                <c:pt idx="700">
                  <c:v>1.6184238257152934E-3</c:v>
                </c:pt>
                <c:pt idx="701">
                  <c:v>6.0674949961101658E-4</c:v>
                </c:pt>
                <c:pt idx="702">
                  <c:v>5.7584919253884155E-4</c:v>
                </c:pt>
                <c:pt idx="703">
                  <c:v>1.4717119443413763E-3</c:v>
                </c:pt>
                <c:pt idx="704">
                  <c:v>9.379072780657579E-4</c:v>
                </c:pt>
                <c:pt idx="705">
                  <c:v>1.7557244100761136E-3</c:v>
                </c:pt>
                <c:pt idx="706">
                  <c:v>4.9806567127906826E-4</c:v>
                </c:pt>
                <c:pt idx="707">
                  <c:v>7.5711980947700626E-4</c:v>
                </c:pt>
                <c:pt idx="708">
                  <c:v>4.2003229767488158E-4</c:v>
                </c:pt>
                <c:pt idx="709">
                  <c:v>6.9783997995497807E-4</c:v>
                </c:pt>
                <c:pt idx="710">
                  <c:v>6.7861698293179731E-4</c:v>
                </c:pt>
                <c:pt idx="711">
                  <c:v>6.4907991940694695E-4</c:v>
                </c:pt>
                <c:pt idx="712">
                  <c:v>5.6786428498743703E-4</c:v>
                </c:pt>
                <c:pt idx="713">
                  <c:v>1.2091239296379652E-3</c:v>
                </c:pt>
                <c:pt idx="714">
                  <c:v>1.2091239296379652E-3</c:v>
                </c:pt>
                <c:pt idx="715">
                  <c:v>4.3255683393990222E-4</c:v>
                </c:pt>
                <c:pt idx="716">
                  <c:v>5.8373194163127869E-4</c:v>
                </c:pt>
                <c:pt idx="717">
                  <c:v>3.8970966534116613E-4</c:v>
                </c:pt>
                <c:pt idx="718">
                  <c:v>3.47304603415919E-4</c:v>
                </c:pt>
                <c:pt idx="719">
                  <c:v>3.47304603415919E-4</c:v>
                </c:pt>
                <c:pt idx="720">
                  <c:v>3.0458548619654842E-4</c:v>
                </c:pt>
                <c:pt idx="721">
                  <c:v>8.2426518936791699E-4</c:v>
                </c:pt>
                <c:pt idx="722">
                  <c:v>7.8610727674476954E-4</c:v>
                </c:pt>
                <c:pt idx="723">
                  <c:v>4.5821842979495688E-4</c:v>
                </c:pt>
                <c:pt idx="724">
                  <c:v>4.5821842979495688E-4</c:v>
                </c:pt>
                <c:pt idx="725">
                  <c:v>4.2003229767488158E-4</c:v>
                </c:pt>
                <c:pt idx="726">
                  <c:v>6.5966245898402829E-4</c:v>
                </c:pt>
                <c:pt idx="727">
                  <c:v>6.4097640811167599E-4</c:v>
                </c:pt>
                <c:pt idx="728">
                  <c:v>6.1256451156076815E-4</c:v>
                </c:pt>
                <c:pt idx="729">
                  <c:v>6.027620965859716E-4</c:v>
                </c:pt>
                <c:pt idx="730">
                  <c:v>2.406967231019443E-3</c:v>
                </c:pt>
                <c:pt idx="731">
                  <c:v>2.7723687996469592E-3</c:v>
                </c:pt>
                <c:pt idx="732">
                  <c:v>4.2188425576555194E-4</c:v>
                </c:pt>
                <c:pt idx="733">
                  <c:v>4.3642437901710707E-4</c:v>
                </c:pt>
                <c:pt idx="734">
                  <c:v>4.1904014240128496E-4</c:v>
                </c:pt>
                <c:pt idx="735">
                  <c:v>3.7161020060978451E-4</c:v>
                </c:pt>
                <c:pt idx="736">
                  <c:v>1.8935499746617024E-4</c:v>
                </c:pt>
                <c:pt idx="737">
                  <c:v>1.8302170944322482E-4</c:v>
                </c:pt>
                <c:pt idx="738">
                  <c:v>1.6645030492719177E-4</c:v>
                </c:pt>
                <c:pt idx="739">
                  <c:v>1.6214511701504803E-4</c:v>
                </c:pt>
                <c:pt idx="740">
                  <c:v>1.4503144223734942E-4</c:v>
                </c:pt>
                <c:pt idx="741">
                  <c:v>1.3615714864653579E-4</c:v>
                </c:pt>
                <c:pt idx="742">
                  <c:v>1.3152310276058485E-4</c:v>
                </c:pt>
                <c:pt idx="743">
                  <c:v>1.208603357425751E-4</c:v>
                </c:pt>
                <c:pt idx="744">
                  <c:v>1.5815883888170633E-4</c:v>
                </c:pt>
                <c:pt idx="745">
                  <c:v>1.1463994871938524E-4</c:v>
                </c:pt>
                <c:pt idx="746">
                  <c:v>1.1417333468306702E-4</c:v>
                </c:pt>
                <c:pt idx="747">
                  <c:v>1.0535030550099652E-4</c:v>
                </c:pt>
                <c:pt idx="748">
                  <c:v>3.6056821548411889E-5</c:v>
                </c:pt>
                <c:pt idx="749">
                  <c:v>3.4029487010446763E-5</c:v>
                </c:pt>
                <c:pt idx="750">
                  <c:v>2.874094465208405E-5</c:v>
                </c:pt>
                <c:pt idx="751">
                  <c:v>2.6966921540537045E-5</c:v>
                </c:pt>
                <c:pt idx="752">
                  <c:v>2.2329125728891839E-5</c:v>
                </c:pt>
                <c:pt idx="753">
                  <c:v>2.0796449788437787E-5</c:v>
                </c:pt>
                <c:pt idx="754">
                  <c:v>1.6788262434288564E-5</c:v>
                </c:pt>
                <c:pt idx="755">
                  <c:v>3.180848082506686E-4</c:v>
                </c:pt>
                <c:pt idx="756">
                  <c:v>1.2087178269662139E-5</c:v>
                </c:pt>
                <c:pt idx="757">
                  <c:v>9.7332921382965451E-6</c:v>
                </c:pt>
                <c:pt idx="758">
                  <c:v>9.8531353826148464E-6</c:v>
                </c:pt>
                <c:pt idx="759">
                  <c:v>7.9913620487271598E-6</c:v>
                </c:pt>
                <c:pt idx="760">
                  <c:v>6.3415064218720531E-6</c:v>
                </c:pt>
                <c:pt idx="761">
                  <c:v>4.8964701739235613E-6</c:v>
                </c:pt>
                <c:pt idx="762">
                  <c:v>3.649642705832364E-6</c:v>
                </c:pt>
                <c:pt idx="763">
                  <c:v>8.0112196001106155E-4</c:v>
                </c:pt>
                <c:pt idx="764">
                  <c:v>7.881190404503321E-4</c:v>
                </c:pt>
                <c:pt idx="765">
                  <c:v>3.7088948081035054E-5</c:v>
                </c:pt>
                <c:pt idx="766">
                  <c:v>3.5240345728647718E-5</c:v>
                </c:pt>
                <c:pt idx="767">
                  <c:v>3.3918891227939778E-5</c:v>
                </c:pt>
                <c:pt idx="768">
                  <c:v>3.1912220942259878E-5</c:v>
                </c:pt>
                <c:pt idx="769">
                  <c:v>3.4915607398184219E-5</c:v>
                </c:pt>
                <c:pt idx="770">
                  <c:v>5.3848138787100454E-5</c:v>
                </c:pt>
                <c:pt idx="771">
                  <c:v>5.9685124881880209E-5</c:v>
                </c:pt>
                <c:pt idx="772">
                  <c:v>3.5071190697699741E-5</c:v>
                </c:pt>
                <c:pt idx="773">
                  <c:v>2.3211753497621924E-5</c:v>
                </c:pt>
                <c:pt idx="774">
                  <c:v>7.1141077342314116E-6</c:v>
                </c:pt>
                <c:pt idx="775">
                  <c:v>6.8617574902839304E-6</c:v>
                </c:pt>
                <c:pt idx="776">
                  <c:v>9.3786849703410002E-6</c:v>
                </c:pt>
                <c:pt idx="777">
                  <c:v>7.5580225034182017E-6</c:v>
                </c:pt>
                <c:pt idx="778">
                  <c:v>5.1632733607941013E-5</c:v>
                </c:pt>
                <c:pt idx="779">
                  <c:v>6.0650856547433767E-5</c:v>
                </c:pt>
                <c:pt idx="780">
                  <c:v>7.7835615105857636E-5</c:v>
                </c:pt>
                <c:pt idx="781">
                  <c:v>9.8984719151127144E-5</c:v>
                </c:pt>
                <c:pt idx="782">
                  <c:v>1.5235083227675964E-7</c:v>
                </c:pt>
                <c:pt idx="783">
                  <c:v>1.5339886851343352E-4</c:v>
                </c:pt>
                <c:pt idx="784">
                  <c:v>1.969152002700139E-4</c:v>
                </c:pt>
                <c:pt idx="785">
                  <c:v>2.6479675232858303E-4</c:v>
                </c:pt>
                <c:pt idx="786">
                  <c:v>3.1704638895954727E-4</c:v>
                </c:pt>
                <c:pt idx="787">
                  <c:v>3.7635213820699711E-4</c:v>
                </c:pt>
                <c:pt idx="788">
                  <c:v>4.5865624021209348E-4</c:v>
                </c:pt>
                <c:pt idx="789">
                  <c:v>5.8006378683851277E-4</c:v>
                </c:pt>
                <c:pt idx="790">
                  <c:v>6.7943292998166426E-4</c:v>
                </c:pt>
                <c:pt idx="791">
                  <c:v>2.7829532213978006E-3</c:v>
                </c:pt>
                <c:pt idx="792">
                  <c:v>2.1023786217062019E-3</c:v>
                </c:pt>
                <c:pt idx="793">
                  <c:v>2.0698720949108981E-3</c:v>
                </c:pt>
                <c:pt idx="794">
                  <c:v>2.0760173837531732E-3</c:v>
                </c:pt>
                <c:pt idx="795">
                  <c:v>2.1173764246973374E-3</c:v>
                </c:pt>
                <c:pt idx="796">
                  <c:v>2.120069331833114E-3</c:v>
                </c:pt>
                <c:pt idx="797">
                  <c:v>2.4258617791911726E-3</c:v>
                </c:pt>
                <c:pt idx="798">
                  <c:v>4.1550884493207673E-5</c:v>
                </c:pt>
                <c:pt idx="799">
                  <c:v>3.9898859535332053E-5</c:v>
                </c:pt>
                <c:pt idx="800">
                  <c:v>4.2019016305190012E-5</c:v>
                </c:pt>
                <c:pt idx="801">
                  <c:v>4.4208472971368499E-5</c:v>
                </c:pt>
                <c:pt idx="802">
                  <c:v>4.6468586542518781E-5</c:v>
                </c:pt>
                <c:pt idx="803">
                  <c:v>4.7021875155713783E-5</c:v>
                </c:pt>
                <c:pt idx="804">
                  <c:v>5.6243818334941772E-5</c:v>
                </c:pt>
                <c:pt idx="805">
                  <c:v>5.9619996431385339E-5</c:v>
                </c:pt>
                <c:pt idx="806">
                  <c:v>1.5792102478347382E-4</c:v>
                </c:pt>
                <c:pt idx="807">
                  <c:v>1.5324373904997352E-4</c:v>
                </c:pt>
                <c:pt idx="808">
                  <c:v>1.3944370743728199E-4</c:v>
                </c:pt>
                <c:pt idx="809">
                  <c:v>1.4557554176679985E-4</c:v>
                </c:pt>
                <c:pt idx="810">
                  <c:v>2.8910201479616436E-4</c:v>
                </c:pt>
                <c:pt idx="811">
                  <c:v>1.3066659187995554E-4</c:v>
                </c:pt>
                <c:pt idx="812">
                  <c:v>1.3907330844111588E-4</c:v>
                </c:pt>
                <c:pt idx="813">
                  <c:v>1.1644212488100682E-3</c:v>
                </c:pt>
                <c:pt idx="814">
                  <c:v>7.2333869226280981E-4</c:v>
                </c:pt>
                <c:pt idx="815">
                  <c:v>7.2710430828704391E-4</c:v>
                </c:pt>
                <c:pt idx="816">
                  <c:v>5.0149482825247518E-4</c:v>
                </c:pt>
                <c:pt idx="817">
                  <c:v>5.815332507551342E-5</c:v>
                </c:pt>
                <c:pt idx="818">
                  <c:v>3.4680241104112985E-4</c:v>
                </c:pt>
                <c:pt idx="819">
                  <c:v>1.1955078321127857E-4</c:v>
                </c:pt>
                <c:pt idx="820">
                  <c:v>1.5463008219852501E-4</c:v>
                </c:pt>
                <c:pt idx="821">
                  <c:v>4.3908399239127828E-5</c:v>
                </c:pt>
                <c:pt idx="822">
                  <c:v>4.4569742090881122E-5</c:v>
                </c:pt>
                <c:pt idx="823">
                  <c:v>4.165379624633255E-5</c:v>
                </c:pt>
                <c:pt idx="824">
                  <c:v>4.165379624633255E-5</c:v>
                </c:pt>
                <c:pt idx="825">
                  <c:v>3.9279977378057768E-5</c:v>
                </c:pt>
                <c:pt idx="826">
                  <c:v>3.3175397204886692E-5</c:v>
                </c:pt>
                <c:pt idx="827">
                  <c:v>3.0630792603046777E-5</c:v>
                </c:pt>
                <c:pt idx="828">
                  <c:v>2.7201359107963681E-5</c:v>
                </c:pt>
                <c:pt idx="829">
                  <c:v>2.5670475251058272E-4</c:v>
                </c:pt>
                <c:pt idx="830">
                  <c:v>1.9889525697157649E-4</c:v>
                </c:pt>
                <c:pt idx="831">
                  <c:v>2.0859145969662205E-4</c:v>
                </c:pt>
                <c:pt idx="832">
                  <c:v>2.1832767817229763E-4</c:v>
                </c:pt>
                <c:pt idx="833">
                  <c:v>2.414688014178072E-4</c:v>
                </c:pt>
                <c:pt idx="834">
                  <c:v>3.2851997669892485E-4</c:v>
                </c:pt>
                <c:pt idx="835">
                  <c:v>3.637329100056251E-6</c:v>
                </c:pt>
                <c:pt idx="836">
                  <c:v>4.2259759399477993E-6</c:v>
                </c:pt>
                <c:pt idx="837">
                  <c:v>1.5940520600025532E-7</c:v>
                </c:pt>
                <c:pt idx="838">
                  <c:v>6.4912676312758926E-7</c:v>
                </c:pt>
                <c:pt idx="839">
                  <c:v>7.4519244035680474E-3</c:v>
                </c:pt>
                <c:pt idx="840">
                  <c:v>1.8568319717504566E-5</c:v>
                </c:pt>
                <c:pt idx="841">
                  <c:v>7.0356706920411779E-6</c:v>
                </c:pt>
                <c:pt idx="842">
                  <c:v>3.5443934615096564E-5</c:v>
                </c:pt>
                <c:pt idx="843">
                  <c:v>3.780749912044007E-6</c:v>
                </c:pt>
                <c:pt idx="844">
                  <c:v>2.5248513418684269E-7</c:v>
                </c:pt>
                <c:pt idx="845">
                  <c:v>5.0020727084777448E-6</c:v>
                </c:pt>
                <c:pt idx="846">
                  <c:v>2.9423179945151067E-7</c:v>
                </c:pt>
                <c:pt idx="847">
                  <c:v>2.4406550441257037E-6</c:v>
                </c:pt>
                <c:pt idx="848">
                  <c:v>2.1995562288472256E-4</c:v>
                </c:pt>
                <c:pt idx="849">
                  <c:v>1.6703415339705896E-4</c:v>
                </c:pt>
                <c:pt idx="850">
                  <c:v>6.2010104291107472E-5</c:v>
                </c:pt>
                <c:pt idx="851">
                  <c:v>7.6667646574161158E-5</c:v>
                </c:pt>
                <c:pt idx="852">
                  <c:v>2.6268920691183752E-4</c:v>
                </c:pt>
                <c:pt idx="853">
                  <c:v>3.050217686642909E-4</c:v>
                </c:pt>
                <c:pt idx="854">
                  <c:v>3.706740030978155E-4</c:v>
                </c:pt>
                <c:pt idx="855">
                  <c:v>1.324569533832965E-4</c:v>
                </c:pt>
                <c:pt idx="856">
                  <c:v>1.3610157788611509E-4</c:v>
                </c:pt>
                <c:pt idx="857">
                  <c:v>1.2946548324117718E-4</c:v>
                </c:pt>
                <c:pt idx="858">
                  <c:v>2.8910201479616436E-4</c:v>
                </c:pt>
                <c:pt idx="859">
                  <c:v>1.3165761070369424E-4</c:v>
                </c:pt>
                <c:pt idx="860">
                  <c:v>1.3290755774578853E-4</c:v>
                </c:pt>
                <c:pt idx="861">
                  <c:v>1.9199345520804959E-4</c:v>
                </c:pt>
                <c:pt idx="862">
                  <c:v>3.5137978050834532E-4</c:v>
                </c:pt>
                <c:pt idx="863">
                  <c:v>8.9927732852453882E-4</c:v>
                </c:pt>
                <c:pt idx="864">
                  <c:v>1.1813901537669322E-3</c:v>
                </c:pt>
                <c:pt idx="865">
                  <c:v>4.1794017868486568E-4</c:v>
                </c:pt>
                <c:pt idx="866">
                  <c:v>4.4218779854665705E-4</c:v>
                </c:pt>
                <c:pt idx="867">
                  <c:v>4.7892007463287218E-4</c:v>
                </c:pt>
                <c:pt idx="868">
                  <c:v>5.309434780127962E-4</c:v>
                </c:pt>
                <c:pt idx="869">
                  <c:v>7.4537022963072901E-4</c:v>
                </c:pt>
                <c:pt idx="870">
                  <c:v>6.9455915394392171E-4</c:v>
                </c:pt>
                <c:pt idx="871">
                  <c:v>6.5049898996219881E-4</c:v>
                </c:pt>
                <c:pt idx="872">
                  <c:v>3.0491673829257727E-4</c:v>
                </c:pt>
                <c:pt idx="873">
                  <c:v>2.3977554743168715E-3</c:v>
                </c:pt>
                <c:pt idx="874">
                  <c:v>1.7605348624015623E-3</c:v>
                </c:pt>
                <c:pt idx="875">
                  <c:v>9.9994883588985176E-4</c:v>
                </c:pt>
                <c:pt idx="876">
                  <c:v>1.5985848658864584E-4</c:v>
                </c:pt>
                <c:pt idx="877">
                  <c:v>4.3113409700731191E-4</c:v>
                </c:pt>
                <c:pt idx="878">
                  <c:v>4.0103671274521697E-4</c:v>
                </c:pt>
                <c:pt idx="879">
                  <c:v>5.4934905188135344E-5</c:v>
                </c:pt>
                <c:pt idx="880">
                  <c:v>3.3742201772918876E-4</c:v>
                </c:pt>
                <c:pt idx="881">
                  <c:v>3.2556060401536715E-4</c:v>
                </c:pt>
                <c:pt idx="882">
                  <c:v>3.0150173859468197E-4</c:v>
                </c:pt>
                <c:pt idx="883">
                  <c:v>2.7219718945328933E-4</c:v>
                </c:pt>
                <c:pt idx="884">
                  <c:v>2.5799012791040367E-4</c:v>
                </c:pt>
                <c:pt idx="885">
                  <c:v>1.8343020167518545E-5</c:v>
                </c:pt>
                <c:pt idx="886">
                  <c:v>2.5149891267041233E-3</c:v>
                </c:pt>
                <c:pt idx="887">
                  <c:v>2.9034262008980186E-5</c:v>
                </c:pt>
                <c:pt idx="888">
                  <c:v>3.7899004557114415E-5</c:v>
                </c:pt>
                <c:pt idx="889">
                  <c:v>4.6537466730819607E-5</c:v>
                </c:pt>
                <c:pt idx="890">
                  <c:v>5.8713340944661133E-5</c:v>
                </c:pt>
                <c:pt idx="891">
                  <c:v>7.5327031266753027E-5</c:v>
                </c:pt>
                <c:pt idx="892">
                  <c:v>9.5831110185924388E-5</c:v>
                </c:pt>
                <c:pt idx="893">
                  <c:v>1.2691361993299224E-4</c:v>
                </c:pt>
                <c:pt idx="894">
                  <c:v>2.4727994690213286E-4</c:v>
                </c:pt>
                <c:pt idx="895">
                  <c:v>2.3286158138172611E-6</c:v>
                </c:pt>
                <c:pt idx="896">
                  <c:v>2.5428057080293472E-4</c:v>
                </c:pt>
                <c:pt idx="897">
                  <c:v>3.1548627018892784E-4</c:v>
                </c:pt>
                <c:pt idx="898">
                  <c:v>5.7973105023463513E-5</c:v>
                </c:pt>
                <c:pt idx="899">
                  <c:v>7.1078302557173474E-5</c:v>
                </c:pt>
                <c:pt idx="900">
                  <c:v>6.3900821222797159E-3</c:v>
                </c:pt>
                <c:pt idx="901">
                  <c:v>1.3679574314436055E-4</c:v>
                </c:pt>
                <c:pt idx="902">
                  <c:v>1.8549322420611248E-4</c:v>
                </c:pt>
                <c:pt idx="903">
                  <c:v>2.1147493344023083E-4</c:v>
                </c:pt>
                <c:pt idx="904">
                  <c:v>2.0747482168676079E-4</c:v>
                </c:pt>
                <c:pt idx="905">
                  <c:v>1.9673996521439225E-4</c:v>
                </c:pt>
                <c:pt idx="906">
                  <c:v>2.2923858851881261E-4</c:v>
                </c:pt>
                <c:pt idx="907">
                  <c:v>1.036761192704211E-2</c:v>
                </c:pt>
                <c:pt idx="908">
                  <c:v>5.0703725013015986E-4</c:v>
                </c:pt>
                <c:pt idx="909">
                  <c:v>8.1874289677283277E-4</c:v>
                </c:pt>
                <c:pt idx="910">
                  <c:v>1.1751435692656425E-2</c:v>
                </c:pt>
                <c:pt idx="911">
                  <c:v>1.0059104167504021E-4</c:v>
                </c:pt>
                <c:pt idx="912">
                  <c:v>9.3814698152308012E-5</c:v>
                </c:pt>
                <c:pt idx="913">
                  <c:v>9.0549490133006192E-5</c:v>
                </c:pt>
                <c:pt idx="914">
                  <c:v>1.3881962760574338E-4</c:v>
                </c:pt>
                <c:pt idx="915">
                  <c:v>7.3936479834943729E-5</c:v>
                </c:pt>
                <c:pt idx="916">
                  <c:v>6.9028965339726548E-5</c:v>
                </c:pt>
                <c:pt idx="917">
                  <c:v>6.1685723748588827E-5</c:v>
                </c:pt>
                <c:pt idx="918">
                  <c:v>5.9151527207590298E-5</c:v>
                </c:pt>
                <c:pt idx="919">
                  <c:v>5.6686017590182544E-5</c:v>
                </c:pt>
                <c:pt idx="920">
                  <c:v>5.012884248667874E-5</c:v>
                </c:pt>
                <c:pt idx="921">
                  <c:v>4.5728167386610344E-5</c:v>
                </c:pt>
                <c:pt idx="922">
                  <c:v>4.3622156946837013E-5</c:v>
                </c:pt>
                <c:pt idx="923">
                  <c:v>3.1335792411302298E-4</c:v>
                </c:pt>
                <c:pt idx="924">
                  <c:v>3.8992042009139001E-5</c:v>
                </c:pt>
                <c:pt idx="925">
                  <c:v>3.6628754787980749E-5</c:v>
                </c:pt>
                <c:pt idx="926">
                  <c:v>1.783486136920059E-4</c:v>
                </c:pt>
                <c:pt idx="927">
                  <c:v>1.567710230517319E-4</c:v>
                </c:pt>
                <c:pt idx="928">
                  <c:v>1.3380990822998886E-4</c:v>
                </c:pt>
                <c:pt idx="929">
                  <c:v>1.1570806351218238E-4</c:v>
                </c:pt>
                <c:pt idx="930">
                  <c:v>8.9225802590210261E-5</c:v>
                </c:pt>
                <c:pt idx="931">
                  <c:v>6.9357776219227492E-5</c:v>
                </c:pt>
                <c:pt idx="932">
                  <c:v>6.0649749112691049E-5</c:v>
                </c:pt>
                <c:pt idx="933">
                  <c:v>3.8888397344979128E-5</c:v>
                </c:pt>
                <c:pt idx="934">
                  <c:v>3.3128058997104394E-5</c:v>
                </c:pt>
                <c:pt idx="935">
                  <c:v>1.7487156453403808E-5</c:v>
                </c:pt>
                <c:pt idx="936">
                  <c:v>2.2320739070406069E-4</c:v>
                </c:pt>
                <c:pt idx="937">
                  <c:v>3.637329100056251E-6</c:v>
                </c:pt>
                <c:pt idx="938">
                  <c:v>8.7558938060483335E-7</c:v>
                </c:pt>
                <c:pt idx="939">
                  <c:v>3.8889649004941024E-4</c:v>
                </c:pt>
                <c:pt idx="940">
                  <c:v>1.0666707813039902E-5</c:v>
                </c:pt>
                <c:pt idx="941">
                  <c:v>5.3247792693874912E-4</c:v>
                </c:pt>
                <c:pt idx="942">
                  <c:v>6.0700582694837206E-4</c:v>
                </c:pt>
                <c:pt idx="943">
                  <c:v>6.4002693131780869E-3</c:v>
                </c:pt>
                <c:pt idx="944">
                  <c:v>7.1626324715548301E-4</c:v>
                </c:pt>
                <c:pt idx="945">
                  <c:v>7.6756650646940333E-4</c:v>
                </c:pt>
                <c:pt idx="946">
                  <c:v>8.6011207517310462E-4</c:v>
                </c:pt>
                <c:pt idx="947">
                  <c:v>9.6388190083085477E-4</c:v>
                </c:pt>
                <c:pt idx="948">
                  <c:v>1.068135795661291E-3</c:v>
                </c:pt>
                <c:pt idx="949">
                  <c:v>1.2271483269624857E-3</c:v>
                </c:pt>
                <c:pt idx="950">
                  <c:v>8.8252587763112973E-3</c:v>
                </c:pt>
                <c:pt idx="951">
                  <c:v>1.6456104365505425E-3</c:v>
                </c:pt>
                <c:pt idx="952">
                  <c:v>1.907961651676817E-3</c:v>
                </c:pt>
                <c:pt idx="953">
                  <c:v>5.9740413911874696E-4</c:v>
                </c:pt>
                <c:pt idx="954">
                  <c:v>5.5218952967567324E-4</c:v>
                </c:pt>
                <c:pt idx="955">
                  <c:v>5.3906188376282959E-4</c:v>
                </c:pt>
                <c:pt idx="956">
                  <c:v>2.0671221274030684E-3</c:v>
                </c:pt>
                <c:pt idx="957">
                  <c:v>9.530680866151873E-4</c:v>
                </c:pt>
                <c:pt idx="958">
                  <c:v>7.4499314761198514E-4</c:v>
                </c:pt>
                <c:pt idx="959">
                  <c:v>4.0499155300049967E-4</c:v>
                </c:pt>
                <c:pt idx="960">
                  <c:v>3.5271578531203591E-4</c:v>
                </c:pt>
                <c:pt idx="961">
                  <c:v>3.1707702676699658E-4</c:v>
                </c:pt>
                <c:pt idx="962">
                  <c:v>2.8358737578771656E-4</c:v>
                </c:pt>
                <c:pt idx="963">
                  <c:v>2.5581418543099634E-4</c:v>
                </c:pt>
                <c:pt idx="964">
                  <c:v>2.4066323397927769E-4</c:v>
                </c:pt>
                <c:pt idx="965">
                  <c:v>3.1466280068241878E-3</c:v>
                </c:pt>
                <c:pt idx="966">
                  <c:v>3.1913825183478672E-3</c:v>
                </c:pt>
                <c:pt idx="967">
                  <c:v>3.2370701238210913E-3</c:v>
                </c:pt>
                <c:pt idx="968">
                  <c:v>2.1227901300470826E-4</c:v>
                </c:pt>
                <c:pt idx="969">
                  <c:v>2.2332665482629568E-4</c:v>
                </c:pt>
                <c:pt idx="970">
                  <c:v>2.473573353704529E-4</c:v>
                </c:pt>
                <c:pt idx="971">
                  <c:v>2.6938159771979159E-4</c:v>
                </c:pt>
                <c:pt idx="972">
                  <c:v>2.8249223086973714E-4</c:v>
                </c:pt>
                <c:pt idx="973">
                  <c:v>4.8270198896707742E-5</c:v>
                </c:pt>
                <c:pt idx="974">
                  <c:v>3.3258012983504411E-6</c:v>
                </c:pt>
                <c:pt idx="975">
                  <c:v>1.208603357425751E-4</c:v>
                </c:pt>
                <c:pt idx="976">
                  <c:v>1.1207251348054943E-4</c:v>
                </c:pt>
                <c:pt idx="977">
                  <c:v>1.1905739581407522E-4</c:v>
                </c:pt>
                <c:pt idx="978">
                  <c:v>1.1216779543291196E-4</c:v>
                </c:pt>
                <c:pt idx="979">
                  <c:v>1.0849853522964739E-4</c:v>
                </c:pt>
                <c:pt idx="980">
                  <c:v>8.8909881255959711E-5</c:v>
                </c:pt>
                <c:pt idx="981">
                  <c:v>8.373948852460489E-5</c:v>
                </c:pt>
                <c:pt idx="982">
                  <c:v>8.1628402315239498E-5</c:v>
                </c:pt>
                <c:pt idx="983">
                  <c:v>4.2384516973598275E-5</c:v>
                </c:pt>
                <c:pt idx="984">
                  <c:v>6.0133044202900917E-5</c:v>
                </c:pt>
                <c:pt idx="985">
                  <c:v>5.1812434643279435E-5</c:v>
                </c:pt>
                <c:pt idx="986">
                  <c:v>4.7828533884247036E-5</c:v>
                </c:pt>
                <c:pt idx="987">
                  <c:v>5.8104881063658363E-5</c:v>
                </c:pt>
                <c:pt idx="988">
                  <c:v>5.3847637610833999E-5</c:v>
                </c:pt>
                <c:pt idx="989">
                  <c:v>3.5325376333449366E-5</c:v>
                </c:pt>
                <c:pt idx="990">
                  <c:v>2.2153709749013589E-4</c:v>
                </c:pt>
                <c:pt idx="991">
                  <c:v>3.2733962972978971E-6</c:v>
                </c:pt>
                <c:pt idx="992">
                  <c:v>1.9893064883007329E-4</c:v>
                </c:pt>
                <c:pt idx="993">
                  <c:v>1.8561336991891278E-4</c:v>
                </c:pt>
                <c:pt idx="994">
                  <c:v>1.5608378887402486E-4</c:v>
                </c:pt>
                <c:pt idx="995">
                  <c:v>3.1072714247106422E-5</c:v>
                </c:pt>
                <c:pt idx="996">
                  <c:v>1.5608378887402486E-4</c:v>
                </c:pt>
                <c:pt idx="997">
                  <c:v>1.7468397047816584E-4</c:v>
                </c:pt>
                <c:pt idx="998">
                  <c:v>1.6518154559078195E-4</c:v>
                </c:pt>
                <c:pt idx="999">
                  <c:v>1.3219562608916835E-4</c:v>
                </c:pt>
                <c:pt idx="1000">
                  <c:v>1.335981681431287E-4</c:v>
                </c:pt>
                <c:pt idx="1001">
                  <c:v>1.1525768959626164E-4</c:v>
                </c:pt>
                <c:pt idx="1002">
                  <c:v>1.1525768959626164E-4</c:v>
                </c:pt>
                <c:pt idx="1003">
                  <c:v>1.1271558009745333E-4</c:v>
                </c:pt>
                <c:pt idx="1004">
                  <c:v>1.0796122122878687E-4</c:v>
                </c:pt>
                <c:pt idx="1005">
                  <c:v>3.363164474211725E-5</c:v>
                </c:pt>
                <c:pt idx="1006">
                  <c:v>2.7203412624930721E-5</c:v>
                </c:pt>
                <c:pt idx="1007">
                  <c:v>2.4619771587176505E-5</c:v>
                </c:pt>
                <c:pt idx="1008">
                  <c:v>1.6583739729921259E-5</c:v>
                </c:pt>
                <c:pt idx="1009">
                  <c:v>1.8121729021017316E-3</c:v>
                </c:pt>
                <c:pt idx="1010">
                  <c:v>7.9011173732993421E-6</c:v>
                </c:pt>
                <c:pt idx="1011">
                  <c:v>7.5299817471565807E-6</c:v>
                </c:pt>
                <c:pt idx="1012">
                  <c:v>1.9253049601003637E-3</c:v>
                </c:pt>
                <c:pt idx="1013">
                  <c:v>7.6215500076118284E-6</c:v>
                </c:pt>
                <c:pt idx="1014">
                  <c:v>2.2828247331150392E-6</c:v>
                </c:pt>
                <c:pt idx="1015">
                  <c:v>2.3907040996805461E-6</c:v>
                </c:pt>
                <c:pt idx="1016">
                  <c:v>7.0517870177885957E-7</c:v>
                </c:pt>
                <c:pt idx="1017">
                  <c:v>8.346883147729173E-6</c:v>
                </c:pt>
                <c:pt idx="1018">
                  <c:v>2.0420657324397754E-5</c:v>
                </c:pt>
                <c:pt idx="1019">
                  <c:v>2.1926141418177258E-5</c:v>
                </c:pt>
                <c:pt idx="1020">
                  <c:v>1.4087616449493464E-5</c:v>
                </c:pt>
                <c:pt idx="1021">
                  <c:v>1.3911520087765915E-5</c:v>
                </c:pt>
                <c:pt idx="1022">
                  <c:v>4.2324503320127875E-5</c:v>
                </c:pt>
                <c:pt idx="1023">
                  <c:v>1.0530996283674076E-4</c:v>
                </c:pt>
                <c:pt idx="1024">
                  <c:v>1.0400547691696597E-4</c:v>
                </c:pt>
                <c:pt idx="1025">
                  <c:v>9.0920703118302978E-5</c:v>
                </c:pt>
                <c:pt idx="1026">
                  <c:v>7.7954840175068561E-5</c:v>
                </c:pt>
                <c:pt idx="1027">
                  <c:v>6.6305281085258838E-5</c:v>
                </c:pt>
                <c:pt idx="1028">
                  <c:v>1.9597971336861761E-4</c:v>
                </c:pt>
                <c:pt idx="1029">
                  <c:v>1.576857694283312E-5</c:v>
                </c:pt>
                <c:pt idx="1030">
                  <c:v>1.2075274383989879E-5</c:v>
                </c:pt>
                <c:pt idx="1031">
                  <c:v>7.9023979056860343E-6</c:v>
                </c:pt>
                <c:pt idx="1032">
                  <c:v>2.5392963328704782E-4</c:v>
                </c:pt>
                <c:pt idx="1033">
                  <c:v>3.6171929499807473E-4</c:v>
                </c:pt>
                <c:pt idx="1034">
                  <c:v>1.6228704637653062E-6</c:v>
                </c:pt>
                <c:pt idx="1035">
                  <c:v>6.2759346838218609E-7</c:v>
                </c:pt>
                <c:pt idx="1036">
                  <c:v>1.1173680586978827E-7</c:v>
                </c:pt>
                <c:pt idx="1037">
                  <c:v>1.2725173768574069E-8</c:v>
                </c:pt>
                <c:pt idx="1038">
                  <c:v>3.1183219174103549E-4</c:v>
                </c:pt>
                <c:pt idx="1039">
                  <c:v>1.5947641344644647E-5</c:v>
                </c:pt>
                <c:pt idx="1040">
                  <c:v>1.9795557465915228E-6</c:v>
                </c:pt>
                <c:pt idx="1041">
                  <c:v>1.0480930404610652E-3</c:v>
                </c:pt>
                <c:pt idx="1042">
                  <c:v>7.1246831768611239E-6</c:v>
                </c:pt>
                <c:pt idx="1043">
                  <c:v>1.2942292661611691E-3</c:v>
                </c:pt>
                <c:pt idx="1044">
                  <c:v>1.6722407710765733E-4</c:v>
                </c:pt>
                <c:pt idx="1045">
                  <c:v>6.0686790829587575E-3</c:v>
                </c:pt>
                <c:pt idx="1046">
                  <c:v>6.2141438160224719E-3</c:v>
                </c:pt>
                <c:pt idx="1047">
                  <c:v>6.6053932502561875E-3</c:v>
                </c:pt>
                <c:pt idx="1048">
                  <c:v>6.795646351335052E-3</c:v>
                </c:pt>
                <c:pt idx="1049">
                  <c:v>1.1745935535112655E-2</c:v>
                </c:pt>
                <c:pt idx="1050">
                  <c:v>7.5007456817614169E-3</c:v>
                </c:pt>
                <c:pt idx="1051">
                  <c:v>8.3363525199969997E-4</c:v>
                </c:pt>
                <c:pt idx="1052">
                  <c:v>1.068189868018647E-3</c:v>
                </c:pt>
                <c:pt idx="1053">
                  <c:v>1.3959079773892351E-4</c:v>
                </c:pt>
                <c:pt idx="1054">
                  <c:v>2.4733900744513908E-4</c:v>
                </c:pt>
                <c:pt idx="1055">
                  <c:v>1.3010538299385705E-3</c:v>
                </c:pt>
                <c:pt idx="1056">
                  <c:v>2.0262583780947894E-3</c:v>
                </c:pt>
                <c:pt idx="1057">
                  <c:v>9.8563323915716074E-3</c:v>
                </c:pt>
                <c:pt idx="1058">
                  <c:v>1.9068177375960831E-3</c:v>
                </c:pt>
                <c:pt idx="1059">
                  <c:v>1.9483167421538183E-3</c:v>
                </c:pt>
                <c:pt idx="1060">
                  <c:v>1.9590681153372944E-3</c:v>
                </c:pt>
                <c:pt idx="1061">
                  <c:v>2.003116644673971E-3</c:v>
                </c:pt>
                <c:pt idx="1062">
                  <c:v>2.0091522664650641E-3</c:v>
                </c:pt>
                <c:pt idx="1063">
                  <c:v>3.4315377867252766E-5</c:v>
                </c:pt>
                <c:pt idx="1064">
                  <c:v>2.284214298238775E-4</c:v>
                </c:pt>
                <c:pt idx="1065">
                  <c:v>5.1206365039949586E-5</c:v>
                </c:pt>
                <c:pt idx="1066">
                  <c:v>2.7772423780102308E-3</c:v>
                </c:pt>
                <c:pt idx="1067">
                  <c:v>6.5215601733748459E-5</c:v>
                </c:pt>
                <c:pt idx="1068">
                  <c:v>7.7431378360463279E-5</c:v>
                </c:pt>
                <c:pt idx="1069">
                  <c:v>8.7543769415735482E-5</c:v>
                </c:pt>
                <c:pt idx="1070">
                  <c:v>5.8375417816082682E-7</c:v>
                </c:pt>
                <c:pt idx="1071">
                  <c:v>3.1250570731325045E-8</c:v>
                </c:pt>
                <c:pt idx="1072">
                  <c:v>1.240084574696037E-6</c:v>
                </c:pt>
                <c:pt idx="1073">
                  <c:v>8.3461408136805806E-8</c:v>
                </c:pt>
                <c:pt idx="1074">
                  <c:v>3.5318632264551687E-7</c:v>
                </c:pt>
                <c:pt idx="1075">
                  <c:v>3.310022139765821E-7</c:v>
                </c:pt>
                <c:pt idx="1076">
                  <c:v>7.4013251157111059E-7</c:v>
                </c:pt>
                <c:pt idx="1077">
                  <c:v>1.6541979345347718E-6</c:v>
                </c:pt>
                <c:pt idx="1078">
                  <c:v>3.9683883522101888E-6</c:v>
                </c:pt>
                <c:pt idx="1079">
                  <c:v>5.2338217912043778E-6</c:v>
                </c:pt>
                <c:pt idx="1080">
                  <c:v>9.0397881219038382E-6</c:v>
                </c:pt>
                <c:pt idx="1081">
                  <c:v>1.2977121437840352E-5</c:v>
                </c:pt>
                <c:pt idx="1082">
                  <c:v>1.6517146554730656E-5</c:v>
                </c:pt>
                <c:pt idx="1083">
                  <c:v>2.0598769238290167E-3</c:v>
                </c:pt>
                <c:pt idx="1084">
                  <c:v>2.0437959639942921E-3</c:v>
                </c:pt>
                <c:pt idx="1085">
                  <c:v>4.1330162108775248E-5</c:v>
                </c:pt>
                <c:pt idx="1086">
                  <c:v>2.7323157570805514E-3</c:v>
                </c:pt>
                <c:pt idx="1087">
                  <c:v>6.6631283691541421E-4</c:v>
                </c:pt>
                <c:pt idx="1088">
                  <c:v>3.4864336152684166E-4</c:v>
                </c:pt>
                <c:pt idx="1089">
                  <c:v>5.730258013776537E-4</c:v>
                </c:pt>
                <c:pt idx="1090">
                  <c:v>5.7710617996363912E-4</c:v>
                </c:pt>
                <c:pt idx="1091">
                  <c:v>1.4016562966716529E-4</c:v>
                </c:pt>
                <c:pt idx="1092">
                  <c:v>1.2765365612554634E-4</c:v>
                </c:pt>
                <c:pt idx="1093">
                  <c:v>1.2765365612554634E-4</c:v>
                </c:pt>
                <c:pt idx="1094">
                  <c:v>1.3724648040112797E-4</c:v>
                </c:pt>
                <c:pt idx="1095">
                  <c:v>8.0124077961208541E-5</c:v>
                </c:pt>
                <c:pt idx="1096">
                  <c:v>1.0277478439254202E-4</c:v>
                </c:pt>
                <c:pt idx="1097">
                  <c:v>8.108748715387436E-5</c:v>
                </c:pt>
                <c:pt idx="1098">
                  <c:v>9.1403597872728395E-5</c:v>
                </c:pt>
                <c:pt idx="1099">
                  <c:v>2.6936350856915045E-4</c:v>
                </c:pt>
                <c:pt idx="1100">
                  <c:v>8.1057052387991196E-5</c:v>
                </c:pt>
                <c:pt idx="1101">
                  <c:v>7.1149657146081318E-5</c:v>
                </c:pt>
                <c:pt idx="1102">
                  <c:v>5.4551598677993836E-4</c:v>
                </c:pt>
                <c:pt idx="1103">
                  <c:v>4.1287112599623762E-4</c:v>
                </c:pt>
                <c:pt idx="1104">
                  <c:v>1.9473408792105917E-4</c:v>
                </c:pt>
                <c:pt idx="1105">
                  <c:v>1.9028055895411493E-4</c:v>
                </c:pt>
                <c:pt idx="1106">
                  <c:v>2.4946116624922649E-4</c:v>
                </c:pt>
                <c:pt idx="1107">
                  <c:v>6.3714549384553319E-5</c:v>
                </c:pt>
                <c:pt idx="1108">
                  <c:v>9.7163889726090334E-5</c:v>
                </c:pt>
                <c:pt idx="1109">
                  <c:v>4.128071302331196E-4</c:v>
                </c:pt>
                <c:pt idx="1110">
                  <c:v>5.4464357795655049E-4</c:v>
                </c:pt>
                <c:pt idx="1111">
                  <c:v>6.9029603490118965E-4</c:v>
                </c:pt>
                <c:pt idx="1112">
                  <c:v>9.9481662446642902E-4</c:v>
                </c:pt>
                <c:pt idx="1113">
                  <c:v>1.0837974859702522E-3</c:v>
                </c:pt>
                <c:pt idx="1114">
                  <c:v>1.1963386752095019E-3</c:v>
                </c:pt>
                <c:pt idx="1115">
                  <c:v>1.3393842173103139E-3</c:v>
                </c:pt>
                <c:pt idx="1116">
                  <c:v>1.4699415874644655E-3</c:v>
                </c:pt>
                <c:pt idx="1117">
                  <c:v>1.6192562583196106E-3</c:v>
                </c:pt>
                <c:pt idx="1118">
                  <c:v>6.0028333743584852E-6</c:v>
                </c:pt>
                <c:pt idx="1119">
                  <c:v>3.8003795417285358E-4</c:v>
                </c:pt>
                <c:pt idx="1120">
                  <c:v>2.288333038383722E-3</c:v>
                </c:pt>
                <c:pt idx="1121">
                  <c:v>1.6770886102245905E-2</c:v>
                </c:pt>
                <c:pt idx="1122">
                  <c:v>9.0176245132652727E-5</c:v>
                </c:pt>
                <c:pt idx="1123">
                  <c:v>9.8253161593924869E-5</c:v>
                </c:pt>
                <c:pt idx="1124">
                  <c:v>1.0956639142401633E-4</c:v>
                </c:pt>
                <c:pt idx="1125">
                  <c:v>1.1548689833993728E-4</c:v>
                </c:pt>
                <c:pt idx="1126">
                  <c:v>1.2494601167384209E-4</c:v>
                </c:pt>
                <c:pt idx="1127">
                  <c:v>1.3485902682817033E-4</c:v>
                </c:pt>
                <c:pt idx="1128">
                  <c:v>1.4177907214984076E-4</c:v>
                </c:pt>
                <c:pt idx="1129">
                  <c:v>1.5214344248104875E-4</c:v>
                </c:pt>
                <c:pt idx="1130">
                  <c:v>1.6290656240785199E-4</c:v>
                </c:pt>
                <c:pt idx="1131">
                  <c:v>4.5646611265012524E-3</c:v>
                </c:pt>
                <c:pt idx="1132">
                  <c:v>1.8640171195990772E-4</c:v>
                </c:pt>
                <c:pt idx="1133">
                  <c:v>1.9500863998509759E-4</c:v>
                </c:pt>
                <c:pt idx="1134">
                  <c:v>3.0802384316316764E-4</c:v>
                </c:pt>
                <c:pt idx="1135">
                  <c:v>2.9416191219247155E-4</c:v>
                </c:pt>
                <c:pt idx="1136">
                  <c:v>7.4251582592586959E-7</c:v>
                </c:pt>
                <c:pt idx="1137">
                  <c:v>2.8419272523717208E-4</c:v>
                </c:pt>
                <c:pt idx="1138">
                  <c:v>2.1279620827945798E-4</c:v>
                </c:pt>
                <c:pt idx="1139">
                  <c:v>2.5626959208468E-4</c:v>
                </c:pt>
                <c:pt idx="1140">
                  <c:v>2.2890644070012556E-4</c:v>
                </c:pt>
                <c:pt idx="1141">
                  <c:v>2.1051769563176559E-4</c:v>
                </c:pt>
                <c:pt idx="1142">
                  <c:v>1.9683164705897781E-4</c:v>
                </c:pt>
                <c:pt idx="1143">
                  <c:v>1.565359350516902E-4</c:v>
                </c:pt>
                <c:pt idx="1144">
                  <c:v>1.5939463528015792E-4</c:v>
                </c:pt>
                <c:pt idx="1145">
                  <c:v>1.4604448232237585E-4</c:v>
                </c:pt>
                <c:pt idx="1146">
                  <c:v>1.5770220993259688E-4</c:v>
                </c:pt>
                <c:pt idx="1147">
                  <c:v>1.4050649197788016E-4</c:v>
                </c:pt>
                <c:pt idx="1148">
                  <c:v>1.9335144472688597E-5</c:v>
                </c:pt>
                <c:pt idx="1149">
                  <c:v>2.5194411743644618E-5</c:v>
                </c:pt>
                <c:pt idx="1150">
                  <c:v>2.7847165813769876E-5</c:v>
                </c:pt>
                <c:pt idx="1151">
                  <c:v>3.4475784628906699E-5</c:v>
                </c:pt>
                <c:pt idx="1152">
                  <c:v>4.187203150996431E-5</c:v>
                </c:pt>
                <c:pt idx="1153">
                  <c:v>4.7792286731845975E-5</c:v>
                </c:pt>
                <c:pt idx="1154">
                  <c:v>3.7790737836467933E-3</c:v>
                </c:pt>
                <c:pt idx="1155">
                  <c:v>5.9638244334003409E-5</c:v>
                </c:pt>
                <c:pt idx="1156">
                  <c:v>4.2928004563355947E-4</c:v>
                </c:pt>
                <c:pt idx="1157">
                  <c:v>2.2533470862667621E-3</c:v>
                </c:pt>
                <c:pt idx="1158">
                  <c:v>8.9369461912399502E-5</c:v>
                </c:pt>
                <c:pt idx="1159">
                  <c:v>9.0619255641384642E-5</c:v>
                </c:pt>
                <c:pt idx="1160">
                  <c:v>9.5331968532851765E-5</c:v>
                </c:pt>
                <c:pt idx="1161">
                  <c:v>9.8586938856305288E-5</c:v>
                </c:pt>
                <c:pt idx="1162">
                  <c:v>1.019331880251778E-4</c:v>
                </c:pt>
                <c:pt idx="1163">
                  <c:v>1.0044116138272643E-4</c:v>
                </c:pt>
                <c:pt idx="1164">
                  <c:v>9.7344020587129205E-5</c:v>
                </c:pt>
                <c:pt idx="1165">
                  <c:v>8.6539038756838348E-5</c:v>
                </c:pt>
                <c:pt idx="1166">
                  <c:v>2.3152282819029533E-4</c:v>
                </c:pt>
                <c:pt idx="1167">
                  <c:v>7.5544280088354643E-5</c:v>
                </c:pt>
                <c:pt idx="1168">
                  <c:v>7.2622656049778247E-5</c:v>
                </c:pt>
                <c:pt idx="1169">
                  <c:v>6.3142733686394732E-5</c:v>
                </c:pt>
                <c:pt idx="1170">
                  <c:v>5.8570932414020332E-5</c:v>
                </c:pt>
                <c:pt idx="1171">
                  <c:v>5.4209099837535722E-5</c:v>
                </c:pt>
                <c:pt idx="1172">
                  <c:v>5.0049764481645876E-5</c:v>
                </c:pt>
                <c:pt idx="1173">
                  <c:v>4.6085942267567869E-5</c:v>
                </c:pt>
                <c:pt idx="1174">
                  <c:v>4.0553650011627175E-5</c:v>
                </c:pt>
                <c:pt idx="1175">
                  <c:v>1.2951762613530834E-4</c:v>
                </c:pt>
                <c:pt idx="1176">
                  <c:v>1.2951762613530834E-4</c:v>
                </c:pt>
                <c:pt idx="1177">
                  <c:v>1.1410516779809159E-4</c:v>
                </c:pt>
                <c:pt idx="1178">
                  <c:v>1.0006486417102102E-4</c:v>
                </c:pt>
                <c:pt idx="1179">
                  <c:v>2.0074414622790366E-4</c:v>
                </c:pt>
                <c:pt idx="1180">
                  <c:v>1.8842321255168617E-4</c:v>
                </c:pt>
                <c:pt idx="1181">
                  <c:v>7.9111643017546309E-5</c:v>
                </c:pt>
                <c:pt idx="1182">
                  <c:v>7.3240953803515495E-5</c:v>
                </c:pt>
                <c:pt idx="1183">
                  <c:v>8.57407090684631E-5</c:v>
                </c:pt>
                <c:pt idx="1184">
                  <c:v>4.9673616418556197E-5</c:v>
                </c:pt>
                <c:pt idx="1185">
                  <c:v>3.3105360347898455E-5</c:v>
                </c:pt>
                <c:pt idx="1186">
                  <c:v>3.1421711265356667E-5</c:v>
                </c:pt>
                <c:pt idx="1187">
                  <c:v>1.6130476991943559E-5</c:v>
                </c:pt>
                <c:pt idx="1188">
                  <c:v>1.5289016678935362E-5</c:v>
                </c:pt>
                <c:pt idx="1189">
                  <c:v>1.2918175072715069E-5</c:v>
                </c:pt>
                <c:pt idx="1190">
                  <c:v>1.1917895397965692E-5</c:v>
                </c:pt>
                <c:pt idx="1191">
                  <c:v>9.9401711520088029E-6</c:v>
                </c:pt>
                <c:pt idx="1192">
                  <c:v>1.3031102383245349E-5</c:v>
                </c:pt>
                <c:pt idx="1193">
                  <c:v>3.2490478007881048E-6</c:v>
                </c:pt>
                <c:pt idx="1194">
                  <c:v>2.7251718677277138E-6</c:v>
                </c:pt>
                <c:pt idx="1195">
                  <c:v>2.2742873162343178E-6</c:v>
                </c:pt>
                <c:pt idx="1196">
                  <c:v>1.4723939627503782E-6</c:v>
                </c:pt>
                <c:pt idx="1197">
                  <c:v>1.8393948114470162E-6</c:v>
                </c:pt>
                <c:pt idx="1198">
                  <c:v>8.220580047944996E-7</c:v>
                </c:pt>
                <c:pt idx="1199">
                  <c:v>9.2822528181786206E-8</c:v>
                </c:pt>
                <c:pt idx="1200">
                  <c:v>9.2822528181786206E-8</c:v>
                </c:pt>
                <c:pt idx="1201">
                  <c:v>4.6199962245829835E-11</c:v>
                </c:pt>
                <c:pt idx="1202">
                  <c:v>1.7078604192394656E-6</c:v>
                </c:pt>
                <c:pt idx="1203">
                  <c:v>1.7350209124331209E-7</c:v>
                </c:pt>
                <c:pt idx="1204">
                  <c:v>2.4950507576763139E-4</c:v>
                </c:pt>
                <c:pt idx="1205">
                  <c:v>2.5035907541829484E-4</c:v>
                </c:pt>
                <c:pt idx="1206">
                  <c:v>8.4900491734403542E-6</c:v>
                </c:pt>
                <c:pt idx="1207">
                  <c:v>1.9087764855961332E-4</c:v>
                </c:pt>
                <c:pt idx="1208">
                  <c:v>3.8664151076316267E-5</c:v>
                </c:pt>
                <c:pt idx="1209">
                  <c:v>1.8529922731763451E-4</c:v>
                </c:pt>
                <c:pt idx="1210">
                  <c:v>1.7766429962030823E-4</c:v>
                </c:pt>
                <c:pt idx="1211">
                  <c:v>1.6287629900862681E-4</c:v>
                </c:pt>
                <c:pt idx="1212">
                  <c:v>1.5271754199046081E-4</c:v>
                </c:pt>
                <c:pt idx="1213">
                  <c:v>1.3615714864653579E-4</c:v>
                </c:pt>
                <c:pt idx="1214">
                  <c:v>1.3152310276058485E-4</c:v>
                </c:pt>
                <c:pt idx="1215">
                  <c:v>1.236318812916136E-4</c:v>
                </c:pt>
                <c:pt idx="1216">
                  <c:v>1.0450292830447159E-4</c:v>
                </c:pt>
                <c:pt idx="1217">
                  <c:v>2.7352133672963871E-3</c:v>
                </c:pt>
                <c:pt idx="1218">
                  <c:v>1.7656518107330411E-3</c:v>
                </c:pt>
                <c:pt idx="1219">
                  <c:v>1.0154006580397994E-3</c:v>
                </c:pt>
                <c:pt idx="1220">
                  <c:v>8.2442823461444516E-4</c:v>
                </c:pt>
                <c:pt idx="1221">
                  <c:v>4.3920209560183361E-4</c:v>
                </c:pt>
                <c:pt idx="1222">
                  <c:v>9.3388863725316917E-5</c:v>
                </c:pt>
                <c:pt idx="1223">
                  <c:v>3.7427963519458799E-4</c:v>
                </c:pt>
                <c:pt idx="1224">
                  <c:v>3.4443346466425336E-4</c:v>
                </c:pt>
                <c:pt idx="1225">
                  <c:v>3.2777222277623826E-4</c:v>
                </c:pt>
                <c:pt idx="1226">
                  <c:v>8.289589205814716E-6</c:v>
                </c:pt>
                <c:pt idx="1227">
                  <c:v>2.8224886235056267E-4</c:v>
                </c:pt>
                <c:pt idx="1228">
                  <c:v>3.7733709787491529E-6</c:v>
                </c:pt>
                <c:pt idx="1229">
                  <c:v>3.691602766032009E-6</c:v>
                </c:pt>
                <c:pt idx="1230">
                  <c:v>4.8446155743691555E-7</c:v>
                </c:pt>
                <c:pt idx="1231">
                  <c:v>4.1482762289036379E-6</c:v>
                </c:pt>
                <c:pt idx="1232">
                  <c:v>1.2343621290386819E-4</c:v>
                </c:pt>
                <c:pt idx="1233">
                  <c:v>1.1876678240415642E-4</c:v>
                </c:pt>
                <c:pt idx="1234">
                  <c:v>1.0661751981038825E-4</c:v>
                </c:pt>
                <c:pt idx="1235">
                  <c:v>1.0327142589905944E-4</c:v>
                </c:pt>
                <c:pt idx="1236">
                  <c:v>8.8018739936843158E-5</c:v>
                </c:pt>
                <c:pt idx="1237">
                  <c:v>8.455074017992501E-5</c:v>
                </c:pt>
                <c:pt idx="1238">
                  <c:v>8.6994270033651582E-5</c:v>
                </c:pt>
                <c:pt idx="1239">
                  <c:v>6.5790699454621994E-5</c:v>
                </c:pt>
                <c:pt idx="1240">
                  <c:v>5.4575869918286181E-5</c:v>
                </c:pt>
                <c:pt idx="1241">
                  <c:v>4.0737915334357605E-5</c:v>
                </c:pt>
                <c:pt idx="1242">
                  <c:v>3.8838019663438056E-5</c:v>
                </c:pt>
                <c:pt idx="1243">
                  <c:v>3.3659758804546186E-5</c:v>
                </c:pt>
                <c:pt idx="1244">
                  <c:v>5.2118462587620693E-4</c:v>
                </c:pt>
                <c:pt idx="1245">
                  <c:v>6.643351284593914E-4</c:v>
                </c:pt>
                <c:pt idx="1246">
                  <c:v>5.0091835604119906E-4</c:v>
                </c:pt>
                <c:pt idx="1247">
                  <c:v>3.9414925483961371E-4</c:v>
                </c:pt>
                <c:pt idx="1248">
                  <c:v>1.3064431734237627E-4</c:v>
                </c:pt>
                <c:pt idx="1249">
                  <c:v>1.37233594311632E-4</c:v>
                </c:pt>
                <c:pt idx="1250">
                  <c:v>1.4564007941946308E-4</c:v>
                </c:pt>
                <c:pt idx="1251">
                  <c:v>1.3564216921108216E-4</c:v>
                </c:pt>
                <c:pt idx="1252">
                  <c:v>1.4474210911609981E-4</c:v>
                </c:pt>
                <c:pt idx="1253">
                  <c:v>1.7873035658711898E-4</c:v>
                </c:pt>
                <c:pt idx="1254">
                  <c:v>1.842249315635974E-4</c:v>
                </c:pt>
                <c:pt idx="1255">
                  <c:v>2.5949375923081611E-3</c:v>
                </c:pt>
                <c:pt idx="1256">
                  <c:v>2.5172366963697334E-4</c:v>
                </c:pt>
                <c:pt idx="1257">
                  <c:v>1.8931087722010232E-4</c:v>
                </c:pt>
                <c:pt idx="1258">
                  <c:v>1.6148687950977113E-4</c:v>
                </c:pt>
                <c:pt idx="1259">
                  <c:v>1.2604644183781256E-4</c:v>
                </c:pt>
                <c:pt idx="1260">
                  <c:v>1.8202686588289305E-3</c:v>
                </c:pt>
                <c:pt idx="1261">
                  <c:v>2.105586258045656E-3</c:v>
                </c:pt>
                <c:pt idx="1262">
                  <c:v>8.0793959046586931E-6</c:v>
                </c:pt>
                <c:pt idx="1263">
                  <c:v>1.4992885224055987E-5</c:v>
                </c:pt>
                <c:pt idx="1264">
                  <c:v>2.8255236513427461E-5</c:v>
                </c:pt>
                <c:pt idx="1265">
                  <c:v>3.2418596575843708E-3</c:v>
                </c:pt>
                <c:pt idx="1266">
                  <c:v>8.5086277932506347E-5</c:v>
                </c:pt>
                <c:pt idx="1267">
                  <c:v>2.6261381281563899E-4</c:v>
                </c:pt>
                <c:pt idx="1268">
                  <c:v>1.8671018749615649E-4</c:v>
                </c:pt>
                <c:pt idx="1269">
                  <c:v>2.9766534089377552E-4</c:v>
                </c:pt>
                <c:pt idx="1270">
                  <c:v>6.8139860186039363E-3</c:v>
                </c:pt>
                <c:pt idx="1271">
                  <c:v>7.1901995878384311E-4</c:v>
                </c:pt>
                <c:pt idx="1272">
                  <c:v>8.0341111926487581E-3</c:v>
                </c:pt>
                <c:pt idx="1273">
                  <c:v>6.5679631161057466E-7</c:v>
                </c:pt>
                <c:pt idx="1274">
                  <c:v>5.3991880272645465E-5</c:v>
                </c:pt>
                <c:pt idx="1275">
                  <c:v>5.1083985680664387E-5</c:v>
                </c:pt>
                <c:pt idx="1276">
                  <c:v>4.4002597828888251E-5</c:v>
                </c:pt>
                <c:pt idx="1277">
                  <c:v>4.1577462559100349E-5</c:v>
                </c:pt>
                <c:pt idx="1278">
                  <c:v>3.5533189097571931E-5</c:v>
                </c:pt>
                <c:pt idx="1279">
                  <c:v>3.6722804950356383E-4</c:v>
                </c:pt>
                <c:pt idx="1280">
                  <c:v>3.5284400243266728E-5</c:v>
                </c:pt>
                <c:pt idx="1281">
                  <c:v>3.0131203026153987E-5</c:v>
                </c:pt>
                <c:pt idx="1282">
                  <c:v>2.9788934256554281E-5</c:v>
                </c:pt>
                <c:pt idx="1283">
                  <c:v>5.2113372650590623E-4</c:v>
                </c:pt>
                <c:pt idx="1284">
                  <c:v>2.4897643213356301E-5</c:v>
                </c:pt>
                <c:pt idx="1285">
                  <c:v>7.3388333564617606E-4</c:v>
                </c:pt>
                <c:pt idx="1286">
                  <c:v>3.7828719279891761E-4</c:v>
                </c:pt>
                <c:pt idx="1287">
                  <c:v>2.8252245222501671E-4</c:v>
                </c:pt>
                <c:pt idx="1288">
                  <c:v>4.1948805016684727E-4</c:v>
                </c:pt>
                <c:pt idx="1289">
                  <c:v>6.1740438459070294E-6</c:v>
                </c:pt>
                <c:pt idx="1290">
                  <c:v>8.4976855201395842E-6</c:v>
                </c:pt>
                <c:pt idx="1291">
                  <c:v>1.0316392473571728E-5</c:v>
                </c:pt>
                <c:pt idx="1292">
                  <c:v>1.244323892110184E-5</c:v>
                </c:pt>
                <c:pt idx="1293">
                  <c:v>1.8811975226068246E-3</c:v>
                </c:pt>
                <c:pt idx="1294">
                  <c:v>2.138622074518618E-3</c:v>
                </c:pt>
                <c:pt idx="1295">
                  <c:v>2.2444834162551269E-5</c:v>
                </c:pt>
                <c:pt idx="1296">
                  <c:v>2.8774507778944556E-5</c:v>
                </c:pt>
                <c:pt idx="1297">
                  <c:v>2.5562727882427281E-3</c:v>
                </c:pt>
                <c:pt idx="1298">
                  <c:v>5.0633861801056978E-5</c:v>
                </c:pt>
                <c:pt idx="1299">
                  <c:v>7.0228186097997993E-5</c:v>
                </c:pt>
                <c:pt idx="1300">
                  <c:v>8.9808081569082982E-5</c:v>
                </c:pt>
                <c:pt idx="1301">
                  <c:v>2.3985882603770066E-5</c:v>
                </c:pt>
                <c:pt idx="1302">
                  <c:v>3.0319702752244119E-5</c:v>
                </c:pt>
                <c:pt idx="1303">
                  <c:v>3.0324342752029256E-3</c:v>
                </c:pt>
                <c:pt idx="1304">
                  <c:v>2.3127335758040481E-3</c:v>
                </c:pt>
                <c:pt idx="1305">
                  <c:v>7.0222142384362838E-5</c:v>
                </c:pt>
                <c:pt idx="1306">
                  <c:v>9.8042297574286698E-5</c:v>
                </c:pt>
                <c:pt idx="1307">
                  <c:v>1.2791229229101609E-4</c:v>
                </c:pt>
                <c:pt idx="1308">
                  <c:v>3.7495374249380919E-3</c:v>
                </c:pt>
                <c:pt idx="1309">
                  <c:v>2.1734219566104331E-4</c:v>
                </c:pt>
                <c:pt idx="1310">
                  <c:v>4.5912995946056019E-6</c:v>
                </c:pt>
                <c:pt idx="1311">
                  <c:v>3.5324254857690626E-4</c:v>
                </c:pt>
                <c:pt idx="1312">
                  <c:v>1.3091624577197712E-4</c:v>
                </c:pt>
                <c:pt idx="1313">
                  <c:v>1.2162783051076439E-4</c:v>
                </c:pt>
                <c:pt idx="1314">
                  <c:v>1.0656709499570748E-4</c:v>
                </c:pt>
                <c:pt idx="1315">
                  <c:v>9.147243908796108E-5</c:v>
                </c:pt>
                <c:pt idx="1316">
                  <c:v>8.2834176335952106E-5</c:v>
                </c:pt>
                <c:pt idx="1317">
                  <c:v>7.3936479834943729E-5</c:v>
                </c:pt>
                <c:pt idx="1318">
                  <c:v>7.1120640377737596E-5</c:v>
                </c:pt>
                <c:pt idx="1319">
                  <c:v>6.1685723748588827E-5</c:v>
                </c:pt>
                <c:pt idx="1320">
                  <c:v>5.4789204946377814E-5</c:v>
                </c:pt>
                <c:pt idx="1321">
                  <c:v>3.5149961737576924E-5</c:v>
                </c:pt>
                <c:pt idx="1322">
                  <c:v>3.3621390869142766E-5</c:v>
                </c:pt>
                <c:pt idx="1323">
                  <c:v>2.6936350856915045E-4</c:v>
                </c:pt>
                <c:pt idx="1324">
                  <c:v>1.1096661394445083E-4</c:v>
                </c:pt>
                <c:pt idx="1325">
                  <c:v>1.0522987424328721E-4</c:v>
                </c:pt>
                <c:pt idx="1326">
                  <c:v>1.0828836981903659E-4</c:v>
                </c:pt>
                <c:pt idx="1327">
                  <c:v>3.5127020322190739E-4</c:v>
                </c:pt>
                <c:pt idx="1328">
                  <c:v>1.0596375637963949E-4</c:v>
                </c:pt>
                <c:pt idx="1329">
                  <c:v>1.0627982727311136E-4</c:v>
                </c:pt>
                <c:pt idx="1330">
                  <c:v>1.093738072880348E-4</c:v>
                </c:pt>
                <c:pt idx="1331">
                  <c:v>1.093738072880348E-4</c:v>
                </c:pt>
                <c:pt idx="1332">
                  <c:v>1.093738072880348E-4</c:v>
                </c:pt>
                <c:pt idx="1333">
                  <c:v>1.0664870343453721E-4</c:v>
                </c:pt>
                <c:pt idx="1334">
                  <c:v>1.0358093892440821E-4</c:v>
                </c:pt>
                <c:pt idx="1335">
                  <c:v>1.0664870343453721E-4</c:v>
                </c:pt>
                <c:pt idx="1336">
                  <c:v>1.0396442808594878E-4</c:v>
                </c:pt>
                <c:pt idx="1337">
                  <c:v>9.5728751488759949E-5</c:v>
                </c:pt>
                <c:pt idx="1338">
                  <c:v>2.2627955164594947E-3</c:v>
                </c:pt>
                <c:pt idx="1339">
                  <c:v>6.795646351335052E-3</c:v>
                </c:pt>
                <c:pt idx="1340">
                  <c:v>2.1525587558530075E-3</c:v>
                </c:pt>
                <c:pt idx="1341">
                  <c:v>2.5291764866122975E-3</c:v>
                </c:pt>
                <c:pt idx="1342">
                  <c:v>2.9660385261355364E-3</c:v>
                </c:pt>
                <c:pt idx="1343">
                  <c:v>3.558149016747684E-3</c:v>
                </c:pt>
                <c:pt idx="1344">
                  <c:v>4.162389637028743E-3</c:v>
                </c:pt>
                <c:pt idx="1345">
                  <c:v>1.3795827358938259E-2</c:v>
                </c:pt>
                <c:pt idx="1346">
                  <c:v>4.0389001532293788E-7</c:v>
                </c:pt>
                <c:pt idx="1347">
                  <c:v>2.4691567134865561E-7</c:v>
                </c:pt>
                <c:pt idx="1348">
                  <c:v>2.4403870521101657E-7</c:v>
                </c:pt>
                <c:pt idx="1349">
                  <c:v>4.4176148348408446E-8</c:v>
                </c:pt>
                <c:pt idx="1350">
                  <c:v>5.6034135654757486E-9</c:v>
                </c:pt>
                <c:pt idx="1351">
                  <c:v>6.8880184396652802E-9</c:v>
                </c:pt>
                <c:pt idx="1352">
                  <c:v>5.1470067638574746E-8</c:v>
                </c:pt>
                <c:pt idx="1353">
                  <c:v>2.0987562963541801E-3</c:v>
                </c:pt>
                <c:pt idx="1354">
                  <c:v>2.0987562963541801E-3</c:v>
                </c:pt>
                <c:pt idx="1355">
                  <c:v>1.4651592520087025E-3</c:v>
                </c:pt>
                <c:pt idx="1356">
                  <c:v>1.4248406689358866E-3</c:v>
                </c:pt>
                <c:pt idx="1357">
                  <c:v>3.3549530951167956E-7</c:v>
                </c:pt>
                <c:pt idx="1358">
                  <c:v>1.8366170231144852E-3</c:v>
                </c:pt>
                <c:pt idx="1359">
                  <c:v>3.9011880544538931E-7</c:v>
                </c:pt>
                <c:pt idx="1360">
                  <c:v>4.3298453664559532E-7</c:v>
                </c:pt>
                <c:pt idx="1361">
                  <c:v>5.4083483523859817E-5</c:v>
                </c:pt>
                <c:pt idx="1362">
                  <c:v>2.6445743537516567E-3</c:v>
                </c:pt>
                <c:pt idx="1363">
                  <c:v>3.8258094479129774E-3</c:v>
                </c:pt>
                <c:pt idx="1364">
                  <c:v>1.0448587715084333E-4</c:v>
                </c:pt>
                <c:pt idx="1365">
                  <c:v>9.399761845446318E-5</c:v>
                </c:pt>
                <c:pt idx="1366">
                  <c:v>5.1260720614139873E-5</c:v>
                </c:pt>
                <c:pt idx="1367">
                  <c:v>5.7112225344139648E-5</c:v>
                </c:pt>
                <c:pt idx="1368">
                  <c:v>4.3907193100342755E-5</c:v>
                </c:pt>
                <c:pt idx="1369">
                  <c:v>4.5635059985663978E-5</c:v>
                </c:pt>
                <c:pt idx="1370">
                  <c:v>3.5929548563137224E-5</c:v>
                </c:pt>
                <c:pt idx="1371">
                  <c:v>2.310110899542181E-5</c:v>
                </c:pt>
                <c:pt idx="1372">
                  <c:v>5.9327502410267751E-6</c:v>
                </c:pt>
                <c:pt idx="1373">
                  <c:v>1.8869713090750044E-7</c:v>
                </c:pt>
                <c:pt idx="1374">
                  <c:v>8.0757102582477539E-6</c:v>
                </c:pt>
                <c:pt idx="1375">
                  <c:v>1.7432270915568494E-5</c:v>
                </c:pt>
                <c:pt idx="1376">
                  <c:v>8.4971602544521585E-4</c:v>
                </c:pt>
                <c:pt idx="1377">
                  <c:v>5.3957402212721566E-4</c:v>
                </c:pt>
                <c:pt idx="1378">
                  <c:v>7.3709139322758368E-4</c:v>
                </c:pt>
                <c:pt idx="1379">
                  <c:v>7.6496860043977894E-4</c:v>
                </c:pt>
                <c:pt idx="1380">
                  <c:v>7.2920683259470134E-4</c:v>
                </c:pt>
                <c:pt idx="1381">
                  <c:v>6.7960632856523939E-4</c:v>
                </c:pt>
                <c:pt idx="1382">
                  <c:v>3.3744537861205947E-4</c:v>
                </c:pt>
                <c:pt idx="1383">
                  <c:v>2.7537720327814657E-3</c:v>
                </c:pt>
                <c:pt idx="1384">
                  <c:v>2.3961735066293753E-3</c:v>
                </c:pt>
                <c:pt idx="1385">
                  <c:v>6.1433348381265227E-4</c:v>
                </c:pt>
                <c:pt idx="1386">
                  <c:v>6.2177856434775713E-4</c:v>
                </c:pt>
                <c:pt idx="1387">
                  <c:v>3.9373430456999533E-4</c:v>
                </c:pt>
                <c:pt idx="1388">
                  <c:v>4.0720561507871843E-4</c:v>
                </c:pt>
                <c:pt idx="1389">
                  <c:v>3.9738947301545834E-4</c:v>
                </c:pt>
                <c:pt idx="1390">
                  <c:v>3.6549455379266256E-4</c:v>
                </c:pt>
                <c:pt idx="1391">
                  <c:v>1.3333915637232181E-4</c:v>
                </c:pt>
                <c:pt idx="1392">
                  <c:v>1.29603954311577E-4</c:v>
                </c:pt>
                <c:pt idx="1393">
                  <c:v>1.2594714320818734E-4</c:v>
                </c:pt>
                <c:pt idx="1394">
                  <c:v>1.2051203347288138E-4</c:v>
                </c:pt>
                <c:pt idx="1395">
                  <c:v>1.1261022883037004E-4</c:v>
                </c:pt>
                <c:pt idx="1396">
                  <c:v>8.1730262233395417E-5</c:v>
                </c:pt>
                <c:pt idx="1397">
                  <c:v>7.8569003069490354E-5</c:v>
                </c:pt>
                <c:pt idx="1398">
                  <c:v>8.7067677287532371E-5</c:v>
                </c:pt>
                <c:pt idx="1399">
                  <c:v>9.0013171640104372E-5</c:v>
                </c:pt>
                <c:pt idx="1400">
                  <c:v>9.5123635431837577E-5</c:v>
                </c:pt>
                <c:pt idx="1401">
                  <c:v>1.2077261721451789E-5</c:v>
                </c:pt>
                <c:pt idx="1402">
                  <c:v>9.7934036378019305E-5</c:v>
                </c:pt>
                <c:pt idx="1403">
                  <c:v>5.1854026309603654E-5</c:v>
                </c:pt>
                <c:pt idx="1404">
                  <c:v>4.603444933849763E-5</c:v>
                </c:pt>
                <c:pt idx="1405">
                  <c:v>4.7912612761888212E-5</c:v>
                </c:pt>
                <c:pt idx="1406">
                  <c:v>4.601088139359985E-4</c:v>
                </c:pt>
                <c:pt idx="1407">
                  <c:v>2.514242733082598E-4</c:v>
                </c:pt>
                <c:pt idx="1408">
                  <c:v>3.4736086554080486E-5</c:v>
                </c:pt>
                <c:pt idx="1409">
                  <c:v>2.8342096115550059E-5</c:v>
                </c:pt>
                <c:pt idx="1410">
                  <c:v>9.009638193260256E-4</c:v>
                </c:pt>
                <c:pt idx="1411">
                  <c:v>1.8865193376932299E-5</c:v>
                </c:pt>
                <c:pt idx="1412">
                  <c:v>9.9687529441403865E-4</c:v>
                </c:pt>
                <c:pt idx="1413">
                  <c:v>3.9173443009684347E-6</c:v>
                </c:pt>
                <c:pt idx="1414">
                  <c:v>1.2464865721050148E-5</c:v>
                </c:pt>
                <c:pt idx="1415">
                  <c:v>2.2620234704146506E-5</c:v>
                </c:pt>
                <c:pt idx="1416">
                  <c:v>4.3649111500208658E-5</c:v>
                </c:pt>
                <c:pt idx="1417">
                  <c:v>9.2279830414906667E-5</c:v>
                </c:pt>
                <c:pt idx="1418">
                  <c:v>7.8150723433880673E-3</c:v>
                </c:pt>
                <c:pt idx="1419">
                  <c:v>3.9452216612514068E-4</c:v>
                </c:pt>
                <c:pt idx="1420">
                  <c:v>9.1443659212870395E-3</c:v>
                </c:pt>
                <c:pt idx="1421">
                  <c:v>3.3846687636525911E-4</c:v>
                </c:pt>
                <c:pt idx="1422">
                  <c:v>1.0726033795418428E-2</c:v>
                </c:pt>
                <c:pt idx="1423">
                  <c:v>1.0308397309334737E-2</c:v>
                </c:pt>
                <c:pt idx="1424">
                  <c:v>2.0475385640835075E-2</c:v>
                </c:pt>
                <c:pt idx="1425">
                  <c:v>4.8325112442620884E-4</c:v>
                </c:pt>
                <c:pt idx="1426">
                  <c:v>5.4176469014196997E-4</c:v>
                </c:pt>
                <c:pt idx="1427">
                  <c:v>5.7495492334739878E-4</c:v>
                </c:pt>
                <c:pt idx="1428">
                  <c:v>7.6972520325827216E-4</c:v>
                </c:pt>
                <c:pt idx="1429">
                  <c:v>7.0101046839975254E-4</c:v>
                </c:pt>
                <c:pt idx="1430">
                  <c:v>6.6214251701514587E-4</c:v>
                </c:pt>
                <c:pt idx="1431">
                  <c:v>6.6631283691541421E-4</c:v>
                </c:pt>
                <c:pt idx="1432">
                  <c:v>4.160632263989256E-5</c:v>
                </c:pt>
                <c:pt idx="1433">
                  <c:v>4.1124768568736175E-5</c:v>
                </c:pt>
                <c:pt idx="1434">
                  <c:v>4.0220614857247186E-5</c:v>
                </c:pt>
                <c:pt idx="1435">
                  <c:v>3.5835131336495517E-5</c:v>
                </c:pt>
                <c:pt idx="1436">
                  <c:v>3.3621390869142766E-5</c:v>
                </c:pt>
                <c:pt idx="1437">
                  <c:v>2.865486840089911E-5</c:v>
                </c:pt>
                <c:pt idx="1438">
                  <c:v>2.5655908492028681E-5</c:v>
                </c:pt>
                <c:pt idx="1439">
                  <c:v>2.410484807899468E-5</c:v>
                </c:pt>
                <c:pt idx="1440">
                  <c:v>6.0448152080763704E-10</c:v>
                </c:pt>
                <c:pt idx="1441">
                  <c:v>5.2223889493814427E-7</c:v>
                </c:pt>
                <c:pt idx="1442">
                  <c:v>3.9089121122750103E-6</c:v>
                </c:pt>
                <c:pt idx="1443">
                  <c:v>1.3320586398995501E-5</c:v>
                </c:pt>
                <c:pt idx="1444">
                  <c:v>2.6938399977312981E-5</c:v>
                </c:pt>
                <c:pt idx="1445">
                  <c:v>4.1648399247157082E-5</c:v>
                </c:pt>
                <c:pt idx="1446">
                  <c:v>4.560353382098733E-5</c:v>
                </c:pt>
                <c:pt idx="1447">
                  <c:v>5.1735889652513678E-5</c:v>
                </c:pt>
                <c:pt idx="1448">
                  <c:v>5.6089121203767012E-5</c:v>
                </c:pt>
                <c:pt idx="1449">
                  <c:v>5.1680541516601993E-5</c:v>
                </c:pt>
                <c:pt idx="1450">
                  <c:v>6.8578192716423691E-5</c:v>
                </c:pt>
                <c:pt idx="1451">
                  <c:v>9.1775842374380856E-5</c:v>
                </c:pt>
                <c:pt idx="1452">
                  <c:v>1.1494506491045072E-4</c:v>
                </c:pt>
                <c:pt idx="1453">
                  <c:v>1.5924932582233648E-4</c:v>
                </c:pt>
                <c:pt idx="1454">
                  <c:v>1.5537372105137217E-4</c:v>
                </c:pt>
                <c:pt idx="1455">
                  <c:v>1.4475508876118728E-4</c:v>
                </c:pt>
                <c:pt idx="1456">
                  <c:v>1.3454714904214597E-4</c:v>
                </c:pt>
                <c:pt idx="1457">
                  <c:v>1.3060830827850412E-4</c:v>
                </c:pt>
                <c:pt idx="1458">
                  <c:v>1.8565213594478716E-4</c:v>
                </c:pt>
                <c:pt idx="1459">
                  <c:v>1.1750163671012774E-4</c:v>
                </c:pt>
                <c:pt idx="1460">
                  <c:v>1.1417333468306702E-4</c:v>
                </c:pt>
                <c:pt idx="1461">
                  <c:v>1.0523969029172269E-4</c:v>
                </c:pt>
                <c:pt idx="1462">
                  <c:v>1.0256127158431635E-4</c:v>
                </c:pt>
                <c:pt idx="1463">
                  <c:v>8.7824415782211494E-5</c:v>
                </c:pt>
                <c:pt idx="1464">
                  <c:v>9.3190222366273704E-5</c:v>
                </c:pt>
                <c:pt idx="1465">
                  <c:v>8.5801058811011861E-5</c:v>
                </c:pt>
                <c:pt idx="1466">
                  <c:v>8.1057052387991196E-5</c:v>
                </c:pt>
                <c:pt idx="1467">
                  <c:v>7.6022658035449601E-5</c:v>
                </c:pt>
                <c:pt idx="1468">
                  <c:v>2.988793545980464E-5</c:v>
                </c:pt>
                <c:pt idx="1469">
                  <c:v>3.4566172799524975E-5</c:v>
                </c:pt>
                <c:pt idx="1470">
                  <c:v>4.3231215001998992E-5</c:v>
                </c:pt>
                <c:pt idx="1471">
                  <c:v>4.693187730717967E-5</c:v>
                </c:pt>
                <c:pt idx="1472">
                  <c:v>5.4849063825945976E-5</c:v>
                </c:pt>
                <c:pt idx="1473">
                  <c:v>6.340116337579786E-5</c:v>
                </c:pt>
                <c:pt idx="1474">
                  <c:v>7.501552710484126E-5</c:v>
                </c:pt>
                <c:pt idx="1475">
                  <c:v>2.138915630811551E-4</c:v>
                </c:pt>
                <c:pt idx="1476">
                  <c:v>2.4070892156043613E-4</c:v>
                </c:pt>
                <c:pt idx="1477">
                  <c:v>2.7442853235326537E-4</c:v>
                </c:pt>
                <c:pt idx="1478">
                  <c:v>5.1702324271816688E-3</c:v>
                </c:pt>
                <c:pt idx="1479">
                  <c:v>3.5707929300268077E-4</c:v>
                </c:pt>
                <c:pt idx="1480">
                  <c:v>4.0594095116790635E-4</c:v>
                </c:pt>
                <c:pt idx="1481">
                  <c:v>4.5276652834890722E-4</c:v>
                </c:pt>
                <c:pt idx="1482">
                  <c:v>4.6135535539934737E-5</c:v>
                </c:pt>
                <c:pt idx="1483">
                  <c:v>4.5728167386610344E-5</c:v>
                </c:pt>
                <c:pt idx="1484">
                  <c:v>3.9923271680119242E-5</c:v>
                </c:pt>
                <c:pt idx="1485">
                  <c:v>3.1335792411302298E-4</c:v>
                </c:pt>
                <c:pt idx="1486">
                  <c:v>3.9282560259191878E-5</c:v>
                </c:pt>
                <c:pt idx="1487">
                  <c:v>3.686014879731658E-5</c:v>
                </c:pt>
                <c:pt idx="1488">
                  <c:v>3.7110356835572553E-5</c:v>
                </c:pt>
                <c:pt idx="1489">
                  <c:v>3.5284400243266728E-5</c:v>
                </c:pt>
                <c:pt idx="1490">
                  <c:v>3.505360823914366E-5</c:v>
                </c:pt>
                <c:pt idx="1491">
                  <c:v>4.0221988590564148E-4</c:v>
                </c:pt>
                <c:pt idx="1492">
                  <c:v>3.3105360347898455E-5</c:v>
                </c:pt>
                <c:pt idx="1493">
                  <c:v>2.9788934256554281E-5</c:v>
                </c:pt>
                <c:pt idx="1494">
                  <c:v>2.9640831879977969E-5</c:v>
                </c:pt>
                <c:pt idx="1495">
                  <c:v>2.950799916634447E-5</c:v>
                </c:pt>
                <c:pt idx="1496">
                  <c:v>2.5078070593455689E-5</c:v>
                </c:pt>
                <c:pt idx="1497">
                  <c:v>2.900039878235311E-5</c:v>
                </c:pt>
                <c:pt idx="1498">
                  <c:v>2.7512648125071492E-5</c:v>
                </c:pt>
                <c:pt idx="1499">
                  <c:v>6.2600937274668483E-4</c:v>
                </c:pt>
                <c:pt idx="1500">
                  <c:v>3.897214756586353E-4</c:v>
                </c:pt>
                <c:pt idx="1501">
                  <c:v>2.1328297922855238E-4</c:v>
                </c:pt>
                <c:pt idx="1502">
                  <c:v>4.6228543795892985E-5</c:v>
                </c:pt>
                <c:pt idx="1503">
                  <c:v>1.6012851824964293E-5</c:v>
                </c:pt>
                <c:pt idx="1504">
                  <c:v>1.3878081498339618E-5</c:v>
                </c:pt>
                <c:pt idx="1505">
                  <c:v>1.2866889000094848E-5</c:v>
                </c:pt>
                <c:pt idx="1506">
                  <c:v>1.1893019393594543E-5</c:v>
                </c:pt>
                <c:pt idx="1507">
                  <c:v>9.8895411360641551E-4</c:v>
                </c:pt>
                <c:pt idx="1508">
                  <c:v>1.0057014875109694E-5</c:v>
                </c:pt>
                <c:pt idx="1509">
                  <c:v>9.1948390883668652E-6</c:v>
                </c:pt>
                <c:pt idx="1510">
                  <c:v>7.2022707710132111E-5</c:v>
                </c:pt>
                <c:pt idx="1511">
                  <c:v>8.3204545620027212E-5</c:v>
                </c:pt>
                <c:pt idx="1512">
                  <c:v>8.3204545620027212E-5</c:v>
                </c:pt>
                <c:pt idx="1513">
                  <c:v>9.1490618304788533E-5</c:v>
                </c:pt>
                <c:pt idx="1514">
                  <c:v>9.6473503175739393E-5</c:v>
                </c:pt>
                <c:pt idx="1515">
                  <c:v>1.0541643004820363E-4</c:v>
                </c:pt>
                <c:pt idx="1516">
                  <c:v>1.0541643004820363E-4</c:v>
                </c:pt>
                <c:pt idx="1517">
                  <c:v>1.1475568777930032E-4</c:v>
                </c:pt>
                <c:pt idx="1518">
                  <c:v>1.3462319581738436E-4</c:v>
                </c:pt>
                <c:pt idx="1519">
                  <c:v>1.4304123020108329E-4</c:v>
                </c:pt>
                <c:pt idx="1520">
                  <c:v>1.5815883888170633E-4</c:v>
                </c:pt>
                <c:pt idx="1521">
                  <c:v>1.7840113654726418E-4</c:v>
                </c:pt>
                <c:pt idx="1522">
                  <c:v>1.8744098020732802E-4</c:v>
                </c:pt>
                <c:pt idx="1523">
                  <c:v>2.9691841295483159E-4</c:v>
                </c:pt>
                <c:pt idx="1524">
                  <c:v>6.3361770600939205E-6</c:v>
                </c:pt>
                <c:pt idx="1525">
                  <c:v>3.0243504305740683E-5</c:v>
                </c:pt>
                <c:pt idx="1526">
                  <c:v>4.0048155350692054E-5</c:v>
                </c:pt>
                <c:pt idx="1527">
                  <c:v>6.9091976195755531E-5</c:v>
                </c:pt>
                <c:pt idx="1528">
                  <c:v>5.8563941271683801E-5</c:v>
                </c:pt>
                <c:pt idx="1529">
                  <c:v>4.9024648438452059E-5</c:v>
                </c:pt>
                <c:pt idx="1530">
                  <c:v>4.0436924244124055E-5</c:v>
                </c:pt>
                <c:pt idx="1531">
                  <c:v>3.0893654031470546E-5</c:v>
                </c:pt>
                <c:pt idx="1532">
                  <c:v>2.5672402727538415E-5</c:v>
                </c:pt>
                <c:pt idx="1533">
                  <c:v>1.72806492883862E-5</c:v>
                </c:pt>
                <c:pt idx="1534">
                  <c:v>1.151193417207247E-5</c:v>
                </c:pt>
                <c:pt idx="1535">
                  <c:v>6.9722970844129499E-6</c:v>
                </c:pt>
                <c:pt idx="1536">
                  <c:v>3.6051669110556341E-6</c:v>
                </c:pt>
                <c:pt idx="1537">
                  <c:v>1.3607555797790612E-6</c:v>
                </c:pt>
                <c:pt idx="1538">
                  <c:v>2.3272235741155024E-5</c:v>
                </c:pt>
                <c:pt idx="1539">
                  <c:v>9.6109042586188872E-5</c:v>
                </c:pt>
                <c:pt idx="1540">
                  <c:v>7.164591087286156E-6</c:v>
                </c:pt>
                <c:pt idx="1541">
                  <c:v>8.6503377660219356E-6</c:v>
                </c:pt>
                <c:pt idx="1542">
                  <c:v>2.1816076704109376E-3</c:v>
                </c:pt>
                <c:pt idx="1543">
                  <c:v>1.4985610476193697E-5</c:v>
                </c:pt>
                <c:pt idx="1544">
                  <c:v>1.6758698458743311E-5</c:v>
                </c:pt>
                <c:pt idx="1545">
                  <c:v>1.716895588502383E-5</c:v>
                </c:pt>
                <c:pt idx="1546">
                  <c:v>2.2635085347544667E-5</c:v>
                </c:pt>
                <c:pt idx="1547">
                  <c:v>2.6942993686389188E-5</c:v>
                </c:pt>
                <c:pt idx="1548">
                  <c:v>3.5117201169204981E-5</c:v>
                </c:pt>
                <c:pt idx="1549">
                  <c:v>4.6537466730819607E-5</c:v>
                </c:pt>
                <c:pt idx="1550">
                  <c:v>5.6550757103066999E-5</c:v>
                </c:pt>
                <c:pt idx="1551">
                  <c:v>7.6281836261988948E-5</c:v>
                </c:pt>
                <c:pt idx="1552">
                  <c:v>8.6361736041394834E-5</c:v>
                </c:pt>
                <c:pt idx="1553">
                  <c:v>3.2628654546918482E-3</c:v>
                </c:pt>
                <c:pt idx="1554">
                  <c:v>5.86873334517477E-4</c:v>
                </c:pt>
                <c:pt idx="1555">
                  <c:v>1.7162111717405417E-5</c:v>
                </c:pt>
                <c:pt idx="1556">
                  <c:v>3.3099797692008641E-5</c:v>
                </c:pt>
                <c:pt idx="1557">
                  <c:v>4.7678469192921027E-5</c:v>
                </c:pt>
                <c:pt idx="1558">
                  <c:v>6.2670641979062393E-5</c:v>
                </c:pt>
                <c:pt idx="1559">
                  <c:v>5.8501434337062041E-3</c:v>
                </c:pt>
                <c:pt idx="1560">
                  <c:v>6.3458038937855444E-3</c:v>
                </c:pt>
                <c:pt idx="1561">
                  <c:v>6.730774424352712E-3</c:v>
                </c:pt>
                <c:pt idx="1562">
                  <c:v>2.660190378606308E-4</c:v>
                </c:pt>
                <c:pt idx="1563">
                  <c:v>3.2659831251821085E-4</c:v>
                </c:pt>
                <c:pt idx="1564">
                  <c:v>8.2285162570193554E-3</c:v>
                </c:pt>
                <c:pt idx="1565">
                  <c:v>6.3688530516127126E-4</c:v>
                </c:pt>
                <c:pt idx="1566">
                  <c:v>4.287930368697713E-5</c:v>
                </c:pt>
                <c:pt idx="1567">
                  <c:v>8.2018381770218777E-5</c:v>
                </c:pt>
                <c:pt idx="1568">
                  <c:v>7.2057209806200279E-6</c:v>
                </c:pt>
                <c:pt idx="1569">
                  <c:v>3.608030884272942E-5</c:v>
                </c:pt>
                <c:pt idx="1570">
                  <c:v>6.1338080328016714E-5</c:v>
                </c:pt>
                <c:pt idx="1571">
                  <c:v>8.6854557996270574E-5</c:v>
                </c:pt>
                <c:pt idx="1572">
                  <c:v>1.6740189675711336E-4</c:v>
                </c:pt>
                <c:pt idx="1573">
                  <c:v>1.7251029050432726E-4</c:v>
                </c:pt>
                <c:pt idx="1574">
                  <c:v>1.3430969839652951E-4</c:v>
                </c:pt>
                <c:pt idx="1575">
                  <c:v>1.3267269461641334E-4</c:v>
                </c:pt>
                <c:pt idx="1576">
                  <c:v>1.107927314031224E-4</c:v>
                </c:pt>
                <c:pt idx="1577">
                  <c:v>7.9705287069378099E-5</c:v>
                </c:pt>
                <c:pt idx="1578">
                  <c:v>7.9705287069378099E-5</c:v>
                </c:pt>
                <c:pt idx="1579">
                  <c:v>7.5119352238100107E-5</c:v>
                </c:pt>
                <c:pt idx="1580">
                  <c:v>7.7238978758911099E-5</c:v>
                </c:pt>
                <c:pt idx="1581">
                  <c:v>2.233928480411302E-4</c:v>
                </c:pt>
                <c:pt idx="1582">
                  <c:v>2.233928480411302E-4</c:v>
                </c:pt>
                <c:pt idx="1583">
                  <c:v>2.0031677220966313E-4</c:v>
                </c:pt>
                <c:pt idx="1584">
                  <c:v>2.2250065715814129E-4</c:v>
                </c:pt>
                <c:pt idx="1585">
                  <c:v>1.8370460359745414E-4</c:v>
                </c:pt>
                <c:pt idx="1586">
                  <c:v>2.0889246393881119E-4</c:v>
                </c:pt>
                <c:pt idx="1587">
                  <c:v>1.9496738247709434E-4</c:v>
                </c:pt>
                <c:pt idx="1588">
                  <c:v>1.335981681431287E-4</c:v>
                </c:pt>
                <c:pt idx="1589">
                  <c:v>1.7272880518139525E-4</c:v>
                </c:pt>
                <c:pt idx="1590">
                  <c:v>1.5201250279213373E-4</c:v>
                </c:pt>
                <c:pt idx="1591">
                  <c:v>1.2825759775845149E-4</c:v>
                </c:pt>
                <c:pt idx="1592">
                  <c:v>1.2562175952268264E-4</c:v>
                </c:pt>
                <c:pt idx="1593">
                  <c:v>1.335981681431287E-4</c:v>
                </c:pt>
                <c:pt idx="1594">
                  <c:v>1.1772719146180319E-4</c:v>
                </c:pt>
                <c:pt idx="1595">
                  <c:v>1.3227955555706214E-4</c:v>
                </c:pt>
                <c:pt idx="1596">
                  <c:v>3.5954808366702877E-6</c:v>
                </c:pt>
                <c:pt idx="1597">
                  <c:v>3.0829625557568758E-6</c:v>
                </c:pt>
                <c:pt idx="1598">
                  <c:v>5.9975306046404429E-7</c:v>
                </c:pt>
                <c:pt idx="1599">
                  <c:v>4.2013581899986407E-8</c:v>
                </c:pt>
                <c:pt idx="1600">
                  <c:v>5.8568795844472089E-7</c:v>
                </c:pt>
                <c:pt idx="1601">
                  <c:v>2.5785875215018375E-6</c:v>
                </c:pt>
                <c:pt idx="1602">
                  <c:v>3.0606571418849995E-6</c:v>
                </c:pt>
                <c:pt idx="1603">
                  <c:v>4.1205261063066482E-6</c:v>
                </c:pt>
                <c:pt idx="1604">
                  <c:v>6.0269316989448994E-6</c:v>
                </c:pt>
                <c:pt idx="1605">
                  <c:v>5.5162132356058332E-6</c:v>
                </c:pt>
                <c:pt idx="1606">
                  <c:v>4.6921125623666543E-6</c:v>
                </c:pt>
                <c:pt idx="1607">
                  <c:v>1.4800329279329052E-5</c:v>
                </c:pt>
                <c:pt idx="1608">
                  <c:v>1.386944661628329E-5</c:v>
                </c:pt>
                <c:pt idx="1609">
                  <c:v>4.1972829046437868E-6</c:v>
                </c:pt>
                <c:pt idx="1610">
                  <c:v>3.6051669110556341E-6</c:v>
                </c:pt>
                <c:pt idx="1611">
                  <c:v>3.023966730054701E-6</c:v>
                </c:pt>
                <c:pt idx="1612">
                  <c:v>2.5017859658732466E-6</c:v>
                </c:pt>
                <c:pt idx="1613">
                  <c:v>2.446805815928108E-6</c:v>
                </c:pt>
                <c:pt idx="1614">
                  <c:v>4.7592054240269043E-4</c:v>
                </c:pt>
                <c:pt idx="1615">
                  <c:v>1.9227412801242288E-4</c:v>
                </c:pt>
                <c:pt idx="1616">
                  <c:v>7.716354182342336E-5</c:v>
                </c:pt>
                <c:pt idx="1617">
                  <c:v>1.398511460572492E-5</c:v>
                </c:pt>
                <c:pt idx="1618">
                  <c:v>1.4937533118645756E-6</c:v>
                </c:pt>
                <c:pt idx="1619">
                  <c:v>8.760556567864516E-7</c:v>
                </c:pt>
                <c:pt idx="1620">
                  <c:v>8.6311625545223664E-7</c:v>
                </c:pt>
                <c:pt idx="1621">
                  <c:v>1.1317371149239292E-6</c:v>
                </c:pt>
                <c:pt idx="1622">
                  <c:v>8.4706759013011662E-7</c:v>
                </c:pt>
                <c:pt idx="1623">
                  <c:v>1.1239547675532173E-3</c:v>
                </c:pt>
                <c:pt idx="1624">
                  <c:v>1.8717729894149969E-5</c:v>
                </c:pt>
                <c:pt idx="1625">
                  <c:v>5.07281295754451E-5</c:v>
                </c:pt>
                <c:pt idx="1626">
                  <c:v>3.3678602627024567E-5</c:v>
                </c:pt>
                <c:pt idx="1627">
                  <c:v>4.9286393527282838E-5</c:v>
                </c:pt>
                <c:pt idx="1628">
                  <c:v>7.6329168535557872E-5</c:v>
                </c:pt>
                <c:pt idx="1629">
                  <c:v>1.155710444353015E-4</c:v>
                </c:pt>
                <c:pt idx="1630">
                  <c:v>5.9050877430119313E-3</c:v>
                </c:pt>
                <c:pt idx="1631">
                  <c:v>5.6097176758823617E-5</c:v>
                </c:pt>
                <c:pt idx="1632">
                  <c:v>2.8802222014554929E-3</c:v>
                </c:pt>
                <c:pt idx="1633">
                  <c:v>7.8273783263905532E-5</c:v>
                </c:pt>
                <c:pt idx="1634">
                  <c:v>2.8963979058938879E-7</c:v>
                </c:pt>
                <c:pt idx="1635">
                  <c:v>2.1526428332301848E-7</c:v>
                </c:pt>
                <c:pt idx="1636">
                  <c:v>1.048148667752633E-6</c:v>
                </c:pt>
                <c:pt idx="1637">
                  <c:v>1.7541679875052881E-6</c:v>
                </c:pt>
                <c:pt idx="1638">
                  <c:v>4.5136178971401389E-5</c:v>
                </c:pt>
                <c:pt idx="1639">
                  <c:v>1.7440468738303303E-4</c:v>
                </c:pt>
                <c:pt idx="1640">
                  <c:v>3.6281296167769186E-4</c:v>
                </c:pt>
                <c:pt idx="1641">
                  <c:v>9.8208481092199023E-3</c:v>
                </c:pt>
                <c:pt idx="1642">
                  <c:v>2.0904593616995325E-2</c:v>
                </c:pt>
                <c:pt idx="1643">
                  <c:v>8.9292373887255245E-4</c:v>
                </c:pt>
                <c:pt idx="1644">
                  <c:v>9.0889577448825007E-4</c:v>
                </c:pt>
                <c:pt idx="1645">
                  <c:v>7.4376646266607047E-4</c:v>
                </c:pt>
                <c:pt idx="1646">
                  <c:v>1.0419594378973116E-2</c:v>
                </c:pt>
                <c:pt idx="1647">
                  <c:v>3.3613070898664285E-4</c:v>
                </c:pt>
                <c:pt idx="1648">
                  <c:v>1.8937117087060364E-4</c:v>
                </c:pt>
              </c:numCache>
            </c:numRef>
          </c:val>
          <c:extLst>
            <c:ext xmlns:c16="http://schemas.microsoft.com/office/drawing/2014/chart" uri="{C3380CC4-5D6E-409C-BE32-E72D297353CC}">
              <c16:uniqueId val="{00000001-E4C8-45C5-BB0C-C2E4913D349E}"/>
            </c:ext>
          </c:extLst>
        </c:ser>
        <c:dLbls>
          <c:showLegendKey val="0"/>
          <c:showVal val="0"/>
          <c:showCatName val="0"/>
          <c:showSerName val="0"/>
          <c:showPercent val="0"/>
          <c:showBubbleSize val="0"/>
        </c:dLbls>
        <c:gapWidth val="150"/>
        <c:axId val="145770191"/>
        <c:axId val="145774511"/>
      </c:barChart>
      <c:catAx>
        <c:axId val="145770191"/>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145774511"/>
        <c:crosses val="autoZero"/>
        <c:auto val="1"/>
        <c:lblAlgn val="ctr"/>
        <c:lblOffset val="100"/>
        <c:noMultiLvlLbl val="0"/>
      </c:catAx>
      <c:valAx>
        <c:axId val="145774511"/>
        <c:scaling>
          <c:orientation val="minMax"/>
        </c:scaling>
        <c:delete val="0"/>
        <c:axPos val="l"/>
        <c:majorGridlines/>
        <c:title>
          <c:tx>
            <c:rich>
              <a:bodyPr/>
              <a:lstStyle/>
              <a:p>
                <a:pPr>
                  <a:defRPr/>
                </a:pPr>
                <a:r>
                  <a:rPr lang="en-US"/>
                  <a:t>Cook's Distance</a:t>
                </a:r>
              </a:p>
            </c:rich>
          </c:tx>
          <c:overlay val="0"/>
        </c:title>
        <c:numFmt formatCode="0.0E+00" sourceLinked="0"/>
        <c:majorTickMark val="out"/>
        <c:minorTickMark val="none"/>
        <c:tickLblPos val="nextTo"/>
        <c:crossAx val="145770191"/>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Studentized Residuals vs. Leverage</a:t>
            </a:r>
          </a:p>
        </c:rich>
      </c:tx>
      <c:overlay val="0"/>
      <c:spPr>
        <a:solidFill>
          <a:srgbClr val="CAEDFB"/>
        </a:solidFill>
      </c:sp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1649"/>
                <c:pt idx="0">
                  <c:v>9.5360045491318295E-4</c:v>
                </c:pt>
                <c:pt idx="1">
                  <c:v>1.014677524207887E-3</c:v>
                </c:pt>
                <c:pt idx="2">
                  <c:v>9.9119398141525182E-4</c:v>
                </c:pt>
                <c:pt idx="3">
                  <c:v>1.0226599429539972E-3</c:v>
                </c:pt>
                <c:pt idx="4">
                  <c:v>1.0470709126380263E-3</c:v>
                </c:pt>
                <c:pt idx="5">
                  <c:v>1.0807008702566903E-3</c:v>
                </c:pt>
                <c:pt idx="6">
                  <c:v>1.0979795625117191E-3</c:v>
                </c:pt>
                <c:pt idx="7">
                  <c:v>1.1516704930595928E-3</c:v>
                </c:pt>
                <c:pt idx="8">
                  <c:v>1.2275863926165943E-3</c:v>
                </c:pt>
                <c:pt idx="9">
                  <c:v>1.2275863926165943E-3</c:v>
                </c:pt>
                <c:pt idx="10">
                  <c:v>1.1890101582438311E-3</c:v>
                </c:pt>
                <c:pt idx="11">
                  <c:v>1.2081437042816472E-3</c:v>
                </c:pt>
                <c:pt idx="12">
                  <c:v>1.2275863926165943E-3</c:v>
                </c:pt>
                <c:pt idx="13">
                  <c:v>1.661225110848029E-3</c:v>
                </c:pt>
                <c:pt idx="14">
                  <c:v>1.4503990863228358E-3</c:v>
                </c:pt>
                <c:pt idx="15">
                  <c:v>1.5084732900098468E-3</c:v>
                </c:pt>
                <c:pt idx="16">
                  <c:v>9.494415864615322E-4</c:v>
                </c:pt>
                <c:pt idx="17">
                  <c:v>1.5983473907824589E-3</c:v>
                </c:pt>
                <c:pt idx="18">
                  <c:v>8.8049104342824967E-4</c:v>
                </c:pt>
                <c:pt idx="19">
                  <c:v>8.6762836171298667E-4</c:v>
                </c:pt>
                <c:pt idx="20">
                  <c:v>8.5507482229485487E-4</c:v>
                </c:pt>
                <c:pt idx="21">
                  <c:v>8.3682415497477814E-4</c:v>
                </c:pt>
                <c:pt idx="22">
                  <c:v>8.3682415497477814E-4</c:v>
                </c:pt>
                <c:pt idx="23">
                  <c:v>1.6869171978942366E-3</c:v>
                </c:pt>
                <c:pt idx="24">
                  <c:v>1.5860037034921934E-3</c:v>
                </c:pt>
                <c:pt idx="25">
                  <c:v>7.9155627405635043E-4</c:v>
                </c:pt>
                <c:pt idx="26">
                  <c:v>1.5135645768105384E-3</c:v>
                </c:pt>
                <c:pt idx="27">
                  <c:v>1.4900364858442489E-3</c:v>
                </c:pt>
                <c:pt idx="28">
                  <c:v>1.4783883687225284E-3</c:v>
                </c:pt>
                <c:pt idx="29">
                  <c:v>1.5135645768105384E-3</c:v>
                </c:pt>
                <c:pt idx="30">
                  <c:v>1.5254445506551072E-3</c:v>
                </c:pt>
                <c:pt idx="31">
                  <c:v>1.5615481856345104E-3</c:v>
                </c:pt>
                <c:pt idx="32">
                  <c:v>1.5615481856345104E-3</c:v>
                </c:pt>
                <c:pt idx="33">
                  <c:v>7.2854544845350733E-4</c:v>
                </c:pt>
                <c:pt idx="34">
                  <c:v>7.2423946088865298E-4</c:v>
                </c:pt>
                <c:pt idx="35">
                  <c:v>7.1178521163978625E-4</c:v>
                </c:pt>
                <c:pt idx="36">
                  <c:v>7.0002653255946481E-4</c:v>
                </c:pt>
                <c:pt idx="37">
                  <c:v>6.8543029182566194E-4</c:v>
                </c:pt>
                <c:pt idx="38">
                  <c:v>6.752946098052793E-4</c:v>
                </c:pt>
                <c:pt idx="39">
                  <c:v>6.6585449795344173E-4</c:v>
                </c:pt>
                <c:pt idx="40">
                  <c:v>6.5710995627014956E-4</c:v>
                </c:pt>
                <c:pt idx="41">
                  <c:v>6.4653256539905224E-4</c:v>
                </c:pt>
                <c:pt idx="42">
                  <c:v>1.5254445506551072E-3</c:v>
                </c:pt>
                <c:pt idx="43">
                  <c:v>1.8554613580098747E-3</c:v>
                </c:pt>
                <c:pt idx="44">
                  <c:v>1.9546182108310176E-3</c:v>
                </c:pt>
                <c:pt idx="45">
                  <c:v>1.998273288511463E-3</c:v>
                </c:pt>
                <c:pt idx="46">
                  <c:v>2.0426239363604539E-3</c:v>
                </c:pt>
                <c:pt idx="47">
                  <c:v>2.1028401315324003E-3</c:v>
                </c:pt>
                <c:pt idx="48">
                  <c:v>2.1642928958928729E-3</c:v>
                </c:pt>
                <c:pt idx="49">
                  <c:v>2.1954829915188049E-3</c:v>
                </c:pt>
                <c:pt idx="50">
                  <c:v>2.258790609662064E-3</c:v>
                </c:pt>
                <c:pt idx="51">
                  <c:v>7.0386880667862241E-4</c:v>
                </c:pt>
                <c:pt idx="52">
                  <c:v>7.0002653255946481E-4</c:v>
                </c:pt>
                <c:pt idx="53">
                  <c:v>1.5494363550670933E-3</c:v>
                </c:pt>
                <c:pt idx="54">
                  <c:v>1.5494363550670933E-3</c:v>
                </c:pt>
                <c:pt idx="55">
                  <c:v>6.9257384104399783E-4</c:v>
                </c:pt>
                <c:pt idx="56">
                  <c:v>6.752946098052793E-4</c:v>
                </c:pt>
                <c:pt idx="57">
                  <c:v>6.752946098052793E-4</c:v>
                </c:pt>
                <c:pt idx="58">
                  <c:v>6.6585449795344173E-4</c:v>
                </c:pt>
                <c:pt idx="59">
                  <c:v>6.72070620280384E-4</c:v>
                </c:pt>
                <c:pt idx="60">
                  <c:v>6.72070620280384E-4</c:v>
                </c:pt>
                <c:pt idx="61">
                  <c:v>1.5374018100739587E-3</c:v>
                </c:pt>
                <c:pt idx="62">
                  <c:v>6.440814316169849E-4</c:v>
                </c:pt>
                <c:pt idx="63">
                  <c:v>6.4170758340920055E-4</c:v>
                </c:pt>
                <c:pt idx="64">
                  <c:v>1.5494363550670933E-3</c:v>
                </c:pt>
                <c:pt idx="65">
                  <c:v>6.8543029182566194E-4</c:v>
                </c:pt>
                <c:pt idx="66">
                  <c:v>6.9257384104399783E-4</c:v>
                </c:pt>
                <c:pt idx="67">
                  <c:v>6.6892391632977148E-4</c:v>
                </c:pt>
                <c:pt idx="68">
                  <c:v>6.5710995627014956E-4</c:v>
                </c:pt>
                <c:pt idx="69">
                  <c:v>6.440814316169849E-4</c:v>
                </c:pt>
                <c:pt idx="70">
                  <c:v>1.5254445506551072E-3</c:v>
                </c:pt>
                <c:pt idx="71">
                  <c:v>6.5710995627014956E-4</c:v>
                </c:pt>
                <c:pt idx="72">
                  <c:v>6.3504975223154371E-4</c:v>
                </c:pt>
                <c:pt idx="73">
                  <c:v>6.440814316169849E-4</c:v>
                </c:pt>
                <c:pt idx="74">
                  <c:v>6.5710995627014956E-4</c:v>
                </c:pt>
                <c:pt idx="75">
                  <c:v>6.5166668968603524E-4</c:v>
                </c:pt>
                <c:pt idx="76">
                  <c:v>6.5166668968603524E-4</c:v>
                </c:pt>
                <c:pt idx="77">
                  <c:v>6.3504975223154371E-4</c:v>
                </c:pt>
                <c:pt idx="78">
                  <c:v>6.3298504632089045E-4</c:v>
                </c:pt>
                <c:pt idx="79">
                  <c:v>1.6232666220858387E-3</c:v>
                </c:pt>
                <c:pt idx="80">
                  <c:v>1.0506314857600782E-3</c:v>
                </c:pt>
                <c:pt idx="81">
                  <c:v>1.0506314857600782E-3</c:v>
                </c:pt>
                <c:pt idx="82">
                  <c:v>1.0342136676278065E-3</c:v>
                </c:pt>
                <c:pt idx="83">
                  <c:v>1.026120686923095E-3</c:v>
                </c:pt>
                <c:pt idx="84">
                  <c:v>1.0101665822365199E-3</c:v>
                </c:pt>
                <c:pt idx="85">
                  <c:v>1.0101665822365199E-3</c:v>
                </c:pt>
                <c:pt idx="86">
                  <c:v>1.0101665822365199E-3</c:v>
                </c:pt>
                <c:pt idx="87">
                  <c:v>1.0101665822365199E-3</c:v>
                </c:pt>
                <c:pt idx="88">
                  <c:v>1.0023054582546567E-3</c:v>
                </c:pt>
                <c:pt idx="89">
                  <c:v>9.8681506701377869E-4</c:v>
                </c:pt>
                <c:pt idx="90">
                  <c:v>9.7163381807003171E-4</c:v>
                </c:pt>
                <c:pt idx="91">
                  <c:v>9.5676171142341604E-4</c:v>
                </c:pt>
                <c:pt idx="92">
                  <c:v>9.4219874707393136E-4</c:v>
                </c:pt>
                <c:pt idx="93">
                  <c:v>1.0101665822365199E-3</c:v>
                </c:pt>
                <c:pt idx="94">
                  <c:v>9.9452161984707617E-4</c:v>
                </c:pt>
                <c:pt idx="95">
                  <c:v>1.6107683636470073E-3</c:v>
                </c:pt>
                <c:pt idx="96">
                  <c:v>9.5676171142341604E-4</c:v>
                </c:pt>
                <c:pt idx="97">
                  <c:v>9.4219874707393136E-4</c:v>
                </c:pt>
                <c:pt idx="98">
                  <c:v>9.2794492502157821E-4</c:v>
                </c:pt>
                <c:pt idx="99">
                  <c:v>9.3503319326061329E-4</c:v>
                </c:pt>
                <c:pt idx="100">
                  <c:v>1.5983473907824589E-3</c:v>
                </c:pt>
                <c:pt idx="101">
                  <c:v>9.0036470780826508E-4</c:v>
                </c:pt>
                <c:pt idx="102">
                  <c:v>8.7402105978347678E-4</c:v>
                </c:pt>
                <c:pt idx="103">
                  <c:v>8.6762836171298667E-4</c:v>
                </c:pt>
                <c:pt idx="104">
                  <c:v>8.5507482229485487E-4</c:v>
                </c:pt>
                <c:pt idx="105">
                  <c:v>1.5860037034921934E-3</c:v>
                </c:pt>
                <c:pt idx="106">
                  <c:v>8.3089517034998488E-4</c:v>
                </c:pt>
                <c:pt idx="107">
                  <c:v>8.0795208759363993E-4</c:v>
                </c:pt>
                <c:pt idx="108">
                  <c:v>7.0002653255946481E-4</c:v>
                </c:pt>
                <c:pt idx="109">
                  <c:v>6.9257384104399783E-4</c:v>
                </c:pt>
                <c:pt idx="110">
                  <c:v>6.8543029182566194E-4</c:v>
                </c:pt>
                <c:pt idx="111">
                  <c:v>6.7859588490445737E-4</c:v>
                </c:pt>
                <c:pt idx="112">
                  <c:v>1.5374018100739587E-3</c:v>
                </c:pt>
                <c:pt idx="113">
                  <c:v>6.5710995627014956E-4</c:v>
                </c:pt>
                <c:pt idx="114">
                  <c:v>6.3504975223154371E-4</c:v>
                </c:pt>
                <c:pt idx="115">
                  <c:v>1.5254445506551072E-3</c:v>
                </c:pt>
                <c:pt idx="116">
                  <c:v>6.1423685018710918E-4</c:v>
                </c:pt>
                <c:pt idx="117">
                  <c:v>6.0792089870721213E-4</c:v>
                </c:pt>
                <c:pt idx="118">
                  <c:v>6.1423685018710918E-4</c:v>
                </c:pt>
                <c:pt idx="119">
                  <c:v>6.1423685018710918E-4</c:v>
                </c:pt>
                <c:pt idx="120">
                  <c:v>6.2549907842110518E-4</c:v>
                </c:pt>
                <c:pt idx="121">
                  <c:v>6.5710995627014956E-4</c:v>
                </c:pt>
                <c:pt idx="122">
                  <c:v>6.4906098475540235E-4</c:v>
                </c:pt>
                <c:pt idx="123">
                  <c:v>6.440814316169849E-4</c:v>
                </c:pt>
                <c:pt idx="124">
                  <c:v>1.5254445506551072E-3</c:v>
                </c:pt>
                <c:pt idx="125">
                  <c:v>6.3298504632089045E-4</c:v>
                </c:pt>
                <c:pt idx="126">
                  <c:v>6.2908749122243227E-4</c:v>
                </c:pt>
                <c:pt idx="127">
                  <c:v>6.238208003818659E-4</c:v>
                </c:pt>
                <c:pt idx="128">
                  <c:v>6.1788054396773654E-4</c:v>
                </c:pt>
                <c:pt idx="129">
                  <c:v>6.1658869379991124E-4</c:v>
                </c:pt>
                <c:pt idx="130">
                  <c:v>6.1317685674213221E-4</c:v>
                </c:pt>
                <c:pt idx="131">
                  <c:v>6.1046058985289825E-4</c:v>
                </c:pt>
                <c:pt idx="132">
                  <c:v>6.0843989313220947E-4</c:v>
                </c:pt>
                <c:pt idx="133">
                  <c:v>6.4304986370311915E-4</c:v>
                </c:pt>
                <c:pt idx="134">
                  <c:v>1.4213070667281685E-3</c:v>
                </c:pt>
                <c:pt idx="135">
                  <c:v>6.3211986032861618E-4</c:v>
                </c:pt>
                <c:pt idx="136">
                  <c:v>7.6364594105015639E-4</c:v>
                </c:pt>
                <c:pt idx="137">
                  <c:v>7.1821383414489594E-4</c:v>
                </c:pt>
                <c:pt idx="138">
                  <c:v>7.3545925001560668E-4</c:v>
                </c:pt>
                <c:pt idx="139">
                  <c:v>7.266819709316856E-4</c:v>
                </c:pt>
                <c:pt idx="140">
                  <c:v>7.3545925001560668E-4</c:v>
                </c:pt>
                <c:pt idx="141">
                  <c:v>8.2254774247560592E-4</c:v>
                </c:pt>
                <c:pt idx="142">
                  <c:v>8.7769582714551707E-4</c:v>
                </c:pt>
                <c:pt idx="143">
                  <c:v>8.4628514658607163E-4</c:v>
                </c:pt>
                <c:pt idx="144">
                  <c:v>8.8420981998025433E-4</c:v>
                </c:pt>
                <c:pt idx="145">
                  <c:v>9.4631360633561708E-4</c:v>
                </c:pt>
                <c:pt idx="146">
                  <c:v>8.9080109838927468E-4</c:v>
                </c:pt>
                <c:pt idx="147">
                  <c:v>8.4628514658607163E-4</c:v>
                </c:pt>
                <c:pt idx="148">
                  <c:v>9.3503319326061329E-4</c:v>
                </c:pt>
                <c:pt idx="149">
                  <c:v>9.2794492502157821E-4</c:v>
                </c:pt>
                <c:pt idx="150">
                  <c:v>9.2093394235682568E-4</c:v>
                </c:pt>
                <c:pt idx="151">
                  <c:v>1.5983473907824589E-3</c:v>
                </c:pt>
                <c:pt idx="152">
                  <c:v>9.0036470780826508E-4</c:v>
                </c:pt>
                <c:pt idx="153">
                  <c:v>8.7402105978347678E-4</c:v>
                </c:pt>
                <c:pt idx="154">
                  <c:v>8.6131294921677932E-4</c:v>
                </c:pt>
                <c:pt idx="155">
                  <c:v>8.6762836171298667E-4</c:v>
                </c:pt>
                <c:pt idx="156">
                  <c:v>8.7402105978347678E-4</c:v>
                </c:pt>
                <c:pt idx="157">
                  <c:v>8.4891398094721318E-4</c:v>
                </c:pt>
                <c:pt idx="158">
                  <c:v>8.3682415497477814E-4</c:v>
                </c:pt>
                <c:pt idx="159">
                  <c:v>8.1357192992130198E-4</c:v>
                </c:pt>
                <c:pt idx="160">
                  <c:v>7.9155627405635043E-4</c:v>
                </c:pt>
                <c:pt idx="161">
                  <c:v>1.6869171978942366E-3</c:v>
                </c:pt>
                <c:pt idx="162">
                  <c:v>1.5615481856345104E-3</c:v>
                </c:pt>
                <c:pt idx="163">
                  <c:v>6.0941025124618836E-4</c:v>
                </c:pt>
                <c:pt idx="164">
                  <c:v>1.4783883687225284E-3</c:v>
                </c:pt>
                <c:pt idx="165">
                  <c:v>6.2312199631118278E-4</c:v>
                </c:pt>
                <c:pt idx="166">
                  <c:v>6.2155428023054436E-4</c:v>
                </c:pt>
                <c:pt idx="167">
                  <c:v>6.1865070479211626E-4</c:v>
                </c:pt>
                <c:pt idx="168">
                  <c:v>6.1605627165081927E-4</c:v>
                </c:pt>
                <c:pt idx="169">
                  <c:v>6.1274426374599501E-4</c:v>
                </c:pt>
                <c:pt idx="170">
                  <c:v>6.1274426374599501E-4</c:v>
                </c:pt>
                <c:pt idx="171">
                  <c:v>6.1605627165081927E-4</c:v>
                </c:pt>
                <c:pt idx="172">
                  <c:v>6.2648928519530773E-4</c:v>
                </c:pt>
                <c:pt idx="173">
                  <c:v>6.384460056304697E-4</c:v>
                </c:pt>
                <c:pt idx="174">
                  <c:v>1.4439077308030642E-3</c:v>
                </c:pt>
                <c:pt idx="175">
                  <c:v>6.4304986370311915E-4</c:v>
                </c:pt>
                <c:pt idx="176">
                  <c:v>1.4439077308030642E-3</c:v>
                </c:pt>
                <c:pt idx="177">
                  <c:v>6.3626000495556898E-4</c:v>
                </c:pt>
                <c:pt idx="178">
                  <c:v>8.7769582714551707E-4</c:v>
                </c:pt>
                <c:pt idx="179">
                  <c:v>8.7125911988506226E-4</c:v>
                </c:pt>
                <c:pt idx="180">
                  <c:v>8.7125911988506226E-4</c:v>
                </c:pt>
                <c:pt idx="181">
                  <c:v>8.7125911988506226E-4</c:v>
                </c:pt>
                <c:pt idx="182">
                  <c:v>8.9080109838927468E-4</c:v>
                </c:pt>
                <c:pt idx="183">
                  <c:v>9.2491677404861797E-4</c:v>
                </c:pt>
                <c:pt idx="184">
                  <c:v>1.0721774524905998E-3</c:v>
                </c:pt>
                <c:pt idx="185">
                  <c:v>1.115567397063879E-3</c:v>
                </c:pt>
                <c:pt idx="186">
                  <c:v>1.1244772427013831E-3</c:v>
                </c:pt>
                <c:pt idx="187">
                  <c:v>1.1334643739131702E-3</c:v>
                </c:pt>
                <c:pt idx="188">
                  <c:v>1.1334643739131702E-3</c:v>
                </c:pt>
                <c:pt idx="189">
                  <c:v>1.1334643739131702E-3</c:v>
                </c:pt>
                <c:pt idx="190">
                  <c:v>1.115567397063879E-3</c:v>
                </c:pt>
                <c:pt idx="191">
                  <c:v>6.9466427756731419E-4</c:v>
                </c:pt>
                <c:pt idx="192">
                  <c:v>7.0609127077183231E-4</c:v>
                </c:pt>
                <c:pt idx="193">
                  <c:v>7.2240925975114922E-4</c:v>
                </c:pt>
                <c:pt idx="194">
                  <c:v>7.3103196768650443E-4</c:v>
                </c:pt>
                <c:pt idx="195">
                  <c:v>7.4454567139665875E-4</c:v>
                </c:pt>
                <c:pt idx="196">
                  <c:v>7.6364594105015639E-4</c:v>
                </c:pt>
                <c:pt idx="197">
                  <c:v>7.7365978932260207E-4</c:v>
                </c:pt>
                <c:pt idx="198">
                  <c:v>7.9461491275888715E-4</c:v>
                </c:pt>
                <c:pt idx="199">
                  <c:v>8.3426187338227317E-4</c:v>
                </c:pt>
                <c:pt idx="200">
                  <c:v>8.9080109838927468E-4</c:v>
                </c:pt>
                <c:pt idx="201">
                  <c:v>9.5360045491318295E-4</c:v>
                </c:pt>
                <c:pt idx="202">
                  <c:v>1.030719647274391E-3</c:v>
                </c:pt>
                <c:pt idx="203">
                  <c:v>1.1067348370006574E-3</c:v>
                </c:pt>
                <c:pt idx="204">
                  <c:v>1.3553599282862686E-3</c:v>
                </c:pt>
                <c:pt idx="205">
                  <c:v>1.4053308637103175E-3</c:v>
                </c:pt>
                <c:pt idx="206">
                  <c:v>8.4891398094721318E-4</c:v>
                </c:pt>
                <c:pt idx="207">
                  <c:v>1.5860037034921934E-3</c:v>
                </c:pt>
                <c:pt idx="208">
                  <c:v>8.3089517034998488E-4</c:v>
                </c:pt>
                <c:pt idx="209">
                  <c:v>8.3089517034998488E-4</c:v>
                </c:pt>
                <c:pt idx="210">
                  <c:v>8.192690578232467E-4</c:v>
                </c:pt>
                <c:pt idx="211">
                  <c:v>8.0240953084026066E-4</c:v>
                </c:pt>
                <c:pt idx="212">
                  <c:v>7.9694425966116416E-4</c:v>
                </c:pt>
                <c:pt idx="213">
                  <c:v>1.5017618885402521E-3</c:v>
                </c:pt>
                <c:pt idx="214">
                  <c:v>1.6869171978942366E-3</c:v>
                </c:pt>
                <c:pt idx="215">
                  <c:v>1.5494363550670933E-3</c:v>
                </c:pt>
                <c:pt idx="216">
                  <c:v>7.9155627405635043E-4</c:v>
                </c:pt>
                <c:pt idx="217">
                  <c:v>9.9119398141525182E-4</c:v>
                </c:pt>
                <c:pt idx="218">
                  <c:v>1.1425287906992399E-3</c:v>
                </c:pt>
                <c:pt idx="219">
                  <c:v>1.661225110848029E-3</c:v>
                </c:pt>
                <c:pt idx="220">
                  <c:v>1.5563237932965459E-3</c:v>
                </c:pt>
                <c:pt idx="221">
                  <c:v>1.8693947659757613E-3</c:v>
                </c:pt>
                <c:pt idx="222">
                  <c:v>2.5589774350147244E-3</c:v>
                </c:pt>
                <c:pt idx="223">
                  <c:v>3.1943174416801876E-3</c:v>
                </c:pt>
                <c:pt idx="224">
                  <c:v>3.3774504373624142E-3</c:v>
                </c:pt>
                <c:pt idx="225">
                  <c:v>4.6326191328248589E-3</c:v>
                </c:pt>
                <c:pt idx="226">
                  <c:v>6.720979983084116E-3</c:v>
                </c:pt>
                <c:pt idx="227">
                  <c:v>9.6506817888078779E-3</c:v>
                </c:pt>
                <c:pt idx="228">
                  <c:v>1.1248613084181919E-2</c:v>
                </c:pt>
                <c:pt idx="229">
                  <c:v>1.1493353954356873E-2</c:v>
                </c:pt>
                <c:pt idx="230">
                  <c:v>1.0688371034173286E-2</c:v>
                </c:pt>
                <c:pt idx="231">
                  <c:v>9.4646999596828367E-3</c:v>
                </c:pt>
                <c:pt idx="232">
                  <c:v>6.2908749122243227E-4</c:v>
                </c:pt>
                <c:pt idx="233">
                  <c:v>6.2549907842110518E-4</c:v>
                </c:pt>
                <c:pt idx="234">
                  <c:v>6.222198079169094E-4</c:v>
                </c:pt>
                <c:pt idx="235">
                  <c:v>6.1658869379991124E-4</c:v>
                </c:pt>
                <c:pt idx="236">
                  <c:v>6.1423685018710918E-4</c:v>
                </c:pt>
                <c:pt idx="237">
                  <c:v>6.1128872657502679E-4</c:v>
                </c:pt>
                <c:pt idx="238">
                  <c:v>6.1046058985289825E-4</c:v>
                </c:pt>
                <c:pt idx="239">
                  <c:v>6.0970973870505248E-4</c:v>
                </c:pt>
                <c:pt idx="240">
                  <c:v>6.0843989313220947E-4</c:v>
                </c:pt>
                <c:pt idx="241">
                  <c:v>6.0747918985649756E-4</c:v>
                </c:pt>
                <c:pt idx="242">
                  <c:v>1.4900364858442489E-3</c:v>
                </c:pt>
                <c:pt idx="243">
                  <c:v>6.0698166104279291E-4</c:v>
                </c:pt>
                <c:pt idx="244">
                  <c:v>6.0876996205694355E-4</c:v>
                </c:pt>
                <c:pt idx="245">
                  <c:v>6.1092268634752608E-4</c:v>
                </c:pt>
                <c:pt idx="246">
                  <c:v>6.1487498344159504E-4</c:v>
                </c:pt>
                <c:pt idx="247">
                  <c:v>6.4170758340920055E-4</c:v>
                </c:pt>
                <c:pt idx="248">
                  <c:v>1.5254445506551072E-3</c:v>
                </c:pt>
                <c:pt idx="249">
                  <c:v>6.3941102077569876E-4</c:v>
                </c:pt>
                <c:pt idx="250">
                  <c:v>6.2908749122243227E-4</c:v>
                </c:pt>
                <c:pt idx="251">
                  <c:v>6.238208003818659E-4</c:v>
                </c:pt>
                <c:pt idx="252">
                  <c:v>6.1658869379991124E-4</c:v>
                </c:pt>
                <c:pt idx="253">
                  <c:v>6.1317685674213221E-4</c:v>
                </c:pt>
                <c:pt idx="254">
                  <c:v>6.1128872657502679E-4</c:v>
                </c:pt>
                <c:pt idx="255">
                  <c:v>6.0843989313220947E-4</c:v>
                </c:pt>
                <c:pt idx="256">
                  <c:v>1.5017618885402521E-3</c:v>
                </c:pt>
                <c:pt idx="257">
                  <c:v>6.1128872657502679E-4</c:v>
                </c:pt>
                <c:pt idx="258">
                  <c:v>6.1317685674213221E-4</c:v>
                </c:pt>
                <c:pt idx="259">
                  <c:v>6.1128872657502679E-4</c:v>
                </c:pt>
                <c:pt idx="260">
                  <c:v>1.5017618885402521E-3</c:v>
                </c:pt>
                <c:pt idx="261">
                  <c:v>6.0747918985649756E-4</c:v>
                </c:pt>
                <c:pt idx="262">
                  <c:v>9.9119398141525182E-4</c:v>
                </c:pt>
                <c:pt idx="263">
                  <c:v>1.3770331654697706E-3</c:v>
                </c:pt>
                <c:pt idx="264">
                  <c:v>1.014677524207887E-3</c:v>
                </c:pt>
                <c:pt idx="265">
                  <c:v>1.0470709126380263E-3</c:v>
                </c:pt>
                <c:pt idx="266">
                  <c:v>1.0807008702566903E-3</c:v>
                </c:pt>
                <c:pt idx="267">
                  <c:v>1.115567397063879E-3</c:v>
                </c:pt>
                <c:pt idx="268">
                  <c:v>1.160889480994228E-3</c:v>
                </c:pt>
                <c:pt idx="269">
                  <c:v>1.2081437042816472E-3</c:v>
                </c:pt>
                <c:pt idx="270">
                  <c:v>1.3234297143181366E-3</c:v>
                </c:pt>
                <c:pt idx="271">
                  <c:v>1.2473382232486725E-3</c:v>
                </c:pt>
                <c:pt idx="272">
                  <c:v>1.3129408808106582E-3</c:v>
                </c:pt>
                <c:pt idx="273">
                  <c:v>1.4053308637103175E-3</c:v>
                </c:pt>
                <c:pt idx="274">
                  <c:v>1.5084732900098468E-3</c:v>
                </c:pt>
                <c:pt idx="275">
                  <c:v>1.3129408808106582E-3</c:v>
                </c:pt>
                <c:pt idx="276">
                  <c:v>1.7203779849365673E-3</c:v>
                </c:pt>
                <c:pt idx="277">
                  <c:v>1.2921950705185497E-3</c:v>
                </c:pt>
                <c:pt idx="278">
                  <c:v>1.9546182108310176E-3</c:v>
                </c:pt>
                <c:pt idx="279">
                  <c:v>2.0426239363604539E-3</c:v>
                </c:pt>
                <c:pt idx="280">
                  <c:v>2.1642928958928729E-3</c:v>
                </c:pt>
                <c:pt idx="281">
                  <c:v>2.3070828217994777E-3</c:v>
                </c:pt>
                <c:pt idx="282">
                  <c:v>7.0778836637206289E-4</c:v>
                </c:pt>
                <c:pt idx="283">
                  <c:v>1.5494363550670933E-3</c:v>
                </c:pt>
                <c:pt idx="284">
                  <c:v>6.9257384104399783E-4</c:v>
                </c:pt>
                <c:pt idx="285">
                  <c:v>6.8896342364768845E-4</c:v>
                </c:pt>
                <c:pt idx="286">
                  <c:v>6.8543029182566194E-4</c:v>
                </c:pt>
                <c:pt idx="287">
                  <c:v>6.8197444557791822E-4</c:v>
                </c:pt>
                <c:pt idx="288">
                  <c:v>6.8197444557791822E-4</c:v>
                </c:pt>
                <c:pt idx="289">
                  <c:v>6.752946098052793E-4</c:v>
                </c:pt>
                <c:pt idx="290">
                  <c:v>6.6585449795344173E-4</c:v>
                </c:pt>
                <c:pt idx="291">
                  <c:v>6.5166668968603524E-4</c:v>
                </c:pt>
                <c:pt idx="292">
                  <c:v>1.5254445506551072E-3</c:v>
                </c:pt>
                <c:pt idx="293">
                  <c:v>6.2908749122243227E-4</c:v>
                </c:pt>
                <c:pt idx="294">
                  <c:v>6.222198079169094E-4</c:v>
                </c:pt>
                <c:pt idx="295">
                  <c:v>6.1092268634752608E-4</c:v>
                </c:pt>
                <c:pt idx="296">
                  <c:v>6.1487498344159504E-4</c:v>
                </c:pt>
                <c:pt idx="297">
                  <c:v>6.1865070479211626E-4</c:v>
                </c:pt>
                <c:pt idx="298">
                  <c:v>1.4668175371750909E-3</c:v>
                </c:pt>
                <c:pt idx="299">
                  <c:v>6.2828885799879448E-4</c:v>
                </c:pt>
                <c:pt idx="300">
                  <c:v>6.3415128985495114E-4</c:v>
                </c:pt>
                <c:pt idx="301">
                  <c:v>6.4304986370311915E-4</c:v>
                </c:pt>
                <c:pt idx="302">
                  <c:v>1.4101226630521449E-3</c:v>
                </c:pt>
                <c:pt idx="303">
                  <c:v>6.9466427756731419E-4</c:v>
                </c:pt>
                <c:pt idx="304">
                  <c:v>2.1180873942610945E-3</c:v>
                </c:pt>
                <c:pt idx="305">
                  <c:v>2.0876701543779894E-3</c:v>
                </c:pt>
                <c:pt idx="306">
                  <c:v>2.1642928958928729E-3</c:v>
                </c:pt>
                <c:pt idx="307">
                  <c:v>2.1954829915188049E-3</c:v>
                </c:pt>
                <c:pt idx="308">
                  <c:v>1.2717584025235722E-3</c:v>
                </c:pt>
                <c:pt idx="309">
                  <c:v>2.2269822294418689E-3</c:v>
                </c:pt>
                <c:pt idx="310">
                  <c:v>2.3725544360226553E-3</c:v>
                </c:pt>
                <c:pt idx="311">
                  <c:v>2.5938772382062313E-3</c:v>
                </c:pt>
                <c:pt idx="312">
                  <c:v>2.5763886938233362E-3</c:v>
                </c:pt>
                <c:pt idx="313">
                  <c:v>1.6484949956863493E-3</c:v>
                </c:pt>
                <c:pt idx="314">
                  <c:v>1.0181049917926659E-3</c:v>
                </c:pt>
                <c:pt idx="315">
                  <c:v>1.0023054582546567E-3</c:v>
                </c:pt>
                <c:pt idx="316">
                  <c:v>9.9452161984707617E-4</c:v>
                </c:pt>
                <c:pt idx="317">
                  <c:v>9.9452161984707617E-4</c:v>
                </c:pt>
                <c:pt idx="318">
                  <c:v>1.6107683636470073E-3</c:v>
                </c:pt>
                <c:pt idx="319">
                  <c:v>9.6415912195958243E-4</c:v>
                </c:pt>
                <c:pt idx="320">
                  <c:v>9.494415864615322E-4</c:v>
                </c:pt>
                <c:pt idx="321">
                  <c:v>9.494415864615322E-4</c:v>
                </c:pt>
                <c:pt idx="322">
                  <c:v>9.4219874707393136E-4</c:v>
                </c:pt>
                <c:pt idx="323">
                  <c:v>9.3503319326061329E-4</c:v>
                </c:pt>
                <c:pt idx="324">
                  <c:v>9.2794492502157821E-4</c:v>
                </c:pt>
                <c:pt idx="325">
                  <c:v>9.2093394235682568E-4</c:v>
                </c:pt>
                <c:pt idx="326">
                  <c:v>3.3981849758651875E-3</c:v>
                </c:pt>
                <c:pt idx="327">
                  <c:v>3.6965835002036951E-3</c:v>
                </c:pt>
                <c:pt idx="328">
                  <c:v>3.4398859095935803E-3</c:v>
                </c:pt>
                <c:pt idx="329">
                  <c:v>3.52421520394176E-3</c:v>
                </c:pt>
                <c:pt idx="330">
                  <c:v>3.5882736732328639E-3</c:v>
                </c:pt>
                <c:pt idx="331">
                  <c:v>3.7404484300120082E-3</c:v>
                </c:pt>
                <c:pt idx="332">
                  <c:v>2.0575620567920162E-3</c:v>
                </c:pt>
                <c:pt idx="333">
                  <c:v>2.1180873942610945E-3</c:v>
                </c:pt>
                <c:pt idx="334">
                  <c:v>2.1334119425640711E-3</c:v>
                </c:pt>
                <c:pt idx="335">
                  <c:v>2.1028401315324003E-3</c:v>
                </c:pt>
                <c:pt idx="336">
                  <c:v>2.0876701543779894E-3</c:v>
                </c:pt>
                <c:pt idx="337">
                  <c:v>1.2717584025235722E-3</c:v>
                </c:pt>
                <c:pt idx="338">
                  <c:v>2.5763886938233362E-3</c:v>
                </c:pt>
                <c:pt idx="339">
                  <c:v>8.8703831264730533E-4</c:v>
                </c:pt>
                <c:pt idx="340">
                  <c:v>8.8049104342824967E-4</c:v>
                </c:pt>
                <c:pt idx="341">
                  <c:v>8.8049104342824967E-4</c:v>
                </c:pt>
                <c:pt idx="342">
                  <c:v>8.6762836171298667E-4</c:v>
                </c:pt>
                <c:pt idx="343">
                  <c:v>8.4891398094721318E-4</c:v>
                </c:pt>
                <c:pt idx="344">
                  <c:v>8.3682415497477814E-4</c:v>
                </c:pt>
                <c:pt idx="345">
                  <c:v>8.5507482229485487E-4</c:v>
                </c:pt>
                <c:pt idx="346">
                  <c:v>1.5860037034921934E-3</c:v>
                </c:pt>
                <c:pt idx="347">
                  <c:v>8.3682415497477814E-4</c:v>
                </c:pt>
                <c:pt idx="348">
                  <c:v>8.6762836171298667E-4</c:v>
                </c:pt>
                <c:pt idx="349">
                  <c:v>8.5507482229485487E-4</c:v>
                </c:pt>
                <c:pt idx="350">
                  <c:v>8.4891398094721318E-4</c:v>
                </c:pt>
                <c:pt idx="351">
                  <c:v>8.3682415497477814E-4</c:v>
                </c:pt>
                <c:pt idx="352">
                  <c:v>8.3089517034998488E-4</c:v>
                </c:pt>
                <c:pt idx="353">
                  <c:v>8.250434712994744E-4</c:v>
                </c:pt>
                <c:pt idx="354">
                  <c:v>8.0240953084026066E-4</c:v>
                </c:pt>
                <c:pt idx="355">
                  <c:v>8.0795208759363993E-4</c:v>
                </c:pt>
                <c:pt idx="356">
                  <c:v>7.9694425966116416E-4</c:v>
                </c:pt>
                <c:pt idx="357">
                  <c:v>7.9155627405635043E-4</c:v>
                </c:pt>
                <c:pt idx="358">
                  <c:v>1.5615481856345104E-3</c:v>
                </c:pt>
                <c:pt idx="359">
                  <c:v>1.5374018100739587E-3</c:v>
                </c:pt>
                <c:pt idx="360">
                  <c:v>1.5017618885402521E-3</c:v>
                </c:pt>
                <c:pt idx="361">
                  <c:v>1.5615481856345104E-3</c:v>
                </c:pt>
                <c:pt idx="362">
                  <c:v>7.1585934248179239E-4</c:v>
                </c:pt>
                <c:pt idx="363">
                  <c:v>6.2908749122243227E-4</c:v>
                </c:pt>
                <c:pt idx="364">
                  <c:v>6.2725464203462734E-4</c:v>
                </c:pt>
                <c:pt idx="365">
                  <c:v>6.3099762598451987E-4</c:v>
                </c:pt>
                <c:pt idx="366">
                  <c:v>6.2908749122243227E-4</c:v>
                </c:pt>
                <c:pt idx="367">
                  <c:v>1.5135645768105384E-3</c:v>
                </c:pt>
                <c:pt idx="368">
                  <c:v>1.5135645768105384E-3</c:v>
                </c:pt>
                <c:pt idx="369">
                  <c:v>6.2549907842110518E-4</c:v>
                </c:pt>
                <c:pt idx="370">
                  <c:v>6.2908749122243227E-4</c:v>
                </c:pt>
                <c:pt idx="371">
                  <c:v>6.238208003818659E-4</c:v>
                </c:pt>
                <c:pt idx="372">
                  <c:v>6.2908749122243227E-4</c:v>
                </c:pt>
                <c:pt idx="373">
                  <c:v>6.222198079169094E-4</c:v>
                </c:pt>
                <c:pt idx="374">
                  <c:v>1.5135645768105384E-3</c:v>
                </c:pt>
                <c:pt idx="375">
                  <c:v>6.0747918985649756E-4</c:v>
                </c:pt>
                <c:pt idx="376">
                  <c:v>6.0682762887791708E-4</c:v>
                </c:pt>
                <c:pt idx="377">
                  <c:v>6.0648521019646758E-4</c:v>
                </c:pt>
                <c:pt idx="378">
                  <c:v>1.4213070667281685E-3</c:v>
                </c:pt>
                <c:pt idx="379">
                  <c:v>7.6861422239923763E-4</c:v>
                </c:pt>
                <c:pt idx="380">
                  <c:v>7.8926020353839129E-4</c:v>
                </c:pt>
                <c:pt idx="381">
                  <c:v>8.1114275386606999E-4</c:v>
                </c:pt>
                <c:pt idx="382">
                  <c:v>8.4023486719703123E-4</c:v>
                </c:pt>
                <c:pt idx="383">
                  <c:v>8.7125911988506226E-4</c:v>
                </c:pt>
                <c:pt idx="384">
                  <c:v>8.9746966237257749E-4</c:v>
                </c:pt>
                <c:pt idx="385">
                  <c:v>9.2491677404861797E-4</c:v>
                </c:pt>
                <c:pt idx="386">
                  <c:v>9.4631360633561708E-4</c:v>
                </c:pt>
                <c:pt idx="387">
                  <c:v>9.7592471409157578E-4</c:v>
                </c:pt>
                <c:pt idx="388">
                  <c:v>9.9894454343851411E-4</c:v>
                </c:pt>
                <c:pt idx="389">
                  <c:v>1.014677524207887E-3</c:v>
                </c:pt>
                <c:pt idx="390">
                  <c:v>8.0795208759363993E-4</c:v>
                </c:pt>
                <c:pt idx="391">
                  <c:v>8.0795208759363993E-4</c:v>
                </c:pt>
                <c:pt idx="392">
                  <c:v>8.0240953084026066E-4</c:v>
                </c:pt>
                <c:pt idx="393">
                  <c:v>7.9694425966116416E-4</c:v>
                </c:pt>
                <c:pt idx="394">
                  <c:v>1.5017618885402521E-3</c:v>
                </c:pt>
                <c:pt idx="395">
                  <c:v>8.0795208759363993E-4</c:v>
                </c:pt>
                <c:pt idx="396">
                  <c:v>7.9155627405635043E-4</c:v>
                </c:pt>
                <c:pt idx="397">
                  <c:v>8.250434712994744E-4</c:v>
                </c:pt>
                <c:pt idx="398">
                  <c:v>1.5017618885402521E-3</c:v>
                </c:pt>
                <c:pt idx="399">
                  <c:v>8.0240953084026066E-4</c:v>
                </c:pt>
                <c:pt idx="400">
                  <c:v>1.5494363550670933E-3</c:v>
                </c:pt>
                <c:pt idx="401">
                  <c:v>1.6869171978942366E-3</c:v>
                </c:pt>
                <c:pt idx="402">
                  <c:v>7.9155627405635043E-4</c:v>
                </c:pt>
                <c:pt idx="403">
                  <c:v>1.6869171978942366E-3</c:v>
                </c:pt>
                <c:pt idx="404">
                  <c:v>7.9694425966116416E-4</c:v>
                </c:pt>
                <c:pt idx="405">
                  <c:v>8.0240953084026066E-4</c:v>
                </c:pt>
                <c:pt idx="406">
                  <c:v>8.0240953084026066E-4</c:v>
                </c:pt>
                <c:pt idx="407">
                  <c:v>1.5254445506551072E-3</c:v>
                </c:pt>
                <c:pt idx="408">
                  <c:v>1.5254445506551072E-3</c:v>
                </c:pt>
                <c:pt idx="409">
                  <c:v>1.5017618885402521E-3</c:v>
                </c:pt>
                <c:pt idx="410">
                  <c:v>1.4668175371750909E-3</c:v>
                </c:pt>
                <c:pt idx="411">
                  <c:v>7.1178521163978625E-4</c:v>
                </c:pt>
                <c:pt idx="412">
                  <c:v>7.2001075889808119E-4</c:v>
                </c:pt>
                <c:pt idx="413">
                  <c:v>1.119394181260477E-3</c:v>
                </c:pt>
                <c:pt idx="414">
                  <c:v>1.1105283448129377E-3</c:v>
                </c:pt>
                <c:pt idx="415">
                  <c:v>1.0930285286407065E-3</c:v>
                </c:pt>
                <c:pt idx="416">
                  <c:v>1.0843945489160153E-3</c:v>
                </c:pt>
                <c:pt idx="417">
                  <c:v>1.0673584461894812E-3</c:v>
                </c:pt>
                <c:pt idx="418">
                  <c:v>1.6232666220858387E-3</c:v>
                </c:pt>
                <c:pt idx="419">
                  <c:v>1.0423839339068009E-3</c:v>
                </c:pt>
                <c:pt idx="420">
                  <c:v>1.0342136676278065E-3</c:v>
                </c:pt>
                <c:pt idx="421">
                  <c:v>1.026120686923095E-3</c:v>
                </c:pt>
                <c:pt idx="422">
                  <c:v>1.0181049917926659E-3</c:v>
                </c:pt>
                <c:pt idx="423">
                  <c:v>1.0181049917926659E-3</c:v>
                </c:pt>
                <c:pt idx="424">
                  <c:v>1.0101665822365199E-3</c:v>
                </c:pt>
                <c:pt idx="425">
                  <c:v>9.9452161984707617E-4</c:v>
                </c:pt>
                <c:pt idx="426">
                  <c:v>9.8681506701377869E-4</c:v>
                </c:pt>
                <c:pt idx="427">
                  <c:v>1.6107683636470073E-3</c:v>
                </c:pt>
                <c:pt idx="428">
                  <c:v>8.7769582714551707E-4</c:v>
                </c:pt>
                <c:pt idx="429">
                  <c:v>9.042155119301635E-4</c:v>
                </c:pt>
                <c:pt idx="430">
                  <c:v>9.5360045491318295E-4</c:v>
                </c:pt>
                <c:pt idx="431">
                  <c:v>9.9119398141525182E-4</c:v>
                </c:pt>
                <c:pt idx="432">
                  <c:v>1.030719647274391E-3</c:v>
                </c:pt>
                <c:pt idx="433">
                  <c:v>1.0807008702566903E-3</c:v>
                </c:pt>
                <c:pt idx="434">
                  <c:v>1.1701857545031464E-3</c:v>
                </c:pt>
                <c:pt idx="435">
                  <c:v>1.2374236651454919E-3</c:v>
                </c:pt>
                <c:pt idx="436">
                  <c:v>6.1423685018710918E-4</c:v>
                </c:pt>
                <c:pt idx="437">
                  <c:v>6.1128872657502679E-4</c:v>
                </c:pt>
                <c:pt idx="438">
                  <c:v>6.0772124040130257E-4</c:v>
                </c:pt>
                <c:pt idx="439">
                  <c:v>1.5017618885402521E-3</c:v>
                </c:pt>
                <c:pt idx="440">
                  <c:v>6.0661777675005094E-4</c:v>
                </c:pt>
                <c:pt idx="441">
                  <c:v>6.1128872657502679E-4</c:v>
                </c:pt>
                <c:pt idx="442">
                  <c:v>6.0843989313220947E-4</c:v>
                </c:pt>
                <c:pt idx="443">
                  <c:v>6.0711476658006577E-4</c:v>
                </c:pt>
                <c:pt idx="444">
                  <c:v>6.1012782600971583E-4</c:v>
                </c:pt>
                <c:pt idx="445">
                  <c:v>1.3661579040908781E-3</c:v>
                </c:pt>
                <c:pt idx="446">
                  <c:v>6.8743270996904934E-4</c:v>
                </c:pt>
                <c:pt idx="447">
                  <c:v>1.4325687559784749E-3</c:v>
                </c:pt>
                <c:pt idx="448">
                  <c:v>6.2312199631118278E-4</c:v>
                </c:pt>
                <c:pt idx="449">
                  <c:v>6.2155428023054436E-4</c:v>
                </c:pt>
                <c:pt idx="450">
                  <c:v>6.0876996205694355E-4</c:v>
                </c:pt>
                <c:pt idx="451">
                  <c:v>6.9257384104399783E-4</c:v>
                </c:pt>
                <c:pt idx="452">
                  <c:v>6.9257384104399783E-4</c:v>
                </c:pt>
                <c:pt idx="453">
                  <c:v>6.72070620280384E-4</c:v>
                </c:pt>
                <c:pt idx="454">
                  <c:v>6.5994751792363077E-4</c:v>
                </c:pt>
                <c:pt idx="455">
                  <c:v>6.5166668968603524E-4</c:v>
                </c:pt>
                <c:pt idx="456">
                  <c:v>6.440814316169849E-4</c:v>
                </c:pt>
                <c:pt idx="457">
                  <c:v>6.3941102077569876E-4</c:v>
                </c:pt>
                <c:pt idx="458">
                  <c:v>1.5254445506551072E-3</c:v>
                </c:pt>
                <c:pt idx="459">
                  <c:v>6.2908749122243227E-4</c:v>
                </c:pt>
                <c:pt idx="460">
                  <c:v>6.1788054396773654E-4</c:v>
                </c:pt>
                <c:pt idx="461">
                  <c:v>6.222198079169094E-4</c:v>
                </c:pt>
                <c:pt idx="462">
                  <c:v>6.1788054396773654E-4</c:v>
                </c:pt>
                <c:pt idx="463">
                  <c:v>6.1128872657502679E-4</c:v>
                </c:pt>
                <c:pt idx="464">
                  <c:v>6.1046058985289825E-4</c:v>
                </c:pt>
                <c:pt idx="465">
                  <c:v>6.0747918985649756E-4</c:v>
                </c:pt>
                <c:pt idx="466">
                  <c:v>6.1274426374599501E-4</c:v>
                </c:pt>
                <c:pt idx="467">
                  <c:v>6.1605627165081927E-4</c:v>
                </c:pt>
                <c:pt idx="468">
                  <c:v>6.1274426374599501E-4</c:v>
                </c:pt>
                <c:pt idx="469">
                  <c:v>6.384460056304697E-4</c:v>
                </c:pt>
                <c:pt idx="470">
                  <c:v>6.2648928519530773E-4</c:v>
                </c:pt>
                <c:pt idx="471">
                  <c:v>1.4213070667281685E-3</c:v>
                </c:pt>
                <c:pt idx="472">
                  <c:v>6.3211986032861618E-4</c:v>
                </c:pt>
                <c:pt idx="473">
                  <c:v>1.4213070667281685E-3</c:v>
                </c:pt>
                <c:pt idx="474">
                  <c:v>6.7716500037877261E-4</c:v>
                </c:pt>
                <c:pt idx="475">
                  <c:v>6.839328545313407E-4</c:v>
                </c:pt>
                <c:pt idx="476">
                  <c:v>6.9100985098104022E-4</c:v>
                </c:pt>
                <c:pt idx="477">
                  <c:v>1.3553599282862686E-3</c:v>
                </c:pt>
                <c:pt idx="478">
                  <c:v>1.4101226630521449E-3</c:v>
                </c:pt>
                <c:pt idx="479">
                  <c:v>7.0609127077183231E-4</c:v>
                </c:pt>
                <c:pt idx="480">
                  <c:v>7.0220498746271023E-4</c:v>
                </c:pt>
                <c:pt idx="481">
                  <c:v>1.3234297143181366E-3</c:v>
                </c:pt>
                <c:pt idx="482">
                  <c:v>1.1425287906992399E-3</c:v>
                </c:pt>
                <c:pt idx="483">
                  <c:v>1.2573300669261357E-3</c:v>
                </c:pt>
                <c:pt idx="484">
                  <c:v>1.3942570219928952E-3</c:v>
                </c:pt>
                <c:pt idx="485">
                  <c:v>1.520319987470097E-3</c:v>
                </c:pt>
                <c:pt idx="486">
                  <c:v>1.6054108657717699E-3</c:v>
                </c:pt>
                <c:pt idx="487">
                  <c:v>1.6942887372132993E-3</c:v>
                </c:pt>
                <c:pt idx="488">
                  <c:v>1.3025293328774625E-3</c:v>
                </c:pt>
                <c:pt idx="489">
                  <c:v>1.7734839072744968E-3</c:v>
                </c:pt>
                <c:pt idx="490">
                  <c:v>1.7869536017946863E-3</c:v>
                </c:pt>
                <c:pt idx="491">
                  <c:v>1.7869536017946863E-3</c:v>
                </c:pt>
                <c:pt idx="492">
                  <c:v>6.8896342364768845E-4</c:v>
                </c:pt>
                <c:pt idx="493">
                  <c:v>6.72070620280384E-4</c:v>
                </c:pt>
                <c:pt idx="494">
                  <c:v>6.4906098475540235E-4</c:v>
                </c:pt>
                <c:pt idx="495">
                  <c:v>6.4170758340920055E-4</c:v>
                </c:pt>
                <c:pt idx="496">
                  <c:v>6.440814316169849E-4</c:v>
                </c:pt>
                <c:pt idx="497">
                  <c:v>6.1219414887143811E-4</c:v>
                </c:pt>
                <c:pt idx="498">
                  <c:v>6.0648521019646758E-4</c:v>
                </c:pt>
                <c:pt idx="499">
                  <c:v>6.2312199631118278E-4</c:v>
                </c:pt>
                <c:pt idx="500">
                  <c:v>6.2155428023054436E-4</c:v>
                </c:pt>
                <c:pt idx="501">
                  <c:v>6.2312199631118278E-4</c:v>
                </c:pt>
                <c:pt idx="502">
                  <c:v>6.3415128985495114E-4</c:v>
                </c:pt>
                <c:pt idx="503">
                  <c:v>7.7365978932260207E-4</c:v>
                </c:pt>
                <c:pt idx="504">
                  <c:v>7.8926020353839129E-4</c:v>
                </c:pt>
                <c:pt idx="505">
                  <c:v>8.1114275386606999E-4</c:v>
                </c:pt>
                <c:pt idx="506">
                  <c:v>8.5861756208700118E-4</c:v>
                </c:pt>
                <c:pt idx="507">
                  <c:v>9.3910404333233475E-4</c:v>
                </c:pt>
                <c:pt idx="508">
                  <c:v>1.038856637169067E-3</c:v>
                </c:pt>
                <c:pt idx="509">
                  <c:v>1.1701857545031464E-3</c:v>
                </c:pt>
                <c:pt idx="510">
                  <c:v>1.2516308768257263E-3</c:v>
                </c:pt>
                <c:pt idx="511">
                  <c:v>1.4668175371750909E-3</c:v>
                </c:pt>
                <c:pt idx="512">
                  <c:v>6.2828885799879448E-4</c:v>
                </c:pt>
                <c:pt idx="513">
                  <c:v>6.3415128985495114E-4</c:v>
                </c:pt>
                <c:pt idx="514">
                  <c:v>6.384460056304697E-4</c:v>
                </c:pt>
                <c:pt idx="515">
                  <c:v>1.6740325115839913E-3</c:v>
                </c:pt>
                <c:pt idx="516">
                  <c:v>1.4213070667281685E-3</c:v>
                </c:pt>
                <c:pt idx="517">
                  <c:v>1.3879857124229459E-3</c:v>
                </c:pt>
                <c:pt idx="518">
                  <c:v>1.3553599282862686E-3</c:v>
                </c:pt>
                <c:pt idx="519">
                  <c:v>6.7716500037877261E-4</c:v>
                </c:pt>
                <c:pt idx="520">
                  <c:v>6.8743270996904934E-4</c:v>
                </c:pt>
                <c:pt idx="521">
                  <c:v>7.0220498746271023E-4</c:v>
                </c:pt>
                <c:pt idx="522">
                  <c:v>1.4325687559784749E-3</c:v>
                </c:pt>
                <c:pt idx="523">
                  <c:v>1.4325687559784749E-3</c:v>
                </c:pt>
                <c:pt idx="524">
                  <c:v>7.1409569411292522E-4</c:v>
                </c:pt>
                <c:pt idx="525">
                  <c:v>7.1409569411292522E-4</c:v>
                </c:pt>
                <c:pt idx="526">
                  <c:v>9.1400024526635615E-4</c:v>
                </c:pt>
                <c:pt idx="527">
                  <c:v>9.0036470780826508E-4</c:v>
                </c:pt>
                <c:pt idx="528">
                  <c:v>8.8703831264730533E-4</c:v>
                </c:pt>
                <c:pt idx="529">
                  <c:v>8.8703831264730533E-4</c:v>
                </c:pt>
                <c:pt idx="530">
                  <c:v>8.6762836171298667E-4</c:v>
                </c:pt>
                <c:pt idx="531">
                  <c:v>8.5507482229485487E-4</c:v>
                </c:pt>
                <c:pt idx="532">
                  <c:v>8.5507482229485487E-4</c:v>
                </c:pt>
                <c:pt idx="533">
                  <c:v>8.4891398094721318E-4</c:v>
                </c:pt>
                <c:pt idx="534">
                  <c:v>8.3089517034998488E-4</c:v>
                </c:pt>
                <c:pt idx="535">
                  <c:v>8.250434712994744E-4</c:v>
                </c:pt>
                <c:pt idx="536">
                  <c:v>8.192690578232467E-4</c:v>
                </c:pt>
                <c:pt idx="537">
                  <c:v>7.9155627405635043E-4</c:v>
                </c:pt>
                <c:pt idx="538">
                  <c:v>1.5615481856345104E-3</c:v>
                </c:pt>
                <c:pt idx="539">
                  <c:v>1.5374018100739587E-3</c:v>
                </c:pt>
                <c:pt idx="540">
                  <c:v>1.5374018100739587E-3</c:v>
                </c:pt>
                <c:pt idx="541">
                  <c:v>7.8926020353839129E-4</c:v>
                </c:pt>
                <c:pt idx="542">
                  <c:v>8.9746966237257749E-4</c:v>
                </c:pt>
                <c:pt idx="543">
                  <c:v>1.0553624736812678E-3</c:v>
                </c:pt>
                <c:pt idx="544">
                  <c:v>1.1701857545031464E-3</c:v>
                </c:pt>
                <c:pt idx="545">
                  <c:v>1.217826405661979E-3</c:v>
                </c:pt>
                <c:pt idx="546">
                  <c:v>1.3339958333998978E-3</c:v>
                </c:pt>
                <c:pt idx="547">
                  <c:v>1.2573300669261357E-3</c:v>
                </c:pt>
                <c:pt idx="548">
                  <c:v>1.1890101582438311E-3</c:v>
                </c:pt>
                <c:pt idx="549">
                  <c:v>1.160889480994228E-3</c:v>
                </c:pt>
                <c:pt idx="550">
                  <c:v>1.2717584025235722E-3</c:v>
                </c:pt>
                <c:pt idx="551">
                  <c:v>6.7859588490445737E-4</c:v>
                </c:pt>
                <c:pt idx="552">
                  <c:v>6.6892391632977148E-4</c:v>
                </c:pt>
                <c:pt idx="553">
                  <c:v>1.5374018100739587E-3</c:v>
                </c:pt>
                <c:pt idx="554">
                  <c:v>6.72070620280384E-4</c:v>
                </c:pt>
                <c:pt idx="555">
                  <c:v>6.5710995627014956E-4</c:v>
                </c:pt>
                <c:pt idx="556">
                  <c:v>6.5434968019095101E-4</c:v>
                </c:pt>
                <c:pt idx="557">
                  <c:v>6.6892391632977148E-4</c:v>
                </c:pt>
                <c:pt idx="558">
                  <c:v>1.5494363550670933E-3</c:v>
                </c:pt>
                <c:pt idx="559">
                  <c:v>6.752946098052793E-4</c:v>
                </c:pt>
                <c:pt idx="560">
                  <c:v>6.6892391632977148E-4</c:v>
                </c:pt>
                <c:pt idx="561">
                  <c:v>6.5166668968603524E-4</c:v>
                </c:pt>
                <c:pt idx="562">
                  <c:v>6.5710995627014956E-4</c:v>
                </c:pt>
                <c:pt idx="563">
                  <c:v>6.3298504632089045E-4</c:v>
                </c:pt>
                <c:pt idx="564">
                  <c:v>6.9257384104399783E-4</c:v>
                </c:pt>
                <c:pt idx="565">
                  <c:v>6.6585449795344173E-4</c:v>
                </c:pt>
                <c:pt idx="566">
                  <c:v>9.8681506701377869E-4</c:v>
                </c:pt>
                <c:pt idx="567">
                  <c:v>9.7163381807003171E-4</c:v>
                </c:pt>
                <c:pt idx="568">
                  <c:v>9.7163381807003171E-4</c:v>
                </c:pt>
                <c:pt idx="569">
                  <c:v>9.494415864615322E-4</c:v>
                </c:pt>
                <c:pt idx="570">
                  <c:v>9.3503319326061329E-4</c:v>
                </c:pt>
                <c:pt idx="571">
                  <c:v>9.1400024526635615E-4</c:v>
                </c:pt>
                <c:pt idx="572">
                  <c:v>1.5983473907824589E-3</c:v>
                </c:pt>
                <c:pt idx="573">
                  <c:v>8.9366286744064377E-4</c:v>
                </c:pt>
                <c:pt idx="574">
                  <c:v>8.8049104342824967E-4</c:v>
                </c:pt>
                <c:pt idx="575">
                  <c:v>8.7402105978347678E-4</c:v>
                </c:pt>
                <c:pt idx="576">
                  <c:v>8.6762836171298667E-4</c:v>
                </c:pt>
                <c:pt idx="577">
                  <c:v>1.5860037034921934E-3</c:v>
                </c:pt>
                <c:pt idx="578">
                  <c:v>8.3682415497477814E-4</c:v>
                </c:pt>
                <c:pt idx="579">
                  <c:v>8.3089517034998488E-4</c:v>
                </c:pt>
                <c:pt idx="580">
                  <c:v>8.1357192992130198E-4</c:v>
                </c:pt>
                <c:pt idx="581">
                  <c:v>8.8420981998025433E-4</c:v>
                </c:pt>
                <c:pt idx="582">
                  <c:v>8.9080109838927468E-4</c:v>
                </c:pt>
                <c:pt idx="583">
                  <c:v>9.1103864706203229E-4</c:v>
                </c:pt>
                <c:pt idx="584">
                  <c:v>9.5360045491318295E-4</c:v>
                </c:pt>
                <c:pt idx="585">
                  <c:v>9.8352070496627252E-4</c:v>
                </c:pt>
                <c:pt idx="586">
                  <c:v>1.014677524207887E-3</c:v>
                </c:pt>
                <c:pt idx="587">
                  <c:v>1.0470709126380263E-3</c:v>
                </c:pt>
                <c:pt idx="588">
                  <c:v>1.3661579040908781E-3</c:v>
                </c:pt>
                <c:pt idx="589">
                  <c:v>1.160889480994228E-3</c:v>
                </c:pt>
                <c:pt idx="590">
                  <c:v>1.2374236651454919E-3</c:v>
                </c:pt>
                <c:pt idx="591">
                  <c:v>1.3025293328774625E-3</c:v>
                </c:pt>
                <c:pt idx="592">
                  <c:v>1.2616559968875079E-3</c:v>
                </c:pt>
                <c:pt idx="593">
                  <c:v>1.3339958333998978E-3</c:v>
                </c:pt>
                <c:pt idx="594">
                  <c:v>9.5676171142341604E-4</c:v>
                </c:pt>
                <c:pt idx="595">
                  <c:v>9.494415864615322E-4</c:v>
                </c:pt>
                <c:pt idx="596">
                  <c:v>9.3503319326061329E-4</c:v>
                </c:pt>
                <c:pt idx="597">
                  <c:v>9.3503319326061329E-4</c:v>
                </c:pt>
                <c:pt idx="598">
                  <c:v>9.3503319326061329E-4</c:v>
                </c:pt>
                <c:pt idx="599">
                  <c:v>9.2093394235682568E-4</c:v>
                </c:pt>
                <c:pt idx="600">
                  <c:v>9.2794492502157821E-4</c:v>
                </c:pt>
                <c:pt idx="601">
                  <c:v>1.5983473907824589E-3</c:v>
                </c:pt>
                <c:pt idx="602">
                  <c:v>9.2794492502157821E-4</c:v>
                </c:pt>
                <c:pt idx="603">
                  <c:v>9.0036470780826508E-4</c:v>
                </c:pt>
                <c:pt idx="604">
                  <c:v>9.0036470780826508E-4</c:v>
                </c:pt>
                <c:pt idx="605">
                  <c:v>9.0036470780826508E-4</c:v>
                </c:pt>
                <c:pt idx="606">
                  <c:v>9.0036470780826508E-4</c:v>
                </c:pt>
                <c:pt idx="607">
                  <c:v>8.8703831264730533E-4</c:v>
                </c:pt>
                <c:pt idx="608">
                  <c:v>8.8049104342824967E-4</c:v>
                </c:pt>
                <c:pt idx="609">
                  <c:v>6.2006384972418892E-4</c:v>
                </c:pt>
                <c:pt idx="610">
                  <c:v>6.2312199631118278E-4</c:v>
                </c:pt>
                <c:pt idx="611">
                  <c:v>6.2312199631118278E-4</c:v>
                </c:pt>
                <c:pt idx="612">
                  <c:v>6.3016571637656389E-4</c:v>
                </c:pt>
                <c:pt idx="613">
                  <c:v>6.3626000495556898E-4</c:v>
                </c:pt>
                <c:pt idx="614">
                  <c:v>6.4070929187965309E-4</c:v>
                </c:pt>
                <c:pt idx="615">
                  <c:v>1.4668175371750909E-3</c:v>
                </c:pt>
                <c:pt idx="616">
                  <c:v>6.2828885799879448E-4</c:v>
                </c:pt>
                <c:pt idx="617">
                  <c:v>1.4101226630521449E-3</c:v>
                </c:pt>
                <c:pt idx="618">
                  <c:v>1.3661579040908781E-3</c:v>
                </c:pt>
                <c:pt idx="619">
                  <c:v>1.2673991961778825E-3</c:v>
                </c:pt>
                <c:pt idx="620">
                  <c:v>1.1244772427013831E-3</c:v>
                </c:pt>
                <c:pt idx="621">
                  <c:v>1.160889480994228E-3</c:v>
                </c:pt>
                <c:pt idx="622">
                  <c:v>1.3553599282862686E-3</c:v>
                </c:pt>
                <c:pt idx="623">
                  <c:v>1.1890101582438311E-3</c:v>
                </c:pt>
                <c:pt idx="624">
                  <c:v>1.2473382232486725E-3</c:v>
                </c:pt>
                <c:pt idx="625">
                  <c:v>1.3129408808106582E-3</c:v>
                </c:pt>
                <c:pt idx="626">
                  <c:v>1.2819380937339195E-3</c:v>
                </c:pt>
                <c:pt idx="627">
                  <c:v>1.1067348370006574E-3</c:v>
                </c:pt>
                <c:pt idx="628">
                  <c:v>1.0807008702566903E-3</c:v>
                </c:pt>
                <c:pt idx="629">
                  <c:v>1.1334643739131702E-3</c:v>
                </c:pt>
                <c:pt idx="630">
                  <c:v>1.1701857545031464E-3</c:v>
                </c:pt>
                <c:pt idx="631">
                  <c:v>1.1516704930595928E-3</c:v>
                </c:pt>
                <c:pt idx="632">
                  <c:v>1.160889480994228E-3</c:v>
                </c:pt>
                <c:pt idx="633">
                  <c:v>6.9839598972787061E-4</c:v>
                </c:pt>
                <c:pt idx="634">
                  <c:v>7.0220498746271023E-4</c:v>
                </c:pt>
                <c:pt idx="635">
                  <c:v>1.4325687559784749E-3</c:v>
                </c:pt>
                <c:pt idx="636">
                  <c:v>7.4920481044860878E-4</c:v>
                </c:pt>
                <c:pt idx="637">
                  <c:v>7.1409569411292522E-4</c:v>
                </c:pt>
                <c:pt idx="638">
                  <c:v>7.0220498746271023E-4</c:v>
                </c:pt>
                <c:pt idx="639">
                  <c:v>7.0220498746271023E-4</c:v>
                </c:pt>
                <c:pt idx="640">
                  <c:v>7.6364594105015639E-4</c:v>
                </c:pt>
                <c:pt idx="641">
                  <c:v>1.4101226630521449E-3</c:v>
                </c:pt>
                <c:pt idx="642">
                  <c:v>7.9461491275888715E-4</c:v>
                </c:pt>
                <c:pt idx="643">
                  <c:v>7.8926020353839129E-4</c:v>
                </c:pt>
                <c:pt idx="644">
                  <c:v>7.8926020353839129E-4</c:v>
                </c:pt>
                <c:pt idx="645">
                  <c:v>8.2836616514179843E-4</c:v>
                </c:pt>
                <c:pt idx="646">
                  <c:v>8.4628514658607163E-4</c:v>
                </c:pt>
                <c:pt idx="647">
                  <c:v>8.3426187338227317E-4</c:v>
                </c:pt>
                <c:pt idx="648">
                  <c:v>8.8420981998025433E-4</c:v>
                </c:pt>
                <c:pt idx="649">
                  <c:v>6.2069610102623556E-4</c:v>
                </c:pt>
                <c:pt idx="650">
                  <c:v>1.5135645768105384E-3</c:v>
                </c:pt>
                <c:pt idx="651">
                  <c:v>6.1788054396773654E-4</c:v>
                </c:pt>
                <c:pt idx="652">
                  <c:v>6.1537412920636893E-4</c:v>
                </c:pt>
                <c:pt idx="653">
                  <c:v>6.1219414887143811E-4</c:v>
                </c:pt>
                <c:pt idx="654">
                  <c:v>6.1128872657502679E-4</c:v>
                </c:pt>
                <c:pt idx="655">
                  <c:v>6.0970973870505248E-4</c:v>
                </c:pt>
                <c:pt idx="656">
                  <c:v>1.5017618885402521E-3</c:v>
                </c:pt>
                <c:pt idx="657">
                  <c:v>6.0843989313220947E-4</c:v>
                </c:pt>
                <c:pt idx="658">
                  <c:v>6.0747918985649756E-4</c:v>
                </c:pt>
                <c:pt idx="659">
                  <c:v>6.0682762887791708E-4</c:v>
                </c:pt>
                <c:pt idx="660">
                  <c:v>6.0661777675005094E-4</c:v>
                </c:pt>
                <c:pt idx="661">
                  <c:v>6.0645193381214928E-4</c:v>
                </c:pt>
                <c:pt idx="662">
                  <c:v>6.0672779972496219E-4</c:v>
                </c:pt>
                <c:pt idx="663">
                  <c:v>6.0772124040130257E-4</c:v>
                </c:pt>
                <c:pt idx="664">
                  <c:v>6.1605627165081927E-4</c:v>
                </c:pt>
                <c:pt idx="665">
                  <c:v>6.2006384972418892E-4</c:v>
                </c:pt>
                <c:pt idx="666">
                  <c:v>1.4668175371750909E-3</c:v>
                </c:pt>
                <c:pt idx="667">
                  <c:v>6.3016571637656389E-4</c:v>
                </c:pt>
                <c:pt idx="668">
                  <c:v>6.3626000495556898E-4</c:v>
                </c:pt>
                <c:pt idx="669">
                  <c:v>1.6740325115839913E-3</c:v>
                </c:pt>
                <c:pt idx="670">
                  <c:v>1.4213070667281685E-3</c:v>
                </c:pt>
                <c:pt idx="671">
                  <c:v>1.3879857124229459E-3</c:v>
                </c:pt>
                <c:pt idx="672">
                  <c:v>1.3661579040908781E-3</c:v>
                </c:pt>
                <c:pt idx="673">
                  <c:v>6.7716500037877261E-4</c:v>
                </c:pt>
                <c:pt idx="674">
                  <c:v>6.8743270996904934E-4</c:v>
                </c:pt>
                <c:pt idx="675">
                  <c:v>6.1092268634752608E-4</c:v>
                </c:pt>
                <c:pt idx="676">
                  <c:v>6.1274426374599501E-4</c:v>
                </c:pt>
                <c:pt idx="677">
                  <c:v>6.1487498344159504E-4</c:v>
                </c:pt>
                <c:pt idx="678">
                  <c:v>6.1731484543432638E-4</c:v>
                </c:pt>
                <c:pt idx="679">
                  <c:v>6.2006384972418892E-4</c:v>
                </c:pt>
                <c:pt idx="680">
                  <c:v>6.2312199631118278E-4</c:v>
                </c:pt>
                <c:pt idx="681">
                  <c:v>6.2312199631118278E-4</c:v>
                </c:pt>
                <c:pt idx="682">
                  <c:v>1.4668175371750909E-3</c:v>
                </c:pt>
                <c:pt idx="683">
                  <c:v>6.2648928519530773E-4</c:v>
                </c:pt>
                <c:pt idx="684">
                  <c:v>1.4668175371750909E-3</c:v>
                </c:pt>
                <c:pt idx="685">
                  <c:v>6.839328545313407E-4</c:v>
                </c:pt>
                <c:pt idx="686">
                  <c:v>6.2312199631118278E-4</c:v>
                </c:pt>
                <c:pt idx="687">
                  <c:v>6.2312199631118278E-4</c:v>
                </c:pt>
                <c:pt idx="688">
                  <c:v>6.2155428023054436E-4</c:v>
                </c:pt>
                <c:pt idx="689">
                  <c:v>6.2155428023054436E-4</c:v>
                </c:pt>
                <c:pt idx="690">
                  <c:v>6.4304986370311915E-4</c:v>
                </c:pt>
                <c:pt idx="691">
                  <c:v>1.4900364858442489E-3</c:v>
                </c:pt>
                <c:pt idx="692">
                  <c:v>6.238208003818659E-4</c:v>
                </c:pt>
                <c:pt idx="693">
                  <c:v>6.2908749122243227E-4</c:v>
                </c:pt>
                <c:pt idx="694">
                  <c:v>6.2725464203462734E-4</c:v>
                </c:pt>
                <c:pt idx="695">
                  <c:v>6.222198079169094E-4</c:v>
                </c:pt>
                <c:pt idx="696">
                  <c:v>6.0648521019646758E-4</c:v>
                </c:pt>
                <c:pt idx="697">
                  <c:v>7.3996381791899106E-4</c:v>
                </c:pt>
                <c:pt idx="698">
                  <c:v>8.5861756208700118E-4</c:v>
                </c:pt>
                <c:pt idx="699">
                  <c:v>1.3553599282862686E-3</c:v>
                </c:pt>
                <c:pt idx="700">
                  <c:v>1.4439077308030642E-3</c:v>
                </c:pt>
                <c:pt idx="701">
                  <c:v>1.0101665822365199E-3</c:v>
                </c:pt>
                <c:pt idx="702">
                  <c:v>1.0023054582546567E-3</c:v>
                </c:pt>
                <c:pt idx="703">
                  <c:v>9.8681506701377869E-4</c:v>
                </c:pt>
                <c:pt idx="704">
                  <c:v>1.6107683636470073E-3</c:v>
                </c:pt>
                <c:pt idx="705">
                  <c:v>9.9452161984707617E-4</c:v>
                </c:pt>
                <c:pt idx="706">
                  <c:v>1.6232666220858387E-3</c:v>
                </c:pt>
                <c:pt idx="707">
                  <c:v>1.0506314857600782E-3</c:v>
                </c:pt>
                <c:pt idx="708">
                  <c:v>1.6232666220858387E-3</c:v>
                </c:pt>
                <c:pt idx="709">
                  <c:v>1.0506314857600782E-3</c:v>
                </c:pt>
                <c:pt idx="710">
                  <c:v>1.0506314857600782E-3</c:v>
                </c:pt>
                <c:pt idx="711">
                  <c:v>1.0342136676278065E-3</c:v>
                </c:pt>
                <c:pt idx="712">
                  <c:v>1.0181049917926659E-3</c:v>
                </c:pt>
                <c:pt idx="713">
                  <c:v>9.9452161984707617E-4</c:v>
                </c:pt>
                <c:pt idx="714">
                  <c:v>9.9452161984707617E-4</c:v>
                </c:pt>
                <c:pt idx="715">
                  <c:v>9.7163381807003171E-4</c:v>
                </c:pt>
                <c:pt idx="716">
                  <c:v>9.8681506701377869E-4</c:v>
                </c:pt>
                <c:pt idx="717">
                  <c:v>9.7163381807003171E-4</c:v>
                </c:pt>
                <c:pt idx="718">
                  <c:v>9.494415864615322E-4</c:v>
                </c:pt>
                <c:pt idx="719">
                  <c:v>9.494415864615322E-4</c:v>
                </c:pt>
                <c:pt idx="720">
                  <c:v>9.3503319326061329E-4</c:v>
                </c:pt>
                <c:pt idx="721">
                  <c:v>1.0843945489160153E-3</c:v>
                </c:pt>
                <c:pt idx="722">
                  <c:v>1.0758378547656069E-3</c:v>
                </c:pt>
                <c:pt idx="723">
                  <c:v>1.6232666220858387E-3</c:v>
                </c:pt>
                <c:pt idx="724">
                  <c:v>1.6232666220858387E-3</c:v>
                </c:pt>
                <c:pt idx="725">
                  <c:v>1.6232666220858387E-3</c:v>
                </c:pt>
                <c:pt idx="726">
                  <c:v>1.0506314857600782E-3</c:v>
                </c:pt>
                <c:pt idx="727">
                  <c:v>1.0506314857600782E-3</c:v>
                </c:pt>
                <c:pt idx="728">
                  <c:v>1.0342136676278065E-3</c:v>
                </c:pt>
                <c:pt idx="729">
                  <c:v>1.0181049917926659E-3</c:v>
                </c:pt>
                <c:pt idx="730">
                  <c:v>1.0101665822365199E-3</c:v>
                </c:pt>
                <c:pt idx="731">
                  <c:v>1.0101665822365199E-3</c:v>
                </c:pt>
                <c:pt idx="732">
                  <c:v>9.6415912195958243E-4</c:v>
                </c:pt>
                <c:pt idx="733">
                  <c:v>9.6415912195958243E-4</c:v>
                </c:pt>
                <c:pt idx="734">
                  <c:v>9.4219874707393136E-4</c:v>
                </c:pt>
                <c:pt idx="735">
                  <c:v>9.2794492502157821E-4</c:v>
                </c:pt>
                <c:pt idx="736">
                  <c:v>6.5434968019095101E-4</c:v>
                </c:pt>
                <c:pt idx="737">
                  <c:v>6.4653256539905224E-4</c:v>
                </c:pt>
                <c:pt idx="738">
                  <c:v>6.4170758340920055E-4</c:v>
                </c:pt>
                <c:pt idx="739">
                  <c:v>6.3941102077569876E-4</c:v>
                </c:pt>
                <c:pt idx="740">
                  <c:v>6.4170758340920055E-4</c:v>
                </c:pt>
                <c:pt idx="741">
                  <c:v>6.3298504632089045E-4</c:v>
                </c:pt>
                <c:pt idx="742">
                  <c:v>6.2725464203462734E-4</c:v>
                </c:pt>
                <c:pt idx="743">
                  <c:v>6.222198079169094E-4</c:v>
                </c:pt>
                <c:pt idx="744">
                  <c:v>1.5135645768105384E-3</c:v>
                </c:pt>
                <c:pt idx="745">
                  <c:v>6.0843989313220947E-4</c:v>
                </c:pt>
                <c:pt idx="746">
                  <c:v>6.0682762887791708E-4</c:v>
                </c:pt>
                <c:pt idx="747">
                  <c:v>6.0661777675005094E-4</c:v>
                </c:pt>
                <c:pt idx="748">
                  <c:v>7.2423946088865298E-4</c:v>
                </c:pt>
                <c:pt idx="749">
                  <c:v>7.2001075889808119E-4</c:v>
                </c:pt>
                <c:pt idx="750">
                  <c:v>7.1585934248179239E-4</c:v>
                </c:pt>
                <c:pt idx="751">
                  <c:v>7.1178521163978625E-4</c:v>
                </c:pt>
                <c:pt idx="752">
                  <c:v>7.0778836637206289E-4</c:v>
                </c:pt>
                <c:pt idx="753">
                  <c:v>7.0386880667862241E-4</c:v>
                </c:pt>
                <c:pt idx="754">
                  <c:v>7.0002653255946481E-4</c:v>
                </c:pt>
                <c:pt idx="755">
                  <c:v>1.5494363550670933E-3</c:v>
                </c:pt>
                <c:pt idx="756">
                  <c:v>6.9257384104399783E-4</c:v>
                </c:pt>
                <c:pt idx="757">
                  <c:v>6.72070620280384E-4</c:v>
                </c:pt>
                <c:pt idx="758">
                  <c:v>6.7859588490445737E-4</c:v>
                </c:pt>
                <c:pt idx="759">
                  <c:v>6.72070620280384E-4</c:v>
                </c:pt>
                <c:pt idx="760">
                  <c:v>6.6585449795344173E-4</c:v>
                </c:pt>
                <c:pt idx="761">
                  <c:v>6.5994751792363077E-4</c:v>
                </c:pt>
                <c:pt idx="762">
                  <c:v>6.5434968019095101E-4</c:v>
                </c:pt>
                <c:pt idx="763">
                  <c:v>1.4325687559784749E-3</c:v>
                </c:pt>
                <c:pt idx="764">
                  <c:v>1.3661579040908781E-3</c:v>
                </c:pt>
                <c:pt idx="765">
                  <c:v>6.8743270996904934E-4</c:v>
                </c:pt>
                <c:pt idx="766">
                  <c:v>7.266819709316856E-4</c:v>
                </c:pt>
                <c:pt idx="767">
                  <c:v>7.8398277989217885E-4</c:v>
                </c:pt>
                <c:pt idx="768">
                  <c:v>7.7878264182024886E-4</c:v>
                </c:pt>
                <c:pt idx="769">
                  <c:v>9.1793906776818353E-4</c:v>
                </c:pt>
                <c:pt idx="770">
                  <c:v>1.160889480994228E-3</c:v>
                </c:pt>
                <c:pt idx="771">
                  <c:v>1.2275863926165943E-3</c:v>
                </c:pt>
                <c:pt idx="772">
                  <c:v>1.217826405661979E-3</c:v>
                </c:pt>
                <c:pt idx="773">
                  <c:v>1.1516704930595928E-3</c:v>
                </c:pt>
                <c:pt idx="774">
                  <c:v>1.1067348370006574E-3</c:v>
                </c:pt>
                <c:pt idx="775">
                  <c:v>1.0553624736812678E-3</c:v>
                </c:pt>
                <c:pt idx="776">
                  <c:v>1.1244772427013831E-3</c:v>
                </c:pt>
                <c:pt idx="777">
                  <c:v>1.1985382884755974E-3</c:v>
                </c:pt>
                <c:pt idx="778">
                  <c:v>8.9746966237257749E-4</c:v>
                </c:pt>
                <c:pt idx="779">
                  <c:v>9.1793906776818353E-4</c:v>
                </c:pt>
                <c:pt idx="780">
                  <c:v>9.5360045491318295E-4</c:v>
                </c:pt>
                <c:pt idx="781">
                  <c:v>1.0721774524905998E-3</c:v>
                </c:pt>
                <c:pt idx="782">
                  <c:v>1.217826405661979E-3</c:v>
                </c:pt>
                <c:pt idx="783">
                  <c:v>1.4618593559116726E-3</c:v>
                </c:pt>
                <c:pt idx="784">
                  <c:v>1.7335385371596258E-3</c:v>
                </c:pt>
                <c:pt idx="785">
                  <c:v>1.9690926178168831E-3</c:v>
                </c:pt>
                <c:pt idx="786">
                  <c:v>2.4730804245859054E-3</c:v>
                </c:pt>
                <c:pt idx="787">
                  <c:v>2.903007185580714E-3</c:v>
                </c:pt>
                <c:pt idx="788">
                  <c:v>3.2952851390941522E-3</c:v>
                </c:pt>
                <c:pt idx="789">
                  <c:v>3.3981849758651875E-3</c:v>
                </c:pt>
                <c:pt idx="790">
                  <c:v>3.3981849758651875E-3</c:v>
                </c:pt>
                <c:pt idx="791">
                  <c:v>1.6740325115839913E-3</c:v>
                </c:pt>
                <c:pt idx="792">
                  <c:v>1.4325687559784749E-3</c:v>
                </c:pt>
                <c:pt idx="793">
                  <c:v>1.4101226630521449E-3</c:v>
                </c:pt>
                <c:pt idx="794">
                  <c:v>1.3879857124229459E-3</c:v>
                </c:pt>
                <c:pt idx="795">
                  <c:v>1.3770331654697706E-3</c:v>
                </c:pt>
                <c:pt idx="796">
                  <c:v>1.3661579040908781E-3</c:v>
                </c:pt>
                <c:pt idx="797">
                  <c:v>1.4439077308030642E-3</c:v>
                </c:pt>
                <c:pt idx="798">
                  <c:v>6.7716500037877261E-4</c:v>
                </c:pt>
                <c:pt idx="799">
                  <c:v>6.8051028466791538E-4</c:v>
                </c:pt>
                <c:pt idx="800">
                  <c:v>6.839328545313407E-4</c:v>
                </c:pt>
                <c:pt idx="801">
                  <c:v>6.8743270996904934E-4</c:v>
                </c:pt>
                <c:pt idx="802">
                  <c:v>6.9100985098104022E-4</c:v>
                </c:pt>
                <c:pt idx="803">
                  <c:v>6.9839598972787061E-4</c:v>
                </c:pt>
                <c:pt idx="804">
                  <c:v>7.0609127077183231E-4</c:v>
                </c:pt>
                <c:pt idx="805">
                  <c:v>7.1821383414489594E-4</c:v>
                </c:pt>
                <c:pt idx="806">
                  <c:v>6.1219414887143811E-4</c:v>
                </c:pt>
                <c:pt idx="807">
                  <c:v>6.0843989313220947E-4</c:v>
                </c:pt>
                <c:pt idx="808">
                  <c:v>6.0747918985649756E-4</c:v>
                </c:pt>
                <c:pt idx="809">
                  <c:v>6.0645193381214928E-4</c:v>
                </c:pt>
                <c:pt idx="810">
                  <c:v>1.4783883687225284E-3</c:v>
                </c:pt>
                <c:pt idx="811">
                  <c:v>6.1605627165081927E-4</c:v>
                </c:pt>
                <c:pt idx="812">
                  <c:v>6.4304986370311915E-4</c:v>
                </c:pt>
                <c:pt idx="813">
                  <c:v>7.1409569411292522E-4</c:v>
                </c:pt>
                <c:pt idx="814">
                  <c:v>7.4920481044860878E-4</c:v>
                </c:pt>
                <c:pt idx="815">
                  <c:v>6.9466427756731419E-4</c:v>
                </c:pt>
                <c:pt idx="816">
                  <c:v>1.3879857124229459E-3</c:v>
                </c:pt>
                <c:pt idx="817">
                  <c:v>1.3553599282862686E-3</c:v>
                </c:pt>
                <c:pt idx="818">
                  <c:v>7.0609127077183231E-4</c:v>
                </c:pt>
                <c:pt idx="819">
                  <c:v>7.4454567139665875E-4</c:v>
                </c:pt>
                <c:pt idx="820">
                  <c:v>7.0220498746271023E-4</c:v>
                </c:pt>
                <c:pt idx="821">
                  <c:v>7.9155627405635043E-4</c:v>
                </c:pt>
                <c:pt idx="822">
                  <c:v>8.0240953084026066E-4</c:v>
                </c:pt>
                <c:pt idx="823">
                  <c:v>8.250434712994744E-4</c:v>
                </c:pt>
                <c:pt idx="824">
                  <c:v>8.250434712994744E-4</c:v>
                </c:pt>
                <c:pt idx="825">
                  <c:v>8.192690578232467E-4</c:v>
                </c:pt>
                <c:pt idx="826">
                  <c:v>8.1357192992130198E-4</c:v>
                </c:pt>
                <c:pt idx="827">
                  <c:v>7.9694425966116416E-4</c:v>
                </c:pt>
                <c:pt idx="828">
                  <c:v>7.9694425966116416E-4</c:v>
                </c:pt>
                <c:pt idx="829">
                  <c:v>1.6869171978942366E-3</c:v>
                </c:pt>
                <c:pt idx="830">
                  <c:v>1.5615481856345104E-3</c:v>
                </c:pt>
                <c:pt idx="831">
                  <c:v>1.5374018100739587E-3</c:v>
                </c:pt>
                <c:pt idx="832">
                  <c:v>1.5135645768105384E-3</c:v>
                </c:pt>
                <c:pt idx="833">
                  <c:v>1.4900364858442489E-3</c:v>
                </c:pt>
                <c:pt idx="834">
                  <c:v>1.5615481856345104E-3</c:v>
                </c:pt>
                <c:pt idx="835">
                  <c:v>7.2854544845350733E-4</c:v>
                </c:pt>
                <c:pt idx="836">
                  <c:v>5.443099522604483E-3</c:v>
                </c:pt>
                <c:pt idx="837">
                  <c:v>5.334347986782938E-3</c:v>
                </c:pt>
                <c:pt idx="838">
                  <c:v>5.2001474924273684E-3</c:v>
                </c:pt>
                <c:pt idx="839">
                  <c:v>1.1283373032822995E-3</c:v>
                </c:pt>
                <c:pt idx="840">
                  <c:v>5.5807778678027761E-3</c:v>
                </c:pt>
                <c:pt idx="841">
                  <c:v>6.720979983084116E-3</c:v>
                </c:pt>
                <c:pt idx="842">
                  <c:v>7.5464210368739694E-3</c:v>
                </c:pt>
                <c:pt idx="843">
                  <c:v>8.9542298195123219E-3</c:v>
                </c:pt>
                <c:pt idx="844">
                  <c:v>9.7256155194778773E-3</c:v>
                </c:pt>
                <c:pt idx="845">
                  <c:v>1.0531084157702141E-2</c:v>
                </c:pt>
                <c:pt idx="846">
                  <c:v>1.0181709891737613E-2</c:v>
                </c:pt>
                <c:pt idx="847">
                  <c:v>9.5017417543592757E-3</c:v>
                </c:pt>
                <c:pt idx="848">
                  <c:v>1.6054108657717699E-3</c:v>
                </c:pt>
                <c:pt idx="849">
                  <c:v>9.1793906776818353E-4</c:v>
                </c:pt>
                <c:pt idx="850">
                  <c:v>9.3910404333233475E-4</c:v>
                </c:pt>
                <c:pt idx="851">
                  <c:v>9.7592471409157578E-4</c:v>
                </c:pt>
                <c:pt idx="852">
                  <c:v>1.0226599429539972E-3</c:v>
                </c:pt>
                <c:pt idx="853">
                  <c:v>1.0637313202987927E-3</c:v>
                </c:pt>
                <c:pt idx="854">
                  <c:v>1.0979795625117191E-3</c:v>
                </c:pt>
                <c:pt idx="855">
                  <c:v>6.0645193381214928E-4</c:v>
                </c:pt>
                <c:pt idx="856">
                  <c:v>6.1012782600971583E-4</c:v>
                </c:pt>
                <c:pt idx="857">
                  <c:v>6.0876996205694355E-4</c:v>
                </c:pt>
                <c:pt idx="858">
                  <c:v>1.4783883687225284E-3</c:v>
                </c:pt>
                <c:pt idx="859">
                  <c:v>6.2155428023054436E-4</c:v>
                </c:pt>
                <c:pt idx="860">
                  <c:v>6.2828885799879448E-4</c:v>
                </c:pt>
                <c:pt idx="861">
                  <c:v>7.266819709316856E-4</c:v>
                </c:pt>
                <c:pt idx="862">
                  <c:v>1.4101226630521449E-3</c:v>
                </c:pt>
                <c:pt idx="863">
                  <c:v>7.4920481044860878E-4</c:v>
                </c:pt>
                <c:pt idx="864">
                  <c:v>7.1821383414489594E-4</c:v>
                </c:pt>
                <c:pt idx="865">
                  <c:v>1.4101226630521449E-3</c:v>
                </c:pt>
                <c:pt idx="866">
                  <c:v>1.4325687559784749E-3</c:v>
                </c:pt>
                <c:pt idx="867">
                  <c:v>1.4325687559784749E-3</c:v>
                </c:pt>
                <c:pt idx="868">
                  <c:v>1.4439077308030642E-3</c:v>
                </c:pt>
                <c:pt idx="869">
                  <c:v>1.6740325115839913E-3</c:v>
                </c:pt>
                <c:pt idx="870">
                  <c:v>1.0181049917926659E-3</c:v>
                </c:pt>
                <c:pt idx="871">
                  <c:v>9.9452161984707617E-4</c:v>
                </c:pt>
                <c:pt idx="872">
                  <c:v>1.6107683636470073E-3</c:v>
                </c:pt>
                <c:pt idx="873">
                  <c:v>9.6415912195958243E-4</c:v>
                </c:pt>
                <c:pt idx="874">
                  <c:v>9.5676171142341604E-4</c:v>
                </c:pt>
                <c:pt idx="875">
                  <c:v>9.3503319326061329E-4</c:v>
                </c:pt>
                <c:pt idx="876">
                  <c:v>1.5983473907824589E-3</c:v>
                </c:pt>
                <c:pt idx="877">
                  <c:v>8.9366286744064377E-4</c:v>
                </c:pt>
                <c:pt idx="878">
                  <c:v>8.7402105978347678E-4</c:v>
                </c:pt>
                <c:pt idx="879">
                  <c:v>1.5860037034921934E-3</c:v>
                </c:pt>
                <c:pt idx="880">
                  <c:v>8.3089517034998488E-4</c:v>
                </c:pt>
                <c:pt idx="881">
                  <c:v>8.3089517034998488E-4</c:v>
                </c:pt>
                <c:pt idx="882">
                  <c:v>8.1357192992130198E-4</c:v>
                </c:pt>
                <c:pt idx="883">
                  <c:v>8.0795208759363993E-4</c:v>
                </c:pt>
                <c:pt idx="884">
                  <c:v>7.9694425966116416E-4</c:v>
                </c:pt>
                <c:pt idx="885">
                  <c:v>7.3103196768650443E-4</c:v>
                </c:pt>
                <c:pt idx="886">
                  <c:v>1.4213070667281685E-3</c:v>
                </c:pt>
                <c:pt idx="887">
                  <c:v>7.7878264182024886E-4</c:v>
                </c:pt>
                <c:pt idx="888">
                  <c:v>8.1114275386606999E-4</c:v>
                </c:pt>
                <c:pt idx="889">
                  <c:v>8.5241271154939523E-4</c:v>
                </c:pt>
                <c:pt idx="890">
                  <c:v>8.9080109838927468E-4</c:v>
                </c:pt>
                <c:pt idx="891">
                  <c:v>9.2491677404861797E-4</c:v>
                </c:pt>
                <c:pt idx="892">
                  <c:v>9.3910404333233475E-4</c:v>
                </c:pt>
                <c:pt idx="893">
                  <c:v>9.5360045491318295E-4</c:v>
                </c:pt>
                <c:pt idx="894">
                  <c:v>9.6840600879116224E-4</c:v>
                </c:pt>
                <c:pt idx="895">
                  <c:v>9.8352070496627252E-4</c:v>
                </c:pt>
                <c:pt idx="896">
                  <c:v>9.9119398141525182E-4</c:v>
                </c:pt>
                <c:pt idx="897">
                  <c:v>1.014677524207887E-3</c:v>
                </c:pt>
                <c:pt idx="898">
                  <c:v>2.2909081321793902E-3</c:v>
                </c:pt>
                <c:pt idx="899">
                  <c:v>2.5763886938233362E-3</c:v>
                </c:pt>
                <c:pt idx="900">
                  <c:v>1.222019230086078E-3</c:v>
                </c:pt>
                <c:pt idx="901">
                  <c:v>3.481895985619105E-3</c:v>
                </c:pt>
                <c:pt idx="902">
                  <c:v>3.9416662500764083E-3</c:v>
                </c:pt>
                <c:pt idx="903">
                  <c:v>4.6326191328248589E-3</c:v>
                </c:pt>
                <c:pt idx="904">
                  <c:v>5.5254746730006108E-3</c:v>
                </c:pt>
                <c:pt idx="905">
                  <c:v>6.5076723370472763E-3</c:v>
                </c:pt>
                <c:pt idx="906">
                  <c:v>7.3836248800337673E-3</c:v>
                </c:pt>
                <c:pt idx="907">
                  <c:v>1.0101665822365199E-3</c:v>
                </c:pt>
                <c:pt idx="908">
                  <c:v>8.320169313257967E-3</c:v>
                </c:pt>
                <c:pt idx="909">
                  <c:v>8.2512638573820334E-3</c:v>
                </c:pt>
                <c:pt idx="910">
                  <c:v>1.0023054582546567E-3</c:v>
                </c:pt>
                <c:pt idx="911">
                  <c:v>6.752946098052793E-4</c:v>
                </c:pt>
                <c:pt idx="912">
                  <c:v>6.6892391632977148E-4</c:v>
                </c:pt>
                <c:pt idx="913">
                  <c:v>6.6585449795344173E-4</c:v>
                </c:pt>
                <c:pt idx="914">
                  <c:v>1.5374018100739587E-3</c:v>
                </c:pt>
                <c:pt idx="915">
                  <c:v>6.5994751792363077E-4</c:v>
                </c:pt>
                <c:pt idx="916">
                  <c:v>6.5994751792363077E-4</c:v>
                </c:pt>
                <c:pt idx="917">
                  <c:v>6.5710995627014956E-4</c:v>
                </c:pt>
                <c:pt idx="918">
                  <c:v>6.5434968019095101E-4</c:v>
                </c:pt>
                <c:pt idx="919">
                  <c:v>6.5166668968603524E-4</c:v>
                </c:pt>
                <c:pt idx="920">
                  <c:v>6.4906098475540235E-4</c:v>
                </c:pt>
                <c:pt idx="921">
                  <c:v>6.440814316169849E-4</c:v>
                </c:pt>
                <c:pt idx="922">
                  <c:v>6.4170758340920055E-4</c:v>
                </c:pt>
                <c:pt idx="923">
                  <c:v>1.5254445506551072E-3</c:v>
                </c:pt>
                <c:pt idx="924">
                  <c:v>6.2908749122243227E-4</c:v>
                </c:pt>
                <c:pt idx="925">
                  <c:v>6.2069610102623556E-4</c:v>
                </c:pt>
                <c:pt idx="926">
                  <c:v>1.0423839339068009E-3</c:v>
                </c:pt>
                <c:pt idx="927">
                  <c:v>1.026120686923095E-3</c:v>
                </c:pt>
                <c:pt idx="928">
                  <c:v>1.0181049917926659E-3</c:v>
                </c:pt>
                <c:pt idx="929">
                  <c:v>1.0023054582546567E-3</c:v>
                </c:pt>
                <c:pt idx="930">
                  <c:v>9.5676171142341604E-4</c:v>
                </c:pt>
                <c:pt idx="931">
                  <c:v>9.4219874707393136E-4</c:v>
                </c:pt>
                <c:pt idx="932">
                  <c:v>9.0036470780826508E-4</c:v>
                </c:pt>
                <c:pt idx="933">
                  <c:v>8.9366286744064377E-4</c:v>
                </c:pt>
                <c:pt idx="934">
                  <c:v>8.5507482229485487E-4</c:v>
                </c:pt>
                <c:pt idx="935">
                  <c:v>8.250434712994744E-4</c:v>
                </c:pt>
                <c:pt idx="936">
                  <c:v>1.5017618885402521E-3</c:v>
                </c:pt>
                <c:pt idx="937">
                  <c:v>7.2854544845350733E-4</c:v>
                </c:pt>
                <c:pt idx="938">
                  <c:v>6.8197444557791822E-4</c:v>
                </c:pt>
                <c:pt idx="939">
                  <c:v>6.6585449795344173E-4</c:v>
                </c:pt>
                <c:pt idx="940">
                  <c:v>6.3941102077569876E-4</c:v>
                </c:pt>
                <c:pt idx="941">
                  <c:v>1.0226599429539972E-3</c:v>
                </c:pt>
                <c:pt idx="942">
                  <c:v>1.0470709126380263E-3</c:v>
                </c:pt>
                <c:pt idx="943">
                  <c:v>1.3770331654697706E-3</c:v>
                </c:pt>
                <c:pt idx="944">
                  <c:v>1.014677524207887E-3</c:v>
                </c:pt>
                <c:pt idx="945">
                  <c:v>1.030719647274391E-3</c:v>
                </c:pt>
                <c:pt idx="946">
                  <c:v>1.0553624736812678E-3</c:v>
                </c:pt>
                <c:pt idx="947">
                  <c:v>1.0721774524905998E-3</c:v>
                </c:pt>
                <c:pt idx="948">
                  <c:v>1.1067348370006574E-3</c:v>
                </c:pt>
                <c:pt idx="949">
                  <c:v>1.160889480994228E-3</c:v>
                </c:pt>
                <c:pt idx="950">
                  <c:v>1.3553599282862686E-3</c:v>
                </c:pt>
                <c:pt idx="951">
                  <c:v>1.2374236651454919E-3</c:v>
                </c:pt>
                <c:pt idx="952">
                  <c:v>1.2673991961778825E-3</c:v>
                </c:pt>
                <c:pt idx="953">
                  <c:v>1.1017397939396807E-3</c:v>
                </c:pt>
                <c:pt idx="954">
                  <c:v>1.0843945489160153E-3</c:v>
                </c:pt>
                <c:pt idx="955">
                  <c:v>1.0758378547656069E-3</c:v>
                </c:pt>
                <c:pt idx="956">
                  <c:v>1.0673584461894812E-3</c:v>
                </c:pt>
                <c:pt idx="957">
                  <c:v>1.0423839339068009E-3</c:v>
                </c:pt>
                <c:pt idx="958">
                  <c:v>1.0342136676278065E-3</c:v>
                </c:pt>
                <c:pt idx="959">
                  <c:v>1.026120686923095E-3</c:v>
                </c:pt>
                <c:pt idx="960">
                  <c:v>1.0181049917926659E-3</c:v>
                </c:pt>
                <c:pt idx="961">
                  <c:v>1.0101665822365199E-3</c:v>
                </c:pt>
                <c:pt idx="962">
                  <c:v>1.0023054582546567E-3</c:v>
                </c:pt>
                <c:pt idx="963">
                  <c:v>9.8681506701377869E-4</c:v>
                </c:pt>
                <c:pt idx="964">
                  <c:v>9.7163381807003171E-4</c:v>
                </c:pt>
                <c:pt idx="965">
                  <c:v>1.3879857124229459E-3</c:v>
                </c:pt>
                <c:pt idx="966">
                  <c:v>1.3661579040908781E-3</c:v>
                </c:pt>
                <c:pt idx="967">
                  <c:v>1.3553599282862686E-3</c:v>
                </c:pt>
                <c:pt idx="968">
                  <c:v>6.8051028466791538E-4</c:v>
                </c:pt>
                <c:pt idx="969">
                  <c:v>6.8743270996904934E-4</c:v>
                </c:pt>
                <c:pt idx="970">
                  <c:v>6.9100985098104022E-4</c:v>
                </c:pt>
                <c:pt idx="971">
                  <c:v>6.9839598972787061E-4</c:v>
                </c:pt>
                <c:pt idx="972">
                  <c:v>7.0609127077183231E-4</c:v>
                </c:pt>
                <c:pt idx="973">
                  <c:v>7.1409569411292522E-4</c:v>
                </c:pt>
                <c:pt idx="974">
                  <c:v>7.2240925975114922E-4</c:v>
                </c:pt>
                <c:pt idx="975">
                  <c:v>6.222198079169094E-4</c:v>
                </c:pt>
                <c:pt idx="976">
                  <c:v>6.238208003818659E-4</c:v>
                </c:pt>
                <c:pt idx="977">
                  <c:v>6.1423685018710918E-4</c:v>
                </c:pt>
                <c:pt idx="978">
                  <c:v>6.1046058985289825E-4</c:v>
                </c:pt>
                <c:pt idx="979">
                  <c:v>6.0747918985649756E-4</c:v>
                </c:pt>
                <c:pt idx="980">
                  <c:v>6.0661777675005094E-4</c:v>
                </c:pt>
                <c:pt idx="981">
                  <c:v>6.0661777675005094E-4</c:v>
                </c:pt>
                <c:pt idx="982">
                  <c:v>6.0843989313220947E-4</c:v>
                </c:pt>
                <c:pt idx="983">
                  <c:v>6.0682762887791708E-4</c:v>
                </c:pt>
                <c:pt idx="984">
                  <c:v>6.064299292171671E-4</c:v>
                </c:pt>
                <c:pt idx="985">
                  <c:v>6.064299292171671E-4</c:v>
                </c:pt>
                <c:pt idx="986">
                  <c:v>6.0772124040130257E-4</c:v>
                </c:pt>
                <c:pt idx="987">
                  <c:v>6.1092268634752608E-4</c:v>
                </c:pt>
                <c:pt idx="988">
                  <c:v>6.0941025124618836E-4</c:v>
                </c:pt>
                <c:pt idx="989">
                  <c:v>6.0941025124618836E-4</c:v>
                </c:pt>
                <c:pt idx="990">
                  <c:v>6.8896342364768845E-4</c:v>
                </c:pt>
                <c:pt idx="991">
                  <c:v>1.5494363550670933E-3</c:v>
                </c:pt>
                <c:pt idx="992">
                  <c:v>6.8543029182566194E-4</c:v>
                </c:pt>
                <c:pt idx="993">
                  <c:v>6.8197444557791822E-4</c:v>
                </c:pt>
                <c:pt idx="994">
                  <c:v>6.72070620280384E-4</c:v>
                </c:pt>
                <c:pt idx="995">
                  <c:v>1.5374018100739587E-3</c:v>
                </c:pt>
                <c:pt idx="996">
                  <c:v>6.72070620280384E-4</c:v>
                </c:pt>
                <c:pt idx="997">
                  <c:v>6.8543029182566194E-4</c:v>
                </c:pt>
                <c:pt idx="998">
                  <c:v>6.7859588490445737E-4</c:v>
                </c:pt>
                <c:pt idx="999">
                  <c:v>6.752946098052793E-4</c:v>
                </c:pt>
                <c:pt idx="1000">
                  <c:v>6.8197444557791822E-4</c:v>
                </c:pt>
                <c:pt idx="1001">
                  <c:v>6.72070620280384E-4</c:v>
                </c:pt>
                <c:pt idx="1002">
                  <c:v>6.72070620280384E-4</c:v>
                </c:pt>
                <c:pt idx="1003">
                  <c:v>6.752946098052793E-4</c:v>
                </c:pt>
                <c:pt idx="1004">
                  <c:v>6.6585449795344173E-4</c:v>
                </c:pt>
                <c:pt idx="1005">
                  <c:v>7.3103196768650443E-4</c:v>
                </c:pt>
                <c:pt idx="1006">
                  <c:v>7.3996381791899106E-4</c:v>
                </c:pt>
                <c:pt idx="1007">
                  <c:v>7.587549452753576E-4</c:v>
                </c:pt>
                <c:pt idx="1008">
                  <c:v>7.7878264182024886E-4</c:v>
                </c:pt>
                <c:pt idx="1009">
                  <c:v>1.399015544950404E-3</c:v>
                </c:pt>
                <c:pt idx="1010">
                  <c:v>7.7878264182024886E-4</c:v>
                </c:pt>
                <c:pt idx="1011">
                  <c:v>7.3103196768650443E-4</c:v>
                </c:pt>
                <c:pt idx="1012">
                  <c:v>1.3879857124229459E-3</c:v>
                </c:pt>
                <c:pt idx="1013">
                  <c:v>1.014677524207887E-3</c:v>
                </c:pt>
                <c:pt idx="1014">
                  <c:v>1.038856637169067E-3</c:v>
                </c:pt>
                <c:pt idx="1015">
                  <c:v>1.1244772427013831E-3</c:v>
                </c:pt>
                <c:pt idx="1016">
                  <c:v>1.014677524207887E-3</c:v>
                </c:pt>
                <c:pt idx="1017">
                  <c:v>9.5360045491318295E-4</c:v>
                </c:pt>
                <c:pt idx="1018">
                  <c:v>9.7592471409157578E-4</c:v>
                </c:pt>
                <c:pt idx="1019">
                  <c:v>1.038856637169067E-3</c:v>
                </c:pt>
                <c:pt idx="1020">
                  <c:v>1.4900364858442489E-3</c:v>
                </c:pt>
                <c:pt idx="1021">
                  <c:v>1.4668175371750909E-3</c:v>
                </c:pt>
                <c:pt idx="1022">
                  <c:v>1.5615481856345104E-3</c:v>
                </c:pt>
                <c:pt idx="1023">
                  <c:v>7.2423946088865298E-4</c:v>
                </c:pt>
                <c:pt idx="1024">
                  <c:v>7.1585934248179239E-4</c:v>
                </c:pt>
                <c:pt idx="1025">
                  <c:v>7.0778836637206289E-4</c:v>
                </c:pt>
                <c:pt idx="1026">
                  <c:v>6.9257384104399783E-4</c:v>
                </c:pt>
                <c:pt idx="1027">
                  <c:v>6.7859588490445737E-4</c:v>
                </c:pt>
                <c:pt idx="1028">
                  <c:v>1.5374018100739587E-3</c:v>
                </c:pt>
                <c:pt idx="1029">
                  <c:v>8.0795208759363993E-4</c:v>
                </c:pt>
                <c:pt idx="1030">
                  <c:v>8.0240953084026066E-4</c:v>
                </c:pt>
                <c:pt idx="1031">
                  <c:v>7.9155627405635043E-4</c:v>
                </c:pt>
                <c:pt idx="1032">
                  <c:v>1.5254445506551072E-3</c:v>
                </c:pt>
                <c:pt idx="1033">
                  <c:v>1.5615481856345104E-3</c:v>
                </c:pt>
                <c:pt idx="1034">
                  <c:v>7.1178521163978625E-4</c:v>
                </c:pt>
                <c:pt idx="1035">
                  <c:v>6.8543029182566194E-4</c:v>
                </c:pt>
                <c:pt idx="1036">
                  <c:v>6.6892391632977148E-4</c:v>
                </c:pt>
                <c:pt idx="1037">
                  <c:v>6.5434968019095101E-4</c:v>
                </c:pt>
                <c:pt idx="1038">
                  <c:v>6.440814316169849E-4</c:v>
                </c:pt>
                <c:pt idx="1039">
                  <c:v>6.3298504632089045E-4</c:v>
                </c:pt>
                <c:pt idx="1040">
                  <c:v>6.2549907842110518E-4</c:v>
                </c:pt>
                <c:pt idx="1041">
                  <c:v>1.5135645768105384E-3</c:v>
                </c:pt>
                <c:pt idx="1042">
                  <c:v>6.1317685674213221E-4</c:v>
                </c:pt>
                <c:pt idx="1043">
                  <c:v>1.5017618885402521E-3</c:v>
                </c:pt>
                <c:pt idx="1044">
                  <c:v>2.258790609662064E-3</c:v>
                </c:pt>
                <c:pt idx="1045">
                  <c:v>1.1836190324731731E-3</c:v>
                </c:pt>
                <c:pt idx="1046">
                  <c:v>1.1648826471124174E-3</c:v>
                </c:pt>
                <c:pt idx="1047">
                  <c:v>1.174212197005654E-3</c:v>
                </c:pt>
                <c:pt idx="1048">
                  <c:v>1.174212197005654E-3</c:v>
                </c:pt>
                <c:pt idx="1049">
                  <c:v>1.6484949956863493E-3</c:v>
                </c:pt>
                <c:pt idx="1050">
                  <c:v>1.1931031535149751E-3</c:v>
                </c:pt>
                <c:pt idx="1051">
                  <c:v>3.1544713617345814E-3</c:v>
                </c:pt>
                <c:pt idx="1052">
                  <c:v>3.3362132170797164E-3</c:v>
                </c:pt>
                <c:pt idx="1053">
                  <c:v>3.3362132170797164E-3</c:v>
                </c:pt>
                <c:pt idx="1054">
                  <c:v>3.2344726639229257E-3</c:v>
                </c:pt>
                <c:pt idx="1055">
                  <c:v>3.1346642501232022E-3</c:v>
                </c:pt>
                <c:pt idx="1056">
                  <c:v>2.9789896379063523E-3</c:v>
                </c:pt>
                <c:pt idx="1057">
                  <c:v>1.1648826471124174E-3</c:v>
                </c:pt>
                <c:pt idx="1058">
                  <c:v>1.4439077308030642E-3</c:v>
                </c:pt>
                <c:pt idx="1059">
                  <c:v>1.4325687559784749E-3</c:v>
                </c:pt>
                <c:pt idx="1060">
                  <c:v>1.399015544950404E-3</c:v>
                </c:pt>
                <c:pt idx="1061">
                  <c:v>1.3770331654697706E-3</c:v>
                </c:pt>
                <c:pt idx="1062">
                  <c:v>1.3553599282862686E-3</c:v>
                </c:pt>
                <c:pt idx="1063">
                  <c:v>6.7716500037877261E-4</c:v>
                </c:pt>
                <c:pt idx="1064">
                  <c:v>1.2374236651454919E-3</c:v>
                </c:pt>
                <c:pt idx="1065">
                  <c:v>6.9839598972787061E-4</c:v>
                </c:pt>
                <c:pt idx="1066">
                  <c:v>1.4325687559784749E-3</c:v>
                </c:pt>
                <c:pt idx="1067">
                  <c:v>7.266819709316856E-4</c:v>
                </c:pt>
                <c:pt idx="1068">
                  <c:v>7.4454567139665875E-4</c:v>
                </c:pt>
                <c:pt idx="1069">
                  <c:v>7.587549452753576E-4</c:v>
                </c:pt>
                <c:pt idx="1070">
                  <c:v>8.1680660538369673E-4</c:v>
                </c:pt>
                <c:pt idx="1071">
                  <c:v>7.6364594105015639E-4</c:v>
                </c:pt>
                <c:pt idx="1072">
                  <c:v>7.6364594105015639E-4</c:v>
                </c:pt>
                <c:pt idx="1073">
                  <c:v>9.9119398141525182E-4</c:v>
                </c:pt>
                <c:pt idx="1074">
                  <c:v>1.2673991961778825E-3</c:v>
                </c:pt>
                <c:pt idx="1075">
                  <c:v>6.1046058985289825E-4</c:v>
                </c:pt>
                <c:pt idx="1076">
                  <c:v>6.0792089870721213E-4</c:v>
                </c:pt>
                <c:pt idx="1077">
                  <c:v>6.0648521019646758E-4</c:v>
                </c:pt>
                <c:pt idx="1078">
                  <c:v>6.0698166104279291E-4</c:v>
                </c:pt>
                <c:pt idx="1079">
                  <c:v>6.1012782600971583E-4</c:v>
                </c:pt>
                <c:pt idx="1080">
                  <c:v>6.1487498344159504E-4</c:v>
                </c:pt>
                <c:pt idx="1081">
                  <c:v>6.2312199631118278E-4</c:v>
                </c:pt>
                <c:pt idx="1082">
                  <c:v>6.3211986032861618E-4</c:v>
                </c:pt>
                <c:pt idx="1083">
                  <c:v>1.4439077308030642E-3</c:v>
                </c:pt>
                <c:pt idx="1084">
                  <c:v>1.3661579040908781E-3</c:v>
                </c:pt>
                <c:pt idx="1085">
                  <c:v>7.0220498746271023E-4</c:v>
                </c:pt>
                <c:pt idx="1086">
                  <c:v>1.4325687559784749E-3</c:v>
                </c:pt>
                <c:pt idx="1087">
                  <c:v>1.0758378547656069E-3</c:v>
                </c:pt>
                <c:pt idx="1088">
                  <c:v>1.6232666220858387E-3</c:v>
                </c:pt>
                <c:pt idx="1089">
                  <c:v>1.0423839339068009E-3</c:v>
                </c:pt>
                <c:pt idx="1090">
                  <c:v>1.0342136676278065E-3</c:v>
                </c:pt>
                <c:pt idx="1091">
                  <c:v>6.222198079169094E-4</c:v>
                </c:pt>
                <c:pt idx="1092">
                  <c:v>6.1128872657502679E-4</c:v>
                </c:pt>
                <c:pt idx="1093">
                  <c:v>6.1128872657502679E-4</c:v>
                </c:pt>
                <c:pt idx="1094">
                  <c:v>6.238208003818659E-4</c:v>
                </c:pt>
                <c:pt idx="1095">
                  <c:v>6.1423685018710918E-4</c:v>
                </c:pt>
                <c:pt idx="1096">
                  <c:v>6.0747918985649756E-4</c:v>
                </c:pt>
                <c:pt idx="1097">
                  <c:v>6.0645193381214928E-4</c:v>
                </c:pt>
                <c:pt idx="1098">
                  <c:v>6.073128079349063E-4</c:v>
                </c:pt>
                <c:pt idx="1099">
                  <c:v>1.4900364858442489E-3</c:v>
                </c:pt>
                <c:pt idx="1100">
                  <c:v>6.3211986032861618E-4</c:v>
                </c:pt>
                <c:pt idx="1101">
                  <c:v>6.3211986032861618E-4</c:v>
                </c:pt>
                <c:pt idx="1102">
                  <c:v>6.4070929187965309E-4</c:v>
                </c:pt>
                <c:pt idx="1103">
                  <c:v>6.384460056304697E-4</c:v>
                </c:pt>
                <c:pt idx="1104">
                  <c:v>6.3016571637656389E-4</c:v>
                </c:pt>
                <c:pt idx="1105">
                  <c:v>6.2828885799879448E-4</c:v>
                </c:pt>
                <c:pt idx="1106">
                  <c:v>7.2240925975114922E-4</c:v>
                </c:pt>
                <c:pt idx="1107">
                  <c:v>7.3996381791899106E-4</c:v>
                </c:pt>
                <c:pt idx="1108">
                  <c:v>7.6364594105015639E-4</c:v>
                </c:pt>
                <c:pt idx="1109">
                  <c:v>8.1114275386606999E-4</c:v>
                </c:pt>
                <c:pt idx="1110">
                  <c:v>8.7769582714551707E-4</c:v>
                </c:pt>
                <c:pt idx="1111">
                  <c:v>9.5360045491318295E-4</c:v>
                </c:pt>
                <c:pt idx="1112">
                  <c:v>2.0575620567920162E-3</c:v>
                </c:pt>
                <c:pt idx="1113">
                  <c:v>2.1334119425640711E-3</c:v>
                </c:pt>
                <c:pt idx="1114">
                  <c:v>2.2428477767648244E-3</c:v>
                </c:pt>
                <c:pt idx="1115">
                  <c:v>2.258790609662064E-3</c:v>
                </c:pt>
                <c:pt idx="1116">
                  <c:v>2.2428477767648244E-3</c:v>
                </c:pt>
                <c:pt idx="1117">
                  <c:v>2.2748107281335859E-3</c:v>
                </c:pt>
                <c:pt idx="1118">
                  <c:v>2.4392626194343582E-3</c:v>
                </c:pt>
                <c:pt idx="1119">
                  <c:v>2.4730804245859054E-3</c:v>
                </c:pt>
                <c:pt idx="1120">
                  <c:v>2.6114430681634087E-3</c:v>
                </c:pt>
                <c:pt idx="1121">
                  <c:v>1.6484949956863493E-3</c:v>
                </c:pt>
                <c:pt idx="1122">
                  <c:v>6.0792089870721213E-4</c:v>
                </c:pt>
                <c:pt idx="1123">
                  <c:v>6.0747918985649756E-4</c:v>
                </c:pt>
                <c:pt idx="1124">
                  <c:v>6.0682762887791708E-4</c:v>
                </c:pt>
                <c:pt idx="1125">
                  <c:v>6.0648521019646758E-4</c:v>
                </c:pt>
                <c:pt idx="1126">
                  <c:v>6.0698166104279291E-4</c:v>
                </c:pt>
                <c:pt idx="1127">
                  <c:v>6.0820695844198162E-4</c:v>
                </c:pt>
                <c:pt idx="1128">
                  <c:v>6.0941025124618836E-4</c:v>
                </c:pt>
                <c:pt idx="1129">
                  <c:v>6.1012782600971583E-4</c:v>
                </c:pt>
                <c:pt idx="1130">
                  <c:v>6.1092268634752608E-4</c:v>
                </c:pt>
                <c:pt idx="1131">
                  <c:v>1.6740325115839913E-3</c:v>
                </c:pt>
                <c:pt idx="1132">
                  <c:v>6.1487498344159504E-4</c:v>
                </c:pt>
                <c:pt idx="1133">
                  <c:v>6.1731484543432638E-4</c:v>
                </c:pt>
                <c:pt idx="1134">
                  <c:v>7.0002653255946481E-4</c:v>
                </c:pt>
                <c:pt idx="1135">
                  <c:v>7.0386880667862241E-4</c:v>
                </c:pt>
                <c:pt idx="1136">
                  <c:v>1.5494363550670933E-3</c:v>
                </c:pt>
                <c:pt idx="1137">
                  <c:v>6.9257384104399783E-4</c:v>
                </c:pt>
                <c:pt idx="1138">
                  <c:v>6.8896342364768845E-4</c:v>
                </c:pt>
                <c:pt idx="1139">
                  <c:v>6.72070620280384E-4</c:v>
                </c:pt>
                <c:pt idx="1140">
                  <c:v>6.72070620280384E-4</c:v>
                </c:pt>
                <c:pt idx="1141">
                  <c:v>6.8197444557791822E-4</c:v>
                </c:pt>
                <c:pt idx="1142">
                  <c:v>6.7859588490445737E-4</c:v>
                </c:pt>
                <c:pt idx="1143">
                  <c:v>6.8896342364768845E-4</c:v>
                </c:pt>
                <c:pt idx="1144">
                  <c:v>6.8543029182566194E-4</c:v>
                </c:pt>
                <c:pt idx="1145">
                  <c:v>6.752946098052793E-4</c:v>
                </c:pt>
                <c:pt idx="1146">
                  <c:v>6.7859588490445737E-4</c:v>
                </c:pt>
                <c:pt idx="1147">
                  <c:v>6.8197444557791822E-4</c:v>
                </c:pt>
                <c:pt idx="1148">
                  <c:v>1.0721774524905998E-3</c:v>
                </c:pt>
                <c:pt idx="1149">
                  <c:v>1.0979795625117191E-3</c:v>
                </c:pt>
                <c:pt idx="1150">
                  <c:v>1.1244772427013831E-3</c:v>
                </c:pt>
                <c:pt idx="1151">
                  <c:v>1.1334643739131702E-3</c:v>
                </c:pt>
                <c:pt idx="1152">
                  <c:v>1.1425287906992399E-3</c:v>
                </c:pt>
                <c:pt idx="1153">
                  <c:v>1.160889480994228E-3</c:v>
                </c:pt>
                <c:pt idx="1154">
                  <c:v>1.3553599282862686E-3</c:v>
                </c:pt>
                <c:pt idx="1155">
                  <c:v>1.2275863926165943E-3</c:v>
                </c:pt>
                <c:pt idx="1156">
                  <c:v>1.2673991961778825E-3</c:v>
                </c:pt>
                <c:pt idx="1157">
                  <c:v>1.2717584025235722E-3</c:v>
                </c:pt>
                <c:pt idx="1158">
                  <c:v>1.4277104038680111E-3</c:v>
                </c:pt>
                <c:pt idx="1159">
                  <c:v>1.5084732900098468E-3</c:v>
                </c:pt>
                <c:pt idx="1160">
                  <c:v>1.5807127583855921E-3</c:v>
                </c:pt>
                <c:pt idx="1161">
                  <c:v>1.6304181154550787E-3</c:v>
                </c:pt>
                <c:pt idx="1162">
                  <c:v>1.68136004171309E-3</c:v>
                </c:pt>
                <c:pt idx="1163">
                  <c:v>6.238208003818659E-4</c:v>
                </c:pt>
                <c:pt idx="1164">
                  <c:v>6.222198079169094E-4</c:v>
                </c:pt>
                <c:pt idx="1165">
                  <c:v>6.222198079169094E-4</c:v>
                </c:pt>
                <c:pt idx="1166">
                  <c:v>1.5135645768105384E-3</c:v>
                </c:pt>
                <c:pt idx="1167">
                  <c:v>6.1658869379991124E-4</c:v>
                </c:pt>
                <c:pt idx="1168">
                  <c:v>6.1317685674213221E-4</c:v>
                </c:pt>
                <c:pt idx="1169">
                  <c:v>6.1128872657502679E-4</c:v>
                </c:pt>
                <c:pt idx="1170">
                  <c:v>6.0970973870505248E-4</c:v>
                </c:pt>
                <c:pt idx="1171">
                  <c:v>6.0843989313220947E-4</c:v>
                </c:pt>
                <c:pt idx="1172">
                  <c:v>6.0747918985649756E-4</c:v>
                </c:pt>
                <c:pt idx="1173">
                  <c:v>6.0682762887791708E-4</c:v>
                </c:pt>
                <c:pt idx="1174">
                  <c:v>6.0661777675005094E-4</c:v>
                </c:pt>
                <c:pt idx="1175">
                  <c:v>6.7859588490445737E-4</c:v>
                </c:pt>
                <c:pt idx="1176">
                  <c:v>6.7859588490445737E-4</c:v>
                </c:pt>
                <c:pt idx="1177">
                  <c:v>6.6585449795344173E-4</c:v>
                </c:pt>
                <c:pt idx="1178">
                  <c:v>6.5434968019095101E-4</c:v>
                </c:pt>
                <c:pt idx="1179">
                  <c:v>1.5254445506551072E-3</c:v>
                </c:pt>
                <c:pt idx="1180">
                  <c:v>1.5254445506551072E-3</c:v>
                </c:pt>
                <c:pt idx="1181">
                  <c:v>6.4170758340920055E-4</c:v>
                </c:pt>
                <c:pt idx="1182">
                  <c:v>6.5434968019095101E-4</c:v>
                </c:pt>
                <c:pt idx="1183">
                  <c:v>6.5166668968603524E-4</c:v>
                </c:pt>
                <c:pt idx="1184">
                  <c:v>6.222198079169094E-4</c:v>
                </c:pt>
                <c:pt idx="1185">
                  <c:v>6.1788054396773654E-4</c:v>
                </c:pt>
                <c:pt idx="1186">
                  <c:v>6.1658869379991124E-4</c:v>
                </c:pt>
                <c:pt idx="1187">
                  <c:v>6.8743270996904934E-4</c:v>
                </c:pt>
                <c:pt idx="1188">
                  <c:v>7.0609127077183231E-4</c:v>
                </c:pt>
                <c:pt idx="1189">
                  <c:v>6.9839598972787061E-4</c:v>
                </c:pt>
                <c:pt idx="1190">
                  <c:v>7.0220498746271023E-4</c:v>
                </c:pt>
                <c:pt idx="1191">
                  <c:v>7.0220498746271023E-4</c:v>
                </c:pt>
                <c:pt idx="1192">
                  <c:v>7.0609127077183231E-4</c:v>
                </c:pt>
                <c:pt idx="1193">
                  <c:v>6.9839598972787061E-4</c:v>
                </c:pt>
                <c:pt idx="1194">
                  <c:v>6.9466427756731419E-4</c:v>
                </c:pt>
                <c:pt idx="1195">
                  <c:v>7.0609127077183231E-4</c:v>
                </c:pt>
                <c:pt idx="1196">
                  <c:v>7.2240925975114922E-4</c:v>
                </c:pt>
                <c:pt idx="1197">
                  <c:v>7.0220498746271023E-4</c:v>
                </c:pt>
                <c:pt idx="1198">
                  <c:v>6.9839598972787061E-4</c:v>
                </c:pt>
                <c:pt idx="1199">
                  <c:v>7.1409569411292522E-4</c:v>
                </c:pt>
                <c:pt idx="1200">
                  <c:v>7.1409569411292522E-4</c:v>
                </c:pt>
                <c:pt idx="1201">
                  <c:v>7.0609127077183231E-4</c:v>
                </c:pt>
                <c:pt idx="1202">
                  <c:v>1.5494363550670933E-3</c:v>
                </c:pt>
                <c:pt idx="1203">
                  <c:v>1.5494363550670933E-3</c:v>
                </c:pt>
                <c:pt idx="1204">
                  <c:v>6.7859588490445737E-4</c:v>
                </c:pt>
                <c:pt idx="1205">
                  <c:v>6.6892391632977148E-4</c:v>
                </c:pt>
                <c:pt idx="1206">
                  <c:v>1.5374018100739587E-3</c:v>
                </c:pt>
                <c:pt idx="1207">
                  <c:v>6.4653256539905224E-4</c:v>
                </c:pt>
                <c:pt idx="1208">
                  <c:v>1.5254445506551072E-3</c:v>
                </c:pt>
                <c:pt idx="1209">
                  <c:v>6.2908749122243227E-4</c:v>
                </c:pt>
                <c:pt idx="1210">
                  <c:v>6.2908749122243227E-4</c:v>
                </c:pt>
                <c:pt idx="1211">
                  <c:v>6.2908749122243227E-4</c:v>
                </c:pt>
                <c:pt idx="1212">
                  <c:v>6.3099762598451987E-4</c:v>
                </c:pt>
                <c:pt idx="1213">
                  <c:v>6.3298504632089045E-4</c:v>
                </c:pt>
                <c:pt idx="1214">
                  <c:v>6.2725464203462734E-4</c:v>
                </c:pt>
                <c:pt idx="1215">
                  <c:v>6.2069610102623556E-4</c:v>
                </c:pt>
                <c:pt idx="1216">
                  <c:v>6.1537412920636893E-4</c:v>
                </c:pt>
                <c:pt idx="1217">
                  <c:v>9.2093394235682568E-4</c:v>
                </c:pt>
                <c:pt idx="1218">
                  <c:v>9.1400024526635615E-4</c:v>
                </c:pt>
                <c:pt idx="1219">
                  <c:v>9.0036470780826508E-4</c:v>
                </c:pt>
                <c:pt idx="1220">
                  <c:v>8.7402105978347678E-4</c:v>
                </c:pt>
                <c:pt idx="1221">
                  <c:v>8.5507482229485487E-4</c:v>
                </c:pt>
                <c:pt idx="1222">
                  <c:v>1.5860037034921934E-3</c:v>
                </c:pt>
                <c:pt idx="1223">
                  <c:v>8.3089517034998488E-4</c:v>
                </c:pt>
                <c:pt idx="1224">
                  <c:v>8.192690578232467E-4</c:v>
                </c:pt>
                <c:pt idx="1225">
                  <c:v>8.0795208759363993E-4</c:v>
                </c:pt>
                <c:pt idx="1226">
                  <c:v>1.5615481856345104E-3</c:v>
                </c:pt>
                <c:pt idx="1227">
                  <c:v>7.9155627405635043E-4</c:v>
                </c:pt>
                <c:pt idx="1228">
                  <c:v>1.5135645768105384E-3</c:v>
                </c:pt>
                <c:pt idx="1229">
                  <c:v>1.4900364858442489E-3</c:v>
                </c:pt>
                <c:pt idx="1230">
                  <c:v>1.5615481856345104E-3</c:v>
                </c:pt>
                <c:pt idx="1231">
                  <c:v>1.5615481856345104E-3</c:v>
                </c:pt>
                <c:pt idx="1232">
                  <c:v>6.4906098475540235E-4</c:v>
                </c:pt>
                <c:pt idx="1233">
                  <c:v>6.4170758340920055E-4</c:v>
                </c:pt>
                <c:pt idx="1234">
                  <c:v>6.4170758340920055E-4</c:v>
                </c:pt>
                <c:pt idx="1235">
                  <c:v>6.3941102077569876E-4</c:v>
                </c:pt>
                <c:pt idx="1236">
                  <c:v>6.1537412920636893E-4</c:v>
                </c:pt>
                <c:pt idx="1237">
                  <c:v>6.1046058985289825E-4</c:v>
                </c:pt>
                <c:pt idx="1238">
                  <c:v>6.0970973870505248E-4</c:v>
                </c:pt>
                <c:pt idx="1239">
                  <c:v>6.1423685018710918E-4</c:v>
                </c:pt>
                <c:pt idx="1240">
                  <c:v>6.1128872657502679E-4</c:v>
                </c:pt>
                <c:pt idx="1241">
                  <c:v>6.0792089870721213E-4</c:v>
                </c:pt>
                <c:pt idx="1242">
                  <c:v>6.0682762887791708E-4</c:v>
                </c:pt>
                <c:pt idx="1243">
                  <c:v>6.0772124040130257E-4</c:v>
                </c:pt>
                <c:pt idx="1244">
                  <c:v>6.1012782600971583E-4</c:v>
                </c:pt>
                <c:pt idx="1245">
                  <c:v>6.1092268634752608E-4</c:v>
                </c:pt>
                <c:pt idx="1246">
                  <c:v>6.0820695844198162E-4</c:v>
                </c:pt>
                <c:pt idx="1247">
                  <c:v>7.3103196768650443E-4</c:v>
                </c:pt>
                <c:pt idx="1248">
                  <c:v>7.4920481044860878E-4</c:v>
                </c:pt>
                <c:pt idx="1249">
                  <c:v>7.8926020353839129E-4</c:v>
                </c:pt>
                <c:pt idx="1250">
                  <c:v>8.1680660538369673E-4</c:v>
                </c:pt>
                <c:pt idx="1251">
                  <c:v>9.042155119301635E-4</c:v>
                </c:pt>
                <c:pt idx="1252">
                  <c:v>9.3910404333233475E-4</c:v>
                </c:pt>
                <c:pt idx="1253">
                  <c:v>1.0721774524905998E-3</c:v>
                </c:pt>
                <c:pt idx="1254">
                  <c:v>1.1067348370006574E-3</c:v>
                </c:pt>
                <c:pt idx="1255">
                  <c:v>1.661225110848029E-3</c:v>
                </c:pt>
                <c:pt idx="1256">
                  <c:v>1.5807127583855921E-3</c:v>
                </c:pt>
                <c:pt idx="1257">
                  <c:v>1.5084732900098468E-3</c:v>
                </c:pt>
                <c:pt idx="1258">
                  <c:v>1.520319987470097E-3</c:v>
                </c:pt>
                <c:pt idx="1259">
                  <c:v>1.4164819910020231E-3</c:v>
                </c:pt>
                <c:pt idx="1260">
                  <c:v>1.2616559968875079E-3</c:v>
                </c:pt>
                <c:pt idx="1261">
                  <c:v>1.4213070667281685E-3</c:v>
                </c:pt>
                <c:pt idx="1262">
                  <c:v>7.6861422239923763E-4</c:v>
                </c:pt>
                <c:pt idx="1263">
                  <c:v>8.0004690755366514E-4</c:v>
                </c:pt>
                <c:pt idx="1264">
                  <c:v>8.4628514658607163E-4</c:v>
                </c:pt>
                <c:pt idx="1265">
                  <c:v>1.3879857124229459E-3</c:v>
                </c:pt>
                <c:pt idx="1266">
                  <c:v>1.160889480994228E-3</c:v>
                </c:pt>
                <c:pt idx="1267">
                  <c:v>1.1067348370006574E-3</c:v>
                </c:pt>
                <c:pt idx="1268">
                  <c:v>1.2275863926165943E-3</c:v>
                </c:pt>
                <c:pt idx="1269">
                  <c:v>1.5930231692915392E-3</c:v>
                </c:pt>
                <c:pt idx="1270">
                  <c:v>1.2717584025235722E-3</c:v>
                </c:pt>
                <c:pt idx="1271">
                  <c:v>2.6290861836948702E-3</c:v>
                </c:pt>
                <c:pt idx="1272">
                  <c:v>1.1648826471124174E-3</c:v>
                </c:pt>
                <c:pt idx="1273">
                  <c:v>2.9598780964635177E-3</c:v>
                </c:pt>
                <c:pt idx="1274">
                  <c:v>6.6892391632977148E-4</c:v>
                </c:pt>
                <c:pt idx="1275">
                  <c:v>6.5994751792363077E-4</c:v>
                </c:pt>
                <c:pt idx="1276">
                  <c:v>6.4653256539905224E-4</c:v>
                </c:pt>
                <c:pt idx="1277">
                  <c:v>6.3941102077569876E-4</c:v>
                </c:pt>
                <c:pt idx="1278">
                  <c:v>6.2908749122243227E-4</c:v>
                </c:pt>
                <c:pt idx="1279">
                  <c:v>6.0698166104279291E-4</c:v>
                </c:pt>
                <c:pt idx="1280">
                  <c:v>6.2549907842110518E-4</c:v>
                </c:pt>
                <c:pt idx="1281">
                  <c:v>6.2069610102623556E-4</c:v>
                </c:pt>
                <c:pt idx="1282">
                  <c:v>6.1537412920636893E-4</c:v>
                </c:pt>
                <c:pt idx="1283">
                  <c:v>1.5017618885402521E-3</c:v>
                </c:pt>
                <c:pt idx="1284">
                  <c:v>6.0792089870721213E-4</c:v>
                </c:pt>
                <c:pt idx="1285">
                  <c:v>6.0645193381214928E-4</c:v>
                </c:pt>
                <c:pt idx="1286">
                  <c:v>6.0772124040130257E-4</c:v>
                </c:pt>
                <c:pt idx="1287">
                  <c:v>6.0820695844198162E-4</c:v>
                </c:pt>
                <c:pt idx="1288">
                  <c:v>1.4783883687225284E-3</c:v>
                </c:pt>
                <c:pt idx="1289">
                  <c:v>6.2648928519530773E-4</c:v>
                </c:pt>
                <c:pt idx="1290">
                  <c:v>6.2828885799879448E-4</c:v>
                </c:pt>
                <c:pt idx="1291">
                  <c:v>6.3211986032861618E-4</c:v>
                </c:pt>
                <c:pt idx="1292">
                  <c:v>6.4070929187965309E-4</c:v>
                </c:pt>
                <c:pt idx="1293">
                  <c:v>1.4101226630521449E-3</c:v>
                </c:pt>
                <c:pt idx="1294">
                  <c:v>1.4439077308030642E-3</c:v>
                </c:pt>
                <c:pt idx="1295">
                  <c:v>6.9100985098104022E-4</c:v>
                </c:pt>
                <c:pt idx="1296">
                  <c:v>6.9839598972787061E-4</c:v>
                </c:pt>
                <c:pt idx="1297">
                  <c:v>1.4325687559784749E-3</c:v>
                </c:pt>
                <c:pt idx="1298">
                  <c:v>7.1821383414489594E-4</c:v>
                </c:pt>
                <c:pt idx="1299">
                  <c:v>7.266819709316856E-4</c:v>
                </c:pt>
                <c:pt idx="1300">
                  <c:v>7.3103196768650443E-4</c:v>
                </c:pt>
                <c:pt idx="1301">
                  <c:v>6.2828885799879448E-4</c:v>
                </c:pt>
                <c:pt idx="1302">
                  <c:v>6.3626000495556898E-4</c:v>
                </c:pt>
                <c:pt idx="1303">
                  <c:v>1.6740325115839913E-3</c:v>
                </c:pt>
                <c:pt idx="1304">
                  <c:v>1.3879857124229459E-3</c:v>
                </c:pt>
                <c:pt idx="1305">
                  <c:v>6.8051028466791538E-4</c:v>
                </c:pt>
                <c:pt idx="1306">
                  <c:v>7.0609127077183231E-4</c:v>
                </c:pt>
                <c:pt idx="1307">
                  <c:v>7.3103196768650443E-4</c:v>
                </c:pt>
                <c:pt idx="1308">
                  <c:v>1.4213070667281685E-3</c:v>
                </c:pt>
                <c:pt idx="1309">
                  <c:v>7.8398277989217885E-4</c:v>
                </c:pt>
                <c:pt idx="1310">
                  <c:v>8.1680660538369673E-4</c:v>
                </c:pt>
                <c:pt idx="1311">
                  <c:v>8.4628514658607163E-4</c:v>
                </c:pt>
                <c:pt idx="1312">
                  <c:v>6.8543029182566194E-4</c:v>
                </c:pt>
                <c:pt idx="1313">
                  <c:v>6.8896342364768845E-4</c:v>
                </c:pt>
                <c:pt idx="1314">
                  <c:v>6.752946098052793E-4</c:v>
                </c:pt>
                <c:pt idx="1315">
                  <c:v>6.72070620280384E-4</c:v>
                </c:pt>
                <c:pt idx="1316">
                  <c:v>6.6892391632977148E-4</c:v>
                </c:pt>
                <c:pt idx="1317">
                  <c:v>6.5994751792363077E-4</c:v>
                </c:pt>
                <c:pt idx="1318">
                  <c:v>6.5710995627014956E-4</c:v>
                </c:pt>
                <c:pt idx="1319">
                  <c:v>6.5710995627014956E-4</c:v>
                </c:pt>
                <c:pt idx="1320">
                  <c:v>6.5434968019095101E-4</c:v>
                </c:pt>
                <c:pt idx="1321">
                  <c:v>6.4906098475540235E-4</c:v>
                </c:pt>
                <c:pt idx="1322">
                  <c:v>6.5166668968603524E-4</c:v>
                </c:pt>
                <c:pt idx="1323">
                  <c:v>1.4900364858442489E-3</c:v>
                </c:pt>
                <c:pt idx="1324">
                  <c:v>6.0698166104279291E-4</c:v>
                </c:pt>
                <c:pt idx="1325">
                  <c:v>6.0772124040130257E-4</c:v>
                </c:pt>
                <c:pt idx="1326">
                  <c:v>6.0941025124618836E-4</c:v>
                </c:pt>
                <c:pt idx="1327">
                  <c:v>1.4783883687225284E-3</c:v>
                </c:pt>
                <c:pt idx="1328">
                  <c:v>6.1377098080665359E-4</c:v>
                </c:pt>
                <c:pt idx="1329">
                  <c:v>6.1605627165081927E-4</c:v>
                </c:pt>
                <c:pt idx="1330">
                  <c:v>6.1731484543432638E-4</c:v>
                </c:pt>
                <c:pt idx="1331">
                  <c:v>6.1731484543432638E-4</c:v>
                </c:pt>
                <c:pt idx="1332">
                  <c:v>6.1731484543432638E-4</c:v>
                </c:pt>
                <c:pt idx="1333">
                  <c:v>6.1865070479211626E-4</c:v>
                </c:pt>
                <c:pt idx="1334">
                  <c:v>6.1731484543432638E-4</c:v>
                </c:pt>
                <c:pt idx="1335">
                  <c:v>6.1865070479211626E-4</c:v>
                </c:pt>
                <c:pt idx="1336">
                  <c:v>6.2006384972418892E-4</c:v>
                </c:pt>
                <c:pt idx="1337">
                  <c:v>6.2155428023054436E-4</c:v>
                </c:pt>
                <c:pt idx="1338">
                  <c:v>3.9644102135105337E-3</c:v>
                </c:pt>
                <c:pt idx="1339">
                  <c:v>1.174212197005654E-3</c:v>
                </c:pt>
                <c:pt idx="1340">
                  <c:v>2.8842047864350105E-3</c:v>
                </c:pt>
                <c:pt idx="1341">
                  <c:v>3.0174445775148669E-3</c:v>
                </c:pt>
                <c:pt idx="1342">
                  <c:v>3.1346642501232022E-3</c:v>
                </c:pt>
                <c:pt idx="1343">
                  <c:v>3.3157105352997944E-3</c:v>
                </c:pt>
                <c:pt idx="1344">
                  <c:v>3.481895985619105E-3</c:v>
                </c:pt>
                <c:pt idx="1345">
                  <c:v>1.1931031535149751E-3</c:v>
                </c:pt>
                <c:pt idx="1346">
                  <c:v>6.1487498344159504E-4</c:v>
                </c:pt>
                <c:pt idx="1347">
                  <c:v>6.1377098080665359E-4</c:v>
                </c:pt>
                <c:pt idx="1348">
                  <c:v>6.1605627165081927E-4</c:v>
                </c:pt>
                <c:pt idx="1349">
                  <c:v>6.1865070479211626E-4</c:v>
                </c:pt>
                <c:pt idx="1350">
                  <c:v>6.2155428023054436E-4</c:v>
                </c:pt>
                <c:pt idx="1351">
                  <c:v>6.2828885799879448E-4</c:v>
                </c:pt>
                <c:pt idx="1352">
                  <c:v>6.3016571637656389E-4</c:v>
                </c:pt>
                <c:pt idx="1353">
                  <c:v>1.6740325115839913E-3</c:v>
                </c:pt>
                <c:pt idx="1354">
                  <c:v>1.6740325115839913E-3</c:v>
                </c:pt>
                <c:pt idx="1355">
                  <c:v>1.4101226630521449E-3</c:v>
                </c:pt>
                <c:pt idx="1356">
                  <c:v>1.3553599282862686E-3</c:v>
                </c:pt>
                <c:pt idx="1357">
                  <c:v>6.9100985098104022E-4</c:v>
                </c:pt>
                <c:pt idx="1358">
                  <c:v>1.4325687559784749E-3</c:v>
                </c:pt>
                <c:pt idx="1359">
                  <c:v>7.3996381791899106E-4</c:v>
                </c:pt>
                <c:pt idx="1360">
                  <c:v>7.7878264182024886E-4</c:v>
                </c:pt>
                <c:pt idx="1361">
                  <c:v>1.8416052356182717E-3</c:v>
                </c:pt>
                <c:pt idx="1362">
                  <c:v>2.1954829915188049E-3</c:v>
                </c:pt>
                <c:pt idx="1363">
                  <c:v>1.1648826471124174E-3</c:v>
                </c:pt>
                <c:pt idx="1364">
                  <c:v>2.921886870300699E-3</c:v>
                </c:pt>
                <c:pt idx="1365">
                  <c:v>3.2143564100144146E-3</c:v>
                </c:pt>
                <c:pt idx="1366">
                  <c:v>3.6530277126925158E-3</c:v>
                </c:pt>
                <c:pt idx="1367">
                  <c:v>4.1961005544373419E-3</c:v>
                </c:pt>
                <c:pt idx="1368">
                  <c:v>4.5088521909974677E-3</c:v>
                </c:pt>
                <c:pt idx="1369">
                  <c:v>4.758318214009319E-3</c:v>
                </c:pt>
                <c:pt idx="1370">
                  <c:v>4.8091388455030826E-3</c:v>
                </c:pt>
                <c:pt idx="1371">
                  <c:v>4.7836898869690605E-3</c:v>
                </c:pt>
                <c:pt idx="1372">
                  <c:v>4.4843306593548397E-3</c:v>
                </c:pt>
                <c:pt idx="1373">
                  <c:v>3.8738980732197295E-3</c:v>
                </c:pt>
                <c:pt idx="1374">
                  <c:v>3.2344726639229257E-3</c:v>
                </c:pt>
                <c:pt idx="1375">
                  <c:v>2.6290861836948702E-3</c:v>
                </c:pt>
                <c:pt idx="1376">
                  <c:v>1.0758378547656069E-3</c:v>
                </c:pt>
                <c:pt idx="1377">
                  <c:v>1.6232666220858387E-3</c:v>
                </c:pt>
                <c:pt idx="1378">
                  <c:v>1.0506314857600782E-3</c:v>
                </c:pt>
                <c:pt idx="1379">
                  <c:v>1.0342136676278065E-3</c:v>
                </c:pt>
                <c:pt idx="1380">
                  <c:v>1.026120686923095E-3</c:v>
                </c:pt>
                <c:pt idx="1381">
                  <c:v>1.0101665822365199E-3</c:v>
                </c:pt>
                <c:pt idx="1382">
                  <c:v>1.6107683636470073E-3</c:v>
                </c:pt>
                <c:pt idx="1383">
                  <c:v>9.6415912195958243E-4</c:v>
                </c:pt>
                <c:pt idx="1384">
                  <c:v>9.5676171142341604E-4</c:v>
                </c:pt>
                <c:pt idx="1385">
                  <c:v>9.2794492502157821E-4</c:v>
                </c:pt>
                <c:pt idx="1386">
                  <c:v>9.1400024526635615E-4</c:v>
                </c:pt>
                <c:pt idx="1387">
                  <c:v>8.8703831264730533E-4</c:v>
                </c:pt>
                <c:pt idx="1388">
                  <c:v>8.8703831264730533E-4</c:v>
                </c:pt>
                <c:pt idx="1389">
                  <c:v>8.8049104342824967E-4</c:v>
                </c:pt>
                <c:pt idx="1390">
                  <c:v>8.6762836171298667E-4</c:v>
                </c:pt>
                <c:pt idx="1391">
                  <c:v>6.3504975223154371E-4</c:v>
                </c:pt>
                <c:pt idx="1392">
                  <c:v>6.3298504632089045E-4</c:v>
                </c:pt>
                <c:pt idx="1393">
                  <c:v>6.3099762598451987E-4</c:v>
                </c:pt>
                <c:pt idx="1394">
                  <c:v>6.3504975223154371E-4</c:v>
                </c:pt>
                <c:pt idx="1395">
                  <c:v>6.4170758340920055E-4</c:v>
                </c:pt>
                <c:pt idx="1396">
                  <c:v>6.1487498344159504E-4</c:v>
                </c:pt>
                <c:pt idx="1397">
                  <c:v>6.0698166104279291E-4</c:v>
                </c:pt>
                <c:pt idx="1398">
                  <c:v>6.2549907842110518E-4</c:v>
                </c:pt>
                <c:pt idx="1399">
                  <c:v>6.2725464203462734E-4</c:v>
                </c:pt>
                <c:pt idx="1400">
                  <c:v>6.4170758340920055E-4</c:v>
                </c:pt>
                <c:pt idx="1401">
                  <c:v>6.384460056304697E-4</c:v>
                </c:pt>
                <c:pt idx="1402">
                  <c:v>6.2549907842110518E-4</c:v>
                </c:pt>
                <c:pt idx="1403">
                  <c:v>6.1012782600971583E-4</c:v>
                </c:pt>
                <c:pt idx="1404">
                  <c:v>6.1092268634752608E-4</c:v>
                </c:pt>
                <c:pt idx="1405">
                  <c:v>6.1012782600971583E-4</c:v>
                </c:pt>
                <c:pt idx="1406">
                  <c:v>6.2006384972418892E-4</c:v>
                </c:pt>
                <c:pt idx="1407">
                  <c:v>1.4668175371750909E-3</c:v>
                </c:pt>
                <c:pt idx="1408">
                  <c:v>6.3626000495556898E-4</c:v>
                </c:pt>
                <c:pt idx="1409">
                  <c:v>6.3626000495556898E-4</c:v>
                </c:pt>
                <c:pt idx="1410">
                  <c:v>1.4325687559784749E-3</c:v>
                </c:pt>
                <c:pt idx="1411">
                  <c:v>6.4304986370311915E-4</c:v>
                </c:pt>
                <c:pt idx="1412">
                  <c:v>1.399015544950404E-3</c:v>
                </c:pt>
                <c:pt idx="1413">
                  <c:v>2.3725544360226553E-3</c:v>
                </c:pt>
                <c:pt idx="1414">
                  <c:v>2.5589774350147244E-3</c:v>
                </c:pt>
                <c:pt idx="1415">
                  <c:v>2.903007185580714E-3</c:v>
                </c:pt>
                <c:pt idx="1416">
                  <c:v>3.4189967999422406E-3</c:v>
                </c:pt>
                <c:pt idx="1417">
                  <c:v>3.8738980732197295E-3</c:v>
                </c:pt>
                <c:pt idx="1418">
                  <c:v>1.1836190324731731E-3</c:v>
                </c:pt>
                <c:pt idx="1419">
                  <c:v>4.2909406868879832E-3</c:v>
                </c:pt>
                <c:pt idx="1420">
                  <c:v>1.1373577108784048E-3</c:v>
                </c:pt>
                <c:pt idx="1421">
                  <c:v>6.6596485134878909E-3</c:v>
                </c:pt>
                <c:pt idx="1422">
                  <c:v>1.0342136676278065E-3</c:v>
                </c:pt>
                <c:pt idx="1423">
                  <c:v>9.8681506701377869E-4</c:v>
                </c:pt>
                <c:pt idx="1424">
                  <c:v>1.6232666220858387E-3</c:v>
                </c:pt>
                <c:pt idx="1425">
                  <c:v>7.3836248800337673E-3</c:v>
                </c:pt>
                <c:pt idx="1426">
                  <c:v>6.7826205949774688E-3</c:v>
                </c:pt>
                <c:pt idx="1427">
                  <c:v>5.8334678803395219E-3</c:v>
                </c:pt>
                <c:pt idx="1428">
                  <c:v>1.1105283448129377E-3</c:v>
                </c:pt>
                <c:pt idx="1429">
                  <c:v>1.0843945489160153E-3</c:v>
                </c:pt>
                <c:pt idx="1430">
                  <c:v>1.0843945489160153E-3</c:v>
                </c:pt>
                <c:pt idx="1431">
                  <c:v>1.0758378547656069E-3</c:v>
                </c:pt>
                <c:pt idx="1432">
                  <c:v>6.9257384104399783E-4</c:v>
                </c:pt>
                <c:pt idx="1433">
                  <c:v>6.8543029182566194E-4</c:v>
                </c:pt>
                <c:pt idx="1434">
                  <c:v>6.72070620280384E-4</c:v>
                </c:pt>
                <c:pt idx="1435">
                  <c:v>6.5994751792363077E-4</c:v>
                </c:pt>
                <c:pt idx="1436">
                  <c:v>6.5166668968603524E-4</c:v>
                </c:pt>
                <c:pt idx="1437">
                  <c:v>6.4906098475540235E-4</c:v>
                </c:pt>
                <c:pt idx="1438">
                  <c:v>6.4906098475540235E-4</c:v>
                </c:pt>
                <c:pt idx="1439">
                  <c:v>6.4653256539905224E-4</c:v>
                </c:pt>
                <c:pt idx="1440">
                  <c:v>6.0792089870721213E-4</c:v>
                </c:pt>
                <c:pt idx="1441">
                  <c:v>6.0747918985649756E-4</c:v>
                </c:pt>
                <c:pt idx="1442">
                  <c:v>6.0711476658006577E-4</c:v>
                </c:pt>
                <c:pt idx="1443">
                  <c:v>6.0661777675005094E-4</c:v>
                </c:pt>
                <c:pt idx="1444">
                  <c:v>6.0672779972496219E-4</c:v>
                </c:pt>
                <c:pt idx="1445">
                  <c:v>6.0772124040130257E-4</c:v>
                </c:pt>
                <c:pt idx="1446">
                  <c:v>6.1012782600971583E-4</c:v>
                </c:pt>
                <c:pt idx="1447">
                  <c:v>6.1274426374599501E-4</c:v>
                </c:pt>
                <c:pt idx="1448">
                  <c:v>6.1487498344159504E-4</c:v>
                </c:pt>
                <c:pt idx="1449">
                  <c:v>6.3211986032861618E-4</c:v>
                </c:pt>
                <c:pt idx="1450">
                  <c:v>6.0941025124618836E-4</c:v>
                </c:pt>
                <c:pt idx="1451">
                  <c:v>6.1377098080665359E-4</c:v>
                </c:pt>
                <c:pt idx="1452">
                  <c:v>6.3016571637656389E-4</c:v>
                </c:pt>
                <c:pt idx="1453">
                  <c:v>6.1658869379991124E-4</c:v>
                </c:pt>
                <c:pt idx="1454">
                  <c:v>6.1537412920636893E-4</c:v>
                </c:pt>
                <c:pt idx="1455">
                  <c:v>6.1423685018710918E-4</c:v>
                </c:pt>
                <c:pt idx="1456">
                  <c:v>6.1317685674213221E-4</c:v>
                </c:pt>
                <c:pt idx="1457">
                  <c:v>6.1046058985289825E-4</c:v>
                </c:pt>
                <c:pt idx="1458">
                  <c:v>1.5017618885402521E-3</c:v>
                </c:pt>
                <c:pt idx="1459">
                  <c:v>6.0792089870721213E-4</c:v>
                </c:pt>
                <c:pt idx="1460">
                  <c:v>6.0682762887791708E-4</c:v>
                </c:pt>
                <c:pt idx="1461">
                  <c:v>6.064299292171671E-4</c:v>
                </c:pt>
                <c:pt idx="1462">
                  <c:v>6.0941025124618836E-4</c:v>
                </c:pt>
                <c:pt idx="1463">
                  <c:v>6.2312199631118278E-4</c:v>
                </c:pt>
                <c:pt idx="1464">
                  <c:v>6.2312199631118278E-4</c:v>
                </c:pt>
                <c:pt idx="1465">
                  <c:v>6.2828885799879448E-4</c:v>
                </c:pt>
                <c:pt idx="1466">
                  <c:v>6.3211986032861618E-4</c:v>
                </c:pt>
                <c:pt idx="1467">
                  <c:v>6.3211986032861618E-4</c:v>
                </c:pt>
                <c:pt idx="1468">
                  <c:v>6.1317685674213221E-4</c:v>
                </c:pt>
                <c:pt idx="1469">
                  <c:v>6.1046058985289825E-4</c:v>
                </c:pt>
                <c:pt idx="1470">
                  <c:v>6.0970973870505248E-4</c:v>
                </c:pt>
                <c:pt idx="1471">
                  <c:v>6.0843989313220947E-4</c:v>
                </c:pt>
                <c:pt idx="1472">
                  <c:v>6.0747918985649756E-4</c:v>
                </c:pt>
                <c:pt idx="1473">
                  <c:v>6.0682762887791708E-4</c:v>
                </c:pt>
                <c:pt idx="1474">
                  <c:v>6.064299292171671E-4</c:v>
                </c:pt>
                <c:pt idx="1475">
                  <c:v>1.1334643739131702E-3</c:v>
                </c:pt>
                <c:pt idx="1476">
                  <c:v>1.1516704930595928E-3</c:v>
                </c:pt>
                <c:pt idx="1477">
                  <c:v>1.217826405661979E-3</c:v>
                </c:pt>
                <c:pt idx="1478">
                  <c:v>1.3025293328774625E-3</c:v>
                </c:pt>
                <c:pt idx="1479">
                  <c:v>1.5322439705046308E-3</c:v>
                </c:pt>
                <c:pt idx="1480">
                  <c:v>1.6942887372132993E-3</c:v>
                </c:pt>
                <c:pt idx="1481">
                  <c:v>1.8005005818891582E-3</c:v>
                </c:pt>
                <c:pt idx="1482">
                  <c:v>6.4906098475540235E-4</c:v>
                </c:pt>
                <c:pt idx="1483">
                  <c:v>6.440814316169849E-4</c:v>
                </c:pt>
                <c:pt idx="1484">
                  <c:v>6.4170758340920055E-4</c:v>
                </c:pt>
                <c:pt idx="1485">
                  <c:v>1.5254445506551072E-3</c:v>
                </c:pt>
                <c:pt idx="1486">
                  <c:v>6.3298504632089045E-4</c:v>
                </c:pt>
                <c:pt idx="1487">
                  <c:v>6.238208003818659E-4</c:v>
                </c:pt>
                <c:pt idx="1488">
                  <c:v>6.2725464203462734E-4</c:v>
                </c:pt>
                <c:pt idx="1489">
                  <c:v>6.2549907842110518E-4</c:v>
                </c:pt>
                <c:pt idx="1490">
                  <c:v>6.222198079169094E-4</c:v>
                </c:pt>
                <c:pt idx="1491">
                  <c:v>1.5135645768105384E-3</c:v>
                </c:pt>
                <c:pt idx="1492">
                  <c:v>6.1788054396773654E-4</c:v>
                </c:pt>
                <c:pt idx="1493">
                  <c:v>6.1537412920636893E-4</c:v>
                </c:pt>
                <c:pt idx="1494">
                  <c:v>6.1317685674213221E-4</c:v>
                </c:pt>
                <c:pt idx="1495">
                  <c:v>6.1128872657502679E-4</c:v>
                </c:pt>
                <c:pt idx="1496">
                  <c:v>6.1046058985289825E-4</c:v>
                </c:pt>
                <c:pt idx="1497">
                  <c:v>6.0672779972496219E-4</c:v>
                </c:pt>
                <c:pt idx="1498">
                  <c:v>6.0698166104279291E-4</c:v>
                </c:pt>
                <c:pt idx="1499">
                  <c:v>6.0772124040130257E-4</c:v>
                </c:pt>
                <c:pt idx="1500">
                  <c:v>6.0876996205694355E-4</c:v>
                </c:pt>
                <c:pt idx="1501">
                  <c:v>6.1092268634752608E-4</c:v>
                </c:pt>
                <c:pt idx="1502">
                  <c:v>6.1487498344159504E-4</c:v>
                </c:pt>
                <c:pt idx="1503">
                  <c:v>6.1731484543432638E-4</c:v>
                </c:pt>
                <c:pt idx="1504">
                  <c:v>6.2006384972418892E-4</c:v>
                </c:pt>
                <c:pt idx="1505">
                  <c:v>6.2155428023054436E-4</c:v>
                </c:pt>
                <c:pt idx="1506">
                  <c:v>6.2312199631118278E-4</c:v>
                </c:pt>
                <c:pt idx="1507">
                  <c:v>1.4668175371750909E-3</c:v>
                </c:pt>
                <c:pt idx="1508">
                  <c:v>6.2648928519530773E-4</c:v>
                </c:pt>
                <c:pt idx="1509">
                  <c:v>6.2828885799879448E-4</c:v>
                </c:pt>
                <c:pt idx="1510">
                  <c:v>1.5494363550670933E-3</c:v>
                </c:pt>
                <c:pt idx="1511">
                  <c:v>1.5374018100739587E-3</c:v>
                </c:pt>
                <c:pt idx="1512">
                  <c:v>1.5374018100739587E-3</c:v>
                </c:pt>
                <c:pt idx="1513">
                  <c:v>1.5374018100739587E-3</c:v>
                </c:pt>
                <c:pt idx="1514">
                  <c:v>1.5494363550670933E-3</c:v>
                </c:pt>
                <c:pt idx="1515">
                  <c:v>1.5494363550670933E-3</c:v>
                </c:pt>
                <c:pt idx="1516">
                  <c:v>1.5494363550670933E-3</c:v>
                </c:pt>
                <c:pt idx="1517">
                  <c:v>1.5494363550670933E-3</c:v>
                </c:pt>
                <c:pt idx="1518">
                  <c:v>1.5494363550670933E-3</c:v>
                </c:pt>
                <c:pt idx="1519">
                  <c:v>1.5254445506551072E-3</c:v>
                </c:pt>
                <c:pt idx="1520">
                  <c:v>1.5135645768105384E-3</c:v>
                </c:pt>
                <c:pt idx="1521">
                  <c:v>1.4900364858442489E-3</c:v>
                </c:pt>
                <c:pt idx="1522">
                  <c:v>1.4668175371750909E-3</c:v>
                </c:pt>
                <c:pt idx="1523">
                  <c:v>1.5615481856345104E-3</c:v>
                </c:pt>
                <c:pt idx="1524">
                  <c:v>7.2854544845350733E-4</c:v>
                </c:pt>
                <c:pt idx="1525">
                  <c:v>1.4900364858442489E-3</c:v>
                </c:pt>
                <c:pt idx="1526">
                  <c:v>1.4668175371750909E-3</c:v>
                </c:pt>
                <c:pt idx="1527">
                  <c:v>7.2854544845350733E-4</c:v>
                </c:pt>
                <c:pt idx="1528">
                  <c:v>7.2001075889808119E-4</c:v>
                </c:pt>
                <c:pt idx="1529">
                  <c:v>7.1178521163978625E-4</c:v>
                </c:pt>
                <c:pt idx="1530">
                  <c:v>7.0386880667862241E-4</c:v>
                </c:pt>
                <c:pt idx="1531">
                  <c:v>6.9257384104399783E-4</c:v>
                </c:pt>
                <c:pt idx="1532">
                  <c:v>6.8197444557791822E-4</c:v>
                </c:pt>
                <c:pt idx="1533">
                  <c:v>6.752946098052793E-4</c:v>
                </c:pt>
                <c:pt idx="1534">
                  <c:v>6.6585449795344173E-4</c:v>
                </c:pt>
                <c:pt idx="1535">
                  <c:v>6.5710995627014956E-4</c:v>
                </c:pt>
                <c:pt idx="1536">
                  <c:v>6.4906098475540235E-4</c:v>
                </c:pt>
                <c:pt idx="1537">
                  <c:v>6.4170758340920055E-4</c:v>
                </c:pt>
                <c:pt idx="1538">
                  <c:v>1.5254445506551072E-3</c:v>
                </c:pt>
                <c:pt idx="1539">
                  <c:v>6.3099762598451987E-4</c:v>
                </c:pt>
                <c:pt idx="1540">
                  <c:v>6.9839598972787061E-4</c:v>
                </c:pt>
                <c:pt idx="1541">
                  <c:v>7.4454567139665875E-4</c:v>
                </c:pt>
                <c:pt idx="1542">
                  <c:v>1.4325687559784749E-3</c:v>
                </c:pt>
                <c:pt idx="1543">
                  <c:v>6.9839598972787061E-4</c:v>
                </c:pt>
                <c:pt idx="1544">
                  <c:v>6.7716500037877261E-4</c:v>
                </c:pt>
                <c:pt idx="1545">
                  <c:v>6.9100985098104022E-4</c:v>
                </c:pt>
                <c:pt idx="1546">
                  <c:v>7.7878264182024886E-4</c:v>
                </c:pt>
                <c:pt idx="1547">
                  <c:v>8.1114275386606999E-4</c:v>
                </c:pt>
                <c:pt idx="1548">
                  <c:v>8.3426187338227317E-4</c:v>
                </c:pt>
                <c:pt idx="1549">
                  <c:v>8.5241271154939523E-4</c:v>
                </c:pt>
                <c:pt idx="1550">
                  <c:v>7.9461491275888715E-4</c:v>
                </c:pt>
                <c:pt idx="1551">
                  <c:v>7.587549452753576E-4</c:v>
                </c:pt>
                <c:pt idx="1552">
                  <c:v>7.4920481044860878E-4</c:v>
                </c:pt>
                <c:pt idx="1553">
                  <c:v>1.2616559968875079E-3</c:v>
                </c:pt>
                <c:pt idx="1554">
                  <c:v>1.5563237932965459E-3</c:v>
                </c:pt>
                <c:pt idx="1555">
                  <c:v>1.7335385371596258E-3</c:v>
                </c:pt>
                <c:pt idx="1556">
                  <c:v>1.8416052356182717E-3</c:v>
                </c:pt>
                <c:pt idx="1557">
                  <c:v>2.0575620567920162E-3</c:v>
                </c:pt>
                <c:pt idx="1558">
                  <c:v>2.3070828217994777E-3</c:v>
                </c:pt>
                <c:pt idx="1559">
                  <c:v>1.2318124934250112E-3</c:v>
                </c:pt>
                <c:pt idx="1560">
                  <c:v>1.2318124934250112E-3</c:v>
                </c:pt>
                <c:pt idx="1561">
                  <c:v>1.2318124934250112E-3</c:v>
                </c:pt>
                <c:pt idx="1562">
                  <c:v>3.5882736732328639E-3</c:v>
                </c:pt>
                <c:pt idx="1563">
                  <c:v>4.4843306593548397E-3</c:v>
                </c:pt>
                <c:pt idx="1564">
                  <c:v>1.119394181260477E-3</c:v>
                </c:pt>
                <c:pt idx="1565">
                  <c:v>5.470480620495574E-3</c:v>
                </c:pt>
                <c:pt idx="1566">
                  <c:v>1.4213070667281685E-3</c:v>
                </c:pt>
                <c:pt idx="1567">
                  <c:v>6.4070929187965309E-4</c:v>
                </c:pt>
                <c:pt idx="1568">
                  <c:v>1.399015544950404E-3</c:v>
                </c:pt>
                <c:pt idx="1569">
                  <c:v>1.4101226630521449E-3</c:v>
                </c:pt>
                <c:pt idx="1570">
                  <c:v>6.8051028466791538E-4</c:v>
                </c:pt>
                <c:pt idx="1571">
                  <c:v>7.587549452753576E-4</c:v>
                </c:pt>
                <c:pt idx="1572">
                  <c:v>1.030719647274391E-3</c:v>
                </c:pt>
                <c:pt idx="1573">
                  <c:v>1.0637313202987927E-3</c:v>
                </c:pt>
                <c:pt idx="1574">
                  <c:v>9.8352070496627252E-4</c:v>
                </c:pt>
                <c:pt idx="1575">
                  <c:v>1.0721774524905998E-3</c:v>
                </c:pt>
                <c:pt idx="1576">
                  <c:v>9.8352070496627252E-4</c:v>
                </c:pt>
                <c:pt idx="1577">
                  <c:v>9.042155119301635E-4</c:v>
                </c:pt>
                <c:pt idx="1578">
                  <c:v>9.042155119301635E-4</c:v>
                </c:pt>
                <c:pt idx="1579">
                  <c:v>8.8420981998025433E-4</c:v>
                </c:pt>
                <c:pt idx="1580">
                  <c:v>9.1103864706203229E-4</c:v>
                </c:pt>
                <c:pt idx="1581">
                  <c:v>7.0778836637206289E-4</c:v>
                </c:pt>
                <c:pt idx="1582">
                  <c:v>7.0778836637206289E-4</c:v>
                </c:pt>
                <c:pt idx="1583">
                  <c:v>7.0386880667862241E-4</c:v>
                </c:pt>
                <c:pt idx="1584">
                  <c:v>7.3292872159264467E-4</c:v>
                </c:pt>
                <c:pt idx="1585">
                  <c:v>7.0386880667862241E-4</c:v>
                </c:pt>
                <c:pt idx="1586">
                  <c:v>7.0386880667862241E-4</c:v>
                </c:pt>
                <c:pt idx="1587">
                  <c:v>7.0002653255946481E-4</c:v>
                </c:pt>
                <c:pt idx="1588">
                  <c:v>6.8197444557791822E-4</c:v>
                </c:pt>
                <c:pt idx="1589">
                  <c:v>7.0778836637206289E-4</c:v>
                </c:pt>
                <c:pt idx="1590">
                  <c:v>6.8543029182566194E-4</c:v>
                </c:pt>
                <c:pt idx="1591">
                  <c:v>6.8896342364768845E-4</c:v>
                </c:pt>
                <c:pt idx="1592">
                  <c:v>6.9257384104399783E-4</c:v>
                </c:pt>
                <c:pt idx="1593">
                  <c:v>6.8197444557791822E-4</c:v>
                </c:pt>
                <c:pt idx="1594">
                  <c:v>6.8543029182566194E-4</c:v>
                </c:pt>
                <c:pt idx="1595">
                  <c:v>6.5994751792363077E-4</c:v>
                </c:pt>
                <c:pt idx="1596">
                  <c:v>6.1605627165081927E-4</c:v>
                </c:pt>
                <c:pt idx="1597">
                  <c:v>6.1731484543432638E-4</c:v>
                </c:pt>
                <c:pt idx="1598">
                  <c:v>6.1605627165081927E-4</c:v>
                </c:pt>
                <c:pt idx="1599">
                  <c:v>6.1487498344159504E-4</c:v>
                </c:pt>
                <c:pt idx="1600">
                  <c:v>6.1487498344159504E-4</c:v>
                </c:pt>
                <c:pt idx="1601">
                  <c:v>6.1487498344159504E-4</c:v>
                </c:pt>
                <c:pt idx="1602">
                  <c:v>6.1605627165081927E-4</c:v>
                </c:pt>
                <c:pt idx="1603">
                  <c:v>6.1605627165081927E-4</c:v>
                </c:pt>
                <c:pt idx="1604">
                  <c:v>6.1731484543432638E-4</c:v>
                </c:pt>
                <c:pt idx="1605">
                  <c:v>6.2828885799879448E-4</c:v>
                </c:pt>
                <c:pt idx="1606">
                  <c:v>6.1487498344159504E-4</c:v>
                </c:pt>
                <c:pt idx="1607">
                  <c:v>6.1487498344159504E-4</c:v>
                </c:pt>
                <c:pt idx="1608">
                  <c:v>6.1865070479211626E-4</c:v>
                </c:pt>
                <c:pt idx="1609">
                  <c:v>6.5166668968603524E-4</c:v>
                </c:pt>
                <c:pt idx="1610">
                  <c:v>6.4906098475540235E-4</c:v>
                </c:pt>
                <c:pt idx="1611">
                  <c:v>6.4170758340920055E-4</c:v>
                </c:pt>
                <c:pt idx="1612">
                  <c:v>6.3504975223154371E-4</c:v>
                </c:pt>
                <c:pt idx="1613">
                  <c:v>6.2725464203462734E-4</c:v>
                </c:pt>
                <c:pt idx="1614">
                  <c:v>6.2069610102623556E-4</c:v>
                </c:pt>
                <c:pt idx="1615">
                  <c:v>6.1537412920636893E-4</c:v>
                </c:pt>
                <c:pt idx="1616">
                  <c:v>6.1128872657502679E-4</c:v>
                </c:pt>
                <c:pt idx="1617">
                  <c:v>6.0843989313220947E-4</c:v>
                </c:pt>
                <c:pt idx="1618">
                  <c:v>6.0682762887791708E-4</c:v>
                </c:pt>
                <c:pt idx="1619">
                  <c:v>6.0645193381214928E-4</c:v>
                </c:pt>
                <c:pt idx="1620">
                  <c:v>6.073128079349063E-4</c:v>
                </c:pt>
                <c:pt idx="1621">
                  <c:v>6.0876996205694355E-4</c:v>
                </c:pt>
                <c:pt idx="1622">
                  <c:v>6.1092268634752608E-4</c:v>
                </c:pt>
                <c:pt idx="1623">
                  <c:v>1.4783883687225284E-3</c:v>
                </c:pt>
                <c:pt idx="1624">
                  <c:v>1.4277104038680111E-3</c:v>
                </c:pt>
                <c:pt idx="1625">
                  <c:v>1.5930231692915392E-3</c:v>
                </c:pt>
                <c:pt idx="1626">
                  <c:v>1.8693947659757613E-3</c:v>
                </c:pt>
                <c:pt idx="1627">
                  <c:v>2.1180873942610945E-3</c:v>
                </c:pt>
                <c:pt idx="1628">
                  <c:v>2.0725774627978616E-3</c:v>
                </c:pt>
                <c:pt idx="1629">
                  <c:v>2.1488137764413299E-3</c:v>
                </c:pt>
                <c:pt idx="1630">
                  <c:v>1.1931031535149751E-3</c:v>
                </c:pt>
                <c:pt idx="1631">
                  <c:v>4.5334510082143814E-3</c:v>
                </c:pt>
                <c:pt idx="1632">
                  <c:v>5.5530876276145523E-3</c:v>
                </c:pt>
                <c:pt idx="1633">
                  <c:v>6.357628299963735E-3</c:v>
                </c:pt>
                <c:pt idx="1634">
                  <c:v>2.1954829915188049E-3</c:v>
                </c:pt>
                <c:pt idx="1635">
                  <c:v>2.6646042714806384E-3</c:v>
                </c:pt>
                <c:pt idx="1636">
                  <c:v>3.2344726639229257E-3</c:v>
                </c:pt>
                <c:pt idx="1637">
                  <c:v>3.9872314625189432E-3</c:v>
                </c:pt>
                <c:pt idx="1638">
                  <c:v>5.5807778678027761E-3</c:v>
                </c:pt>
                <c:pt idx="1639">
                  <c:v>7.3836248800337673E-3</c:v>
                </c:pt>
                <c:pt idx="1640">
                  <c:v>8.9183473084501214E-3</c:v>
                </c:pt>
                <c:pt idx="1641">
                  <c:v>1.0023054582546567E-3</c:v>
                </c:pt>
                <c:pt idx="1642">
                  <c:v>1.6107683636470073E-3</c:v>
                </c:pt>
                <c:pt idx="1643">
                  <c:v>1.2244270248926818E-2</c:v>
                </c:pt>
                <c:pt idx="1644">
                  <c:v>1.2500140241798494E-2</c:v>
                </c:pt>
                <c:pt idx="1645">
                  <c:v>1.2159598535897188E-2</c:v>
                </c:pt>
                <c:pt idx="1646">
                  <c:v>9.5676171142341604E-4</c:v>
                </c:pt>
                <c:pt idx="1647">
                  <c:v>1.0966598562607675E-2</c:v>
                </c:pt>
                <c:pt idx="1648">
                  <c:v>1.0143276956724078E-2</c:v>
                </c:pt>
              </c:numCache>
            </c:numRef>
          </c:xVal>
          <c:yVal>
            <c:numRef>
              <c:f>Regression!RegChartStudResid</c:f>
              <c:numCache>
                <c:formatCode>0.0000</c:formatCode>
                <c:ptCount val="1649"/>
                <c:pt idx="0">
                  <c:v>5.9468138435847258E-2</c:v>
                </c:pt>
                <c:pt idx="1">
                  <c:v>-0.69231092307684594</c:v>
                </c:pt>
                <c:pt idx="2">
                  <c:v>-0.71594047696680008</c:v>
                </c:pt>
                <c:pt idx="3">
                  <c:v>-0.74834168509972387</c:v>
                </c:pt>
                <c:pt idx="4">
                  <c:v>-0.77264357491067825</c:v>
                </c:pt>
                <c:pt idx="5">
                  <c:v>-0.80504745462936589</c:v>
                </c:pt>
                <c:pt idx="6">
                  <c:v>-0.8212499942925604</c:v>
                </c:pt>
                <c:pt idx="7">
                  <c:v>-0.85388223361001803</c:v>
                </c:pt>
                <c:pt idx="8">
                  <c:v>-0.88674424228827065</c:v>
                </c:pt>
                <c:pt idx="9">
                  <c:v>-0.9187011954466564</c:v>
                </c:pt>
                <c:pt idx="10">
                  <c:v>-0.95020349627913359</c:v>
                </c:pt>
                <c:pt idx="11">
                  <c:v>-0.98238738877588683</c:v>
                </c:pt>
                <c:pt idx="12">
                  <c:v>-1.0145720549218116</c:v>
                </c:pt>
                <c:pt idx="13">
                  <c:v>-3.3962092965655502</c:v>
                </c:pt>
                <c:pt idx="14">
                  <c:v>-1.0729069924714176</c:v>
                </c:pt>
                <c:pt idx="15">
                  <c:v>-1.1134354575333176</c:v>
                </c:pt>
                <c:pt idx="16">
                  <c:v>0.61528487723323144</c:v>
                </c:pt>
                <c:pt idx="17">
                  <c:v>4.7353167311330539E-2</c:v>
                </c:pt>
                <c:pt idx="18">
                  <c:v>0.59819737882400559</c:v>
                </c:pt>
                <c:pt idx="19">
                  <c:v>0.56602422032536559</c:v>
                </c:pt>
                <c:pt idx="20">
                  <c:v>0.53385155862861911</c:v>
                </c:pt>
                <c:pt idx="21">
                  <c:v>0.49358114077533627</c:v>
                </c:pt>
                <c:pt idx="22">
                  <c:v>0.47760578900898676</c:v>
                </c:pt>
                <c:pt idx="23">
                  <c:v>-0.35942590498044991</c:v>
                </c:pt>
                <c:pt idx="24">
                  <c:v>-0.20046705802554837</c:v>
                </c:pt>
                <c:pt idx="25">
                  <c:v>0.23709770759402632</c:v>
                </c:pt>
                <c:pt idx="26">
                  <c:v>-0.53671039044160462</c:v>
                </c:pt>
                <c:pt idx="27">
                  <c:v>-0.6008445523208098</c:v>
                </c:pt>
                <c:pt idx="28">
                  <c:v>-0.62492086176323303</c:v>
                </c:pt>
                <c:pt idx="29">
                  <c:v>-0.56867191969478126</c:v>
                </c:pt>
                <c:pt idx="30">
                  <c:v>-0.52861406165379821</c:v>
                </c:pt>
                <c:pt idx="31">
                  <c:v>-0.71207954669302875</c:v>
                </c:pt>
                <c:pt idx="32">
                  <c:v>-0.26460738508104797</c:v>
                </c:pt>
                <c:pt idx="33">
                  <c:v>0.51522611248030359</c:v>
                </c:pt>
                <c:pt idx="34">
                  <c:v>0.49115427658746996</c:v>
                </c:pt>
                <c:pt idx="35">
                  <c:v>0.48283689750172215</c:v>
                </c:pt>
                <c:pt idx="36">
                  <c:v>0.47451978724099902</c:v>
                </c:pt>
                <c:pt idx="37">
                  <c:v>0.45810599617339653</c:v>
                </c:pt>
                <c:pt idx="38">
                  <c:v>0.43381544577603165</c:v>
                </c:pt>
                <c:pt idx="39">
                  <c:v>0.40952528427785412</c:v>
                </c:pt>
                <c:pt idx="40">
                  <c:v>0.36926157105044427</c:v>
                </c:pt>
                <c:pt idx="41">
                  <c:v>0.32090194921845744</c:v>
                </c:pt>
                <c:pt idx="42">
                  <c:v>-0.73636523771301765</c:v>
                </c:pt>
                <c:pt idx="43">
                  <c:v>-1.3962862148885022</c:v>
                </c:pt>
                <c:pt idx="44">
                  <c:v>-1.437080119871484</c:v>
                </c:pt>
                <c:pt idx="45">
                  <c:v>-0.63021433496384482</c:v>
                </c:pt>
                <c:pt idx="46">
                  <c:v>-1.4058282040397625</c:v>
                </c:pt>
                <c:pt idx="47">
                  <c:v>-1.5981329017172361</c:v>
                </c:pt>
                <c:pt idx="48">
                  <c:v>-1.6465765432582504</c:v>
                </c:pt>
                <c:pt idx="49">
                  <c:v>-1.6947792083637481</c:v>
                </c:pt>
                <c:pt idx="50">
                  <c:v>-1.7432296978307229</c:v>
                </c:pt>
                <c:pt idx="51">
                  <c:v>0.70625693669015921</c:v>
                </c:pt>
                <c:pt idx="52">
                  <c:v>0.68218514473023573</c:v>
                </c:pt>
                <c:pt idx="53">
                  <c:v>-0.17681908897423024</c:v>
                </c:pt>
                <c:pt idx="54">
                  <c:v>-0.20878119237030099</c:v>
                </c:pt>
                <c:pt idx="55">
                  <c:v>0.61806771333520105</c:v>
                </c:pt>
                <c:pt idx="56">
                  <c:v>0.67342635472552959</c:v>
                </c:pt>
                <c:pt idx="57">
                  <c:v>0.64147823353226496</c:v>
                </c:pt>
                <c:pt idx="58">
                  <c:v>0.56926513575543192</c:v>
                </c:pt>
                <c:pt idx="59">
                  <c:v>0.6174071012687804</c:v>
                </c:pt>
                <c:pt idx="60">
                  <c:v>0.56948499678120235</c:v>
                </c:pt>
                <c:pt idx="61">
                  <c:v>-0.36070810282488541</c:v>
                </c:pt>
                <c:pt idx="62">
                  <c:v>0.52046515110874758</c:v>
                </c:pt>
                <c:pt idx="63">
                  <c:v>0.52834238543250567</c:v>
                </c:pt>
                <c:pt idx="64">
                  <c:v>-0.38457276104868904</c:v>
                </c:pt>
                <c:pt idx="65">
                  <c:v>0.45810599617339653</c:v>
                </c:pt>
                <c:pt idx="66">
                  <c:v>0.44235152761949598</c:v>
                </c:pt>
                <c:pt idx="67">
                  <c:v>0.41762196313227362</c:v>
                </c:pt>
                <c:pt idx="68">
                  <c:v>0.3852354863095343</c:v>
                </c:pt>
                <c:pt idx="69">
                  <c:v>0.39267466204145191</c:v>
                </c:pt>
                <c:pt idx="70">
                  <c:v>-0.5925375004412492</c:v>
                </c:pt>
                <c:pt idx="71">
                  <c:v>0.3852354863095343</c:v>
                </c:pt>
                <c:pt idx="72">
                  <c:v>0.36028923677390273</c:v>
                </c:pt>
                <c:pt idx="73">
                  <c:v>0.34475322864121632</c:v>
                </c:pt>
                <c:pt idx="74">
                  <c:v>0.30536591001407948</c:v>
                </c:pt>
                <c:pt idx="75">
                  <c:v>0.27319924656453998</c:v>
                </c:pt>
                <c:pt idx="76">
                  <c:v>0.25722537480899627</c:v>
                </c:pt>
                <c:pt idx="77">
                  <c:v>0.31236801991718083</c:v>
                </c:pt>
                <c:pt idx="78">
                  <c:v>0.22440318062537842</c:v>
                </c:pt>
                <c:pt idx="79">
                  <c:v>0.86263572470122163</c:v>
                </c:pt>
                <c:pt idx="80">
                  <c:v>1.2638048789374623</c:v>
                </c:pt>
                <c:pt idx="81">
                  <c:v>1.2318507563480223</c:v>
                </c:pt>
                <c:pt idx="82">
                  <c:v>1.199668643623282</c:v>
                </c:pt>
                <c:pt idx="83">
                  <c:v>1.191566286950184</c:v>
                </c:pt>
                <c:pt idx="84">
                  <c:v>1.1753619069748906</c:v>
                </c:pt>
                <c:pt idx="85">
                  <c:v>1.1114549561370928</c:v>
                </c:pt>
                <c:pt idx="86">
                  <c:v>1.1114549561370928</c:v>
                </c:pt>
                <c:pt idx="87">
                  <c:v>1.0954782184276444</c:v>
                </c:pt>
                <c:pt idx="88">
                  <c:v>1.0713998326951428</c:v>
                </c:pt>
                <c:pt idx="89">
                  <c:v>1.8859775015469182</c:v>
                </c:pt>
                <c:pt idx="90">
                  <c:v>1.4224285903973033</c:v>
                </c:pt>
                <c:pt idx="91">
                  <c:v>0.94291056105276494</c:v>
                </c:pt>
                <c:pt idx="92">
                  <c:v>0.95866176299251848</c:v>
                </c:pt>
                <c:pt idx="93">
                  <c:v>1.1274316938465434</c:v>
                </c:pt>
                <c:pt idx="94">
                  <c:v>1.0952515147837214</c:v>
                </c:pt>
                <c:pt idx="95">
                  <c:v>1.7175337555052825</c:v>
                </c:pt>
                <c:pt idx="96">
                  <c:v>2.236991725919987</c:v>
                </c:pt>
                <c:pt idx="97">
                  <c:v>1.6136857266692093</c:v>
                </c:pt>
                <c:pt idx="98">
                  <c:v>1.3099105717880792</c:v>
                </c:pt>
                <c:pt idx="99">
                  <c:v>1.6215589486297826</c:v>
                </c:pt>
                <c:pt idx="100">
                  <c:v>0.60670367734468844</c:v>
                </c:pt>
                <c:pt idx="101">
                  <c:v>0.98993906554931588</c:v>
                </c:pt>
                <c:pt idx="102">
                  <c:v>0.95753849133761337</c:v>
                </c:pt>
                <c:pt idx="103">
                  <c:v>0.94943857309667845</c:v>
                </c:pt>
                <c:pt idx="104">
                  <c:v>0.88531250738747136</c:v>
                </c:pt>
                <c:pt idx="105">
                  <c:v>0.24701058382632521</c:v>
                </c:pt>
                <c:pt idx="106">
                  <c:v>0.88486557942674415</c:v>
                </c:pt>
                <c:pt idx="107">
                  <c:v>0.83649384680296279</c:v>
                </c:pt>
                <c:pt idx="108">
                  <c:v>0.12308610533613572</c:v>
                </c:pt>
                <c:pt idx="109">
                  <c:v>9.0919156188083605E-2</c:v>
                </c:pt>
                <c:pt idx="110">
                  <c:v>5.8752456024557628E-2</c:v>
                </c:pt>
                <c:pt idx="111">
                  <c:v>2.6585989915189717E-2</c:v>
                </c:pt>
                <c:pt idx="112">
                  <c:v>-0.93602249676892135</c:v>
                </c:pt>
                <c:pt idx="113">
                  <c:v>1.1040616729686279</c:v>
                </c:pt>
                <c:pt idx="114">
                  <c:v>0.37626297572614187</c:v>
                </c:pt>
                <c:pt idx="115">
                  <c:v>-0.62449921983497569</c:v>
                </c:pt>
                <c:pt idx="116">
                  <c:v>-0.12832602718261343</c:v>
                </c:pt>
                <c:pt idx="117">
                  <c:v>-0.19309204437508232</c:v>
                </c:pt>
                <c:pt idx="118">
                  <c:v>-0.25611460813681047</c:v>
                </c:pt>
                <c:pt idx="119">
                  <c:v>-0.35195604385245993</c:v>
                </c:pt>
                <c:pt idx="120">
                  <c:v>-0.41498033570482684</c:v>
                </c:pt>
                <c:pt idx="121">
                  <c:v>4.9783265868624915E-2</c:v>
                </c:pt>
                <c:pt idx="122">
                  <c:v>9.5213060344802036E-3</c:v>
                </c:pt>
                <c:pt idx="123">
                  <c:v>0.98370567397769704</c:v>
                </c:pt>
                <c:pt idx="124">
                  <c:v>-0.62449921983497569</c:v>
                </c:pt>
                <c:pt idx="125">
                  <c:v>-0.11104499085087131</c:v>
                </c:pt>
                <c:pt idx="126">
                  <c:v>-0.15918393405728543</c:v>
                </c:pt>
                <c:pt idx="127">
                  <c:v>-0.19944476553286963</c:v>
                </c:pt>
                <c:pt idx="128">
                  <c:v>-0.24780114723486452</c:v>
                </c:pt>
                <c:pt idx="129">
                  <c:v>-0.30381759926287161</c:v>
                </c:pt>
                <c:pt idx="130">
                  <c:v>-0.34407811717916142</c:v>
                </c:pt>
                <c:pt idx="131">
                  <c:v>-0.40031217383954465</c:v>
                </c:pt>
                <c:pt idx="132">
                  <c:v>-0.45654623653741894</c:v>
                </c:pt>
                <c:pt idx="133">
                  <c:v>0.67344220318421266</c:v>
                </c:pt>
                <c:pt idx="134">
                  <c:v>-0.76127865559114638</c:v>
                </c:pt>
                <c:pt idx="135">
                  <c:v>0.61807573152611694</c:v>
                </c:pt>
                <c:pt idx="136">
                  <c:v>0.933467833592318</c:v>
                </c:pt>
                <c:pt idx="137">
                  <c:v>1.0144091094029171</c:v>
                </c:pt>
                <c:pt idx="138">
                  <c:v>0.56669450642996722</c:v>
                </c:pt>
                <c:pt idx="139">
                  <c:v>0.55093564276288243</c:v>
                </c:pt>
                <c:pt idx="140">
                  <c:v>0.5347454234702177</c:v>
                </c:pt>
                <c:pt idx="141">
                  <c:v>0.52492719932886034</c:v>
                </c:pt>
                <c:pt idx="142">
                  <c:v>0.46804530303146752</c:v>
                </c:pt>
                <c:pt idx="143">
                  <c:v>0.44462007868520387</c:v>
                </c:pt>
                <c:pt idx="144">
                  <c:v>0.41202271486650544</c:v>
                </c:pt>
                <c:pt idx="145">
                  <c:v>0.40306586523781102</c:v>
                </c:pt>
                <c:pt idx="146">
                  <c:v>0.41990290840116418</c:v>
                </c:pt>
                <c:pt idx="147">
                  <c:v>0.41266922388217803</c:v>
                </c:pt>
                <c:pt idx="148">
                  <c:v>2.420365795789972</c:v>
                </c:pt>
                <c:pt idx="149">
                  <c:v>2.1087145852351155</c:v>
                </c:pt>
                <c:pt idx="150">
                  <c:v>1.4775451710616032</c:v>
                </c:pt>
                <c:pt idx="151">
                  <c:v>0.92633254022089295</c:v>
                </c:pt>
                <c:pt idx="152">
                  <c:v>1.0218907850633105</c:v>
                </c:pt>
                <c:pt idx="153">
                  <c:v>1.0214410878988656</c:v>
                </c:pt>
                <c:pt idx="154">
                  <c:v>0.98926538572487488</c:v>
                </c:pt>
                <c:pt idx="155">
                  <c:v>0.98138976916095499</c:v>
                </c:pt>
                <c:pt idx="156">
                  <c:v>0.95753849133761337</c:v>
                </c:pt>
                <c:pt idx="157">
                  <c:v>0.90916389564420896</c:v>
                </c:pt>
                <c:pt idx="158">
                  <c:v>0.90894028670038685</c:v>
                </c:pt>
                <c:pt idx="159">
                  <c:v>0.86056800100437669</c:v>
                </c:pt>
                <c:pt idx="160">
                  <c:v>0.84414732343861476</c:v>
                </c:pt>
                <c:pt idx="161">
                  <c:v>7.209220065752607E-2</c:v>
                </c:pt>
                <c:pt idx="162">
                  <c:v>8.6977884756933743E-2</c:v>
                </c:pt>
                <c:pt idx="163">
                  <c:v>0.18065023416382034</c:v>
                </c:pt>
                <c:pt idx="164">
                  <c:v>-1.1043353558615385</c:v>
                </c:pt>
                <c:pt idx="165">
                  <c:v>0.17934296232626709</c:v>
                </c:pt>
                <c:pt idx="166">
                  <c:v>0.17146504861807152</c:v>
                </c:pt>
                <c:pt idx="167">
                  <c:v>0.17168288423182912</c:v>
                </c:pt>
                <c:pt idx="168">
                  <c:v>0.15592715864076986</c:v>
                </c:pt>
                <c:pt idx="169">
                  <c:v>0.14826724600241126</c:v>
                </c:pt>
                <c:pt idx="170">
                  <c:v>0.14826724600241126</c:v>
                </c:pt>
                <c:pt idx="171">
                  <c:v>0.13995357148121462</c:v>
                </c:pt>
                <c:pt idx="172">
                  <c:v>0.13120416729721907</c:v>
                </c:pt>
                <c:pt idx="173">
                  <c:v>0.13055069160540933</c:v>
                </c:pt>
                <c:pt idx="174">
                  <c:v>-1.3043961416104866</c:v>
                </c:pt>
                <c:pt idx="175">
                  <c:v>0.11435910206666261</c:v>
                </c:pt>
                <c:pt idx="176">
                  <c:v>-1.3363565560649222</c:v>
                </c:pt>
                <c:pt idx="177">
                  <c:v>5.8777723322315095E-2</c:v>
                </c:pt>
                <c:pt idx="178">
                  <c:v>-0.87391169260395951</c:v>
                </c:pt>
                <c:pt idx="179">
                  <c:v>-0.91373888910478707</c:v>
                </c:pt>
                <c:pt idx="180">
                  <c:v>-0.94569014322312428</c:v>
                </c:pt>
                <c:pt idx="181">
                  <c:v>-0.97764139734146027</c:v>
                </c:pt>
                <c:pt idx="182">
                  <c:v>-1.0179175881722942</c:v>
                </c:pt>
                <c:pt idx="183">
                  <c:v>-1.0264682909085179</c:v>
                </c:pt>
                <c:pt idx="184">
                  <c:v>-1.0046503729510565</c:v>
                </c:pt>
                <c:pt idx="185">
                  <c:v>-1.0451614917824033</c:v>
                </c:pt>
                <c:pt idx="186">
                  <c:v>-1.0852193527501155</c:v>
                </c:pt>
                <c:pt idx="187">
                  <c:v>-1.1252776145853569</c:v>
                </c:pt>
                <c:pt idx="188">
                  <c:v>-1.1891885095650812</c:v>
                </c:pt>
                <c:pt idx="189">
                  <c:v>-1.2371216807998753</c:v>
                </c:pt>
                <c:pt idx="190">
                  <c:v>-1.2848252009044432</c:v>
                </c:pt>
                <c:pt idx="191">
                  <c:v>0.39205703459412394</c:v>
                </c:pt>
                <c:pt idx="192">
                  <c:v>0.36777067471320446</c:v>
                </c:pt>
                <c:pt idx="193">
                  <c:v>0.33538861112666279</c:v>
                </c:pt>
                <c:pt idx="194">
                  <c:v>0.28724844292237545</c:v>
                </c:pt>
                <c:pt idx="195">
                  <c:v>0.24698670232856398</c:v>
                </c:pt>
                <c:pt idx="196">
                  <c:v>0.19862856147896779</c:v>
                </c:pt>
                <c:pt idx="197">
                  <c:v>0.15048691465701367</c:v>
                </c:pt>
                <c:pt idx="198">
                  <c:v>0.10212724181411238</c:v>
                </c:pt>
                <c:pt idx="199">
                  <c:v>4.5452229714775673E-2</c:v>
                </c:pt>
                <c:pt idx="200">
                  <c:v>-1.1443240570873769E-2</c:v>
                </c:pt>
                <c:pt idx="201">
                  <c:v>-6.8342144769281674E-2</c:v>
                </c:pt>
                <c:pt idx="202">
                  <c:v>-0.13334303930465358</c:v>
                </c:pt>
                <c:pt idx="203">
                  <c:v>-0.19025101864005389</c:v>
                </c:pt>
                <c:pt idx="204">
                  <c:v>-2.311919392691316</c:v>
                </c:pt>
                <c:pt idx="205">
                  <c:v>-3.3753033775846444E-2</c:v>
                </c:pt>
                <c:pt idx="206">
                  <c:v>0.63758127254303554</c:v>
                </c:pt>
                <c:pt idx="207">
                  <c:v>-2.4672270155170199E-2</c:v>
                </c:pt>
                <c:pt idx="208">
                  <c:v>0.59731010080117153</c:v>
                </c:pt>
                <c:pt idx="209">
                  <c:v>0.61328540516926022</c:v>
                </c:pt>
                <c:pt idx="210">
                  <c:v>0.54916288487623555</c:v>
                </c:pt>
                <c:pt idx="211">
                  <c:v>0.524868479722993</c:v>
                </c:pt>
                <c:pt idx="212">
                  <c:v>0.51677047574454826</c:v>
                </c:pt>
                <c:pt idx="213">
                  <c:v>-0.22519324047398548</c:v>
                </c:pt>
                <c:pt idx="214">
                  <c:v>-0.29549729673778596</c:v>
                </c:pt>
                <c:pt idx="215">
                  <c:v>-0.32064855425654754</c:v>
                </c:pt>
                <c:pt idx="216">
                  <c:v>0.44477257617243787</c:v>
                </c:pt>
                <c:pt idx="217">
                  <c:v>0.11484199494068538</c:v>
                </c:pt>
                <c:pt idx="218">
                  <c:v>0.11288741741192092</c:v>
                </c:pt>
                <c:pt idx="219">
                  <c:v>-2.2455091550245032</c:v>
                </c:pt>
                <c:pt idx="220">
                  <c:v>0.10066560604465799</c:v>
                </c:pt>
                <c:pt idx="221">
                  <c:v>0.11404634942881192</c:v>
                </c:pt>
                <c:pt idx="222">
                  <c:v>0.15725064926897789</c:v>
                </c:pt>
                <c:pt idx="223">
                  <c:v>0.15358852852406735</c:v>
                </c:pt>
                <c:pt idx="224">
                  <c:v>0.12862634867128031</c:v>
                </c:pt>
                <c:pt idx="225">
                  <c:v>0.22673560567154058</c:v>
                </c:pt>
                <c:pt idx="226">
                  <c:v>0.32291748007169707</c:v>
                </c:pt>
                <c:pt idx="227">
                  <c:v>0.42629843367895293</c:v>
                </c:pt>
                <c:pt idx="228">
                  <c:v>0.47835541569093598</c:v>
                </c:pt>
                <c:pt idx="229">
                  <c:v>0.46169555462833284</c:v>
                </c:pt>
                <c:pt idx="230">
                  <c:v>0.41553551042802428</c:v>
                </c:pt>
                <c:pt idx="231">
                  <c:v>0.33855978344359972</c:v>
                </c:pt>
                <c:pt idx="232">
                  <c:v>0.68742170496952371</c:v>
                </c:pt>
                <c:pt idx="233">
                  <c:v>0.6872023853739182</c:v>
                </c:pt>
                <c:pt idx="234">
                  <c:v>0.67100953640487249</c:v>
                </c:pt>
                <c:pt idx="235">
                  <c:v>0.63862429419409872</c:v>
                </c:pt>
                <c:pt idx="236">
                  <c:v>0.60645831330402122</c:v>
                </c:pt>
                <c:pt idx="237">
                  <c:v>0.59814351842667257</c:v>
                </c:pt>
                <c:pt idx="238">
                  <c:v>0.57407391503943506</c:v>
                </c:pt>
                <c:pt idx="239">
                  <c:v>0.56597788930415416</c:v>
                </c:pt>
                <c:pt idx="240">
                  <c:v>0.53381239356428256</c:v>
                </c:pt>
                <c:pt idx="241">
                  <c:v>0.50164701628194974</c:v>
                </c:pt>
                <c:pt idx="242">
                  <c:v>-0.76065031578575482</c:v>
                </c:pt>
                <c:pt idx="243">
                  <c:v>0.42878470012611719</c:v>
                </c:pt>
                <c:pt idx="244">
                  <c:v>0.39640185865642663</c:v>
                </c:pt>
                <c:pt idx="245">
                  <c:v>0.35614129447155374</c:v>
                </c:pt>
                <c:pt idx="246">
                  <c:v>1.026596094317954</c:v>
                </c:pt>
                <c:pt idx="247">
                  <c:v>0.56028996975555589</c:v>
                </c:pt>
                <c:pt idx="248">
                  <c:v>-0.44870976316948286</c:v>
                </c:pt>
                <c:pt idx="249">
                  <c:v>0.50427207416520392</c:v>
                </c:pt>
                <c:pt idx="250">
                  <c:v>0.51171110064320569</c:v>
                </c:pt>
                <c:pt idx="251">
                  <c:v>0.48742215057596877</c:v>
                </c:pt>
                <c:pt idx="252">
                  <c:v>0.49486197146337557</c:v>
                </c:pt>
                <c:pt idx="253">
                  <c:v>0.47057365437582693</c:v>
                </c:pt>
                <c:pt idx="254">
                  <c:v>0.43840802783845484</c:v>
                </c:pt>
                <c:pt idx="255">
                  <c:v>0.40602418322857964</c:v>
                </c:pt>
                <c:pt idx="256">
                  <c:v>-0.75255535629770287</c:v>
                </c:pt>
                <c:pt idx="257">
                  <c:v>0.37451383160316909</c:v>
                </c:pt>
                <c:pt idx="258">
                  <c:v>0.32681157704259306</c:v>
                </c:pt>
                <c:pt idx="259">
                  <c:v>0.31061963536788106</c:v>
                </c:pt>
                <c:pt idx="260">
                  <c:v>-0.83245870718008408</c:v>
                </c:pt>
                <c:pt idx="261">
                  <c:v>0.24607071845174688</c:v>
                </c:pt>
                <c:pt idx="262">
                  <c:v>-0.81179999295612559</c:v>
                </c:pt>
                <c:pt idx="263">
                  <c:v>-2.7591571331065561</c:v>
                </c:pt>
                <c:pt idx="264">
                  <c:v>-0.90000898223085912</c:v>
                </c:pt>
                <c:pt idx="265">
                  <c:v>-0.94839093594314117</c:v>
                </c:pt>
                <c:pt idx="266">
                  <c:v>-1.0127523775481819</c:v>
                </c:pt>
                <c:pt idx="267">
                  <c:v>-1.0771166529986758</c:v>
                </c:pt>
                <c:pt idx="268">
                  <c:v>-1.1655651364061936</c:v>
                </c:pt>
                <c:pt idx="269">
                  <c:v>-1.2540188467665625</c:v>
                </c:pt>
                <c:pt idx="270">
                  <c:v>-3.4707048144716066</c:v>
                </c:pt>
                <c:pt idx="271">
                  <c:v>-0.61533437610161368</c:v>
                </c:pt>
                <c:pt idx="272">
                  <c:v>-2.775702235955797</c:v>
                </c:pt>
                <c:pt idx="273">
                  <c:v>-0.67294897606753556</c:v>
                </c:pt>
                <c:pt idx="274">
                  <c:v>-0.6979366365558497</c:v>
                </c:pt>
                <c:pt idx="275">
                  <c:v>-3.0633271047677773</c:v>
                </c:pt>
                <c:pt idx="276">
                  <c:v>-0.75580392032746913</c:v>
                </c:pt>
                <c:pt idx="277">
                  <c:v>-3.2872193538934882</c:v>
                </c:pt>
                <c:pt idx="278">
                  <c:v>-0.84566119282245811</c:v>
                </c:pt>
                <c:pt idx="279">
                  <c:v>-0.91029320080040754</c:v>
                </c:pt>
                <c:pt idx="280">
                  <c:v>-0.95917963446222898</c:v>
                </c:pt>
                <c:pt idx="281">
                  <c:v>-1.0161853970524937</c:v>
                </c:pt>
                <c:pt idx="282">
                  <c:v>0.18720195901367728</c:v>
                </c:pt>
                <c:pt idx="283">
                  <c:v>-0.6722316916133213</c:v>
                </c:pt>
                <c:pt idx="284">
                  <c:v>0.17079014969522266</c:v>
                </c:pt>
                <c:pt idx="285">
                  <c:v>0.16269371006258512</c:v>
                </c:pt>
                <c:pt idx="286">
                  <c:v>0.15459730566027804</c:v>
                </c:pt>
                <c:pt idx="287">
                  <c:v>0.14650093554875349</c:v>
                </c:pt>
                <c:pt idx="288">
                  <c:v>0.14650093554875349</c:v>
                </c:pt>
                <c:pt idx="289">
                  <c:v>0.14628235503663461</c:v>
                </c:pt>
                <c:pt idx="290">
                  <c:v>0.13796753676597143</c:v>
                </c:pt>
                <c:pt idx="291">
                  <c:v>0.12943440076465768</c:v>
                </c:pt>
                <c:pt idx="292">
                  <c:v>-0.88019297498478399</c:v>
                </c:pt>
                <c:pt idx="293">
                  <c:v>9.6395126780995821E-2</c:v>
                </c:pt>
                <c:pt idx="294">
                  <c:v>1.0703504468303997</c:v>
                </c:pt>
                <c:pt idx="295">
                  <c:v>-7.5144451134394746E-2</c:v>
                </c:pt>
                <c:pt idx="296">
                  <c:v>-0.12350150145318071</c:v>
                </c:pt>
                <c:pt idx="297">
                  <c:v>-0.16376288153317697</c:v>
                </c:pt>
                <c:pt idx="298">
                  <c:v>-1.5438987861058364</c:v>
                </c:pt>
                <c:pt idx="299">
                  <c:v>-0.24428635306393784</c:v>
                </c:pt>
                <c:pt idx="300">
                  <c:v>-0.30052226035981566</c:v>
                </c:pt>
                <c:pt idx="301">
                  <c:v>-0.34888118171645116</c:v>
                </c:pt>
                <c:pt idx="302">
                  <c:v>-1.8240492815841334</c:v>
                </c:pt>
                <c:pt idx="303">
                  <c:v>-0.45457638211201806</c:v>
                </c:pt>
                <c:pt idx="304">
                  <c:v>-0.45528351252968602</c:v>
                </c:pt>
                <c:pt idx="305">
                  <c:v>-0.51899977213893989</c:v>
                </c:pt>
                <c:pt idx="306">
                  <c:v>-0.5595302688831465</c:v>
                </c:pt>
                <c:pt idx="307">
                  <c:v>-0.59172971981009248</c:v>
                </c:pt>
                <c:pt idx="308">
                  <c:v>-3.2714250471124533</c:v>
                </c:pt>
                <c:pt idx="309">
                  <c:v>-0.70386265811140103</c:v>
                </c:pt>
                <c:pt idx="310">
                  <c:v>-0.72887771762379494</c:v>
                </c:pt>
                <c:pt idx="311">
                  <c:v>-0.72238282658918651</c:v>
                </c:pt>
                <c:pt idx="312">
                  <c:v>-0.77822981255609636</c:v>
                </c:pt>
                <c:pt idx="313">
                  <c:v>-3.9316885335958589</c:v>
                </c:pt>
                <c:pt idx="314">
                  <c:v>1.2154176440926825</c:v>
                </c:pt>
                <c:pt idx="315">
                  <c:v>1.1992132314852391</c:v>
                </c:pt>
                <c:pt idx="316">
                  <c:v>1.1751345778177833</c:v>
                </c:pt>
                <c:pt idx="317">
                  <c:v>1.1591579652109718</c:v>
                </c:pt>
                <c:pt idx="318">
                  <c:v>0.63078886168588466</c:v>
                </c:pt>
                <c:pt idx="319">
                  <c:v>1.1107749963364246</c:v>
                </c:pt>
                <c:pt idx="320">
                  <c:v>2.0851000747940249</c:v>
                </c:pt>
                <c:pt idx="321">
                  <c:v>1.7655750318460264</c:v>
                </c:pt>
                <c:pt idx="322">
                  <c:v>1.7734476690293779</c:v>
                </c:pt>
                <c:pt idx="323">
                  <c:v>1.1422748403336687</c:v>
                </c:pt>
                <c:pt idx="324">
                  <c:v>0.99038896640926477</c:v>
                </c:pt>
                <c:pt idx="325">
                  <c:v>0.95033637202574173</c:v>
                </c:pt>
                <c:pt idx="326">
                  <c:v>0.31247097066852719</c:v>
                </c:pt>
                <c:pt idx="327">
                  <c:v>-0.87288264479525313</c:v>
                </c:pt>
                <c:pt idx="328">
                  <c:v>-0.47155479975703879</c:v>
                </c:pt>
                <c:pt idx="329">
                  <c:v>-0.95191793309764339</c:v>
                </c:pt>
                <c:pt idx="330">
                  <c:v>-1.024264416034093</c:v>
                </c:pt>
                <c:pt idx="331">
                  <c:v>-1.0651036684463311</c:v>
                </c:pt>
                <c:pt idx="332">
                  <c:v>-1.1421933710374781</c:v>
                </c:pt>
                <c:pt idx="333">
                  <c:v>-1.1746357157037068</c:v>
                </c:pt>
                <c:pt idx="334">
                  <c:v>-1.2307039057923432</c:v>
                </c:pt>
                <c:pt idx="335">
                  <c:v>-1.2784232539303146</c:v>
                </c:pt>
                <c:pt idx="336">
                  <c:v>-1.3502385381861897</c:v>
                </c:pt>
                <c:pt idx="337">
                  <c:v>-2.9997849383810853</c:v>
                </c:pt>
                <c:pt idx="338">
                  <c:v>-1.3698330492292075</c:v>
                </c:pt>
                <c:pt idx="339">
                  <c:v>1.516914205513094</c:v>
                </c:pt>
                <c:pt idx="340">
                  <c:v>1.2052740117650202</c:v>
                </c:pt>
                <c:pt idx="341">
                  <c:v>1.0295413022294642</c:v>
                </c:pt>
                <c:pt idx="342">
                  <c:v>1.0293165632573689</c:v>
                </c:pt>
                <c:pt idx="343">
                  <c:v>0.94111479247963925</c:v>
                </c:pt>
                <c:pt idx="344">
                  <c:v>0.98881704553212757</c:v>
                </c:pt>
                <c:pt idx="345">
                  <c:v>1.013116488754326</c:v>
                </c:pt>
                <c:pt idx="346">
                  <c:v>0.27897327253003096</c:v>
                </c:pt>
                <c:pt idx="347">
                  <c:v>0.92491563846673641</c:v>
                </c:pt>
                <c:pt idx="348">
                  <c:v>0.39029264197184521</c:v>
                </c:pt>
                <c:pt idx="349">
                  <c:v>0.37409658192005008</c:v>
                </c:pt>
                <c:pt idx="350">
                  <c:v>0.35002320102414686</c:v>
                </c:pt>
                <c:pt idx="351">
                  <c:v>0.33382762311185488</c:v>
                </c:pt>
                <c:pt idx="352">
                  <c:v>0.30975462217559885</c:v>
                </c:pt>
                <c:pt idx="353">
                  <c:v>0.30165703272553451</c:v>
                </c:pt>
                <c:pt idx="354">
                  <c:v>0.26926725331719881</c:v>
                </c:pt>
                <c:pt idx="355">
                  <c:v>0.2454143713760818</c:v>
                </c:pt>
                <c:pt idx="356">
                  <c:v>0.22921988243895547</c:v>
                </c:pt>
                <c:pt idx="357">
                  <c:v>0.18917273792208555</c:v>
                </c:pt>
                <c:pt idx="358">
                  <c:v>-0.56824920903203457</c:v>
                </c:pt>
                <c:pt idx="359">
                  <c:v>-0.61640338902223546</c:v>
                </c:pt>
                <c:pt idx="360">
                  <c:v>-0.65667133523884413</c:v>
                </c:pt>
                <c:pt idx="361">
                  <c:v>-0.77600414120902439</c:v>
                </c:pt>
                <c:pt idx="362">
                  <c:v>-3.6220577129980308E-2</c:v>
                </c:pt>
                <c:pt idx="363">
                  <c:v>0.65547432236473802</c:v>
                </c:pt>
                <c:pt idx="364">
                  <c:v>0.63140416349404604</c:v>
                </c:pt>
                <c:pt idx="365">
                  <c:v>0.59967601881699517</c:v>
                </c:pt>
                <c:pt idx="366">
                  <c:v>0.59157955715516886</c:v>
                </c:pt>
                <c:pt idx="367">
                  <c:v>-0.52072962581501747</c:v>
                </c:pt>
                <c:pt idx="368">
                  <c:v>-0.52072962581501747</c:v>
                </c:pt>
                <c:pt idx="369">
                  <c:v>0.49551843388196226</c:v>
                </c:pt>
                <c:pt idx="370">
                  <c:v>0.47976371803841994</c:v>
                </c:pt>
                <c:pt idx="371">
                  <c:v>0.43950120294046674</c:v>
                </c:pt>
                <c:pt idx="372">
                  <c:v>0.4158689528288485</c:v>
                </c:pt>
                <c:pt idx="373">
                  <c:v>0.39945771731551355</c:v>
                </c:pt>
                <c:pt idx="374">
                  <c:v>-0.71249880133407295</c:v>
                </c:pt>
                <c:pt idx="375">
                  <c:v>0.35788534875246047</c:v>
                </c:pt>
                <c:pt idx="376">
                  <c:v>0.32572012186596583</c:v>
                </c:pt>
                <c:pt idx="377">
                  <c:v>0.32550198269426794</c:v>
                </c:pt>
                <c:pt idx="378">
                  <c:v>-2.1195808985303</c:v>
                </c:pt>
                <c:pt idx="379">
                  <c:v>-0.51235888446310318</c:v>
                </c:pt>
                <c:pt idx="380">
                  <c:v>-0.54475032739494167</c:v>
                </c:pt>
                <c:pt idx="381">
                  <c:v>-0.56116765033725313</c:v>
                </c:pt>
                <c:pt idx="382">
                  <c:v>-0.58568416066780149</c:v>
                </c:pt>
                <c:pt idx="383">
                  <c:v>-0.62617760203975692</c:v>
                </c:pt>
                <c:pt idx="384">
                  <c:v>-0.64259788244975213</c:v>
                </c:pt>
                <c:pt idx="385">
                  <c:v>0.18771196946432159</c:v>
                </c:pt>
                <c:pt idx="386">
                  <c:v>-0.26793567451673944</c:v>
                </c:pt>
                <c:pt idx="387">
                  <c:v>-0.71571688197161154</c:v>
                </c:pt>
                <c:pt idx="388">
                  <c:v>-0.72404064129541879</c:v>
                </c:pt>
                <c:pt idx="389">
                  <c:v>-0.74024124442007944</c:v>
                </c:pt>
                <c:pt idx="390">
                  <c:v>1.0601455402077302</c:v>
                </c:pt>
                <c:pt idx="391">
                  <c:v>1.0441704192502477</c:v>
                </c:pt>
                <c:pt idx="392">
                  <c:v>1.0200958558842224</c:v>
                </c:pt>
                <c:pt idx="393">
                  <c:v>0.99602146458720375</c:v>
                </c:pt>
                <c:pt idx="394">
                  <c:v>0.20628485429087093</c:v>
                </c:pt>
                <c:pt idx="395">
                  <c:v>1.0122201773352806</c:v>
                </c:pt>
                <c:pt idx="396">
                  <c:v>0.98792223245443933</c:v>
                </c:pt>
                <c:pt idx="397">
                  <c:v>0.94066733624900345</c:v>
                </c:pt>
                <c:pt idx="398">
                  <c:v>0.19030418411439559</c:v>
                </c:pt>
                <c:pt idx="399">
                  <c:v>0.9242453959820478</c:v>
                </c:pt>
                <c:pt idx="400">
                  <c:v>0.11083984159040207</c:v>
                </c:pt>
                <c:pt idx="401">
                  <c:v>7.209220065752607E-2</c:v>
                </c:pt>
                <c:pt idx="402">
                  <c:v>0.89207229311055547</c:v>
                </c:pt>
                <c:pt idx="403">
                  <c:v>-7.8185596458027265E-3</c:v>
                </c:pt>
                <c:pt idx="404">
                  <c:v>0.77237100312729701</c:v>
                </c:pt>
                <c:pt idx="405">
                  <c:v>0.79644478277915076</c:v>
                </c:pt>
                <c:pt idx="406">
                  <c:v>0.78046970612878941</c:v>
                </c:pt>
                <c:pt idx="407">
                  <c:v>3.0716027736409302E-2</c:v>
                </c:pt>
                <c:pt idx="408">
                  <c:v>1.4735168039547136E-2</c:v>
                </c:pt>
                <c:pt idx="409">
                  <c:v>-3.3425198356272542E-2</c:v>
                </c:pt>
                <c:pt idx="410">
                  <c:v>-5.7722465254295516E-2</c:v>
                </c:pt>
                <c:pt idx="411">
                  <c:v>0.65855477228595061</c:v>
                </c:pt>
                <c:pt idx="412">
                  <c:v>0.61085232448010007</c:v>
                </c:pt>
                <c:pt idx="413">
                  <c:v>1.280698546833182</c:v>
                </c:pt>
                <c:pt idx="414">
                  <c:v>0.96902175808893865</c:v>
                </c:pt>
                <c:pt idx="415">
                  <c:v>0.82499853027985059</c:v>
                </c:pt>
                <c:pt idx="416">
                  <c:v>0.78494256887237923</c:v>
                </c:pt>
                <c:pt idx="417">
                  <c:v>0.76874054678395742</c:v>
                </c:pt>
                <c:pt idx="418">
                  <c:v>0.31925987667659733</c:v>
                </c:pt>
                <c:pt idx="419">
                  <c:v>0.72846125247638949</c:v>
                </c:pt>
                <c:pt idx="420">
                  <c:v>0.70438381349447776</c:v>
                </c:pt>
                <c:pt idx="421">
                  <c:v>0.69628346304935529</c:v>
                </c:pt>
                <c:pt idx="422">
                  <c:v>0.68818320485912665</c:v>
                </c:pt>
                <c:pt idx="423">
                  <c:v>0.67220640367022966</c:v>
                </c:pt>
                <c:pt idx="424">
                  <c:v>0.66410630027251483</c:v>
                </c:pt>
                <c:pt idx="425">
                  <c:v>0.6638829743997896</c:v>
                </c:pt>
                <c:pt idx="426">
                  <c:v>0.63980652482780975</c:v>
                </c:pt>
                <c:pt idx="427">
                  <c:v>0.13536104244468697</c:v>
                </c:pt>
                <c:pt idx="428">
                  <c:v>-0.34671430146147025</c:v>
                </c:pt>
                <c:pt idx="429">
                  <c:v>-0.36313102524046903</c:v>
                </c:pt>
                <c:pt idx="430">
                  <c:v>-0.38786785278210512</c:v>
                </c:pt>
                <c:pt idx="431">
                  <c:v>-0.41238534300060342</c:v>
                </c:pt>
                <c:pt idx="432">
                  <c:v>-0.45288108057409915</c:v>
                </c:pt>
                <c:pt idx="433">
                  <c:v>0.82463732519519473</c:v>
                </c:pt>
                <c:pt idx="434">
                  <c:v>-0.21498759474415374</c:v>
                </c:pt>
                <c:pt idx="435">
                  <c:v>-0.51136163656183053</c:v>
                </c:pt>
                <c:pt idx="436">
                  <c:v>0.57451116806547142</c:v>
                </c:pt>
                <c:pt idx="437">
                  <c:v>0.56619642030903083</c:v>
                </c:pt>
                <c:pt idx="438">
                  <c:v>0.49246085747132751</c:v>
                </c:pt>
                <c:pt idx="439">
                  <c:v>-0.59274865453294057</c:v>
                </c:pt>
                <c:pt idx="440">
                  <c:v>0.52527994260458089</c:v>
                </c:pt>
                <c:pt idx="441">
                  <c:v>0.59814351842667257</c:v>
                </c:pt>
                <c:pt idx="442">
                  <c:v>0.58173297244017086</c:v>
                </c:pt>
                <c:pt idx="443">
                  <c:v>0.54147167235552685</c:v>
                </c:pt>
                <c:pt idx="444">
                  <c:v>0.55591944199464671</c:v>
                </c:pt>
                <c:pt idx="445">
                  <c:v>-1.0414457902872525</c:v>
                </c:pt>
                <c:pt idx="446">
                  <c:v>0.36032539300617528</c:v>
                </c:pt>
                <c:pt idx="447">
                  <c:v>-0.56142240537326393</c:v>
                </c:pt>
                <c:pt idx="448">
                  <c:v>0.49881583486880576</c:v>
                </c:pt>
                <c:pt idx="449">
                  <c:v>0.45899040838685307</c:v>
                </c:pt>
                <c:pt idx="450">
                  <c:v>0.49224303223493071</c:v>
                </c:pt>
                <c:pt idx="451">
                  <c:v>0.69793870684234005</c:v>
                </c:pt>
                <c:pt idx="452">
                  <c:v>0.69793870684234005</c:v>
                </c:pt>
                <c:pt idx="453">
                  <c:v>0.66532920575635857</c:v>
                </c:pt>
                <c:pt idx="454">
                  <c:v>0.66488899174397675</c:v>
                </c:pt>
                <c:pt idx="455">
                  <c:v>0.64059829694201431</c:v>
                </c:pt>
                <c:pt idx="456">
                  <c:v>0.68020326244286777</c:v>
                </c:pt>
                <c:pt idx="457">
                  <c:v>0.61608849081680206</c:v>
                </c:pt>
                <c:pt idx="458">
                  <c:v>-0.35282460498830309</c:v>
                </c:pt>
                <c:pt idx="459">
                  <c:v>0.62352693975995455</c:v>
                </c:pt>
                <c:pt idx="460">
                  <c:v>0.64672055012920393</c:v>
                </c:pt>
                <c:pt idx="461">
                  <c:v>0.65503589998785228</c:v>
                </c:pt>
                <c:pt idx="462">
                  <c:v>0.67866775360649245</c:v>
                </c:pt>
                <c:pt idx="463">
                  <c:v>0.59814351842667257</c:v>
                </c:pt>
                <c:pt idx="464">
                  <c:v>0.57407391503943506</c:v>
                </c:pt>
                <c:pt idx="465">
                  <c:v>0.51762053489633642</c:v>
                </c:pt>
                <c:pt idx="466">
                  <c:v>0.73928899156912653</c:v>
                </c:pt>
                <c:pt idx="467">
                  <c:v>0.71500270922523479</c:v>
                </c:pt>
                <c:pt idx="468">
                  <c:v>0.69136830949615014</c:v>
                </c:pt>
                <c:pt idx="469">
                  <c:v>0.65768497273970838</c:v>
                </c:pt>
                <c:pt idx="470">
                  <c:v>0.61041428343421622</c:v>
                </c:pt>
                <c:pt idx="471">
                  <c:v>-0.80921873475370421</c:v>
                </c:pt>
                <c:pt idx="472">
                  <c:v>0.58612830045260189</c:v>
                </c:pt>
                <c:pt idx="473">
                  <c:v>-0.84117878752874364</c:v>
                </c:pt>
                <c:pt idx="474">
                  <c:v>1.2472118712967961</c:v>
                </c:pt>
                <c:pt idx="475">
                  <c:v>0.6240069469625924</c:v>
                </c:pt>
                <c:pt idx="476">
                  <c:v>0.48002338812921069</c:v>
                </c:pt>
                <c:pt idx="477">
                  <c:v>-1.0016004955874864</c:v>
                </c:pt>
                <c:pt idx="478">
                  <c:v>-0.54565432978057737</c:v>
                </c:pt>
                <c:pt idx="479">
                  <c:v>0.33582206122839892</c:v>
                </c:pt>
                <c:pt idx="480">
                  <c:v>0.3439175929675205</c:v>
                </c:pt>
                <c:pt idx="481">
                  <c:v>-2.8954520560083385</c:v>
                </c:pt>
                <c:pt idx="482">
                  <c:v>-9.4823933733695909E-2</c:v>
                </c:pt>
                <c:pt idx="483">
                  <c:v>-0.12809573890645962</c:v>
                </c:pt>
                <c:pt idx="484">
                  <c:v>-0.1375125266407887</c:v>
                </c:pt>
                <c:pt idx="485">
                  <c:v>0.84409913476180631</c:v>
                </c:pt>
                <c:pt idx="486">
                  <c:v>0.10023169578916899</c:v>
                </c:pt>
                <c:pt idx="487">
                  <c:v>-0.21218066591592155</c:v>
                </c:pt>
                <c:pt idx="488">
                  <c:v>-2.6399747003418512</c:v>
                </c:pt>
                <c:pt idx="489">
                  <c:v>-0.26079225006099244</c:v>
                </c:pt>
                <c:pt idx="490">
                  <c:v>-0.30086049791269542</c:v>
                </c:pt>
                <c:pt idx="491">
                  <c:v>-0.34880935652316752</c:v>
                </c:pt>
                <c:pt idx="492">
                  <c:v>0.91347969276621788</c:v>
                </c:pt>
                <c:pt idx="493">
                  <c:v>0.88896569336505971</c:v>
                </c:pt>
                <c:pt idx="494">
                  <c:v>0.85613540534641319</c:v>
                </c:pt>
                <c:pt idx="495">
                  <c:v>0.84781822866300349</c:v>
                </c:pt>
                <c:pt idx="496">
                  <c:v>0.76007231810992781</c:v>
                </c:pt>
                <c:pt idx="497">
                  <c:v>0.79792228505910512</c:v>
                </c:pt>
                <c:pt idx="498">
                  <c:v>0.77276028147923514</c:v>
                </c:pt>
                <c:pt idx="499">
                  <c:v>0.75439413290283586</c:v>
                </c:pt>
                <c:pt idx="500">
                  <c:v>0.74651576815563458</c:v>
                </c:pt>
                <c:pt idx="501">
                  <c:v>0.72244684564858153</c:v>
                </c:pt>
                <c:pt idx="502">
                  <c:v>0.68984910949074341</c:v>
                </c:pt>
                <c:pt idx="503">
                  <c:v>-0.29680879661788373</c:v>
                </c:pt>
                <c:pt idx="504">
                  <c:v>-0.35305066895935888</c:v>
                </c:pt>
                <c:pt idx="505">
                  <c:v>-0.38544103923554146</c:v>
                </c:pt>
                <c:pt idx="506">
                  <c:v>-0.4342492178854403</c:v>
                </c:pt>
                <c:pt idx="507">
                  <c:v>-0.46752776657117129</c:v>
                </c:pt>
                <c:pt idx="508">
                  <c:v>0.62545329115776294</c:v>
                </c:pt>
                <c:pt idx="509">
                  <c:v>-0.56650397859925816</c:v>
                </c:pt>
                <c:pt idx="510">
                  <c:v>-2.7443141624135095</c:v>
                </c:pt>
                <c:pt idx="511">
                  <c:v>-1.1124282413424851</c:v>
                </c:pt>
                <c:pt idx="512">
                  <c:v>0.23492419453069127</c:v>
                </c:pt>
                <c:pt idx="513">
                  <c:v>0.22661088810903188</c:v>
                </c:pt>
                <c:pt idx="514">
                  <c:v>0.21041952208030321</c:v>
                </c:pt>
                <c:pt idx="515">
                  <c:v>-1.3424286944146775</c:v>
                </c:pt>
                <c:pt idx="516">
                  <c:v>-1.2087193944416905</c:v>
                </c:pt>
                <c:pt idx="517">
                  <c:v>-1.2170163611223521</c:v>
                </c:pt>
                <c:pt idx="518">
                  <c:v>-1.2093339792746807</c:v>
                </c:pt>
                <c:pt idx="519">
                  <c:v>0.20889696083180087</c:v>
                </c:pt>
                <c:pt idx="520">
                  <c:v>0.20058381690214511</c:v>
                </c:pt>
                <c:pt idx="521">
                  <c:v>0.20014911184553363</c:v>
                </c:pt>
                <c:pt idx="522">
                  <c:v>-1.3604282302432664</c:v>
                </c:pt>
                <c:pt idx="523">
                  <c:v>-1.3764083467406656</c:v>
                </c:pt>
                <c:pt idx="524">
                  <c:v>0.17586160389831659</c:v>
                </c:pt>
                <c:pt idx="525">
                  <c:v>0.15988723317779846</c:v>
                </c:pt>
                <c:pt idx="526">
                  <c:v>1.3576112196555163</c:v>
                </c:pt>
                <c:pt idx="527">
                  <c:v>1.3414079802032521</c:v>
                </c:pt>
                <c:pt idx="528">
                  <c:v>1.2772779073357581</c:v>
                </c:pt>
                <c:pt idx="529">
                  <c:v>1.3092294137594034</c:v>
                </c:pt>
                <c:pt idx="530">
                  <c:v>1.2689505337394402</c:v>
                </c:pt>
                <c:pt idx="531">
                  <c:v>1.2527489538171797</c:v>
                </c:pt>
                <c:pt idx="532">
                  <c:v>2.5148132698148755</c:v>
                </c:pt>
                <c:pt idx="533">
                  <c:v>2.5226841858335303</c:v>
                </c:pt>
                <c:pt idx="534">
                  <c:v>2.0670381026652125</c:v>
                </c:pt>
                <c:pt idx="535">
                  <c:v>1.2761477455988237</c:v>
                </c:pt>
                <c:pt idx="536">
                  <c:v>1.4437747247507053</c:v>
                </c:pt>
                <c:pt idx="537">
                  <c:v>1.0518221920170263</c:v>
                </c:pt>
                <c:pt idx="538">
                  <c:v>0.34267626282092312</c:v>
                </c:pt>
                <c:pt idx="539">
                  <c:v>0.32647297883048876</c:v>
                </c:pt>
                <c:pt idx="540">
                  <c:v>0.29451106805581972</c:v>
                </c:pt>
                <c:pt idx="541">
                  <c:v>-6.5501181305985867E-2</c:v>
                </c:pt>
                <c:pt idx="542">
                  <c:v>-6.7467764461407426E-2</c:v>
                </c:pt>
                <c:pt idx="543">
                  <c:v>-7.7752035602201869E-2</c:v>
                </c:pt>
                <c:pt idx="544">
                  <c:v>-8.7163455160480033E-2</c:v>
                </c:pt>
                <c:pt idx="545">
                  <c:v>-0.12765690546252034</c:v>
                </c:pt>
                <c:pt idx="546">
                  <c:v>-2.296133498507543</c:v>
                </c:pt>
                <c:pt idx="547">
                  <c:v>-0.2079893114358472</c:v>
                </c:pt>
                <c:pt idx="548">
                  <c:v>-0.26314227165126108</c:v>
                </c:pt>
                <c:pt idx="549">
                  <c:v>-0.3187341524528699</c:v>
                </c:pt>
                <c:pt idx="550">
                  <c:v>-1.7214785443511207</c:v>
                </c:pt>
                <c:pt idx="551">
                  <c:v>0.48983451239030779</c:v>
                </c:pt>
                <c:pt idx="552">
                  <c:v>0.51346602120969664</c:v>
                </c:pt>
                <c:pt idx="553">
                  <c:v>-0.44061287976155689</c:v>
                </c:pt>
                <c:pt idx="554">
                  <c:v>0.40974464848927361</c:v>
                </c:pt>
                <c:pt idx="555">
                  <c:v>0.43315723208680679</c:v>
                </c:pt>
                <c:pt idx="556">
                  <c:v>0.34519117698975671</c:v>
                </c:pt>
                <c:pt idx="557">
                  <c:v>0.41762196313227362</c:v>
                </c:pt>
                <c:pt idx="558">
                  <c:v>-0.41653486444475751</c:v>
                </c:pt>
                <c:pt idx="559">
                  <c:v>0.40186732458276708</c:v>
                </c:pt>
                <c:pt idx="560">
                  <c:v>0.41762196313227362</c:v>
                </c:pt>
                <c:pt idx="561">
                  <c:v>0.20930375954236957</c:v>
                </c:pt>
                <c:pt idx="562">
                  <c:v>0.25744416423680705</c:v>
                </c:pt>
                <c:pt idx="563">
                  <c:v>0.1764820132716288</c:v>
                </c:pt>
                <c:pt idx="564">
                  <c:v>0.21871274579950567</c:v>
                </c:pt>
                <c:pt idx="565">
                  <c:v>9.0045581322698548E-2</c:v>
                </c:pt>
                <c:pt idx="566">
                  <c:v>2.3652740310542679</c:v>
                </c:pt>
                <c:pt idx="567">
                  <c:v>1.9017214781924545</c:v>
                </c:pt>
                <c:pt idx="568">
                  <c:v>1.9017214781924545</c:v>
                </c:pt>
                <c:pt idx="569">
                  <c:v>1.7655750318460264</c:v>
                </c:pt>
                <c:pt idx="570">
                  <c:v>1.1422748403336687</c:v>
                </c:pt>
                <c:pt idx="571">
                  <c:v>1.0061399065838259</c:v>
                </c:pt>
                <c:pt idx="572">
                  <c:v>0.43090780276277685</c:v>
                </c:pt>
                <c:pt idx="573">
                  <c:v>0.99781459110162474</c:v>
                </c:pt>
                <c:pt idx="574">
                  <c:v>0.98161419962885577</c:v>
                </c:pt>
                <c:pt idx="575">
                  <c:v>0.92558719305698611</c:v>
                </c:pt>
                <c:pt idx="576">
                  <c:v>0.9174873770324018</c:v>
                </c:pt>
                <c:pt idx="577">
                  <c:v>0.21504789512261946</c:v>
                </c:pt>
                <c:pt idx="578">
                  <c:v>0.84503887963499569</c:v>
                </c:pt>
                <c:pt idx="579">
                  <c:v>0.8369396663224824</c:v>
                </c:pt>
                <c:pt idx="580">
                  <c:v>0.81264250335597521</c:v>
                </c:pt>
                <c:pt idx="581">
                  <c:v>-0.48261819863049782</c:v>
                </c:pt>
                <c:pt idx="582">
                  <c:v>-0.50669252272395404</c:v>
                </c:pt>
                <c:pt idx="583">
                  <c:v>-0.53098874703875076</c:v>
                </c:pt>
                <c:pt idx="584">
                  <c:v>-0.54763070678851689</c:v>
                </c:pt>
                <c:pt idx="585">
                  <c:v>0.73004681485224099</c:v>
                </c:pt>
                <c:pt idx="586">
                  <c:v>0.28227227756891043</c:v>
                </c:pt>
                <c:pt idx="587">
                  <c:v>-0.16551632770762573</c:v>
                </c:pt>
                <c:pt idx="588">
                  <c:v>-2.6074451336230413</c:v>
                </c:pt>
                <c:pt idx="589">
                  <c:v>-0.63829301432204888</c:v>
                </c:pt>
                <c:pt idx="590">
                  <c:v>-0.65516863398000202</c:v>
                </c:pt>
                <c:pt idx="591">
                  <c:v>-2.8157445372861303</c:v>
                </c:pt>
                <c:pt idx="592">
                  <c:v>-2.8480807275711038</c:v>
                </c:pt>
                <c:pt idx="593">
                  <c:v>-2.9512859392292996</c:v>
                </c:pt>
                <c:pt idx="594">
                  <c:v>2.236991725919987</c:v>
                </c:pt>
                <c:pt idx="595">
                  <c:v>1.9253375533200257</c:v>
                </c:pt>
                <c:pt idx="596">
                  <c:v>1.6215589486297826</c:v>
                </c:pt>
                <c:pt idx="597">
                  <c:v>1.7813203180618205</c:v>
                </c:pt>
                <c:pt idx="598">
                  <c:v>1.4617975791977447</c:v>
                </c:pt>
                <c:pt idx="599">
                  <c:v>0.99826444466536512</c:v>
                </c:pt>
                <c:pt idx="600">
                  <c:v>0.97441288614032495</c:v>
                </c:pt>
                <c:pt idx="601">
                  <c:v>0.35100058704372572</c:v>
                </c:pt>
                <c:pt idx="602">
                  <c:v>0.94246072560244309</c:v>
                </c:pt>
                <c:pt idx="603">
                  <c:v>0.91005976676433042</c:v>
                </c:pt>
                <c:pt idx="604">
                  <c:v>0.89408390700733431</c:v>
                </c:pt>
                <c:pt idx="605">
                  <c:v>0.87810804725033587</c:v>
                </c:pt>
                <c:pt idx="606">
                  <c:v>0.86213218749333964</c:v>
                </c:pt>
                <c:pt idx="607">
                  <c:v>0.82995681740473159</c:v>
                </c:pt>
                <c:pt idx="608">
                  <c:v>0.75795438749269373</c:v>
                </c:pt>
                <c:pt idx="609">
                  <c:v>0.53098039489625559</c:v>
                </c:pt>
                <c:pt idx="610">
                  <c:v>0.49881583486880576</c:v>
                </c:pt>
                <c:pt idx="611">
                  <c:v>0.48284219124167749</c:v>
                </c:pt>
                <c:pt idx="612">
                  <c:v>0.48240772090296852</c:v>
                </c:pt>
                <c:pt idx="613">
                  <c:v>1.448493853655707</c:v>
                </c:pt>
                <c:pt idx="614">
                  <c:v>1.3045149333462531</c:v>
                </c:pt>
                <c:pt idx="615">
                  <c:v>0.37374807950905564</c:v>
                </c:pt>
                <c:pt idx="616">
                  <c:v>1.0975031802010247</c:v>
                </c:pt>
                <c:pt idx="617">
                  <c:v>-1.0729922473995437</c:v>
                </c:pt>
                <c:pt idx="618">
                  <c:v>-1.1213437159676498</c:v>
                </c:pt>
                <c:pt idx="619">
                  <c:v>-0.75936786700706227</c:v>
                </c:pt>
                <c:pt idx="620">
                  <c:v>-0.76566631541022234</c:v>
                </c:pt>
                <c:pt idx="621">
                  <c:v>-0.79807244525663834</c:v>
                </c:pt>
                <c:pt idx="622">
                  <c:v>-2.8871813475173873</c:v>
                </c:pt>
                <c:pt idx="623">
                  <c:v>-0.87031265620612519</c:v>
                </c:pt>
                <c:pt idx="624">
                  <c:v>-0.90294979849790091</c:v>
                </c:pt>
                <c:pt idx="625">
                  <c:v>-3.0633271047677773</c:v>
                </c:pt>
                <c:pt idx="626">
                  <c:v>-3.103554071665271</c:v>
                </c:pt>
                <c:pt idx="627">
                  <c:v>-0.84532892734159548</c:v>
                </c:pt>
                <c:pt idx="628">
                  <c:v>-0.91688856697026644</c:v>
                </c:pt>
                <c:pt idx="629">
                  <c:v>-0.94952265339111408</c:v>
                </c:pt>
                <c:pt idx="630">
                  <c:v>-0.99791044969415788</c:v>
                </c:pt>
                <c:pt idx="631">
                  <c:v>-1.0775724046239485</c:v>
                </c:pt>
                <c:pt idx="632">
                  <c:v>-1.1336092502192765</c:v>
                </c:pt>
                <c:pt idx="633">
                  <c:v>-0.14318849547748858</c:v>
                </c:pt>
                <c:pt idx="634">
                  <c:v>-0.15128495311931919</c:v>
                </c:pt>
                <c:pt idx="635">
                  <c:v>-1.7119907931860681</c:v>
                </c:pt>
                <c:pt idx="636">
                  <c:v>-0.11255142674536274</c:v>
                </c:pt>
                <c:pt idx="637">
                  <c:v>-0.12765143979154384</c:v>
                </c:pt>
                <c:pt idx="638">
                  <c:v>-0.11933640175887968</c:v>
                </c:pt>
                <c:pt idx="639">
                  <c:v>-8.7387850398437897E-2</c:v>
                </c:pt>
                <c:pt idx="640">
                  <c:v>-7.2942473867271124E-2</c:v>
                </c:pt>
                <c:pt idx="641">
                  <c:v>-1.7920894077890441</c:v>
                </c:pt>
                <c:pt idx="642">
                  <c:v>-0.13749797329965918</c:v>
                </c:pt>
                <c:pt idx="643">
                  <c:v>-0.12940106745118088</c:v>
                </c:pt>
                <c:pt idx="644">
                  <c:v>-9.7451124378583373E-2</c:v>
                </c:pt>
                <c:pt idx="645">
                  <c:v>-4.2302913418611393E-2</c:v>
                </c:pt>
                <c:pt idx="646">
                  <c:v>-2.6918885571507044E-3</c:v>
                </c:pt>
                <c:pt idx="647">
                  <c:v>-0.38588171491464868</c:v>
                </c:pt>
                <c:pt idx="648">
                  <c:v>-0.38676381504153295</c:v>
                </c:pt>
                <c:pt idx="649">
                  <c:v>0.67888679453516132</c:v>
                </c:pt>
                <c:pt idx="650">
                  <c:v>-0.40886427342890025</c:v>
                </c:pt>
                <c:pt idx="651">
                  <c:v>0.63074694839055856</c:v>
                </c:pt>
                <c:pt idx="652">
                  <c:v>0.61455449139715546</c:v>
                </c:pt>
                <c:pt idx="653">
                  <c:v>0.59026605322860637</c:v>
                </c:pt>
                <c:pt idx="654">
                  <c:v>0.56619642030903083</c:v>
                </c:pt>
                <c:pt idx="655">
                  <c:v>0.55000435286405214</c:v>
                </c:pt>
                <c:pt idx="656">
                  <c:v>-0.60872932470941588</c:v>
                </c:pt>
                <c:pt idx="657">
                  <c:v>0.50186534098035618</c:v>
                </c:pt>
                <c:pt idx="658">
                  <c:v>0.46969997905317407</c:v>
                </c:pt>
                <c:pt idx="659">
                  <c:v>0.43753471571753016</c:v>
                </c:pt>
                <c:pt idx="660">
                  <c:v>0.3974918487620937</c:v>
                </c:pt>
                <c:pt idx="661">
                  <c:v>0.37320442512220137</c:v>
                </c:pt>
                <c:pt idx="662">
                  <c:v>0.34103936801350437</c:v>
                </c:pt>
                <c:pt idx="663">
                  <c:v>0.31675213143494119</c:v>
                </c:pt>
                <c:pt idx="664">
                  <c:v>-8.3676648752572247E-2</c:v>
                </c:pt>
                <c:pt idx="665">
                  <c:v>-0.12393799177410744</c:v>
                </c:pt>
                <c:pt idx="666">
                  <c:v>-1.4959576144654645</c:v>
                </c:pt>
                <c:pt idx="667">
                  <c:v>-0.2044613756328805</c:v>
                </c:pt>
                <c:pt idx="668">
                  <c:v>-0.24472350054359665</c:v>
                </c:pt>
                <c:pt idx="669">
                  <c:v>-1.8378722110950534</c:v>
                </c:pt>
                <c:pt idx="670">
                  <c:v>-1.752040291617353</c:v>
                </c:pt>
                <c:pt idx="671">
                  <c:v>-1.7763079533238837</c:v>
                </c:pt>
                <c:pt idx="672">
                  <c:v>-1.8244454619551473</c:v>
                </c:pt>
                <c:pt idx="673">
                  <c:v>-0.446040136538426</c:v>
                </c:pt>
                <c:pt idx="674">
                  <c:v>-0.48630496034518406</c:v>
                </c:pt>
                <c:pt idx="675">
                  <c:v>2.06968256669284E-2</c:v>
                </c:pt>
                <c:pt idx="676">
                  <c:v>4.5051997834819864E-3</c:v>
                </c:pt>
                <c:pt idx="677">
                  <c:v>-1.1686457419875531E-2</c:v>
                </c:pt>
                <c:pt idx="678">
                  <c:v>-2.7878153456206617E-2</c:v>
                </c:pt>
                <c:pt idx="679">
                  <c:v>-4.4069895838697484E-2</c:v>
                </c:pt>
                <c:pt idx="680">
                  <c:v>-6.0261692080636926E-2</c:v>
                </c:pt>
                <c:pt idx="681">
                  <c:v>-9.220897933489125E-2</c:v>
                </c:pt>
                <c:pt idx="682">
                  <c:v>-1.4639968333718825</c:v>
                </c:pt>
                <c:pt idx="683">
                  <c:v>-0.14034823184707976</c:v>
                </c:pt>
                <c:pt idx="684">
                  <c:v>-1.5119380050122544</c:v>
                </c:pt>
                <c:pt idx="685">
                  <c:v>-0.28651844238208157</c:v>
                </c:pt>
                <c:pt idx="686">
                  <c:v>-0.21999812835190627</c:v>
                </c:pt>
                <c:pt idx="687">
                  <c:v>-0.25194541560616057</c:v>
                </c:pt>
                <c:pt idx="688">
                  <c:v>-0.29177025323163375</c:v>
                </c:pt>
                <c:pt idx="689">
                  <c:v>-0.32371751542816551</c:v>
                </c:pt>
                <c:pt idx="690">
                  <c:v>1.8516284732226374E-2</c:v>
                </c:pt>
                <c:pt idx="691">
                  <c:v>-1.1601647244481175</c:v>
                </c:pt>
                <c:pt idx="692">
                  <c:v>0.90273703008363648</c:v>
                </c:pt>
                <c:pt idx="693">
                  <c:v>1.0388429136221622</c:v>
                </c:pt>
                <c:pt idx="694">
                  <c:v>0.88698298996627567</c:v>
                </c:pt>
                <c:pt idx="695">
                  <c:v>0.591141354319767</c:v>
                </c:pt>
                <c:pt idx="696">
                  <c:v>-9.9417413944591915E-3</c:v>
                </c:pt>
                <c:pt idx="697">
                  <c:v>-8.0383653407703093E-2</c:v>
                </c:pt>
                <c:pt idx="698">
                  <c:v>-9.8763172018455636E-2</c:v>
                </c:pt>
                <c:pt idx="699">
                  <c:v>-1.4969649566877159</c:v>
                </c:pt>
                <c:pt idx="700">
                  <c:v>-1.4961586283370989</c:v>
                </c:pt>
                <c:pt idx="701">
                  <c:v>1.0954782184276444</c:v>
                </c:pt>
                <c:pt idx="702">
                  <c:v>1.0713998326951428</c:v>
                </c:pt>
                <c:pt idx="703">
                  <c:v>1.7262119917111352</c:v>
                </c:pt>
                <c:pt idx="704">
                  <c:v>1.0782720532585777</c:v>
                </c:pt>
                <c:pt idx="705">
                  <c:v>1.8781055325175278</c:v>
                </c:pt>
                <c:pt idx="706">
                  <c:v>0.78272751175642408</c:v>
                </c:pt>
                <c:pt idx="707">
                  <c:v>1.1998966337585826</c:v>
                </c:pt>
                <c:pt idx="708">
                  <c:v>0.71880094140058515</c:v>
                </c:pt>
                <c:pt idx="709">
                  <c:v>1.1519654498744241</c:v>
                </c:pt>
                <c:pt idx="710">
                  <c:v>1.1359883885797051</c:v>
                </c:pt>
                <c:pt idx="711">
                  <c:v>1.1197839936025069</c:v>
                </c:pt>
                <c:pt idx="712">
                  <c:v>1.0556496322037261</c:v>
                </c:pt>
                <c:pt idx="713">
                  <c:v>1.5585732803812806</c:v>
                </c:pt>
                <c:pt idx="714">
                  <c:v>1.5585732803812806</c:v>
                </c:pt>
                <c:pt idx="715">
                  <c:v>0.94313570260215207</c:v>
                </c:pt>
                <c:pt idx="716">
                  <c:v>1.0871499523680024</c:v>
                </c:pt>
                <c:pt idx="717">
                  <c:v>0.89520641382263733</c:v>
                </c:pt>
                <c:pt idx="718">
                  <c:v>0.85492865944423024</c:v>
                </c:pt>
                <c:pt idx="719">
                  <c:v>0.85492865944423024</c:v>
                </c:pt>
                <c:pt idx="720">
                  <c:v>0.80677596452639011</c:v>
                </c:pt>
                <c:pt idx="721">
                  <c:v>1.2323078453423892</c:v>
                </c:pt>
                <c:pt idx="722">
                  <c:v>1.208227605804173</c:v>
                </c:pt>
                <c:pt idx="723">
                  <c:v>0.75076422657850461</c:v>
                </c:pt>
                <c:pt idx="724">
                  <c:v>0.75076422657850461</c:v>
                </c:pt>
                <c:pt idx="725">
                  <c:v>0.71880094140058515</c:v>
                </c:pt>
                <c:pt idx="726">
                  <c:v>1.1200113272849841</c:v>
                </c:pt>
                <c:pt idx="727">
                  <c:v>1.1040342659902653</c:v>
                </c:pt>
                <c:pt idx="728">
                  <c:v>1.0878301335941964</c:v>
                </c:pt>
                <c:pt idx="729">
                  <c:v>1.0876032345815179</c:v>
                </c:pt>
                <c:pt idx="730">
                  <c:v>2.1818963826701916</c:v>
                </c:pt>
                <c:pt idx="731">
                  <c:v>2.3416637597646837</c:v>
                </c:pt>
                <c:pt idx="732">
                  <c:v>0.93503492825090018</c:v>
                </c:pt>
                <c:pt idx="733">
                  <c:v>0.95101129807685614</c:v>
                </c:pt>
                <c:pt idx="734">
                  <c:v>0.94268556875650023</c:v>
                </c:pt>
                <c:pt idx="735">
                  <c:v>0.89453248479562131</c:v>
                </c:pt>
                <c:pt idx="736">
                  <c:v>0.76051240014899479</c:v>
                </c:pt>
                <c:pt idx="737">
                  <c:v>0.75219537874051923</c:v>
                </c:pt>
                <c:pt idx="738">
                  <c:v>0.72002789137080481</c:v>
                </c:pt>
                <c:pt idx="739">
                  <c:v>0.71193113366103178</c:v>
                </c:pt>
                <c:pt idx="740">
                  <c:v>0.67210651488623063</c:v>
                </c:pt>
                <c:pt idx="741">
                  <c:v>0.65569368680912976</c:v>
                </c:pt>
                <c:pt idx="742">
                  <c:v>0.64737784014855959</c:v>
                </c:pt>
                <c:pt idx="743">
                  <c:v>0.62308862715380964</c:v>
                </c:pt>
                <c:pt idx="744">
                  <c:v>-0.45680656730866409</c:v>
                </c:pt>
                <c:pt idx="745">
                  <c:v>0.61368002502409713</c:v>
                </c:pt>
                <c:pt idx="746">
                  <c:v>0.61324336319855821</c:v>
                </c:pt>
                <c:pt idx="747">
                  <c:v>0.58917398952582334</c:v>
                </c:pt>
                <c:pt idx="748">
                  <c:v>0.31543530679649878</c:v>
                </c:pt>
                <c:pt idx="749">
                  <c:v>0.30733838249512757</c:v>
                </c:pt>
                <c:pt idx="750">
                  <c:v>0.28326711921382952</c:v>
                </c:pt>
                <c:pt idx="751">
                  <c:v>0.27517031821126742</c:v>
                </c:pt>
                <c:pt idx="752">
                  <c:v>0.25109924024152469</c:v>
                </c:pt>
                <c:pt idx="753">
                  <c:v>0.24300255630701856</c:v>
                </c:pt>
                <c:pt idx="754">
                  <c:v>0.21893165494655195</c:v>
                </c:pt>
                <c:pt idx="755">
                  <c:v>-0.64026958821725055</c:v>
                </c:pt>
                <c:pt idx="756">
                  <c:v>0.18676434839664957</c:v>
                </c:pt>
                <c:pt idx="757">
                  <c:v>0.17013412605138056</c:v>
                </c:pt>
                <c:pt idx="758">
                  <c:v>0.17035277275229596</c:v>
                </c:pt>
                <c:pt idx="759">
                  <c:v>0.15416009122218632</c:v>
                </c:pt>
                <c:pt idx="760">
                  <c:v>0.13796753676597143</c:v>
                </c:pt>
                <c:pt idx="761">
                  <c:v>0.12177510186808888</c:v>
                </c:pt>
                <c:pt idx="762">
                  <c:v>0.10558277901327269</c:v>
                </c:pt>
                <c:pt idx="763">
                  <c:v>-1.0568060167926645</c:v>
                </c:pt>
                <c:pt idx="764">
                  <c:v>-1.073404960559412</c:v>
                </c:pt>
                <c:pt idx="765">
                  <c:v>0.32837707778536879</c:v>
                </c:pt>
                <c:pt idx="766">
                  <c:v>0.31131857292937404</c:v>
                </c:pt>
                <c:pt idx="767">
                  <c:v>0.29404395340985634</c:v>
                </c:pt>
                <c:pt idx="768">
                  <c:v>0.28616479547415208</c:v>
                </c:pt>
                <c:pt idx="769">
                  <c:v>0.27568837411737407</c:v>
                </c:pt>
                <c:pt idx="770">
                  <c:v>0.30440562819202882</c:v>
                </c:pt>
                <c:pt idx="771">
                  <c:v>0.31164150115117928</c:v>
                </c:pt>
                <c:pt idx="772">
                  <c:v>0.23984626024597025</c:v>
                </c:pt>
                <c:pt idx="773">
                  <c:v>0.20065714402708432</c:v>
                </c:pt>
                <c:pt idx="774">
                  <c:v>0.11332167075822226</c:v>
                </c:pt>
                <c:pt idx="775">
                  <c:v>0.11397315393673892</c:v>
                </c:pt>
                <c:pt idx="776">
                  <c:v>0.12908218914148026</c:v>
                </c:pt>
                <c:pt idx="777">
                  <c:v>0.11223613855126145</c:v>
                </c:pt>
                <c:pt idx="778">
                  <c:v>-0.33905698684479219</c:v>
                </c:pt>
                <c:pt idx="779">
                  <c:v>-0.36335163660724096</c:v>
                </c:pt>
                <c:pt idx="780">
                  <c:v>-0.40384413818274656</c:v>
                </c:pt>
                <c:pt idx="781">
                  <c:v>-0.42946996338172638</c:v>
                </c:pt>
                <c:pt idx="782">
                  <c:v>-1.5808115899066097E-2</c:v>
                </c:pt>
                <c:pt idx="783">
                  <c:v>-0.45777872916734219</c:v>
                </c:pt>
                <c:pt idx="784">
                  <c:v>-0.47622381355522725</c:v>
                </c:pt>
                <c:pt idx="785">
                  <c:v>-0.5180960108760565</c:v>
                </c:pt>
                <c:pt idx="786">
                  <c:v>-0.50573102345726173</c:v>
                </c:pt>
                <c:pt idx="787">
                  <c:v>-0.50846005434614239</c:v>
                </c:pt>
                <c:pt idx="788">
                  <c:v>-0.52673891834562059</c:v>
                </c:pt>
                <c:pt idx="789">
                  <c:v>-0.58329761910489852</c:v>
                </c:pt>
                <c:pt idx="790">
                  <c:v>-0.63128522212847438</c:v>
                </c:pt>
                <c:pt idx="791">
                  <c:v>-1.8218901621698806</c:v>
                </c:pt>
                <c:pt idx="792">
                  <c:v>-1.7119907931860681</c:v>
                </c:pt>
                <c:pt idx="793">
                  <c:v>-1.7121897233013219</c:v>
                </c:pt>
                <c:pt idx="794">
                  <c:v>-1.7283686739923243</c:v>
                </c:pt>
                <c:pt idx="795">
                  <c:v>-1.7524377878618098</c:v>
                </c:pt>
                <c:pt idx="796">
                  <c:v>-1.7605271214108287</c:v>
                </c:pt>
                <c:pt idx="797">
                  <c:v>-1.8317429801086713</c:v>
                </c:pt>
                <c:pt idx="798">
                  <c:v>-0.35019568326473505</c:v>
                </c:pt>
                <c:pt idx="799">
                  <c:v>-0.34231826399817927</c:v>
                </c:pt>
                <c:pt idx="800">
                  <c:v>-0.35041496093258362</c:v>
                </c:pt>
                <c:pt idx="801">
                  <c:v>-0.35851169946196043</c:v>
                </c:pt>
                <c:pt idx="802">
                  <c:v>-0.36660848052596284</c:v>
                </c:pt>
                <c:pt idx="803">
                  <c:v>-0.36682792878064346</c:v>
                </c:pt>
                <c:pt idx="804">
                  <c:v>-0.39899604892217266</c:v>
                </c:pt>
                <c:pt idx="805">
                  <c:v>-0.4073128142432364</c:v>
                </c:pt>
                <c:pt idx="806">
                  <c:v>0.718054503585837</c:v>
                </c:pt>
                <c:pt idx="807">
                  <c:v>0.70952118277587373</c:v>
                </c:pt>
                <c:pt idx="808">
                  <c:v>0.67735572104021224</c:v>
                </c:pt>
                <c:pt idx="809">
                  <c:v>0.6926746332214031</c:v>
                </c:pt>
                <c:pt idx="810">
                  <c:v>-0.62492086176323303</c:v>
                </c:pt>
                <c:pt idx="811">
                  <c:v>0.65110836058700927</c:v>
                </c:pt>
                <c:pt idx="812">
                  <c:v>0.65746840029514064</c:v>
                </c:pt>
                <c:pt idx="813">
                  <c:v>1.8052474173912594</c:v>
                </c:pt>
                <c:pt idx="814">
                  <c:v>1.3890658002792677</c:v>
                </c:pt>
                <c:pt idx="815">
                  <c:v>1.4463552516244109</c:v>
                </c:pt>
                <c:pt idx="816">
                  <c:v>-0.84948188624706056</c:v>
                </c:pt>
                <c:pt idx="817">
                  <c:v>0.29273890277117282</c:v>
                </c:pt>
                <c:pt idx="818">
                  <c:v>0.99076863766694967</c:v>
                </c:pt>
                <c:pt idx="819">
                  <c:v>0.56647898451842893</c:v>
                </c:pt>
                <c:pt idx="820">
                  <c:v>0.6634031065719338</c:v>
                </c:pt>
                <c:pt idx="821">
                  <c:v>0.33294764693790785</c:v>
                </c:pt>
                <c:pt idx="822">
                  <c:v>0.33316755991864849</c:v>
                </c:pt>
                <c:pt idx="823">
                  <c:v>0.31763229031362034</c:v>
                </c:pt>
                <c:pt idx="824">
                  <c:v>0.31763229031362034</c:v>
                </c:pt>
                <c:pt idx="825">
                  <c:v>0.30953471348128808</c:v>
                </c:pt>
                <c:pt idx="826">
                  <c:v>0.28546202922355424</c:v>
                </c:pt>
                <c:pt idx="827">
                  <c:v>0.27714498132322057</c:v>
                </c:pt>
                <c:pt idx="828">
                  <c:v>0.26116994836179963</c:v>
                </c:pt>
                <c:pt idx="829">
                  <c:v>-0.55121172970843946</c:v>
                </c:pt>
                <c:pt idx="830">
                  <c:v>-0.50432461451603672</c:v>
                </c:pt>
                <c:pt idx="831">
                  <c:v>-0.52051765669822836</c:v>
                </c:pt>
                <c:pt idx="832">
                  <c:v>-0.53671039044160462</c:v>
                </c:pt>
                <c:pt idx="833">
                  <c:v>-0.56888339962782042</c:v>
                </c:pt>
                <c:pt idx="834">
                  <c:v>-0.6481549521770309</c:v>
                </c:pt>
                <c:pt idx="835">
                  <c:v>9.9889470835375208E-2</c:v>
                </c:pt>
                <c:pt idx="836">
                  <c:v>3.9297976429623856E-2</c:v>
                </c:pt>
                <c:pt idx="837">
                  <c:v>7.7101732525431269E-3</c:v>
                </c:pt>
                <c:pt idx="838">
                  <c:v>-1.5759403696945132E-2</c:v>
                </c:pt>
                <c:pt idx="839">
                  <c:v>-3.6323240921119693</c:v>
                </c:pt>
                <c:pt idx="840">
                  <c:v>-8.1346465487333708E-2</c:v>
                </c:pt>
                <c:pt idx="841">
                  <c:v>-4.5602334934591121E-2</c:v>
                </c:pt>
                <c:pt idx="842">
                  <c:v>-9.6554061358735802E-2</c:v>
                </c:pt>
                <c:pt idx="843">
                  <c:v>-2.8929219116197454E-2</c:v>
                </c:pt>
                <c:pt idx="844">
                  <c:v>-7.1705443871609501E-3</c:v>
                </c:pt>
                <c:pt idx="845">
                  <c:v>3.0658756343039967E-2</c:v>
                </c:pt>
                <c:pt idx="846">
                  <c:v>7.5635760811150424E-3</c:v>
                </c:pt>
                <c:pt idx="847">
                  <c:v>-2.2557628782060461E-2</c:v>
                </c:pt>
                <c:pt idx="848">
                  <c:v>-0.52304679160333711</c:v>
                </c:pt>
                <c:pt idx="849">
                  <c:v>-0.60299164062897204</c:v>
                </c:pt>
                <c:pt idx="850">
                  <c:v>0.3632330470110845</c:v>
                </c:pt>
                <c:pt idx="851">
                  <c:v>-0.39618760390725127</c:v>
                </c:pt>
                <c:pt idx="852">
                  <c:v>-0.71638800987396722</c:v>
                </c:pt>
                <c:pt idx="853">
                  <c:v>-0.75689098523959408</c:v>
                </c:pt>
                <c:pt idx="854">
                  <c:v>-0.8212499942925604</c:v>
                </c:pt>
                <c:pt idx="855">
                  <c:v>0.6607276124114847</c:v>
                </c:pt>
                <c:pt idx="856">
                  <c:v>0.66773422046380004</c:v>
                </c:pt>
                <c:pt idx="857">
                  <c:v>0.65197832153243895</c:v>
                </c:pt>
                <c:pt idx="858">
                  <c:v>-0.62492086176323303</c:v>
                </c:pt>
                <c:pt idx="859">
                  <c:v>0.6506739815660415</c:v>
                </c:pt>
                <c:pt idx="860">
                  <c:v>0.65024000244603786</c:v>
                </c:pt>
                <c:pt idx="861">
                  <c:v>0.72665482730745434</c:v>
                </c:pt>
                <c:pt idx="862">
                  <c:v>-0.70545369875602182</c:v>
                </c:pt>
                <c:pt idx="863">
                  <c:v>1.548812313792526</c:v>
                </c:pt>
                <c:pt idx="864">
                  <c:v>1.8131292912265984</c:v>
                </c:pt>
                <c:pt idx="865">
                  <c:v>-0.76937344634620053</c:v>
                </c:pt>
                <c:pt idx="866">
                  <c:v>-0.78514403633686558</c:v>
                </c:pt>
                <c:pt idx="867">
                  <c:v>-0.8171042693316638</c:v>
                </c:pt>
                <c:pt idx="868">
                  <c:v>-0.85695033924839226</c:v>
                </c:pt>
                <c:pt idx="869">
                  <c:v>-0.94287747128534138</c:v>
                </c:pt>
                <c:pt idx="870">
                  <c:v>1.167487240525996</c:v>
                </c:pt>
                <c:pt idx="871">
                  <c:v>1.1431813526041603</c:v>
                </c:pt>
                <c:pt idx="872">
                  <c:v>0.61480731912971565</c:v>
                </c:pt>
                <c:pt idx="873">
                  <c:v>2.2291208841534038</c:v>
                </c:pt>
                <c:pt idx="874">
                  <c:v>1.9174655123725244</c:v>
                </c:pt>
                <c:pt idx="875">
                  <c:v>1.4617975791977447</c:v>
                </c:pt>
                <c:pt idx="876">
                  <c:v>0.44688924590658619</c:v>
                </c:pt>
                <c:pt idx="877">
                  <c:v>0.98183878492643328</c:v>
                </c:pt>
                <c:pt idx="878">
                  <c:v>0.95753849133761337</c:v>
                </c:pt>
                <c:pt idx="879">
                  <c:v>0.26299192817817696</c:v>
                </c:pt>
                <c:pt idx="880">
                  <c:v>0.90084088379483296</c:v>
                </c:pt>
                <c:pt idx="881">
                  <c:v>0.88486557942674415</c:v>
                </c:pt>
                <c:pt idx="882">
                  <c:v>0.86056800100437669</c:v>
                </c:pt>
                <c:pt idx="883">
                  <c:v>0.82051872584548036</c:v>
                </c:pt>
                <c:pt idx="884">
                  <c:v>0.80432106905014111</c:v>
                </c:pt>
                <c:pt idx="885">
                  <c:v>-0.22393575202364557</c:v>
                </c:pt>
                <c:pt idx="886">
                  <c:v>-1.8798805027175081</c:v>
                </c:pt>
                <c:pt idx="887">
                  <c:v>-0.27295627687755103</c:v>
                </c:pt>
                <c:pt idx="888">
                  <c:v>-0.30556530691658124</c:v>
                </c:pt>
                <c:pt idx="889">
                  <c:v>-0.3302982178788868</c:v>
                </c:pt>
                <c:pt idx="890">
                  <c:v>-0.36291047306660845</c:v>
                </c:pt>
                <c:pt idx="891">
                  <c:v>-0.40340210466456117</c:v>
                </c:pt>
                <c:pt idx="892">
                  <c:v>-0.45155159707920461</c:v>
                </c:pt>
                <c:pt idx="893">
                  <c:v>-0.51567813598723522</c:v>
                </c:pt>
                <c:pt idx="894">
                  <c:v>0.71428301135229977</c:v>
                </c:pt>
                <c:pt idx="895">
                  <c:v>-6.8779417216605104E-2</c:v>
                </c:pt>
                <c:pt idx="896">
                  <c:v>-0.71594047696680008</c:v>
                </c:pt>
                <c:pt idx="897">
                  <c:v>-0.78817156576331404</c:v>
                </c:pt>
                <c:pt idx="898">
                  <c:v>-0.22471207324930675</c:v>
                </c:pt>
                <c:pt idx="899">
                  <c:v>-0.23459440588350627</c:v>
                </c:pt>
                <c:pt idx="900">
                  <c:v>-3.2319428838542046</c:v>
                </c:pt>
                <c:pt idx="901">
                  <c:v>-0.27982466288926972</c:v>
                </c:pt>
                <c:pt idx="902">
                  <c:v>-0.30618328992364463</c:v>
                </c:pt>
                <c:pt idx="903">
                  <c:v>-0.30145524897740011</c:v>
                </c:pt>
                <c:pt idx="904">
                  <c:v>-0.2732811854130352</c:v>
                </c:pt>
                <c:pt idx="905">
                  <c:v>-0.24509288997568532</c:v>
                </c:pt>
                <c:pt idx="906">
                  <c:v>-0.24826458178781602</c:v>
                </c:pt>
                <c:pt idx="907">
                  <c:v>-4.5283334552984842</c:v>
                </c:pt>
                <c:pt idx="908">
                  <c:v>-0.34765989062807634</c:v>
                </c:pt>
                <c:pt idx="909">
                  <c:v>-0.44363863533804809</c:v>
                </c:pt>
                <c:pt idx="910">
                  <c:v>-4.8399698613468338</c:v>
                </c:pt>
                <c:pt idx="911">
                  <c:v>0.54563386995246443</c:v>
                </c:pt>
                <c:pt idx="912">
                  <c:v>0.52944003088926639</c:v>
                </c:pt>
                <c:pt idx="913">
                  <c:v>0.52134318031215909</c:v>
                </c:pt>
                <c:pt idx="914">
                  <c:v>-0.42463192437422348</c:v>
                </c:pt>
                <c:pt idx="915">
                  <c:v>0.47320173649366243</c:v>
                </c:pt>
                <c:pt idx="916">
                  <c:v>0.45722779855613721</c:v>
                </c:pt>
                <c:pt idx="917">
                  <c:v>0.43315723208680679</c:v>
                </c:pt>
                <c:pt idx="918">
                  <c:v>0.42506064298191804</c:v>
                </c:pt>
                <c:pt idx="919">
                  <c:v>0.41696409236442006</c:v>
                </c:pt>
                <c:pt idx="920">
                  <c:v>0.39289372836441322</c:v>
                </c:pt>
                <c:pt idx="921">
                  <c:v>0.37670085090804079</c:v>
                </c:pt>
                <c:pt idx="922">
                  <c:v>0.36860446381725681</c:v>
                </c:pt>
                <c:pt idx="923">
                  <c:v>-0.64048007953183794</c:v>
                </c:pt>
                <c:pt idx="924">
                  <c:v>0.35197418761927929</c:v>
                </c:pt>
                <c:pt idx="925">
                  <c:v>0.34344068549750978</c:v>
                </c:pt>
                <c:pt idx="926">
                  <c:v>0.58466829441627532</c:v>
                </c:pt>
                <c:pt idx="927">
                  <c:v>0.55249167546524558</c:v>
                </c:pt>
                <c:pt idx="928">
                  <c:v>0.51243839178127326</c:v>
                </c:pt>
                <c:pt idx="929">
                  <c:v>0.48026286329094459</c:v>
                </c:pt>
                <c:pt idx="930">
                  <c:v>0.43166861937682455</c:v>
                </c:pt>
                <c:pt idx="931">
                  <c:v>0.38351877049590977</c:v>
                </c:pt>
                <c:pt idx="932">
                  <c:v>0.36688053502643092</c:v>
                </c:pt>
                <c:pt idx="933">
                  <c:v>0.29487911939316364</c:v>
                </c:pt>
                <c:pt idx="934">
                  <c:v>0.2782435958949096</c:v>
                </c:pt>
                <c:pt idx="935">
                  <c:v>0.20580548719701283</c:v>
                </c:pt>
                <c:pt idx="936">
                  <c:v>-0.54480664400351009</c:v>
                </c:pt>
                <c:pt idx="937">
                  <c:v>9.9889470835375208E-2</c:v>
                </c:pt>
                <c:pt idx="938">
                  <c:v>5.0656251638726661E-2</c:v>
                </c:pt>
                <c:pt idx="939">
                  <c:v>1.0804326604836814</c:v>
                </c:pt>
                <c:pt idx="940">
                  <c:v>-0.18260019955176843</c:v>
                </c:pt>
                <c:pt idx="941">
                  <c:v>-1.0199479245186516</c:v>
                </c:pt>
                <c:pt idx="942">
                  <c:v>-1.0762071985122057</c:v>
                </c:pt>
                <c:pt idx="943">
                  <c:v>-3.0467912317479118</c:v>
                </c:pt>
                <c:pt idx="944">
                  <c:v>-1.1875909102902633</c:v>
                </c:pt>
                <c:pt idx="945">
                  <c:v>-1.219772379620768</c:v>
                </c:pt>
                <c:pt idx="946">
                  <c:v>-1.276034470220579</c:v>
                </c:pt>
                <c:pt idx="947">
                  <c:v>-1.340172278533166</c:v>
                </c:pt>
                <c:pt idx="948">
                  <c:v>-1.3885642662648245</c:v>
                </c:pt>
                <c:pt idx="949">
                  <c:v>-1.4531681120884554</c:v>
                </c:pt>
                <c:pt idx="950">
                  <c:v>-3.6062587910499762</c:v>
                </c:pt>
                <c:pt idx="951">
                  <c:v>-1.6298605053698323</c:v>
                </c:pt>
                <c:pt idx="952">
                  <c:v>-1.7340743652785982</c:v>
                </c:pt>
                <c:pt idx="953">
                  <c:v>1.0408070416110324</c:v>
                </c:pt>
                <c:pt idx="954">
                  <c:v>1.0086252071073831</c:v>
                </c:pt>
                <c:pt idx="955">
                  <c:v>1.0005231884660233</c:v>
                </c:pt>
                <c:pt idx="956">
                  <c:v>1.9670301763419078</c:v>
                </c:pt>
                <c:pt idx="957">
                  <c:v>1.3515640707368906</c:v>
                </c:pt>
                <c:pt idx="958">
                  <c:v>1.199668643623282</c:v>
                </c:pt>
                <c:pt idx="959">
                  <c:v>0.88800584649483727</c:v>
                </c:pt>
                <c:pt idx="960">
                  <c:v>0.83197441555918616</c:v>
                </c:pt>
                <c:pt idx="961">
                  <c:v>0.79192020194810819</c:v>
                </c:pt>
                <c:pt idx="962">
                  <c:v>0.75186633571990069</c:v>
                </c:pt>
                <c:pt idx="963">
                  <c:v>0.7196892797457014</c:v>
                </c:pt>
                <c:pt idx="964">
                  <c:v>0.70348925870457635</c:v>
                </c:pt>
                <c:pt idx="965">
                  <c:v>-2.1278626684219897</c:v>
                </c:pt>
                <c:pt idx="966">
                  <c:v>-2.1600167498128151</c:v>
                </c:pt>
                <c:pt idx="967">
                  <c:v>-2.1840834027299669</c:v>
                </c:pt>
                <c:pt idx="968">
                  <c:v>-0.7895931279137729</c:v>
                </c:pt>
                <c:pt idx="969">
                  <c:v>-0.80578811255324434</c:v>
                </c:pt>
                <c:pt idx="970">
                  <c:v>-0.8458340665571934</c:v>
                </c:pt>
                <c:pt idx="971">
                  <c:v>-0.87800377633070903</c:v>
                </c:pt>
                <c:pt idx="972">
                  <c:v>-0.89419955793668637</c:v>
                </c:pt>
                <c:pt idx="973">
                  <c:v>0.36755405254454554</c:v>
                </c:pt>
                <c:pt idx="974">
                  <c:v>-9.5921192473454056E-2</c:v>
                </c:pt>
                <c:pt idx="975">
                  <c:v>0.62308862715380964</c:v>
                </c:pt>
                <c:pt idx="976">
                  <c:v>0.59923769505880087</c:v>
                </c:pt>
                <c:pt idx="977">
                  <c:v>0.62243188592329735</c:v>
                </c:pt>
                <c:pt idx="978">
                  <c:v>0.60602099992071123</c:v>
                </c:pt>
                <c:pt idx="979">
                  <c:v>0.59748812796827433</c:v>
                </c:pt>
                <c:pt idx="980">
                  <c:v>0.54125345433489092</c:v>
                </c:pt>
                <c:pt idx="981">
                  <c:v>0.52527994260458089</c:v>
                </c:pt>
                <c:pt idx="982">
                  <c:v>0.51783886727232054</c:v>
                </c:pt>
                <c:pt idx="983">
                  <c:v>0.37364066208806418</c:v>
                </c:pt>
                <c:pt idx="984">
                  <c:v>0.44519425872733576</c:v>
                </c:pt>
                <c:pt idx="985">
                  <c:v>0.4132472382691213</c:v>
                </c:pt>
                <c:pt idx="986">
                  <c:v>0.39661973417875357</c:v>
                </c:pt>
                <c:pt idx="987">
                  <c:v>0.43600902513932188</c:v>
                </c:pt>
                <c:pt idx="988">
                  <c:v>0.42025324486442955</c:v>
                </c:pt>
                <c:pt idx="989">
                  <c:v>0.34038557463089314</c:v>
                </c:pt>
                <c:pt idx="990">
                  <c:v>0.80166050385291054</c:v>
                </c:pt>
                <c:pt idx="991">
                  <c:v>-6.495172708798598E-2</c:v>
                </c:pt>
                <c:pt idx="992">
                  <c:v>0.76161468668651267</c:v>
                </c:pt>
                <c:pt idx="993">
                  <c:v>0.73754315299390882</c:v>
                </c:pt>
                <c:pt idx="994">
                  <c:v>0.68130324058555058</c:v>
                </c:pt>
                <c:pt idx="995">
                  <c:v>-0.20089854895154247</c:v>
                </c:pt>
                <c:pt idx="996">
                  <c:v>0.68130324058555058</c:v>
                </c:pt>
                <c:pt idx="997">
                  <c:v>0.71369226186865253</c:v>
                </c:pt>
                <c:pt idx="998">
                  <c:v>0.69749764315501506</c:v>
                </c:pt>
                <c:pt idx="999">
                  <c:v>0.62550417293563043</c:v>
                </c:pt>
                <c:pt idx="1000">
                  <c:v>0.62572435509888091</c:v>
                </c:pt>
                <c:pt idx="1001">
                  <c:v>0.58545903161039425</c:v>
                </c:pt>
                <c:pt idx="1002">
                  <c:v>0.58545903161039425</c:v>
                </c:pt>
                <c:pt idx="1003">
                  <c:v>0.57758199114573128</c:v>
                </c:pt>
                <c:pt idx="1004">
                  <c:v>0.56926513575543192</c:v>
                </c:pt>
                <c:pt idx="1005">
                  <c:v>0.30322294901443997</c:v>
                </c:pt>
                <c:pt idx="1006">
                  <c:v>0.27105705127726376</c:v>
                </c:pt>
                <c:pt idx="1007">
                  <c:v>0.25464867226928345</c:v>
                </c:pt>
                <c:pt idx="1008">
                  <c:v>0.20629035656676589</c:v>
                </c:pt>
                <c:pt idx="1009">
                  <c:v>-1.6084202739753426</c:v>
                </c:pt>
                <c:pt idx="1010">
                  <c:v>0.14239080544085833</c:v>
                </c:pt>
                <c:pt idx="1011">
                  <c:v>0.14347788809380854</c:v>
                </c:pt>
                <c:pt idx="1012">
                  <c:v>-1.6644496348835769</c:v>
                </c:pt>
                <c:pt idx="1013">
                  <c:v>0.12250453975813076</c:v>
                </c:pt>
                <c:pt idx="1014">
                  <c:v>6.6259441506857322E-2</c:v>
                </c:pt>
                <c:pt idx="1015">
                  <c:v>6.5171581673500706E-2</c:v>
                </c:pt>
                <c:pt idx="1016">
                  <c:v>-3.7263198052648945E-2</c:v>
                </c:pt>
                <c:pt idx="1017">
                  <c:v>-0.13224728637184727</c:v>
                </c:pt>
                <c:pt idx="1018">
                  <c:v>-0.20447003706863462</c:v>
                </c:pt>
                <c:pt idx="1019">
                  <c:v>-0.20534899975215445</c:v>
                </c:pt>
                <c:pt idx="1020">
                  <c:v>-0.13740783827246839</c:v>
                </c:pt>
                <c:pt idx="1021">
                  <c:v>-0.13762441798824934</c:v>
                </c:pt>
                <c:pt idx="1022">
                  <c:v>-0.23264508782305127</c:v>
                </c:pt>
                <c:pt idx="1023">
                  <c:v>0.53907763198500969</c:v>
                </c:pt>
                <c:pt idx="1024">
                  <c:v>0.53885727628887647</c:v>
                </c:pt>
                <c:pt idx="1025">
                  <c:v>0.50668836515290983</c:v>
                </c:pt>
                <c:pt idx="1026">
                  <c:v>0.4742999250223498</c:v>
                </c:pt>
                <c:pt idx="1027">
                  <c:v>0.44191225144460644</c:v>
                </c:pt>
                <c:pt idx="1028">
                  <c:v>-0.50453670131089501</c:v>
                </c:pt>
                <c:pt idx="1029">
                  <c:v>0.19748900850363002</c:v>
                </c:pt>
                <c:pt idx="1030">
                  <c:v>0.17341679341502655</c:v>
                </c:pt>
                <c:pt idx="1031">
                  <c:v>0.14124776825014251</c:v>
                </c:pt>
                <c:pt idx="1032">
                  <c:v>-0.57655664074438695</c:v>
                </c:pt>
                <c:pt idx="1033">
                  <c:v>-0.68011724943502982</c:v>
                </c:pt>
                <c:pt idx="1034">
                  <c:v>6.750373892081496E-2</c:v>
                </c:pt>
                <c:pt idx="1035">
                  <c:v>4.2778314418602713E-2</c:v>
                </c:pt>
                <c:pt idx="1036">
                  <c:v>1.8271721143007399E-2</c:v>
                </c:pt>
                <c:pt idx="1037">
                  <c:v>-6.2344733757536382E-3</c:v>
                </c:pt>
                <c:pt idx="1038">
                  <c:v>0.98370567397769704</c:v>
                </c:pt>
                <c:pt idx="1039">
                  <c:v>0.22440318062537842</c:v>
                </c:pt>
                <c:pt idx="1040">
                  <c:v>-7.9533420593903323E-2</c:v>
                </c:pt>
                <c:pt idx="1041">
                  <c:v>-1.1759409755051289</c:v>
                </c:pt>
                <c:pt idx="1042">
                  <c:v>-0.15239534740151697</c:v>
                </c:pt>
                <c:pt idx="1043">
                  <c:v>-1.311878812474371</c:v>
                </c:pt>
                <c:pt idx="1044">
                  <c:v>-0.38435750892062887</c:v>
                </c:pt>
                <c:pt idx="1045">
                  <c:v>-3.200360799050066</c:v>
                </c:pt>
                <c:pt idx="1046">
                  <c:v>-3.2644608267972202</c:v>
                </c:pt>
                <c:pt idx="1047">
                  <c:v>-3.3522462730595386</c:v>
                </c:pt>
                <c:pt idx="1048">
                  <c:v>-3.4001804220186185</c:v>
                </c:pt>
                <c:pt idx="1049">
                  <c:v>-3.7718700884359926</c:v>
                </c:pt>
                <c:pt idx="1050">
                  <c:v>-3.5437982359325448</c:v>
                </c:pt>
                <c:pt idx="1051">
                  <c:v>-0.72586134921110179</c:v>
                </c:pt>
                <c:pt idx="1052">
                  <c:v>-0.79888941148836567</c:v>
                </c:pt>
                <c:pt idx="1053">
                  <c:v>0.28879577310398158</c:v>
                </c:pt>
                <c:pt idx="1054">
                  <c:v>-0.39044158487358432</c:v>
                </c:pt>
                <c:pt idx="1055">
                  <c:v>-0.90967312088099062</c:v>
                </c:pt>
                <c:pt idx="1056">
                  <c:v>-1.1646088029832677</c:v>
                </c:pt>
                <c:pt idx="1057">
                  <c:v>-4.1112935034890921</c:v>
                </c:pt>
                <c:pt idx="1058">
                  <c:v>-1.6240002861548399</c:v>
                </c:pt>
                <c:pt idx="1059">
                  <c:v>-1.648070327196467</c:v>
                </c:pt>
                <c:pt idx="1060">
                  <c:v>-1.6723396660851166</c:v>
                </c:pt>
                <c:pt idx="1061">
                  <c:v>-1.7044987714215842</c:v>
                </c:pt>
                <c:pt idx="1062">
                  <c:v>-1.7206779391200755</c:v>
                </c:pt>
                <c:pt idx="1063">
                  <c:v>-0.31824753217350399</c:v>
                </c:pt>
                <c:pt idx="1064">
                  <c:v>-0.60723296817394412</c:v>
                </c:pt>
                <c:pt idx="1065">
                  <c:v>-0.38280217401658212</c:v>
                </c:pt>
                <c:pt idx="1066">
                  <c:v>-1.967672657144468</c:v>
                </c:pt>
                <c:pt idx="1067">
                  <c:v>-0.42350710789338514</c:v>
                </c:pt>
                <c:pt idx="1068">
                  <c:v>-0.45589631848913981</c:v>
                </c:pt>
                <c:pt idx="1069">
                  <c:v>-0.48018880142942427</c:v>
                </c:pt>
                <c:pt idx="1070">
                  <c:v>3.7791396312061236E-2</c:v>
                </c:pt>
                <c:pt idx="1071">
                  <c:v>-9.0434067269810868E-3</c:v>
                </c:pt>
                <c:pt idx="1072">
                  <c:v>-5.6967707082199184E-2</c:v>
                </c:pt>
                <c:pt idx="1073">
                  <c:v>-1.2970693045081264E-2</c:v>
                </c:pt>
                <c:pt idx="1074">
                  <c:v>2.359309062089248E-2</c:v>
                </c:pt>
                <c:pt idx="1075">
                  <c:v>-3.2920697704848345E-2</c:v>
                </c:pt>
                <c:pt idx="1076">
                  <c:v>-4.9330345075884942E-2</c:v>
                </c:pt>
                <c:pt idx="1077">
                  <c:v>-7.3835784078024644E-2</c:v>
                </c:pt>
                <c:pt idx="1078">
                  <c:v>-0.11431479757712931</c:v>
                </c:pt>
                <c:pt idx="1079">
                  <c:v>-0.13094276860157744</c:v>
                </c:pt>
                <c:pt idx="1080">
                  <c:v>-0.17142223461031084</c:v>
                </c:pt>
                <c:pt idx="1081">
                  <c:v>-0.20402448472478024</c:v>
                </c:pt>
                <c:pt idx="1082">
                  <c:v>-0.22853119192202143</c:v>
                </c:pt>
                <c:pt idx="1083">
                  <c:v>-1.6879211150637115</c:v>
                </c:pt>
                <c:pt idx="1084">
                  <c:v>-1.7285679511386691</c:v>
                </c:pt>
                <c:pt idx="1085">
                  <c:v>-0.34297626128196762</c:v>
                </c:pt>
                <c:pt idx="1086">
                  <c:v>-1.9516925406470689</c:v>
                </c:pt>
                <c:pt idx="1087">
                  <c:v>1.1123640285711816</c:v>
                </c:pt>
                <c:pt idx="1088">
                  <c:v>0.65487437104474844</c:v>
                </c:pt>
                <c:pt idx="1089">
                  <c:v>1.0480011592766461</c:v>
                </c:pt>
                <c:pt idx="1090">
                  <c:v>1.055876273585886</c:v>
                </c:pt>
                <c:pt idx="1091">
                  <c:v>0.67100953640487249</c:v>
                </c:pt>
                <c:pt idx="1092">
                  <c:v>0.64606416560313973</c:v>
                </c:pt>
                <c:pt idx="1093">
                  <c:v>0.64606416560313973</c:v>
                </c:pt>
                <c:pt idx="1094">
                  <c:v>0.66313229190613543</c:v>
                </c:pt>
                <c:pt idx="1095">
                  <c:v>0.51061687758837404</c:v>
                </c:pt>
                <c:pt idx="1096">
                  <c:v>0.58151460935388766</c:v>
                </c:pt>
                <c:pt idx="1097">
                  <c:v>0.51696601876684301</c:v>
                </c:pt>
                <c:pt idx="1098">
                  <c:v>0.54847710906916225</c:v>
                </c:pt>
                <c:pt idx="1099">
                  <c:v>-0.6008445523208098</c:v>
                </c:pt>
                <c:pt idx="1100">
                  <c:v>0.50625972276881537</c:v>
                </c:pt>
                <c:pt idx="1101">
                  <c:v>0.47431229169530037</c:v>
                </c:pt>
                <c:pt idx="1102">
                  <c:v>1.3045149333462531</c:v>
                </c:pt>
                <c:pt idx="1103">
                  <c:v>1.1368979555890717</c:v>
                </c:pt>
                <c:pt idx="1104">
                  <c:v>0.78590801937229826</c:v>
                </c:pt>
                <c:pt idx="1105">
                  <c:v>0.77802948180460518</c:v>
                </c:pt>
                <c:pt idx="1106">
                  <c:v>-0.83074530231068966</c:v>
                </c:pt>
                <c:pt idx="1107">
                  <c:v>0.41482824864838824</c:v>
                </c:pt>
                <c:pt idx="1108">
                  <c:v>-0.50426117706423856</c:v>
                </c:pt>
                <c:pt idx="1109">
                  <c:v>-1.0084717513234311</c:v>
                </c:pt>
                <c:pt idx="1110">
                  <c:v>-1.1135468703960003</c:v>
                </c:pt>
                <c:pt idx="1111">
                  <c:v>-1.2026584082148053</c:v>
                </c:pt>
                <c:pt idx="1112">
                  <c:v>-0.98234217360607023</c:v>
                </c:pt>
                <c:pt idx="1113">
                  <c:v>-1.0069037241178576</c:v>
                </c:pt>
                <c:pt idx="1114">
                  <c:v>-1.0317027654516477</c:v>
                </c:pt>
                <c:pt idx="1115">
                  <c:v>-1.0877737008270314</c:v>
                </c:pt>
                <c:pt idx="1116">
                  <c:v>-1.1436089928242146</c:v>
                </c:pt>
                <c:pt idx="1117">
                  <c:v>-1.1918061564755471</c:v>
                </c:pt>
                <c:pt idx="1118">
                  <c:v>7.0070228801718384E-2</c:v>
                </c:pt>
                <c:pt idx="1119">
                  <c:v>-0.5536963695138879</c:v>
                </c:pt>
                <c:pt idx="1120">
                  <c:v>-1.3221067507234172</c:v>
                </c:pt>
                <c:pt idx="1121">
                  <c:v>-4.5070349361713768</c:v>
                </c:pt>
                <c:pt idx="1122">
                  <c:v>-0.54450953155090187</c:v>
                </c:pt>
                <c:pt idx="1123">
                  <c:v>-0.56857873088201927</c:v>
                </c:pt>
                <c:pt idx="1124">
                  <c:v>-0.60074365576127731</c:v>
                </c:pt>
                <c:pt idx="1125">
                  <c:v>-0.6169351468883435</c:v>
                </c:pt>
                <c:pt idx="1126">
                  <c:v>-0.64144078064204813</c:v>
                </c:pt>
                <c:pt idx="1127">
                  <c:v>-0.66572858584367223</c:v>
                </c:pt>
                <c:pt idx="1128">
                  <c:v>-0.68192060435837376</c:v>
                </c:pt>
                <c:pt idx="1129">
                  <c:v>-0.70599020072864827</c:v>
                </c:pt>
                <c:pt idx="1130">
                  <c:v>-0.73005984261009271</c:v>
                </c:pt>
                <c:pt idx="1131">
                  <c:v>-2.3333157277754304</c:v>
                </c:pt>
                <c:pt idx="1132">
                  <c:v>-0.77841818793396456</c:v>
                </c:pt>
                <c:pt idx="1133">
                  <c:v>-0.79461081990729665</c:v>
                </c:pt>
                <c:pt idx="1134">
                  <c:v>0.93777327702468061</c:v>
                </c:pt>
                <c:pt idx="1135">
                  <c:v>0.91392269341363519</c:v>
                </c:pt>
                <c:pt idx="1136">
                  <c:v>3.0934583100226305E-2</c:v>
                </c:pt>
                <c:pt idx="1137">
                  <c:v>0.90560328996090123</c:v>
                </c:pt>
                <c:pt idx="1138">
                  <c:v>0.78568633400815324</c:v>
                </c:pt>
                <c:pt idx="1139">
                  <c:v>0.87299165853586547</c:v>
                </c:pt>
                <c:pt idx="1140">
                  <c:v>0.8250695540482873</c:v>
                </c:pt>
                <c:pt idx="1141">
                  <c:v>0.78546549494892337</c:v>
                </c:pt>
                <c:pt idx="1142">
                  <c:v>0.76139399108261829</c:v>
                </c:pt>
                <c:pt idx="1143">
                  <c:v>0.67386714509484591</c:v>
                </c:pt>
                <c:pt idx="1144">
                  <c:v>0.68174397865674496</c:v>
                </c:pt>
                <c:pt idx="1145">
                  <c:v>0.65745229412889727</c:v>
                </c:pt>
                <c:pt idx="1146">
                  <c:v>0.68152355617311533</c:v>
                </c:pt>
                <c:pt idx="1147">
                  <c:v>0.64169846908388417</c:v>
                </c:pt>
                <c:pt idx="1148">
                  <c:v>-0.18981145939450556</c:v>
                </c:pt>
                <c:pt idx="1149">
                  <c:v>-0.2141072762855499</c:v>
                </c:pt>
                <c:pt idx="1150">
                  <c:v>-0.22242615193240281</c:v>
                </c:pt>
                <c:pt idx="1151">
                  <c:v>-0.24650280861414395</c:v>
                </c:pt>
                <c:pt idx="1152">
                  <c:v>-0.27057969239537133</c:v>
                </c:pt>
                <c:pt idx="1153">
                  <c:v>-0.28677826626595154</c:v>
                </c:pt>
                <c:pt idx="1154">
                  <c:v>-2.3598578889268222</c:v>
                </c:pt>
                <c:pt idx="1155">
                  <c:v>-0.31151908543733442</c:v>
                </c:pt>
                <c:pt idx="1156">
                  <c:v>0.82253284330247922</c:v>
                </c:pt>
                <c:pt idx="1157">
                  <c:v>-1.8812668436048663</c:v>
                </c:pt>
                <c:pt idx="1158">
                  <c:v>-0.35357313749803299</c:v>
                </c:pt>
                <c:pt idx="1159">
                  <c:v>-0.34636071111337657</c:v>
                </c:pt>
                <c:pt idx="1160">
                  <c:v>-0.3470278103858484</c:v>
                </c:pt>
                <c:pt idx="1161">
                  <c:v>-0.34747283928670414</c:v>
                </c:pt>
                <c:pt idx="1162">
                  <c:v>-0.34791810603437817</c:v>
                </c:pt>
                <c:pt idx="1163">
                  <c:v>0.56729039663513581</c:v>
                </c:pt>
                <c:pt idx="1164">
                  <c:v>0.55919408148572447</c:v>
                </c:pt>
                <c:pt idx="1165">
                  <c:v>0.52724680865168183</c:v>
                </c:pt>
                <c:pt idx="1166">
                  <c:v>-0.55269115506819189</c:v>
                </c:pt>
                <c:pt idx="1167">
                  <c:v>0.49486197146337557</c:v>
                </c:pt>
                <c:pt idx="1168">
                  <c:v>0.48654721852396304</c:v>
                </c:pt>
                <c:pt idx="1169">
                  <c:v>0.45438157689727798</c:v>
                </c:pt>
                <c:pt idx="1170">
                  <c:v>0.43818959778333116</c:v>
                </c:pt>
                <c:pt idx="1171">
                  <c:v>0.42199770952054161</c:v>
                </c:pt>
                <c:pt idx="1172">
                  <c:v>0.40580590459562277</c:v>
                </c:pt>
                <c:pt idx="1173">
                  <c:v>0.38961417549543181</c:v>
                </c:pt>
                <c:pt idx="1174">
                  <c:v>0.36554482530147131</c:v>
                </c:pt>
                <c:pt idx="1175">
                  <c:v>0.61762720824551209</c:v>
                </c:pt>
                <c:pt idx="1176">
                  <c:v>0.61762720824551209</c:v>
                </c:pt>
                <c:pt idx="1177">
                  <c:v>0.58523912090319108</c:v>
                </c:pt>
                <c:pt idx="1178">
                  <c:v>0.55285178856937578</c:v>
                </c:pt>
                <c:pt idx="1179">
                  <c:v>-0.51263320195693374</c:v>
                </c:pt>
                <c:pt idx="1180">
                  <c:v>-0.4966523422600716</c:v>
                </c:pt>
                <c:pt idx="1181">
                  <c:v>0.49639480110945772</c:v>
                </c:pt>
                <c:pt idx="1182">
                  <c:v>0.4729823225772144</c:v>
                </c:pt>
                <c:pt idx="1183">
                  <c:v>0.51280732289767572</c:v>
                </c:pt>
                <c:pt idx="1184">
                  <c:v>0.39945771731551355</c:v>
                </c:pt>
                <c:pt idx="1185">
                  <c:v>0.32724851535632282</c:v>
                </c:pt>
                <c:pt idx="1186">
                  <c:v>0.3191524659035998</c:v>
                </c:pt>
                <c:pt idx="1187">
                  <c:v>0.21655797451254949</c:v>
                </c:pt>
                <c:pt idx="1188">
                  <c:v>0.20802760728916747</c:v>
                </c:pt>
                <c:pt idx="1189">
                  <c:v>0.19227065447724151</c:v>
                </c:pt>
                <c:pt idx="1190">
                  <c:v>0.18417483616531388</c:v>
                </c:pt>
                <c:pt idx="1191">
                  <c:v>0.1682005604850941</c:v>
                </c:pt>
                <c:pt idx="1192">
                  <c:v>0.1920533005467647</c:v>
                </c:pt>
                <c:pt idx="1193">
                  <c:v>9.6425183061604997E-2</c:v>
                </c:pt>
                <c:pt idx="1194">
                  <c:v>8.8546941812676569E-2</c:v>
                </c:pt>
                <c:pt idx="1195">
                  <c:v>8.023315334993833E-2</c:v>
                </c:pt>
                <c:pt idx="1196">
                  <c:v>6.3823179230292765E-2</c:v>
                </c:pt>
                <c:pt idx="1197">
                  <c:v>7.2354906403768765E-2</c:v>
                </c:pt>
                <c:pt idx="1198">
                  <c:v>4.850244735378674E-2</c:v>
                </c:pt>
                <c:pt idx="1199">
                  <c:v>1.6117896693126171E-2</c:v>
                </c:pt>
                <c:pt idx="1200">
                  <c:v>1.6117896693126171E-2</c:v>
                </c:pt>
                <c:pt idx="1201">
                  <c:v>3.6161963791983911E-4</c:v>
                </c:pt>
                <c:pt idx="1202">
                  <c:v>4.6915634798260546E-2</c:v>
                </c:pt>
                <c:pt idx="1203">
                  <c:v>1.4953531402189789E-2</c:v>
                </c:pt>
                <c:pt idx="1204">
                  <c:v>0.85723851297402098</c:v>
                </c:pt>
                <c:pt idx="1205">
                  <c:v>0.86489423416025135</c:v>
                </c:pt>
                <c:pt idx="1206">
                  <c:v>-0.10501281662753761</c:v>
                </c:pt>
                <c:pt idx="1207">
                  <c:v>0.76816920946356004</c:v>
                </c:pt>
                <c:pt idx="1208">
                  <c:v>-0.22497772741339894</c:v>
                </c:pt>
                <c:pt idx="1209">
                  <c:v>0.76729016148148688</c:v>
                </c:pt>
                <c:pt idx="1210">
                  <c:v>0.7513164701790952</c:v>
                </c:pt>
                <c:pt idx="1211">
                  <c:v>0.7193690875743094</c:v>
                </c:pt>
                <c:pt idx="1212">
                  <c:v>0.69551825822481295</c:v>
                </c:pt>
                <c:pt idx="1213">
                  <c:v>0.65569368680912976</c:v>
                </c:pt>
                <c:pt idx="1214">
                  <c:v>0.64737784014855959</c:v>
                </c:pt>
                <c:pt idx="1215">
                  <c:v>0.63096592181549715</c:v>
                </c:pt>
                <c:pt idx="1216">
                  <c:v>0.58260732798101578</c:v>
                </c:pt>
                <c:pt idx="1217">
                  <c:v>2.4361066238540796</c:v>
                </c:pt>
                <c:pt idx="1218">
                  <c:v>1.9646980331429804</c:v>
                </c:pt>
                <c:pt idx="1219">
                  <c:v>1.501166577773223</c:v>
                </c:pt>
                <c:pt idx="1220">
                  <c:v>1.3729053689857607</c:v>
                </c:pt>
                <c:pt idx="1221">
                  <c:v>1.013116488754326</c:v>
                </c:pt>
                <c:pt idx="1222">
                  <c:v>0.34289864993744013</c:v>
                </c:pt>
                <c:pt idx="1223">
                  <c:v>0.9487667968990946</c:v>
                </c:pt>
                <c:pt idx="1224">
                  <c:v>0.91659274768182131</c:v>
                </c:pt>
                <c:pt idx="1225">
                  <c:v>0.90039433063289698</c:v>
                </c:pt>
                <c:pt idx="1226">
                  <c:v>0.10295903338593436</c:v>
                </c:pt>
                <c:pt idx="1227">
                  <c:v>0.84414732343861476</c:v>
                </c:pt>
                <c:pt idx="1228">
                  <c:v>7.0558665368742973E-2</c:v>
                </c:pt>
                <c:pt idx="1229">
                  <c:v>7.0339654231959689E-2</c:v>
                </c:pt>
                <c:pt idx="1230">
                  <c:v>-2.4890155646059189E-2</c:v>
                </c:pt>
                <c:pt idx="1231">
                  <c:v>-7.2833601533058762E-2</c:v>
                </c:pt>
                <c:pt idx="1232">
                  <c:v>0.61652764139020555</c:v>
                </c:pt>
                <c:pt idx="1233">
                  <c:v>0.60821134624013018</c:v>
                </c:pt>
                <c:pt idx="1234">
                  <c:v>0.57626376191708217</c:v>
                </c:pt>
                <c:pt idx="1235">
                  <c:v>0.56816716939468825</c:v>
                </c:pt>
                <c:pt idx="1236">
                  <c:v>0.53468658285680748</c:v>
                </c:pt>
                <c:pt idx="1237">
                  <c:v>0.52615328771751624</c:v>
                </c:pt>
                <c:pt idx="1238">
                  <c:v>0.5340308164239479</c:v>
                </c:pt>
                <c:pt idx="1239">
                  <c:v>0.46269615973055045</c:v>
                </c:pt>
                <c:pt idx="1240">
                  <c:v>0.42243447877963397</c:v>
                </c:pt>
                <c:pt idx="1241">
                  <c:v>0.36598123067735716</c:v>
                </c:pt>
                <c:pt idx="1242">
                  <c:v>0.35766714868069882</c:v>
                </c:pt>
                <c:pt idx="1243">
                  <c:v>0.33272565198370274</c:v>
                </c:pt>
                <c:pt idx="1244">
                  <c:v>1.3066758117161019</c:v>
                </c:pt>
                <c:pt idx="1245">
                  <c:v>1.474289523820308</c:v>
                </c:pt>
                <c:pt idx="1246">
                  <c:v>1.2830413946695711</c:v>
                </c:pt>
                <c:pt idx="1247">
                  <c:v>1.0380502292493436</c:v>
                </c:pt>
                <c:pt idx="1248">
                  <c:v>0.59033323271297533</c:v>
                </c:pt>
                <c:pt idx="1249">
                  <c:v>0.58947265168225282</c:v>
                </c:pt>
                <c:pt idx="1250">
                  <c:v>0.59692310725194542</c:v>
                </c:pt>
                <c:pt idx="1251">
                  <c:v>0.54749473581082408</c:v>
                </c:pt>
                <c:pt idx="1252">
                  <c:v>0.55494708091468237</c:v>
                </c:pt>
                <c:pt idx="1253">
                  <c:v>0.57709575336460062</c:v>
                </c:pt>
                <c:pt idx="1254">
                  <c:v>0.57666945983979889</c:v>
                </c:pt>
                <c:pt idx="1255">
                  <c:v>-1.7660507627157325</c:v>
                </c:pt>
                <c:pt idx="1256">
                  <c:v>0.56390640399338365</c:v>
                </c:pt>
                <c:pt idx="1257">
                  <c:v>0.50061765472530828</c:v>
                </c:pt>
                <c:pt idx="1258">
                  <c:v>0.4605594862738106</c:v>
                </c:pt>
                <c:pt idx="1259">
                  <c:v>0.42156734360487735</c:v>
                </c:pt>
                <c:pt idx="1260">
                  <c:v>-1.6976107915863301</c:v>
                </c:pt>
                <c:pt idx="1261">
                  <c:v>-1.7200802388423135</c:v>
                </c:pt>
                <c:pt idx="1262">
                  <c:v>-0.14493833498342898</c:v>
                </c:pt>
                <c:pt idx="1263">
                  <c:v>-0.19352010146208923</c:v>
                </c:pt>
                <c:pt idx="1264">
                  <c:v>-0.25829872698135492</c:v>
                </c:pt>
                <c:pt idx="1265">
                  <c:v>-2.1598221879763635</c:v>
                </c:pt>
                <c:pt idx="1266">
                  <c:v>-0.38264592482670551</c:v>
                </c:pt>
                <c:pt idx="1267">
                  <c:v>0.68851202961811131</c:v>
                </c:pt>
                <c:pt idx="1268">
                  <c:v>-0.55119623412522445</c:v>
                </c:pt>
                <c:pt idx="1269">
                  <c:v>-0.61083215412980107</c:v>
                </c:pt>
                <c:pt idx="1270">
                  <c:v>-3.2714250471124533</c:v>
                </c:pt>
                <c:pt idx="1271">
                  <c:v>-0.73860358062600562</c:v>
                </c:pt>
                <c:pt idx="1272">
                  <c:v>-3.7118441276910392</c:v>
                </c:pt>
                <c:pt idx="1273">
                  <c:v>-2.1035350633672317E-2</c:v>
                </c:pt>
                <c:pt idx="1274">
                  <c:v>0.4016479534527016</c:v>
                </c:pt>
                <c:pt idx="1275">
                  <c:v>0.39333204680603168</c:v>
                </c:pt>
                <c:pt idx="1276">
                  <c:v>0.36882344138757517</c:v>
                </c:pt>
                <c:pt idx="1277">
                  <c:v>0.3605081098988604</c:v>
                </c:pt>
                <c:pt idx="1278">
                  <c:v>0.33600049631688533</c:v>
                </c:pt>
                <c:pt idx="1279">
                  <c:v>1.0996723149360121</c:v>
                </c:pt>
                <c:pt idx="1280">
                  <c:v>0.33578180763866605</c:v>
                </c:pt>
                <c:pt idx="1281">
                  <c:v>0.31149343701773291</c:v>
                </c:pt>
                <c:pt idx="1282">
                  <c:v>0.31105643894383195</c:v>
                </c:pt>
                <c:pt idx="1283">
                  <c:v>-0.83245870718008408</c:v>
                </c:pt>
                <c:pt idx="1284">
                  <c:v>0.2861136199555801</c:v>
                </c:pt>
                <c:pt idx="1285">
                  <c:v>1.5552441950892486</c:v>
                </c:pt>
                <c:pt idx="1286">
                  <c:v>1.115428158873065</c:v>
                </c:pt>
                <c:pt idx="1287">
                  <c:v>0.96357090606084284</c:v>
                </c:pt>
                <c:pt idx="1288">
                  <c:v>-0.75276472685611406</c:v>
                </c:pt>
                <c:pt idx="1289">
                  <c:v>-0.14034823184707976</c:v>
                </c:pt>
                <c:pt idx="1290">
                  <c:v>-0.164417928464833</c:v>
                </c:pt>
                <c:pt idx="1291">
                  <c:v>-0.18061004531174771</c:v>
                </c:pt>
                <c:pt idx="1292">
                  <c:v>-0.19702077987082353</c:v>
                </c:pt>
                <c:pt idx="1293">
                  <c:v>-1.6322900388135997</c:v>
                </c:pt>
                <c:pt idx="1294">
                  <c:v>-1.7198815295181473</c:v>
                </c:pt>
                <c:pt idx="1295">
                  <c:v>-0.25478917711867527</c:v>
                </c:pt>
                <c:pt idx="1296">
                  <c:v>-0.28695670260094563</c:v>
                </c:pt>
                <c:pt idx="1297">
                  <c:v>-1.8877720746574678</c:v>
                </c:pt>
                <c:pt idx="1298">
                  <c:v>-0.37536400697028866</c:v>
                </c:pt>
                <c:pt idx="1299">
                  <c:v>-0.43948157921561926</c:v>
                </c:pt>
                <c:pt idx="1300">
                  <c:v>-0.49550235558871836</c:v>
                </c:pt>
                <c:pt idx="1301">
                  <c:v>-0.27623372290357795</c:v>
                </c:pt>
                <c:pt idx="1302">
                  <c:v>-0.30861849504168454</c:v>
                </c:pt>
                <c:pt idx="1303">
                  <c:v>-1.9018004067957479</c:v>
                </c:pt>
                <c:pt idx="1304">
                  <c:v>-1.8242472326554431</c:v>
                </c:pt>
                <c:pt idx="1305">
                  <c:v>-0.45413697997707825</c:v>
                </c:pt>
                <c:pt idx="1306">
                  <c:v>-0.52679050286140183</c:v>
                </c:pt>
                <c:pt idx="1307">
                  <c:v>-0.59134939214109739</c:v>
                </c:pt>
                <c:pt idx="1308">
                  <c:v>-2.2953611887930139</c:v>
                </c:pt>
                <c:pt idx="1309">
                  <c:v>-0.7443264543286473</c:v>
                </c:pt>
                <c:pt idx="1310">
                  <c:v>-0.1059853293581956</c:v>
                </c:pt>
                <c:pt idx="1311">
                  <c:v>-0.91329125044337389</c:v>
                </c:pt>
                <c:pt idx="1312">
                  <c:v>0.61784741223293205</c:v>
                </c:pt>
                <c:pt idx="1313">
                  <c:v>0.59399629587105518</c:v>
                </c:pt>
                <c:pt idx="1314">
                  <c:v>0.56160793054909897</c:v>
                </c:pt>
                <c:pt idx="1315">
                  <c:v>0.52156289229362185</c:v>
                </c:pt>
                <c:pt idx="1316">
                  <c:v>0.49749201153012684</c:v>
                </c:pt>
                <c:pt idx="1317">
                  <c:v>0.47320173649366243</c:v>
                </c:pt>
                <c:pt idx="1318">
                  <c:v>0.46510506260498918</c:v>
                </c:pt>
                <c:pt idx="1319">
                  <c:v>0.43315723208680679</c:v>
                </c:pt>
                <c:pt idx="1320">
                  <c:v>0.40908674978348442</c:v>
                </c:pt>
                <c:pt idx="1321">
                  <c:v>0.32899832464275697</c:v>
                </c:pt>
                <c:pt idx="1322">
                  <c:v>0.32112086183116667</c:v>
                </c:pt>
                <c:pt idx="1323">
                  <c:v>-0.6008445523208098</c:v>
                </c:pt>
                <c:pt idx="1324">
                  <c:v>0.60449336114775754</c:v>
                </c:pt>
                <c:pt idx="1325">
                  <c:v>0.58830198076390372</c:v>
                </c:pt>
                <c:pt idx="1326">
                  <c:v>0.59596211937820875</c:v>
                </c:pt>
                <c:pt idx="1327">
                  <c:v>-0.68884279430967243</c:v>
                </c:pt>
                <c:pt idx="1328">
                  <c:v>0.58743142472538334</c:v>
                </c:pt>
                <c:pt idx="1329">
                  <c:v>0.58721401194878609</c:v>
                </c:pt>
                <c:pt idx="1330">
                  <c:v>0.59509213803530536</c:v>
                </c:pt>
                <c:pt idx="1331">
                  <c:v>0.59509213803530536</c:v>
                </c:pt>
                <c:pt idx="1332">
                  <c:v>0.59509213803530536</c:v>
                </c:pt>
                <c:pt idx="1333">
                  <c:v>0.58699668946469397</c:v>
                </c:pt>
                <c:pt idx="1334">
                  <c:v>0.57911854081757286</c:v>
                </c:pt>
                <c:pt idx="1335">
                  <c:v>0.58699668946469397</c:v>
                </c:pt>
                <c:pt idx="1336">
                  <c:v>0.57890125245750113</c:v>
                </c:pt>
                <c:pt idx="1337">
                  <c:v>0.5548321949764462</c:v>
                </c:pt>
                <c:pt idx="1338">
                  <c:v>-1.0663156610634554</c:v>
                </c:pt>
                <c:pt idx="1339">
                  <c:v>-3.4001804220186185</c:v>
                </c:pt>
                <c:pt idx="1340">
                  <c:v>-1.2199787232510317</c:v>
                </c:pt>
                <c:pt idx="1341">
                  <c:v>-1.2927921141629415</c:v>
                </c:pt>
                <c:pt idx="1342">
                  <c:v>-1.3734919661747749</c:v>
                </c:pt>
                <c:pt idx="1343">
                  <c:v>-1.4625730471421043</c:v>
                </c:pt>
                <c:pt idx="1344">
                  <c:v>-1.5435512845633101</c:v>
                </c:pt>
                <c:pt idx="1345">
                  <c:v>-4.8060760954125472</c:v>
                </c:pt>
                <c:pt idx="1346">
                  <c:v>3.6234275737254608E-2</c:v>
                </c:pt>
                <c:pt idx="1347">
                  <c:v>2.8356513358735447E-2</c:v>
                </c:pt>
                <c:pt idx="1348">
                  <c:v>2.8138461364321184E-2</c:v>
                </c:pt>
                <c:pt idx="1349">
                  <c:v>1.1946805296111499E-2</c:v>
                </c:pt>
                <c:pt idx="1350">
                  <c:v>-4.2448934628521902E-3</c:v>
                </c:pt>
                <c:pt idx="1351">
                  <c:v>-4.6810792666232863E-3</c:v>
                </c:pt>
                <c:pt idx="1352">
                  <c:v>-1.2776976599619723E-2</c:v>
                </c:pt>
                <c:pt idx="1353">
                  <c:v>-1.5821594282922791</c:v>
                </c:pt>
                <c:pt idx="1354">
                  <c:v>-1.5821594282922791</c:v>
                </c:pt>
                <c:pt idx="1355">
                  <c:v>-1.4405307960430658</c:v>
                </c:pt>
                <c:pt idx="1356">
                  <c:v>-1.4490264604522103</c:v>
                </c:pt>
                <c:pt idx="1357">
                  <c:v>-3.1150570304102371E-2</c:v>
                </c:pt>
                <c:pt idx="1358">
                  <c:v>-1.6001299777042672</c:v>
                </c:pt>
                <c:pt idx="1359">
                  <c:v>-3.2459920950662358E-2</c:v>
                </c:pt>
                <c:pt idx="1360">
                  <c:v>-3.3332960155392548E-2</c:v>
                </c:pt>
                <c:pt idx="1361">
                  <c:v>0.24213010344240019</c:v>
                </c:pt>
                <c:pt idx="1362">
                  <c:v>1.5504243594100504</c:v>
                </c:pt>
                <c:pt idx="1363">
                  <c:v>-2.5614299253926456</c:v>
                </c:pt>
                <c:pt idx="1364">
                  <c:v>0.26704022633522212</c:v>
                </c:pt>
                <c:pt idx="1365">
                  <c:v>0.24145004751382065</c:v>
                </c:pt>
                <c:pt idx="1366">
                  <c:v>0.16721921127327877</c:v>
                </c:pt>
                <c:pt idx="1367">
                  <c:v>0.16464308947585463</c:v>
                </c:pt>
                <c:pt idx="1368">
                  <c:v>0.13924144994964524</c:v>
                </c:pt>
                <c:pt idx="1369">
                  <c:v>0.13816621097186754</c:v>
                </c:pt>
                <c:pt idx="1370">
                  <c:v>0.12194399246830354</c:v>
                </c:pt>
                <c:pt idx="1371">
                  <c:v>9.804120624823956E-2</c:v>
                </c:pt>
                <c:pt idx="1372">
                  <c:v>5.1323736485835401E-2</c:v>
                </c:pt>
                <c:pt idx="1373">
                  <c:v>-9.8510089020517697E-3</c:v>
                </c:pt>
                <c:pt idx="1374">
                  <c:v>-7.0550504643360767E-2</c:v>
                </c:pt>
                <c:pt idx="1375">
                  <c:v>-0.11500531692795446</c:v>
                </c:pt>
                <c:pt idx="1376">
                  <c:v>1.2561593944206686</c:v>
                </c:pt>
                <c:pt idx="1377">
                  <c:v>0.81469079693434354</c:v>
                </c:pt>
                <c:pt idx="1378">
                  <c:v>1.1839195724638638</c:v>
                </c:pt>
                <c:pt idx="1379">
                  <c:v>1.2156455736274361</c:v>
                </c:pt>
                <c:pt idx="1380">
                  <c:v>1.191566286950184</c:v>
                </c:pt>
                <c:pt idx="1381">
                  <c:v>1.15938516926544</c:v>
                </c:pt>
                <c:pt idx="1382">
                  <c:v>0.64677040424205134</c:v>
                </c:pt>
                <c:pt idx="1383">
                  <c:v>2.3888845824129725</c:v>
                </c:pt>
                <c:pt idx="1384">
                  <c:v>2.236991725919987</c:v>
                </c:pt>
                <c:pt idx="1385">
                  <c:v>1.1501497690986719</c:v>
                </c:pt>
                <c:pt idx="1386">
                  <c:v>1.1658995943436852</c:v>
                </c:pt>
                <c:pt idx="1387">
                  <c:v>0.94178708988748883</c:v>
                </c:pt>
                <c:pt idx="1388">
                  <c:v>0.95776284309931026</c:v>
                </c:pt>
                <c:pt idx="1389">
                  <c:v>0.94966279789511998</c:v>
                </c:pt>
                <c:pt idx="1390">
                  <c:v>0.9174873770324018</c:v>
                </c:pt>
                <c:pt idx="1391">
                  <c:v>0.647816537914223</c:v>
                </c:pt>
                <c:pt idx="1392">
                  <c:v>0.63971996435787837</c:v>
                </c:pt>
                <c:pt idx="1393">
                  <c:v>0.63162343195293447</c:v>
                </c:pt>
                <c:pt idx="1394">
                  <c:v>0.61586906000974251</c:v>
                </c:pt>
                <c:pt idx="1395">
                  <c:v>0.59223755407860612</c:v>
                </c:pt>
                <c:pt idx="1396">
                  <c:v>0.51544160730856059</c:v>
                </c:pt>
                <c:pt idx="1397">
                  <c:v>0.5086522733177713</c:v>
                </c:pt>
                <c:pt idx="1398">
                  <c:v>0.52746575913062199</c:v>
                </c:pt>
                <c:pt idx="1399">
                  <c:v>0.53556210356695833</c:v>
                </c:pt>
                <c:pt idx="1400">
                  <c:v>0.54431617759403195</c:v>
                </c:pt>
                <c:pt idx="1401">
                  <c:v>0.19444575598532307</c:v>
                </c:pt>
                <c:pt idx="1402">
                  <c:v>0.55941308437928172</c:v>
                </c:pt>
                <c:pt idx="1403">
                  <c:v>0.41215758396288016</c:v>
                </c:pt>
                <c:pt idx="1404">
                  <c:v>0.38808838673866147</c:v>
                </c:pt>
                <c:pt idx="1405">
                  <c:v>0.39618404418157122</c:v>
                </c:pt>
                <c:pt idx="1406">
                  <c:v>1.2178460199407808</c:v>
                </c:pt>
                <c:pt idx="1407">
                  <c:v>-0.58507535329839033</c:v>
                </c:pt>
                <c:pt idx="1408">
                  <c:v>0.33033144993918517</c:v>
                </c:pt>
                <c:pt idx="1409">
                  <c:v>0.29838395269014123</c:v>
                </c:pt>
                <c:pt idx="1410">
                  <c:v>-1.1207264827822656</c:v>
                </c:pt>
                <c:pt idx="1411">
                  <c:v>0.24214952517924501</c:v>
                </c:pt>
                <c:pt idx="1412">
                  <c:v>-1.1929442252618014</c:v>
                </c:pt>
                <c:pt idx="1413">
                  <c:v>-5.739670629987955E-2</c:v>
                </c:pt>
                <c:pt idx="1414">
                  <c:v>-9.8575544529416456E-2</c:v>
                </c:pt>
                <c:pt idx="1415">
                  <c:v>-0.12465456830957675</c:v>
                </c:pt>
                <c:pt idx="1416">
                  <c:v>-0.15951798563254801</c:v>
                </c:pt>
                <c:pt idx="1417">
                  <c:v>-0.21784693648203454</c:v>
                </c:pt>
                <c:pt idx="1418">
                  <c:v>-3.6317701711704542</c:v>
                </c:pt>
                <c:pt idx="1419">
                  <c:v>-0.42789841310832766</c:v>
                </c:pt>
                <c:pt idx="1420">
                  <c:v>-4.0077086623581017</c:v>
                </c:pt>
                <c:pt idx="1421">
                  <c:v>-0.31775798237342578</c:v>
                </c:pt>
                <c:pt idx="1422">
                  <c:v>-4.5520261578725201</c:v>
                </c:pt>
                <c:pt idx="1423">
                  <c:v>-4.5685490958187227</c:v>
                </c:pt>
                <c:pt idx="1424">
                  <c:v>-5.0186087480358799</c:v>
                </c:pt>
                <c:pt idx="1425">
                  <c:v>-0.36046021706040732</c:v>
                </c:pt>
                <c:pt idx="1426">
                  <c:v>-0.39833066281058521</c:v>
                </c:pt>
                <c:pt idx="1427">
                  <c:v>-0.44268831672582409</c:v>
                </c:pt>
                <c:pt idx="1428">
                  <c:v>1.1767297820851166</c:v>
                </c:pt>
                <c:pt idx="1429">
                  <c:v>1.1364438575273879</c:v>
                </c:pt>
                <c:pt idx="1430">
                  <c:v>1.1044891949223867</c:v>
                </c:pt>
                <c:pt idx="1431">
                  <c:v>1.1123640285711816</c:v>
                </c:pt>
                <c:pt idx="1432">
                  <c:v>0.34650633541092773</c:v>
                </c:pt>
                <c:pt idx="1433">
                  <c:v>0.34628700493172115</c:v>
                </c:pt>
                <c:pt idx="1434">
                  <c:v>0.34584850917250121</c:v>
                </c:pt>
                <c:pt idx="1435">
                  <c:v>0.32943629505592842</c:v>
                </c:pt>
                <c:pt idx="1436">
                  <c:v>0.32112086183116667</c:v>
                </c:pt>
                <c:pt idx="1437">
                  <c:v>0.29705062278192884</c:v>
                </c:pt>
                <c:pt idx="1438">
                  <c:v>0.28107677185151592</c:v>
                </c:pt>
                <c:pt idx="1439">
                  <c:v>0.27298045704933743</c:v>
                </c:pt>
                <c:pt idx="1440">
                  <c:v>-1.409778642819151E-3</c:v>
                </c:pt>
                <c:pt idx="1441">
                  <c:v>-4.1452616607229285E-2</c:v>
                </c:pt>
                <c:pt idx="1442">
                  <c:v>-0.11344247142886124</c:v>
                </c:pt>
                <c:pt idx="1443">
                  <c:v>-0.20950159698972454</c:v>
                </c:pt>
                <c:pt idx="1444">
                  <c:v>-0.29790113636933752</c:v>
                </c:pt>
                <c:pt idx="1445">
                  <c:v>-0.37010925216184482</c:v>
                </c:pt>
                <c:pt idx="1446">
                  <c:v>-0.38651940510249733</c:v>
                </c:pt>
                <c:pt idx="1447">
                  <c:v>-0.41080737818231899</c:v>
                </c:pt>
                <c:pt idx="1448">
                  <c:v>-0.42699947811500644</c:v>
                </c:pt>
                <c:pt idx="1449">
                  <c:v>-0.40424206282635072</c:v>
                </c:pt>
                <c:pt idx="1450">
                  <c:v>-0.47426466175117726</c:v>
                </c:pt>
                <c:pt idx="1451">
                  <c:v>-0.54669196690410149</c:v>
                </c:pt>
                <c:pt idx="1452">
                  <c:v>-0.60380387361883947</c:v>
                </c:pt>
                <c:pt idx="1453">
                  <c:v>0.71849225126672345</c:v>
                </c:pt>
                <c:pt idx="1454">
                  <c:v>0.71039598164557227</c:v>
                </c:pt>
                <c:pt idx="1455">
                  <c:v>0.68632617640039473</c:v>
                </c:pt>
                <c:pt idx="1456">
                  <c:v>0.66225642415346919</c:v>
                </c:pt>
                <c:pt idx="1457">
                  <c:v>0.65394162724262994</c:v>
                </c:pt>
                <c:pt idx="1458">
                  <c:v>-0.49686463347408188</c:v>
                </c:pt>
                <c:pt idx="1459">
                  <c:v>0.62155758498704294</c:v>
                </c:pt>
                <c:pt idx="1460">
                  <c:v>0.61324336319855821</c:v>
                </c:pt>
                <c:pt idx="1461">
                  <c:v>0.58895585078930979</c:v>
                </c:pt>
                <c:pt idx="1462">
                  <c:v>0.57998858533150233</c:v>
                </c:pt>
                <c:pt idx="1463">
                  <c:v>0.53076312212305776</c:v>
                </c:pt>
                <c:pt idx="1464">
                  <c:v>0.54673676575018615</c:v>
                </c:pt>
                <c:pt idx="1465">
                  <c:v>0.52245052308747053</c:v>
                </c:pt>
                <c:pt idx="1466">
                  <c:v>0.50625972276881537</c:v>
                </c:pt>
                <c:pt idx="1467">
                  <c:v>0.49028600723205673</c:v>
                </c:pt>
                <c:pt idx="1468">
                  <c:v>-0.31213098888288698</c:v>
                </c:pt>
                <c:pt idx="1469">
                  <c:v>-0.3364180040769878</c:v>
                </c:pt>
                <c:pt idx="1470">
                  <c:v>-0.37646076066191769</c:v>
                </c:pt>
                <c:pt idx="1471">
                  <c:v>-0.39265213136956634</c:v>
                </c:pt>
                <c:pt idx="1472">
                  <c:v>-0.42481706335253011</c:v>
                </c:pt>
                <c:pt idx="1473">
                  <c:v>-0.4569820350949822</c:v>
                </c:pt>
                <c:pt idx="1474">
                  <c:v>-0.4972428447900426</c:v>
                </c:pt>
                <c:pt idx="1475">
                  <c:v>-0.61399045474755976</c:v>
                </c:pt>
                <c:pt idx="1476">
                  <c:v>-0.64616993195422567</c:v>
                </c:pt>
                <c:pt idx="1477">
                  <c:v>-0.67092245477072432</c:v>
                </c:pt>
                <c:pt idx="1478">
                  <c:v>-2.8157445372861303</c:v>
                </c:pt>
                <c:pt idx="1479">
                  <c:v>-0.68218221478947283</c:v>
                </c:pt>
                <c:pt idx="1480">
                  <c:v>-0.69164699792778306</c:v>
                </c:pt>
                <c:pt idx="1481">
                  <c:v>-0.70853971013821226</c:v>
                </c:pt>
                <c:pt idx="1482">
                  <c:v>0.37691987743399802</c:v>
                </c:pt>
                <c:pt idx="1483">
                  <c:v>0.37670085090804079</c:v>
                </c:pt>
                <c:pt idx="1484">
                  <c:v>0.35263067165573281</c:v>
                </c:pt>
                <c:pt idx="1485">
                  <c:v>-0.64048007953183794</c:v>
                </c:pt>
                <c:pt idx="1486">
                  <c:v>0.35219296023537822</c:v>
                </c:pt>
                <c:pt idx="1487">
                  <c:v>0.34365930766946717</c:v>
                </c:pt>
                <c:pt idx="1488">
                  <c:v>0.34387798371278494</c:v>
                </c:pt>
                <c:pt idx="1489">
                  <c:v>0.33578180763866605</c:v>
                </c:pt>
                <c:pt idx="1490">
                  <c:v>0.33556317164743055</c:v>
                </c:pt>
                <c:pt idx="1491">
                  <c:v>-0.72847956596066232</c:v>
                </c:pt>
                <c:pt idx="1492">
                  <c:v>0.32724851535632282</c:v>
                </c:pt>
                <c:pt idx="1493">
                  <c:v>0.31105643894383195</c:v>
                </c:pt>
                <c:pt idx="1494">
                  <c:v>0.31083801289445695</c:v>
                </c:pt>
                <c:pt idx="1495">
                  <c:v>0.31061963536788106</c:v>
                </c:pt>
                <c:pt idx="1496">
                  <c:v>0.28655015110793142</c:v>
                </c:pt>
                <c:pt idx="1497">
                  <c:v>0.30909234279436182</c:v>
                </c:pt>
                <c:pt idx="1498">
                  <c:v>0.30099658301947108</c:v>
                </c:pt>
                <c:pt idx="1499">
                  <c:v>1.4348985698483145</c:v>
                </c:pt>
                <c:pt idx="1500">
                  <c:v>1.1311841894249639</c:v>
                </c:pt>
                <c:pt idx="1501">
                  <c:v>0.83534767847816271</c:v>
                </c:pt>
                <c:pt idx="1502">
                  <c:v>0.38765298555621275</c:v>
                </c:pt>
                <c:pt idx="1503">
                  <c:v>0.22769940202749159</c:v>
                </c:pt>
                <c:pt idx="1504">
                  <c:v>0.21150801115461576</c:v>
                </c:pt>
                <c:pt idx="1505">
                  <c:v>0.20341231081460104</c:v>
                </c:pt>
                <c:pt idx="1506">
                  <c:v>0.19531660595339312</c:v>
                </c:pt>
                <c:pt idx="1507">
                  <c:v>-1.160369412982857</c:v>
                </c:pt>
                <c:pt idx="1508">
                  <c:v>0.17912517891091834</c:v>
                </c:pt>
                <c:pt idx="1509">
                  <c:v>0.17102945485140875</c:v>
                </c:pt>
                <c:pt idx="1510">
                  <c:v>-0.30466750255851327</c:v>
                </c:pt>
                <c:pt idx="1511">
                  <c:v>-0.32874619205021638</c:v>
                </c:pt>
                <c:pt idx="1512">
                  <c:v>-0.32874619205021638</c:v>
                </c:pt>
                <c:pt idx="1513">
                  <c:v>-0.34472714743755201</c:v>
                </c:pt>
                <c:pt idx="1514">
                  <c:v>-0.35261065765261829</c:v>
                </c:pt>
                <c:pt idx="1515">
                  <c:v>-0.3685917093506525</c:v>
                </c:pt>
                <c:pt idx="1516">
                  <c:v>-0.3685917093506525</c:v>
                </c:pt>
                <c:pt idx="1517">
                  <c:v>-0.38457276104868904</c:v>
                </c:pt>
                <c:pt idx="1518">
                  <c:v>-0.41653486444475751</c:v>
                </c:pt>
                <c:pt idx="1519">
                  <c:v>-0.43272890347261844</c:v>
                </c:pt>
                <c:pt idx="1520">
                  <c:v>-0.45680656730866409</c:v>
                </c:pt>
                <c:pt idx="1521">
                  <c:v>-0.48898051789534785</c:v>
                </c:pt>
                <c:pt idx="1522">
                  <c:v>-0.50517340056443649</c:v>
                </c:pt>
                <c:pt idx="1523">
                  <c:v>-0.61619265491903197</c:v>
                </c:pt>
                <c:pt idx="1524">
                  <c:v>0.13183844326960098</c:v>
                </c:pt>
                <c:pt idx="1525">
                  <c:v>-0.20133014365844731</c:v>
                </c:pt>
                <c:pt idx="1526">
                  <c:v>-0.23350676126899303</c:v>
                </c:pt>
                <c:pt idx="1527">
                  <c:v>0.43535368139474029</c:v>
                </c:pt>
                <c:pt idx="1528">
                  <c:v>0.40318489049038159</c:v>
                </c:pt>
                <c:pt idx="1529">
                  <c:v>0.37101643172993937</c:v>
                </c:pt>
                <c:pt idx="1530">
                  <c:v>0.33884829017939366</c:v>
                </c:pt>
                <c:pt idx="1531">
                  <c:v>0.29858373930664472</c:v>
                </c:pt>
                <c:pt idx="1532">
                  <c:v>0.27429384742878699</c:v>
                </c:pt>
                <c:pt idx="1533">
                  <c:v>0.22615265801980058</c:v>
                </c:pt>
                <c:pt idx="1534">
                  <c:v>0.18588949220924658</c:v>
                </c:pt>
                <c:pt idx="1535">
                  <c:v>0.1456267574231698</c:v>
                </c:pt>
                <c:pt idx="1536">
                  <c:v>0.10536441161696232</c:v>
                </c:pt>
                <c:pt idx="1537">
                  <c:v>6.5102412748285224E-2</c:v>
                </c:pt>
                <c:pt idx="1538">
                  <c:v>0.17454376500817786</c:v>
                </c:pt>
                <c:pt idx="1539">
                  <c:v>0.55175489911308739</c:v>
                </c:pt>
                <c:pt idx="1540">
                  <c:v>-0.14318849547748858</c:v>
                </c:pt>
                <c:pt idx="1541">
                  <c:v>-0.15237865040876719</c:v>
                </c:pt>
                <c:pt idx="1542">
                  <c:v>-1.7439510261808686</c:v>
                </c:pt>
                <c:pt idx="1543">
                  <c:v>-0.20708547642124775</c:v>
                </c:pt>
                <c:pt idx="1544">
                  <c:v>-0.22240307889981301</c:v>
                </c:pt>
                <c:pt idx="1545">
                  <c:v>-0.22284080471659504</c:v>
                </c:pt>
                <c:pt idx="1546">
                  <c:v>-0.24100650131459608</c:v>
                </c:pt>
                <c:pt idx="1547">
                  <c:v>-0.25763986752520551</c:v>
                </c:pt>
                <c:pt idx="1548">
                  <c:v>-0.29002972721922066</c:v>
                </c:pt>
                <c:pt idx="1549">
                  <c:v>-0.3302982178788868</c:v>
                </c:pt>
                <c:pt idx="1550">
                  <c:v>-0.37712318841343073</c:v>
                </c:pt>
                <c:pt idx="1551">
                  <c:v>-0.44823934605122023</c:v>
                </c:pt>
                <c:pt idx="1552">
                  <c:v>-0.47996840782585676</c:v>
                </c:pt>
                <c:pt idx="1553">
                  <c:v>-2.2728457595787162</c:v>
                </c:pt>
                <c:pt idx="1554">
                  <c:v>0.86775873330759812</c:v>
                </c:pt>
                <c:pt idx="1555">
                  <c:v>-0.14059078313859988</c:v>
                </c:pt>
                <c:pt idx="1556">
                  <c:v>-0.18942143782233006</c:v>
                </c:pt>
                <c:pt idx="1557">
                  <c:v>-0.21505642593531299</c:v>
                </c:pt>
                <c:pt idx="1558">
                  <c:v>-0.2328165886167213</c:v>
                </c:pt>
                <c:pt idx="1559">
                  <c:v>-3.0800538045024748</c:v>
                </c:pt>
                <c:pt idx="1560">
                  <c:v>-3.2078818875754722</c:v>
                </c:pt>
                <c:pt idx="1561">
                  <c:v>-3.3037529498802205</c:v>
                </c:pt>
                <c:pt idx="1562">
                  <c:v>-0.38436868029226995</c:v>
                </c:pt>
                <c:pt idx="1563">
                  <c:v>-0.38080022989733309</c:v>
                </c:pt>
                <c:pt idx="1564">
                  <c:v>-3.8321370415645561</c:v>
                </c:pt>
                <c:pt idx="1565">
                  <c:v>-0.48121782882243275</c:v>
                </c:pt>
                <c:pt idx="1566">
                  <c:v>0.24546300682257874</c:v>
                </c:pt>
                <c:pt idx="1567">
                  <c:v>0.50582572418823413</c:v>
                </c:pt>
                <c:pt idx="1568">
                  <c:v>0.10142346496114826</c:v>
                </c:pt>
                <c:pt idx="1569">
                  <c:v>-0.22605559182968829</c:v>
                </c:pt>
                <c:pt idx="1570">
                  <c:v>0.4244386455714102</c:v>
                </c:pt>
                <c:pt idx="1571">
                  <c:v>0.47829485991671744</c:v>
                </c:pt>
                <c:pt idx="1572">
                  <c:v>0.56964065148812748</c:v>
                </c:pt>
                <c:pt idx="1573">
                  <c:v>0.56921379726251486</c:v>
                </c:pt>
                <c:pt idx="1574">
                  <c:v>0.52235199451434144</c:v>
                </c:pt>
                <c:pt idx="1575">
                  <c:v>0.49720958536886034</c:v>
                </c:pt>
                <c:pt idx="1576">
                  <c:v>0.47442242059021111</c:v>
                </c:pt>
                <c:pt idx="1577">
                  <c:v>0.41968761145274608</c:v>
                </c:pt>
                <c:pt idx="1578">
                  <c:v>0.41968761145274608</c:v>
                </c:pt>
                <c:pt idx="1579">
                  <c:v>0.41202271486650544</c:v>
                </c:pt>
                <c:pt idx="1580">
                  <c:v>0.41159201369580484</c:v>
                </c:pt>
                <c:pt idx="1581">
                  <c:v>0.79422613067821857</c:v>
                </c:pt>
                <c:pt idx="1582">
                  <c:v>0.79422613067821857</c:v>
                </c:pt>
                <c:pt idx="1583">
                  <c:v>0.75417980362634562</c:v>
                </c:pt>
                <c:pt idx="1584">
                  <c:v>0.77891589175493559</c:v>
                </c:pt>
                <c:pt idx="1585">
                  <c:v>0.72223122566888731</c:v>
                </c:pt>
                <c:pt idx="1586">
                  <c:v>0.77015409260507373</c:v>
                </c:pt>
                <c:pt idx="1587">
                  <c:v>0.74608217780384811</c:v>
                </c:pt>
                <c:pt idx="1588">
                  <c:v>0.62572435509888091</c:v>
                </c:pt>
                <c:pt idx="1589">
                  <c:v>0.69838020883644969</c:v>
                </c:pt>
                <c:pt idx="1590">
                  <c:v>0.66576983705079229</c:v>
                </c:pt>
                <c:pt idx="1591">
                  <c:v>0.6099704657158147</c:v>
                </c:pt>
                <c:pt idx="1592">
                  <c:v>0.60209351463377414</c:v>
                </c:pt>
                <c:pt idx="1593">
                  <c:v>0.62572435509888091</c:v>
                </c:pt>
                <c:pt idx="1594">
                  <c:v>0.58589912902102448</c:v>
                </c:pt>
                <c:pt idx="1595">
                  <c:v>0.63294111586892399</c:v>
                </c:pt>
                <c:pt idx="1596">
                  <c:v>0.10800639716210189</c:v>
                </c:pt>
                <c:pt idx="1597">
                  <c:v>9.9910624285641347E-2</c:v>
                </c:pt>
                <c:pt idx="1598">
                  <c:v>4.4112048523876415E-2</c:v>
                </c:pt>
                <c:pt idx="1599">
                  <c:v>-1.1686457419875531E-2</c:v>
                </c:pt>
                <c:pt idx="1600">
                  <c:v>-4.363361285796305E-2</c:v>
                </c:pt>
                <c:pt idx="1601">
                  <c:v>-9.1554346015093185E-2</c:v>
                </c:pt>
                <c:pt idx="1602">
                  <c:v>-9.9650235912127488E-2</c:v>
                </c:pt>
                <c:pt idx="1603">
                  <c:v>-0.11562382307168499</c:v>
                </c:pt>
                <c:pt idx="1604">
                  <c:v>-0.13969333398032444</c:v>
                </c:pt>
                <c:pt idx="1605">
                  <c:v>-0.13247055862519061</c:v>
                </c:pt>
                <c:pt idx="1606">
                  <c:v>-0.12350150145318071</c:v>
                </c:pt>
                <c:pt idx="1607">
                  <c:v>-0.219342967767441</c:v>
                </c:pt>
                <c:pt idx="1608">
                  <c:v>-0.21168370521389407</c:v>
                </c:pt>
                <c:pt idx="1609">
                  <c:v>0.1134605290091162</c:v>
                </c:pt>
                <c:pt idx="1610">
                  <c:v>0.10536441161696232</c:v>
                </c:pt>
                <c:pt idx="1611">
                  <c:v>9.7049997071335464E-2</c:v>
                </c:pt>
                <c:pt idx="1612">
                  <c:v>8.8735674585821572E-2</c:v>
                </c:pt>
                <c:pt idx="1613">
                  <c:v>8.8299157240555343E-2</c:v>
                </c:pt>
                <c:pt idx="1614">
                  <c:v>1.2379636429312488</c:v>
                </c:pt>
                <c:pt idx="1615">
                  <c:v>0.79026389018592036</c:v>
                </c:pt>
                <c:pt idx="1616">
                  <c:v>0.50230222407374281</c:v>
                </c:pt>
                <c:pt idx="1617">
                  <c:v>0.21434186772502414</c:v>
                </c:pt>
                <c:pt idx="1618">
                  <c:v>7.0143907348106438E-2</c:v>
                </c:pt>
                <c:pt idx="1619">
                  <c:v>5.3734217022999679E-2</c:v>
                </c:pt>
                <c:pt idx="1620">
                  <c:v>5.3298073242605812E-2</c:v>
                </c:pt>
                <c:pt idx="1621">
                  <c:v>6.0957751131657849E-2</c:v>
                </c:pt>
                <c:pt idx="1622">
                  <c:v>5.2643917934033849E-2</c:v>
                </c:pt>
                <c:pt idx="1623">
                  <c:v>-1.2321792209544196</c:v>
                </c:pt>
                <c:pt idx="1624">
                  <c:v>-0.16181220601800564</c:v>
                </c:pt>
                <c:pt idx="1625">
                  <c:v>0.25216347457117649</c:v>
                </c:pt>
                <c:pt idx="1626">
                  <c:v>-0.18964229599538671</c:v>
                </c:pt>
                <c:pt idx="1627">
                  <c:v>-0.21549944480501243</c:v>
                </c:pt>
                <c:pt idx="1628">
                  <c:v>-0.2711155056293979</c:v>
                </c:pt>
                <c:pt idx="1629">
                  <c:v>-0.32762196893777162</c:v>
                </c:pt>
                <c:pt idx="1630">
                  <c:v>-3.1443432171097596</c:v>
                </c:pt>
                <c:pt idx="1631">
                  <c:v>-0.15695833107859</c:v>
                </c:pt>
                <c:pt idx="1632">
                  <c:v>1.015667447025044</c:v>
                </c:pt>
                <c:pt idx="1633">
                  <c:v>-0.1564194106754602</c:v>
                </c:pt>
                <c:pt idx="1634">
                  <c:v>-1.6225638825576223E-2</c:v>
                </c:pt>
                <c:pt idx="1635">
                  <c:v>1.2694197269849505E-2</c:v>
                </c:pt>
                <c:pt idx="1636">
                  <c:v>2.5416819425706519E-2</c:v>
                </c:pt>
                <c:pt idx="1637">
                  <c:v>2.9603790189802748E-2</c:v>
                </c:pt>
                <c:pt idx="1638">
                  <c:v>0.12682789379569709</c:v>
                </c:pt>
                <c:pt idx="1639">
                  <c:v>0.21654590719863157</c:v>
                </c:pt>
                <c:pt idx="1640">
                  <c:v>0.2839676860035143</c:v>
                </c:pt>
                <c:pt idx="1641">
                  <c:v>-4.4245763152790198</c:v>
                </c:pt>
                <c:pt idx="1642">
                  <c:v>-5.090603373422125</c:v>
                </c:pt>
                <c:pt idx="1643">
                  <c:v>0.37956006112400126</c:v>
                </c:pt>
                <c:pt idx="1644">
                  <c:v>0.37895105334748591</c:v>
                </c:pt>
                <c:pt idx="1645">
                  <c:v>0.34762985524455753</c:v>
                </c:pt>
                <c:pt idx="1646">
                  <c:v>-4.6647744867052019</c:v>
                </c:pt>
                <c:pt idx="1647">
                  <c:v>0.2462286590059013</c:v>
                </c:pt>
                <c:pt idx="1648">
                  <c:v>0.19225115458485478</c:v>
                </c:pt>
              </c:numCache>
            </c:numRef>
          </c:yVal>
          <c:smooth val="0"/>
          <c:extLst>
            <c:ext xmlns:c16="http://schemas.microsoft.com/office/drawing/2014/chart" uri="{C3380CC4-5D6E-409C-BE32-E72D297353CC}">
              <c16:uniqueId val="{00000001-17E2-4CF7-B6C7-8FA8463EC877}"/>
            </c:ext>
          </c:extLst>
        </c:ser>
        <c:dLbls>
          <c:showLegendKey val="0"/>
          <c:showVal val="0"/>
          <c:showCatName val="0"/>
          <c:showSerName val="0"/>
          <c:showPercent val="0"/>
          <c:showBubbleSize val="0"/>
        </c:dLbls>
        <c:axId val="145769231"/>
        <c:axId val="145768751"/>
      </c:scatterChart>
      <c:valAx>
        <c:axId val="145769231"/>
        <c:scaling>
          <c:orientation val="minMax"/>
        </c:scaling>
        <c:delete val="0"/>
        <c:axPos val="b"/>
        <c:majorGridlines/>
        <c:title>
          <c:tx>
            <c:rich>
              <a:bodyPr/>
              <a:lstStyle/>
              <a:p>
                <a:pPr>
                  <a:defRPr/>
                </a:pPr>
                <a:r>
                  <a:rPr lang="en-US"/>
                  <a:t>Leverage (Hat Diagonal)</a:t>
                </a:r>
              </a:p>
            </c:rich>
          </c:tx>
          <c:overlay val="0"/>
        </c:title>
        <c:numFmt formatCode="0.00" sourceLinked="0"/>
        <c:majorTickMark val="out"/>
        <c:minorTickMark val="none"/>
        <c:tickLblPos val="nextTo"/>
        <c:crossAx val="145768751"/>
        <c:crosses val="autoZero"/>
        <c:crossBetween val="midCat"/>
      </c:valAx>
      <c:valAx>
        <c:axId val="145768751"/>
        <c:scaling>
          <c:orientation val="minMax"/>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14576923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PRESS Residuals</a:t>
            </a:r>
          </a:p>
        </c:rich>
      </c:tx>
      <c:overlay val="0"/>
      <c:spPr>
        <a:solidFill>
          <a:srgbClr val="CAEDFB"/>
        </a:solidFill>
      </c:sp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1649"/>
                <c:pt idx="0">
                  <c:v>0.37258286213715586</c:v>
                </c:pt>
                <c:pt idx="1">
                  <c:v>-4.3376348592848686</c:v>
                </c:pt>
                <c:pt idx="2">
                  <c:v>-4.4856317677827731</c:v>
                </c:pt>
                <c:pt idx="3">
                  <c:v>-4.6887111564731363</c:v>
                </c:pt>
                <c:pt idx="4">
                  <c:v>-4.8410330263715897</c:v>
                </c:pt>
                <c:pt idx="5">
                  <c:v>-5.0441458971809761</c:v>
                </c:pt>
                <c:pt idx="6">
                  <c:v>-5.1457098499788936</c:v>
                </c:pt>
                <c:pt idx="7">
                  <c:v>-5.3503176128786949</c:v>
                </c:pt>
                <c:pt idx="8">
                  <c:v>-5.5564379432011979</c:v>
                </c:pt>
                <c:pt idx="9">
                  <c:v>-5.7566837622438358</c:v>
                </c:pt>
                <c:pt idx="10">
                  <c:v>-5.9539656984703955</c:v>
                </c:pt>
                <c:pt idx="11">
                  <c:v>-6.1556886106223327</c:v>
                </c:pt>
                <c:pt idx="12">
                  <c:v>-6.3574212193717354</c:v>
                </c:pt>
                <c:pt idx="13">
                  <c:v>-21.2856460997052</c:v>
                </c:pt>
                <c:pt idx="14">
                  <c:v>-6.723704445167245</c:v>
                </c:pt>
                <c:pt idx="15">
                  <c:v>-6.977891556939527</c:v>
                </c:pt>
                <c:pt idx="16">
                  <c:v>3.8549066687866071</c:v>
                </c:pt>
                <c:pt idx="17">
                  <c:v>0.29677529659518193</c:v>
                </c:pt>
                <c:pt idx="18">
                  <c:v>3.7477200870091534</c:v>
                </c:pt>
                <c:pt idx="19">
                  <c:v>3.5461316960643288</c:v>
                </c:pt>
                <c:pt idx="20">
                  <c:v>3.3445495303169057</c:v>
                </c:pt>
                <c:pt idx="21">
                  <c:v>3.0922294203801051</c:v>
                </c:pt>
                <c:pt idx="22">
                  <c:v>2.9921456678784826</c:v>
                </c:pt>
                <c:pt idx="23">
                  <c:v>-2.2527207218226337</c:v>
                </c:pt>
                <c:pt idx="24">
                  <c:v>-1.2563743084363408</c:v>
                </c:pt>
                <c:pt idx="25">
                  <c:v>1.4853563856394112</c:v>
                </c:pt>
                <c:pt idx="26">
                  <c:v>-3.3635685165149103</c:v>
                </c:pt>
                <c:pt idx="27">
                  <c:v>-3.7654534828406345</c:v>
                </c:pt>
                <c:pt idx="28">
                  <c:v>-3.9163152954509006</c:v>
                </c:pt>
                <c:pt idx="29">
                  <c:v>-3.5638716883003503</c:v>
                </c:pt>
                <c:pt idx="30">
                  <c:v>-3.3128484642892255</c:v>
                </c:pt>
                <c:pt idx="31">
                  <c:v>-4.4627157211764201</c:v>
                </c:pt>
                <c:pt idx="32">
                  <c:v>-1.6583365479666516</c:v>
                </c:pt>
                <c:pt idx="33">
                  <c:v>3.2276578087215499</c:v>
                </c:pt>
                <c:pt idx="34">
                  <c:v>3.0768520502815675</c:v>
                </c:pt>
                <c:pt idx="35">
                  <c:v>3.0247287076615557</c:v>
                </c:pt>
                <c:pt idx="36">
                  <c:v>2.9726087333692788</c:v>
                </c:pt>
                <c:pt idx="37">
                  <c:v>2.8697642889414157</c:v>
                </c:pt>
                <c:pt idx="38">
                  <c:v>2.7175845136278785</c:v>
                </c:pt>
                <c:pt idx="39">
                  <c:v>2.5654096108694135</c:v>
                </c:pt>
                <c:pt idx="40">
                  <c:v>2.3131735085707645</c:v>
                </c:pt>
                <c:pt idx="41">
                  <c:v>2.0102226107916512</c:v>
                </c:pt>
                <c:pt idx="42">
                  <c:v>-4.6148345719021089</c:v>
                </c:pt>
                <c:pt idx="43">
                  <c:v>-8.752035957447255</c:v>
                </c:pt>
                <c:pt idx="44">
                  <c:v>-9.008182936268879</c:v>
                </c:pt>
                <c:pt idx="45">
                  <c:v>-3.9505175135915813</c:v>
                </c:pt>
                <c:pt idx="46">
                  <c:v>-8.8126721972550079</c:v>
                </c:pt>
                <c:pt idx="47">
                  <c:v>-10.018469023618604</c:v>
                </c:pt>
                <c:pt idx="48">
                  <c:v>-10.322473203138452</c:v>
                </c:pt>
                <c:pt idx="49">
                  <c:v>-10.624824250054539</c:v>
                </c:pt>
                <c:pt idx="50">
                  <c:v>-10.92891432098534</c:v>
                </c:pt>
                <c:pt idx="51">
                  <c:v>4.4243246131752372</c:v>
                </c:pt>
                <c:pt idx="52">
                  <c:v>4.2735194053561569</c:v>
                </c:pt>
                <c:pt idx="53">
                  <c:v>-1.1081466189014739</c:v>
                </c:pt>
                <c:pt idx="54">
                  <c:v>-1.3084569870682112</c:v>
                </c:pt>
                <c:pt idx="55">
                  <c:v>3.8718440849059914</c:v>
                </c:pt>
                <c:pt idx="56">
                  <c:v>4.2185981400390382</c:v>
                </c:pt>
                <c:pt idx="57">
                  <c:v>4.018462989850895</c:v>
                </c:pt>
                <c:pt idx="58">
                  <c:v>3.5660759090249905</c:v>
                </c:pt>
                <c:pt idx="59">
                  <c:v>3.8676660474693034</c:v>
                </c:pt>
                <c:pt idx="60">
                  <c:v>3.5674642906884175</c:v>
                </c:pt>
                <c:pt idx="61">
                  <c:v>-2.2605876885520315</c:v>
                </c:pt>
                <c:pt idx="62">
                  <c:v>3.2603402203023122</c:v>
                </c:pt>
                <c:pt idx="63">
                  <c:v>3.309681502720212</c:v>
                </c:pt>
                <c:pt idx="64">
                  <c:v>-2.410164011985259</c:v>
                </c:pt>
                <c:pt idx="65">
                  <c:v>2.8697642889414157</c:v>
                </c:pt>
                <c:pt idx="66">
                  <c:v>2.7710817256907987</c:v>
                </c:pt>
                <c:pt idx="67">
                  <c:v>2.6161340566841726</c:v>
                </c:pt>
                <c:pt idx="68">
                  <c:v>2.4132392627741277</c:v>
                </c:pt>
                <c:pt idx="69">
                  <c:v>2.4598246230704182</c:v>
                </c:pt>
                <c:pt idx="70">
                  <c:v>-3.7134595743239514</c:v>
                </c:pt>
                <c:pt idx="71">
                  <c:v>2.4132392627741277</c:v>
                </c:pt>
                <c:pt idx="72">
                  <c:v>2.2569430039835239</c:v>
                </c:pt>
                <c:pt idx="73">
                  <c:v>2.15963127410846</c:v>
                </c:pt>
                <c:pt idx="74">
                  <c:v>1.9129104917572841</c:v>
                </c:pt>
                <c:pt idx="75">
                  <c:v>1.7114034824610176</c:v>
                </c:pt>
                <c:pt idx="76">
                  <c:v>1.6113382732974006</c:v>
                </c:pt>
                <c:pt idx="77">
                  <c:v>1.9567523679945056</c:v>
                </c:pt>
                <c:pt idx="78">
                  <c:v>1.4057168899543253</c:v>
                </c:pt>
                <c:pt idx="79">
                  <c:v>5.4064423253540168</c:v>
                </c:pt>
                <c:pt idx="80">
                  <c:v>7.9184403519925413</c:v>
                </c:pt>
                <c:pt idx="81">
                  <c:v>7.7182300046978956</c:v>
                </c:pt>
                <c:pt idx="82">
                  <c:v>7.5165294052758727</c:v>
                </c:pt>
                <c:pt idx="83">
                  <c:v>7.4657338110339788</c:v>
                </c:pt>
                <c:pt idx="84">
                  <c:v>7.3641468007233728</c:v>
                </c:pt>
                <c:pt idx="85">
                  <c:v>6.9637423255031212</c:v>
                </c:pt>
                <c:pt idx="86">
                  <c:v>6.9637423255031212</c:v>
                </c:pt>
                <c:pt idx="87">
                  <c:v>6.8636412066980661</c:v>
                </c:pt>
                <c:pt idx="88">
                  <c:v>6.7127533743612204</c:v>
                </c:pt>
                <c:pt idx="89">
                  <c:v>11.816320386599525</c:v>
                </c:pt>
                <c:pt idx="90">
                  <c:v>8.911953737833306</c:v>
                </c:pt>
                <c:pt idx="91">
                  <c:v>5.9075814485248062</c:v>
                </c:pt>
                <c:pt idx="92">
                  <c:v>6.0062230752350603</c:v>
                </c:pt>
                <c:pt idx="93">
                  <c:v>7.0638434443081914</c:v>
                </c:pt>
                <c:pt idx="94">
                  <c:v>6.8621670778276771</c:v>
                </c:pt>
                <c:pt idx="95">
                  <c:v>10.764322417284479</c:v>
                </c:pt>
                <c:pt idx="96">
                  <c:v>14.015338640171286</c:v>
                </c:pt>
                <c:pt idx="97">
                  <c:v>10.110089733258402</c:v>
                </c:pt>
                <c:pt idx="98">
                  <c:v>8.2068142095664687</c:v>
                </c:pt>
                <c:pt idx="99">
                  <c:v>10.159380736886483</c:v>
                </c:pt>
                <c:pt idx="100">
                  <c:v>3.8023784682777597</c:v>
                </c:pt>
                <c:pt idx="101">
                  <c:v>6.2020522841451013</c:v>
                </c:pt>
                <c:pt idx="102">
                  <c:v>5.9989808479331854</c:v>
                </c:pt>
                <c:pt idx="103">
                  <c:v>5.9482158123708482</c:v>
                </c:pt>
                <c:pt idx="104">
                  <c:v>5.5464323048390476</c:v>
                </c:pt>
                <c:pt idx="105">
                  <c:v>1.5480735562633205</c:v>
                </c:pt>
                <c:pt idx="106">
                  <c:v>5.5435652489958951</c:v>
                </c:pt>
                <c:pt idx="107">
                  <c:v>5.2404626072898717</c:v>
                </c:pt>
                <c:pt idx="108">
                  <c:v>0.77106759616070863</c:v>
                </c:pt>
                <c:pt idx="109">
                  <c:v>0.56955700726039926</c:v>
                </c:pt>
                <c:pt idx="110">
                  <c:v>0.36804953786952377</c:v>
                </c:pt>
                <c:pt idx="111">
                  <c:v>0.16654500091081903</c:v>
                </c:pt>
                <c:pt idx="112">
                  <c:v>-5.8661308571457358</c:v>
                </c:pt>
                <c:pt idx="113">
                  <c:v>6.9161982019257193</c:v>
                </c:pt>
                <c:pt idx="114">
                  <c:v>2.3570065493131871</c:v>
                </c:pt>
                <c:pt idx="115">
                  <c:v>-3.9137651293413214</c:v>
                </c:pt>
                <c:pt idx="116">
                  <c:v>-0.8038583556936596</c:v>
                </c:pt>
                <c:pt idx="117">
                  <c:v>-1.2095610393385934</c:v>
                </c:pt>
                <c:pt idx="118">
                  <c:v>-1.6043500471888417</c:v>
                </c:pt>
                <c:pt idx="119">
                  <c:v>-2.2047188158102391</c:v>
                </c:pt>
                <c:pt idx="120">
                  <c:v>-2.5995294739242771</c:v>
                </c:pt>
                <c:pt idx="121">
                  <c:v>0.31185842450339035</c:v>
                </c:pt>
                <c:pt idx="122">
                  <c:v>5.9644289896016833E-2</c:v>
                </c:pt>
                <c:pt idx="123">
                  <c:v>6.1622092602679439</c:v>
                </c:pt>
                <c:pt idx="124">
                  <c:v>-3.9137651293413214</c:v>
                </c:pt>
                <c:pt idx="125">
                  <c:v>-0.69561322058302311</c:v>
                </c:pt>
                <c:pt idx="126">
                  <c:v>-0.99716549356387096</c:v>
                </c:pt>
                <c:pt idx="127">
                  <c:v>-1.2493654915193009</c:v>
                </c:pt>
                <c:pt idx="128">
                  <c:v>-1.552275795168748</c:v>
                </c:pt>
                <c:pt idx="129">
                  <c:v>-1.9031727896849144</c:v>
                </c:pt>
                <c:pt idx="130">
                  <c:v>-2.1553688592759181</c:v>
                </c:pt>
                <c:pt idx="131">
                  <c:v>-2.5076259659131788</c:v>
                </c:pt>
                <c:pt idx="132">
                  <c:v>-2.8598831481971714</c:v>
                </c:pt>
                <c:pt idx="133">
                  <c:v>4.2186293610680474</c:v>
                </c:pt>
                <c:pt idx="134">
                  <c:v>-4.7707193210763164</c:v>
                </c:pt>
                <c:pt idx="135">
                  <c:v>3.8717772028191173</c:v>
                </c:pt>
                <c:pt idx="136">
                  <c:v>5.8478551196129054</c:v>
                </c:pt>
                <c:pt idx="137">
                  <c:v>6.3547799266873302</c:v>
                </c:pt>
                <c:pt idx="138">
                  <c:v>3.5500962241198821</c:v>
                </c:pt>
                <c:pt idx="139">
                  <c:v>3.4513585944880569</c:v>
                </c:pt>
                <c:pt idx="140">
                  <c:v>3.3499490240101935</c:v>
                </c:pt>
                <c:pt idx="141">
                  <c:v>3.2885853995348069</c:v>
                </c:pt>
                <c:pt idx="142">
                  <c:v>2.9323102912052978</c:v>
                </c:pt>
                <c:pt idx="143">
                  <c:v>2.7855071515489143</c:v>
                </c:pt>
                <c:pt idx="144">
                  <c:v>2.581336417002992</c:v>
                </c:pt>
                <c:pt idx="145">
                  <c:v>2.5252999333417461</c:v>
                </c:pt>
                <c:pt idx="146">
                  <c:v>2.6307147769028187</c:v>
                </c:pt>
                <c:pt idx="147">
                  <c:v>2.5853377511585598</c:v>
                </c:pt>
                <c:pt idx="148">
                  <c:v>15.164060278379411</c:v>
                </c:pt>
                <c:pt idx="149">
                  <c:v>13.21145824359939</c:v>
                </c:pt>
                <c:pt idx="150">
                  <c:v>9.2570412207316757</c:v>
                </c:pt>
                <c:pt idx="151">
                  <c:v>5.8055802806678036</c:v>
                </c:pt>
                <c:pt idx="152">
                  <c:v>6.4022325193640963</c:v>
                </c:pt>
                <c:pt idx="153">
                  <c:v>6.3993307621895195</c:v>
                </c:pt>
                <c:pt idx="154">
                  <c:v>6.1977104992345211</c:v>
                </c:pt>
                <c:pt idx="155">
                  <c:v>6.1483894887297277</c:v>
                </c:pt>
                <c:pt idx="156">
                  <c:v>5.9989808479331854</c:v>
                </c:pt>
                <c:pt idx="157">
                  <c:v>5.695842329704182</c:v>
                </c:pt>
                <c:pt idx="158">
                  <c:v>5.6944069854220603</c:v>
                </c:pt>
                <c:pt idx="159">
                  <c:v>5.3912974135322793</c:v>
                </c:pt>
                <c:pt idx="160">
                  <c:v>5.2883666823000315</c:v>
                </c:pt>
                <c:pt idx="161">
                  <c:v>0.45184165095678852</c:v>
                </c:pt>
                <c:pt idx="162">
                  <c:v>0.54510423098386007</c:v>
                </c:pt>
                <c:pt idx="163">
                  <c:v>1.131624290972852</c:v>
                </c:pt>
                <c:pt idx="164">
                  <c:v>-6.9207570271615664</c:v>
                </c:pt>
                <c:pt idx="165">
                  <c:v>1.1234430211345627</c:v>
                </c:pt>
                <c:pt idx="166">
                  <c:v>1.0740932270235148</c:v>
                </c:pt>
                <c:pt idx="167">
                  <c:v>1.0754562329461861</c:v>
                </c:pt>
                <c:pt idx="168">
                  <c:v>0.97675792044128795</c:v>
                </c:pt>
                <c:pt idx="169">
                  <c:v>0.92877320516552508</c:v>
                </c:pt>
                <c:pt idx="170">
                  <c:v>0.92877320516552508</c:v>
                </c:pt>
                <c:pt idx="171">
                  <c:v>0.87669627683820028</c:v>
                </c:pt>
                <c:pt idx="172">
                  <c:v>0.82189260457800639</c:v>
                </c:pt>
                <c:pt idx="173">
                  <c:v>0.81780397712381347</c:v>
                </c:pt>
                <c:pt idx="174">
                  <c:v>-8.1743764279018176</c:v>
                </c:pt>
                <c:pt idx="175">
                  <c:v>0.7163772383178586</c:v>
                </c:pt>
                <c:pt idx="176">
                  <c:v>-8.3746656270248305</c:v>
                </c:pt>
                <c:pt idx="177">
                  <c:v>0.36819876429321841</c:v>
                </c:pt>
                <c:pt idx="178">
                  <c:v>-5.4750688303669275</c:v>
                </c:pt>
                <c:pt idx="179">
                  <c:v>-5.7245683269590515</c:v>
                </c:pt>
                <c:pt idx="180">
                  <c:v>-5.9247427307339109</c:v>
                </c:pt>
                <c:pt idx="181">
                  <c:v>-6.1249171345087623</c:v>
                </c:pt>
                <c:pt idx="182">
                  <c:v>-6.3773095810895981</c:v>
                </c:pt>
                <c:pt idx="183">
                  <c:v>-6.4309900007574825</c:v>
                </c:pt>
                <c:pt idx="184">
                  <c:v>-6.2947611445838163</c:v>
                </c:pt>
                <c:pt idx="185">
                  <c:v>-6.5487307977078872</c:v>
                </c:pt>
                <c:pt idx="186">
                  <c:v>-6.7997540565347672</c:v>
                </c:pt>
                <c:pt idx="187">
                  <c:v>-7.0507823391362594</c:v>
                </c:pt>
                <c:pt idx="188">
                  <c:v>-7.4512362393655627</c:v>
                </c:pt>
                <c:pt idx="189">
                  <c:v>-7.751576664537545</c:v>
                </c:pt>
                <c:pt idx="190">
                  <c:v>-8.0504060176242049</c:v>
                </c:pt>
                <c:pt idx="191">
                  <c:v>2.4560177878797966</c:v>
                </c:pt>
                <c:pt idx="192">
                  <c:v>2.3038905149256488</c:v>
                </c:pt>
                <c:pt idx="193">
                  <c:v>2.1010510138342289</c:v>
                </c:pt>
                <c:pt idx="194">
                  <c:v>1.7994833936038503</c:v>
                </c:pt>
                <c:pt idx="195">
                  <c:v>1.547272006279347</c:v>
                </c:pt>
                <c:pt idx="196">
                  <c:v>1.2443396637204569</c:v>
                </c:pt>
                <c:pt idx="197">
                  <c:v>0.94275351786616424</c:v>
                </c:pt>
                <c:pt idx="198">
                  <c:v>0.63980198075564054</c:v>
                </c:pt>
                <c:pt idx="199">
                  <c:v>0.28475265791550131</c:v>
                </c:pt>
                <c:pt idx="200">
                  <c:v>-7.1692530494909076E-2</c:v>
                </c:pt>
                <c:pt idx="201">
                  <c:v>-0.42818074640422432</c:v>
                </c:pt>
                <c:pt idx="202">
                  <c:v>-0.83545996509428111</c:v>
                </c:pt>
                <c:pt idx="203">
                  <c:v>-1.192061902869177</c:v>
                </c:pt>
                <c:pt idx="204">
                  <c:v>-14.487670516290333</c:v>
                </c:pt>
                <c:pt idx="205">
                  <c:v>-0.21151908185963136</c:v>
                </c:pt>
                <c:pt idx="206">
                  <c:v>3.9943979497822593</c:v>
                </c:pt>
                <c:pt idx="207">
                  <c:v>-0.15462693301862127</c:v>
                </c:pt>
                <c:pt idx="208">
                  <c:v>3.7420683939596477</c:v>
                </c:pt>
                <c:pt idx="209">
                  <c:v>3.8421515525727812</c:v>
                </c:pt>
                <c:pt idx="210">
                  <c:v>3.4404124694775877</c:v>
                </c:pt>
                <c:pt idx="211">
                  <c:v>3.2881843943791647</c:v>
                </c:pt>
                <c:pt idx="212">
                  <c:v>3.2374433450673901</c:v>
                </c:pt>
                <c:pt idx="213">
                  <c:v>-1.4112795849557942</c:v>
                </c:pt>
                <c:pt idx="214">
                  <c:v>-1.8520448147441955</c:v>
                </c:pt>
                <c:pt idx="215">
                  <c:v>-2.0095432756517844</c:v>
                </c:pt>
                <c:pt idx="216">
                  <c:v>2.7863862239706743</c:v>
                </c:pt>
                <c:pt idx="217">
                  <c:v>0.7195275548100839</c:v>
                </c:pt>
                <c:pt idx="218">
                  <c:v>0.7073349813298011</c:v>
                </c:pt>
                <c:pt idx="219">
                  <c:v>-14.073665376228414</c:v>
                </c:pt>
                <c:pt idx="220">
                  <c:v>0.63088570571172697</c:v>
                </c:pt>
                <c:pt idx="221">
                  <c:v>0.71485681596148021</c:v>
                </c:pt>
                <c:pt idx="222">
                  <c:v>0.98600744618291003</c:v>
                </c:pt>
                <c:pt idx="223">
                  <c:v>0.9633517427016971</c:v>
                </c:pt>
                <c:pt idx="224">
                  <c:v>0.80685584069991212</c:v>
                </c:pt>
                <c:pt idx="225">
                  <c:v>1.4231785304349585</c:v>
                </c:pt>
                <c:pt idx="226">
                  <c:v>2.0290244663383361</c:v>
                </c:pt>
                <c:pt idx="227">
                  <c:v>2.6825689522707501</c:v>
                </c:pt>
                <c:pt idx="228">
                  <c:v>3.012579404157893</c:v>
                </c:pt>
                <c:pt idx="229">
                  <c:v>2.9080191127981196</c:v>
                </c:pt>
                <c:pt idx="230">
                  <c:v>2.6162120793247619</c:v>
                </c:pt>
                <c:pt idx="231">
                  <c:v>2.1302557681407173</c:v>
                </c:pt>
                <c:pt idx="232">
                  <c:v>4.3061707689406141</c:v>
                </c:pt>
                <c:pt idx="233">
                  <c:v>4.3047891710252708</c:v>
                </c:pt>
                <c:pt idx="234">
                  <c:v>4.2033466535045312</c:v>
                </c:pt>
                <c:pt idx="235">
                  <c:v>4.0004673280639444</c:v>
                </c:pt>
                <c:pt idx="236">
                  <c:v>3.7989688704036482</c:v>
                </c:pt>
                <c:pt idx="237">
                  <c:v>3.7468779058412087</c:v>
                </c:pt>
                <c:pt idx="238">
                  <c:v>3.5961001183125072</c:v>
                </c:pt>
                <c:pt idx="239">
                  <c:v>3.5453838552727102</c:v>
                </c:pt>
                <c:pt idx="240">
                  <c:v>3.3438914757720557</c:v>
                </c:pt>
                <c:pt idx="241">
                  <c:v>3.1424005803498347</c:v>
                </c:pt>
                <c:pt idx="242">
                  <c:v>-4.7669457428483364</c:v>
                </c:pt>
                <c:pt idx="243">
                  <c:v>2.6859782105671752</c:v>
                </c:pt>
                <c:pt idx="244">
                  <c:v>2.4831289625580988</c:v>
                </c:pt>
                <c:pt idx="245">
                  <c:v>2.2309323132824352</c:v>
                </c:pt>
                <c:pt idx="246">
                  <c:v>6.4307929570158775</c:v>
                </c:pt>
                <c:pt idx="247">
                  <c:v>3.5098099266475047</c:v>
                </c:pt>
                <c:pt idx="248">
                  <c:v>-2.8120845767458076</c:v>
                </c:pt>
                <c:pt idx="249">
                  <c:v>3.1588948464751661</c:v>
                </c:pt>
                <c:pt idx="250">
                  <c:v>3.2054783371000659</c:v>
                </c:pt>
                <c:pt idx="251">
                  <c:v>3.0533186123221592</c:v>
                </c:pt>
                <c:pt idx="252">
                  <c:v>3.0999120558649733</c:v>
                </c:pt>
                <c:pt idx="253">
                  <c:v>2.9477602613978542</c:v>
                </c:pt>
                <c:pt idx="254">
                  <c:v>2.7462662432121641</c:v>
                </c:pt>
                <c:pt idx="255">
                  <c:v>2.5434044275179652</c:v>
                </c:pt>
                <c:pt idx="256">
                  <c:v>-4.7162428528345313</c:v>
                </c:pt>
                <c:pt idx="257">
                  <c:v>2.3460215781605545</c:v>
                </c:pt>
                <c:pt idx="258">
                  <c:v>2.0472080636318903</c:v>
                </c:pt>
                <c:pt idx="259">
                  <c:v>1.9457769131089311</c:v>
                </c:pt>
                <c:pt idx="260">
                  <c:v>-5.2169948631191865</c:v>
                </c:pt>
                <c:pt idx="261">
                  <c:v>1.5414280228376063</c:v>
                </c:pt>
                <c:pt idx="262">
                  <c:v>-5.0862270742357971</c:v>
                </c:pt>
                <c:pt idx="263">
                  <c:v>-17.290478789549589</c:v>
                </c:pt>
                <c:pt idx="264">
                  <c:v>-5.6389552798674236</c:v>
                </c:pt>
                <c:pt idx="265">
                  <c:v>-5.9421860116328231</c:v>
                </c:pt>
                <c:pt idx="266">
                  <c:v>-6.3455523282435804</c:v>
                </c:pt>
                <c:pt idx="267">
                  <c:v>-6.7489541603633993</c:v>
                </c:pt>
                <c:pt idx="268">
                  <c:v>-7.3033167943027273</c:v>
                </c:pt>
                <c:pt idx="269">
                  <c:v>-7.8577449392601126</c:v>
                </c:pt>
                <c:pt idx="270">
                  <c:v>-21.748865525220342</c:v>
                </c:pt>
                <c:pt idx="271">
                  <c:v>-3.8557916933595306</c:v>
                </c:pt>
                <c:pt idx="272">
                  <c:v>-17.393601841958819</c:v>
                </c:pt>
                <c:pt idx="273">
                  <c:v>-4.2171483162513024</c:v>
                </c:pt>
                <c:pt idx="274">
                  <c:v>-4.3739636011691365</c:v>
                </c:pt>
                <c:pt idx="275">
                  <c:v>-19.195968242488281</c:v>
                </c:pt>
                <c:pt idx="276">
                  <c:v>-4.7371201230519233</c:v>
                </c:pt>
                <c:pt idx="277">
                  <c:v>-20.59874795300852</c:v>
                </c:pt>
                <c:pt idx="278">
                  <c:v>-5.3009366852345767</c:v>
                </c:pt>
                <c:pt idx="279">
                  <c:v>-5.7063271024096798</c:v>
                </c:pt>
                <c:pt idx="280">
                  <c:v>-6.0131465580945038</c:v>
                </c:pt>
                <c:pt idx="281">
                  <c:v>-6.3709744798370753</c:v>
                </c:pt>
                <c:pt idx="282">
                  <c:v>1.1727231495960733</c:v>
                </c:pt>
                <c:pt idx="283">
                  <c:v>-4.2129573254858661</c:v>
                </c:pt>
                <c:pt idx="284">
                  <c:v>1.0699035341763985</c:v>
                </c:pt>
                <c:pt idx="285">
                  <c:v>1.0191820854506768</c:v>
                </c:pt>
                <c:pt idx="286">
                  <c:v>0.96846107812677207</c:v>
                </c:pt>
                <c:pt idx="287">
                  <c:v>0.91774050043192756</c:v>
                </c:pt>
                <c:pt idx="288">
                  <c:v>0.91774050043192756</c:v>
                </c:pt>
                <c:pt idx="289">
                  <c:v>0.91636816193448956</c:v>
                </c:pt>
                <c:pt idx="290">
                  <c:v>0.86427690400492918</c:v>
                </c:pt>
                <c:pt idx="291">
                  <c:v>0.81081659998853628</c:v>
                </c:pt>
                <c:pt idx="292">
                  <c:v>-5.5162095694802531</c:v>
                </c:pt>
                <c:pt idx="293">
                  <c:v>0.60384168002238392</c:v>
                </c:pt>
                <c:pt idx="294">
                  <c:v>6.7049031715206642</c:v>
                </c:pt>
                <c:pt idx="295">
                  <c:v>-0.47071818629834389</c:v>
                </c:pt>
                <c:pt idx="296">
                  <c:v>-0.77363686665266007</c:v>
                </c:pt>
                <c:pt idx="297">
                  <c:v>-1.0258437377616665</c:v>
                </c:pt>
                <c:pt idx="298">
                  <c:v>-9.6754001477902314</c:v>
                </c:pt>
                <c:pt idx="299">
                  <c:v>-1.5302663923608393</c:v>
                </c:pt>
                <c:pt idx="300">
                  <c:v>-1.8825466845582028</c:v>
                </c:pt>
                <c:pt idx="301">
                  <c:v>-2.1854888062465889</c:v>
                </c:pt>
                <c:pt idx="302">
                  <c:v>-11.430740050296679</c:v>
                </c:pt>
                <c:pt idx="303">
                  <c:v>-2.8476664921290324</c:v>
                </c:pt>
                <c:pt idx="304">
                  <c:v>-2.8541297217889379</c:v>
                </c:pt>
                <c:pt idx="305">
                  <c:v>-3.2535114028474732</c:v>
                </c:pt>
                <c:pt idx="306">
                  <c:v>-3.5077240900456954</c:v>
                </c:pt>
                <c:pt idx="307">
                  <c:v>-3.7096420852284102</c:v>
                </c:pt>
                <c:pt idx="308">
                  <c:v>-20.499566129326663</c:v>
                </c:pt>
                <c:pt idx="309">
                  <c:v>-4.4126898925091433</c:v>
                </c:pt>
                <c:pt idx="310">
                  <c:v>-4.5698488921351368</c:v>
                </c:pt>
                <c:pt idx="311">
                  <c:v>-4.5296303109926175</c:v>
                </c:pt>
                <c:pt idx="312">
                  <c:v>-4.879770551003098</c:v>
                </c:pt>
                <c:pt idx="313">
                  <c:v>-24.641590028455816</c:v>
                </c:pt>
                <c:pt idx="314">
                  <c:v>7.615143441974487</c:v>
                </c:pt>
                <c:pt idx="315">
                  <c:v>7.5135560232271601</c:v>
                </c:pt>
                <c:pt idx="316">
                  <c:v>7.3626648336665435</c:v>
                </c:pt>
                <c:pt idx="317">
                  <c:v>7.2625652824987759</c:v>
                </c:pt>
                <c:pt idx="318">
                  <c:v>3.9533515208387664</c:v>
                </c:pt>
                <c:pt idx="319">
                  <c:v>6.9593218351221369</c:v>
                </c:pt>
                <c:pt idx="320">
                  <c:v>13.063649832505288</c:v>
                </c:pt>
                <c:pt idx="321">
                  <c:v>11.061749144740357</c:v>
                </c:pt>
                <c:pt idx="322">
                  <c:v>11.111032820581171</c:v>
                </c:pt>
                <c:pt idx="323">
                  <c:v>7.1565730119907256</c:v>
                </c:pt>
                <c:pt idx="324">
                  <c:v>6.2049565959533011</c:v>
                </c:pt>
                <c:pt idx="325">
                  <c:v>5.953999337348244</c:v>
                </c:pt>
                <c:pt idx="326">
                  <c:v>1.9601088969882439</c:v>
                </c:pt>
                <c:pt idx="327">
                  <c:v>-5.4763526804380689</c:v>
                </c:pt>
                <c:pt idx="328">
                  <c:v>-2.9580926984179352</c:v>
                </c:pt>
                <c:pt idx="329">
                  <c:v>-5.9716932921364325</c:v>
                </c:pt>
                <c:pt idx="330">
                  <c:v>-6.4257530424290685</c:v>
                </c:pt>
                <c:pt idx="331">
                  <c:v>-6.6824695998102905</c:v>
                </c:pt>
                <c:pt idx="332">
                  <c:v>-7.1600861844424717</c:v>
                </c:pt>
                <c:pt idx="333">
                  <c:v>-7.3636813462384536</c:v>
                </c:pt>
                <c:pt idx="334">
                  <c:v>-7.7152268233525749</c:v>
                </c:pt>
                <c:pt idx="335">
                  <c:v>-8.0142544808458602</c:v>
                </c:pt>
                <c:pt idx="336">
                  <c:v>-8.4643899985698461</c:v>
                </c:pt>
                <c:pt idx="337">
                  <c:v>-18.797401387013142</c:v>
                </c:pt>
                <c:pt idx="338">
                  <c:v>-8.5893278123904224</c:v>
                </c:pt>
                <c:pt idx="339">
                  <c:v>9.5035328915239496</c:v>
                </c:pt>
                <c:pt idx="340">
                  <c:v>7.5510689015754098</c:v>
                </c:pt>
                <c:pt idx="341">
                  <c:v>6.4500995078851826</c:v>
                </c:pt>
                <c:pt idx="342">
                  <c:v>6.4486500032680407</c:v>
                </c:pt>
                <c:pt idx="343">
                  <c:v>5.8960122567538082</c:v>
                </c:pt>
                <c:pt idx="344">
                  <c:v>6.1948257479301292</c:v>
                </c:pt>
                <c:pt idx="345">
                  <c:v>6.3471169501198226</c:v>
                </c:pt>
                <c:pt idx="346">
                  <c:v>1.7483912608847281</c:v>
                </c:pt>
                <c:pt idx="347">
                  <c:v>5.7944907379236827</c:v>
                </c:pt>
                <c:pt idx="348">
                  <c:v>2.445176476090495</c:v>
                </c:pt>
                <c:pt idx="349">
                  <c:v>2.3436937237159339</c:v>
                </c:pt>
                <c:pt idx="350">
                  <c:v>2.1928686063355234</c:v>
                </c:pt>
                <c:pt idx="351">
                  <c:v>2.0913918953639663</c:v>
                </c:pt>
                <c:pt idx="352">
                  <c:v>1.9405715389234002</c:v>
                </c:pt>
                <c:pt idx="353">
                  <c:v>1.8898356832919245</c:v>
                </c:pt>
                <c:pt idx="354">
                  <c:v>1.6868995081248497</c:v>
                </c:pt>
                <c:pt idx="355">
                  <c:v>1.5374707673024226</c:v>
                </c:pt>
                <c:pt idx="356">
                  <c:v>1.436007701271921</c:v>
                </c:pt>
                <c:pt idx="357">
                  <c:v>1.1851187306398914</c:v>
                </c:pt>
                <c:pt idx="358">
                  <c:v>-3.5613081297875637</c:v>
                </c:pt>
                <c:pt idx="359">
                  <c:v>-3.863051319038127</c:v>
                </c:pt>
                <c:pt idx="360">
                  <c:v>-4.1153404404929361</c:v>
                </c:pt>
                <c:pt idx="361">
                  <c:v>-4.8633413173492341</c:v>
                </c:pt>
                <c:pt idx="362">
                  <c:v>-0.22690404017437427</c:v>
                </c:pt>
                <c:pt idx="363">
                  <c:v>4.1060448722423288</c:v>
                </c:pt>
                <c:pt idx="364">
                  <c:v>3.9552601253444908</c:v>
                </c:pt>
                <c:pt idx="365">
                  <c:v>3.7565148034021427</c:v>
                </c:pt>
                <c:pt idx="366">
                  <c:v>3.7057930788457725</c:v>
                </c:pt>
                <c:pt idx="367">
                  <c:v>-3.2634169306221974</c:v>
                </c:pt>
                <c:pt idx="368">
                  <c:v>-3.2634169306221974</c:v>
                </c:pt>
                <c:pt idx="369">
                  <c:v>3.1040381023383907</c:v>
                </c:pt>
                <c:pt idx="370">
                  <c:v>3.0053524404017806</c:v>
                </c:pt>
                <c:pt idx="371">
                  <c:v>2.7531313492634419</c:v>
                </c:pt>
                <c:pt idx="372">
                  <c:v>2.6051006470052096</c:v>
                </c:pt>
                <c:pt idx="373">
                  <c:v>2.5022882212535578</c:v>
                </c:pt>
                <c:pt idx="374">
                  <c:v>-4.4652359613348089</c:v>
                </c:pt>
                <c:pt idx="375">
                  <c:v>2.2418535167492055</c:v>
                </c:pt>
                <c:pt idx="376">
                  <c:v>2.0403645055372035</c:v>
                </c:pt>
                <c:pt idx="377">
                  <c:v>2.0389976965200169</c:v>
                </c:pt>
                <c:pt idx="378">
                  <c:v>-13.282817626550571</c:v>
                </c:pt>
                <c:pt idx="379">
                  <c:v>-3.2097602793186288</c:v>
                </c:pt>
                <c:pt idx="380">
                  <c:v>-3.4127172966832795</c:v>
                </c:pt>
                <c:pt idx="381">
                  <c:v>-3.5156059958817143</c:v>
                </c:pt>
                <c:pt idx="382">
                  <c:v>-3.6692505733429472</c:v>
                </c:pt>
                <c:pt idx="383">
                  <c:v>-3.9229986929853466</c:v>
                </c:pt>
                <c:pt idx="384">
                  <c:v>-4.0259244524735109</c:v>
                </c:pt>
                <c:pt idx="385">
                  <c:v>1.1760458743241715</c:v>
                </c:pt>
                <c:pt idx="386">
                  <c:v>-1.6786783485071097</c:v>
                </c:pt>
                <c:pt idx="387">
                  <c:v>-4.4841965934412702</c:v>
                </c:pt>
                <c:pt idx="388">
                  <c:v>-4.5363998891922819</c:v>
                </c:pt>
                <c:pt idx="389">
                  <c:v>-4.637939571726994</c:v>
                </c:pt>
                <c:pt idx="390">
                  <c:v>6.6415946548526996</c:v>
                </c:pt>
                <c:pt idx="391">
                  <c:v>6.5415137943125039</c:v>
                </c:pt>
                <c:pt idx="392">
                  <c:v>6.3906738614969196</c:v>
                </c:pt>
                <c:pt idx="393">
                  <c:v>6.2398360847265097</c:v>
                </c:pt>
                <c:pt idx="394">
                  <c:v>1.2927812705813337</c:v>
                </c:pt>
                <c:pt idx="395">
                  <c:v>6.3413520732320983</c:v>
                </c:pt>
                <c:pt idx="396">
                  <c:v>6.1890796472986054</c:v>
                </c:pt>
                <c:pt idx="397">
                  <c:v>5.8931385822123135</c:v>
                </c:pt>
                <c:pt idx="398">
                  <c:v>1.1926308685244082</c:v>
                </c:pt>
                <c:pt idx="399">
                  <c:v>5.790192029151541</c:v>
                </c:pt>
                <c:pt idx="400">
                  <c:v>0.69464669459913297</c:v>
                </c:pt>
                <c:pt idx="401">
                  <c:v>0.45184165095678852</c:v>
                </c:pt>
                <c:pt idx="402">
                  <c:v>5.5886043372995511</c:v>
                </c:pt>
                <c:pt idx="403">
                  <c:v>-4.9003232891252094E-2</c:v>
                </c:pt>
                <c:pt idx="404">
                  <c:v>4.8387194728855816</c:v>
                </c:pt>
                <c:pt idx="405">
                  <c:v>4.9895495860243839</c:v>
                </c:pt>
                <c:pt idx="406">
                  <c:v>4.8894692806334943</c:v>
                </c:pt>
                <c:pt idx="407">
                  <c:v>0.19249874851470034</c:v>
                </c:pt>
                <c:pt idx="408">
                  <c:v>9.2345971006022431E-2</c:v>
                </c:pt>
                <c:pt idx="409">
                  <c:v>-0.20947476027263254</c:v>
                </c:pt>
                <c:pt idx="410">
                  <c:v>-0.36173870585188883</c:v>
                </c:pt>
                <c:pt idx="411">
                  <c:v>4.1255122290933217</c:v>
                </c:pt>
                <c:pt idx="412">
                  <c:v>3.8266962944100364</c:v>
                </c:pt>
                <c:pt idx="413">
                  <c:v>8.0245647659820722</c:v>
                </c:pt>
                <c:pt idx="414">
                  <c:v>6.0716422049396312</c:v>
                </c:pt>
                <c:pt idx="415">
                  <c:v>5.1691842586271486</c:v>
                </c:pt>
                <c:pt idx="416">
                  <c:v>4.9181848048511991</c:v>
                </c:pt>
                <c:pt idx="417">
                  <c:v>4.8166273385213572</c:v>
                </c:pt>
                <c:pt idx="418">
                  <c:v>2.0009142452910691</c:v>
                </c:pt>
                <c:pt idx="419">
                  <c:v>4.5641959931106388</c:v>
                </c:pt>
                <c:pt idx="420">
                  <c:v>4.4133200237199626</c:v>
                </c:pt>
                <c:pt idx="421">
                  <c:v>4.3625495694883867</c:v>
                </c:pt>
                <c:pt idx="422">
                  <c:v>4.3117802714408651</c:v>
                </c:pt>
                <c:pt idx="423">
                  <c:v>4.2116783571822616</c:v>
                </c:pt>
                <c:pt idx="424">
                  <c:v>4.1609109989614064</c:v>
                </c:pt>
                <c:pt idx="425">
                  <c:v>4.1594791962978084</c:v>
                </c:pt>
                <c:pt idx="426">
                  <c:v>4.0086156259028769</c:v>
                </c:pt>
                <c:pt idx="427">
                  <c:v>0.84835008275321111</c:v>
                </c:pt>
                <c:pt idx="428">
                  <c:v>-2.1721698897492674</c:v>
                </c:pt>
                <c:pt idx="429">
                  <c:v>-2.2750510845999385</c:v>
                </c:pt>
                <c:pt idx="430">
                  <c:v>-2.430089767757682</c:v>
                </c:pt>
                <c:pt idx="431">
                  <c:v>-2.5837466306815369</c:v>
                </c:pt>
                <c:pt idx="432">
                  <c:v>-2.8375235313471103</c:v>
                </c:pt>
                <c:pt idx="433">
                  <c:v>5.1668891773102503</c:v>
                </c:pt>
                <c:pt idx="434">
                  <c:v>-1.3470974456050362</c:v>
                </c:pt>
                <c:pt idx="435">
                  <c:v>-3.2042646091518683</c:v>
                </c:pt>
                <c:pt idx="436">
                  <c:v>3.5988459475298491</c:v>
                </c:pt>
                <c:pt idx="437">
                  <c:v>3.5467555733154112</c:v>
                </c:pt>
                <c:pt idx="438">
                  <c:v>3.0848573229613541</c:v>
                </c:pt>
                <c:pt idx="439">
                  <c:v>-3.7147388322652204</c:v>
                </c:pt>
                <c:pt idx="440">
                  <c:v>3.2904397545262709</c:v>
                </c:pt>
                <c:pt idx="441">
                  <c:v>3.7468779058412087</c:v>
                </c:pt>
                <c:pt idx="442">
                  <c:v>3.644074118867338</c:v>
                </c:pt>
                <c:pt idx="443">
                  <c:v>3.3918682499875294</c:v>
                </c:pt>
                <c:pt idx="444">
                  <c:v>3.4823767217635528</c:v>
                </c:pt>
                <c:pt idx="445">
                  <c:v>-6.5262677798255462</c:v>
                </c:pt>
                <c:pt idx="446">
                  <c:v>2.2572286542771223</c:v>
                </c:pt>
                <c:pt idx="447">
                  <c:v>-3.5182962245330254</c:v>
                </c:pt>
                <c:pt idx="448">
                  <c:v>3.1246900421734245</c:v>
                </c:pt>
                <c:pt idx="449">
                  <c:v>2.8752127205539226</c:v>
                </c:pt>
                <c:pt idx="450">
                  <c:v>3.0834944470312959</c:v>
                </c:pt>
                <c:pt idx="451">
                  <c:v>4.3721906118219911</c:v>
                </c:pt>
                <c:pt idx="452">
                  <c:v>4.3721906118219911</c:v>
                </c:pt>
                <c:pt idx="453">
                  <c:v>4.1678678042501893</c:v>
                </c:pt>
                <c:pt idx="454">
                  <c:v>4.1650848773588622</c:v>
                </c:pt>
                <c:pt idx="455">
                  <c:v>4.0129032932240074</c:v>
                </c:pt>
                <c:pt idx="456">
                  <c:v>4.2609847168421835</c:v>
                </c:pt>
                <c:pt idx="457">
                  <c:v>3.8593427205653268</c:v>
                </c:pt>
                <c:pt idx="458">
                  <c:v>-2.2111679116936971</c:v>
                </c:pt>
                <c:pt idx="459">
                  <c:v>3.9059189755440578</c:v>
                </c:pt>
                <c:pt idx="460">
                  <c:v>4.0511864751469462</c:v>
                </c:pt>
                <c:pt idx="461">
                  <c:v>4.1032843927838911</c:v>
                </c:pt>
                <c:pt idx="462">
                  <c:v>4.2513101276582228</c:v>
                </c:pt>
                <c:pt idx="463">
                  <c:v>3.7468779058412087</c:v>
                </c:pt>
                <c:pt idx="464">
                  <c:v>3.5961001183125072</c:v>
                </c:pt>
                <c:pt idx="465">
                  <c:v>3.2424613651943428</c:v>
                </c:pt>
                <c:pt idx="466">
                  <c:v>4.6310417489785971</c:v>
                </c:pt>
                <c:pt idx="467">
                  <c:v>4.4789154465495562</c:v>
                </c:pt>
                <c:pt idx="468">
                  <c:v>4.3308578129937558</c:v>
                </c:pt>
                <c:pt idx="469">
                  <c:v>4.1199121949256261</c:v>
                </c:pt>
                <c:pt idx="470">
                  <c:v>3.8237732506381983</c:v>
                </c:pt>
                <c:pt idx="471">
                  <c:v>-5.0711463200930522</c:v>
                </c:pt>
                <c:pt idx="472">
                  <c:v>3.6716506988813973</c:v>
                </c:pt>
                <c:pt idx="473">
                  <c:v>-5.2714309861042139</c:v>
                </c:pt>
                <c:pt idx="474">
                  <c:v>7.8130155842805991</c:v>
                </c:pt>
                <c:pt idx="475">
                  <c:v>3.9090331183497864</c:v>
                </c:pt>
                <c:pt idx="476">
                  <c:v>3.0070722373004672</c:v>
                </c:pt>
                <c:pt idx="477">
                  <c:v>-6.27654148102995</c:v>
                </c:pt>
                <c:pt idx="478">
                  <c:v>-3.4194431389615652</c:v>
                </c:pt>
                <c:pt idx="479">
                  <c:v>2.103749196888073</c:v>
                </c:pt>
                <c:pt idx="480">
                  <c:v>2.1544592706938328</c:v>
                </c:pt>
                <c:pt idx="481">
                  <c:v>-18.144094864614793</c:v>
                </c:pt>
                <c:pt idx="482">
                  <c:v>-0.59415200502283139</c:v>
                </c:pt>
                <c:pt idx="483">
                  <c:v>-0.80267408396363615</c:v>
                </c:pt>
                <c:pt idx="484">
                  <c:v>-0.86174067484826855</c:v>
                </c:pt>
                <c:pt idx="485">
                  <c:v>5.2899942493812251</c:v>
                </c:pt>
                <c:pt idx="486">
                  <c:v>0.628181770299163</c:v>
                </c:pt>
                <c:pt idx="487">
                  <c:v>-1.3298583685272953</c:v>
                </c:pt>
                <c:pt idx="488">
                  <c:v>-16.542995448565787</c:v>
                </c:pt>
                <c:pt idx="489">
                  <c:v>-1.6345999854669127</c:v>
                </c:pt>
                <c:pt idx="490">
                  <c:v>-1.8857534433098799</c:v>
                </c:pt>
                <c:pt idx="491">
                  <c:v>-2.186290489066264</c:v>
                </c:pt>
                <c:pt idx="492">
                  <c:v>5.7224224460317439</c:v>
                </c:pt>
                <c:pt idx="493">
                  <c:v>5.5688093358943442</c:v>
                </c:pt>
                <c:pt idx="494">
                  <c:v>5.36308654735023</c:v>
                </c:pt>
                <c:pt idx="495">
                  <c:v>5.3109657419931109</c:v>
                </c:pt>
                <c:pt idx="496">
                  <c:v>4.7613069651121185</c:v>
                </c:pt>
                <c:pt idx="497">
                  <c:v>4.9983300707453653</c:v>
                </c:pt>
                <c:pt idx="498">
                  <c:v>4.8406968856416359</c:v>
                </c:pt>
                <c:pt idx="499">
                  <c:v>4.7256876590045076</c:v>
                </c:pt>
                <c:pt idx="500">
                  <c:v>4.6763322140843302</c:v>
                </c:pt>
                <c:pt idx="501">
                  <c:v>4.525562956900619</c:v>
                </c:pt>
                <c:pt idx="502">
                  <c:v>4.3213875483377668</c:v>
                </c:pt>
                <c:pt idx="503">
                  <c:v>-1.8594144067800613</c:v>
                </c:pt>
                <c:pt idx="504">
                  <c:v>-2.211769436330576</c:v>
                </c:pt>
                <c:pt idx="505">
                  <c:v>-2.4147130145171043</c:v>
                </c:pt>
                <c:pt idx="506">
                  <c:v>-2.7205513763782854</c:v>
                </c:pt>
                <c:pt idx="507">
                  <c:v>-2.9291579357018356</c:v>
                </c:pt>
                <c:pt idx="508">
                  <c:v>3.9187895797664507</c:v>
                </c:pt>
                <c:pt idx="509">
                  <c:v>-3.5496748703306431</c:v>
                </c:pt>
                <c:pt idx="510">
                  <c:v>-17.196384440998532</c:v>
                </c:pt>
                <c:pt idx="511">
                  <c:v>-6.9714339227113546</c:v>
                </c:pt>
                <c:pt idx="512">
                  <c:v>1.4716196591983375</c:v>
                </c:pt>
                <c:pt idx="513">
                  <c:v>1.4195473426283713</c:v>
                </c:pt>
                <c:pt idx="514">
                  <c:v>1.3181234040634824</c:v>
                </c:pt>
                <c:pt idx="515">
                  <c:v>-8.4136879964477185</c:v>
                </c:pt>
                <c:pt idx="516">
                  <c:v>-7.5747046452325391</c:v>
                </c:pt>
                <c:pt idx="517">
                  <c:v>-7.626572159296976</c:v>
                </c:pt>
                <c:pt idx="518">
                  <c:v>-7.5783058402785581</c:v>
                </c:pt>
                <c:pt idx="519">
                  <c:v>1.3086110291675721</c:v>
                </c:pt>
                <c:pt idx="520">
                  <c:v>1.2565407486783431</c:v>
                </c:pt>
                <c:pt idx="521">
                  <c:v>1.2538268421106051</c:v>
                </c:pt>
                <c:pt idx="522">
                  <c:v>-8.5254693443001788</c:v>
                </c:pt>
                <c:pt idx="523">
                  <c:v>-8.625612806695516</c:v>
                </c:pt>
                <c:pt idx="524">
                  <c:v>1.101685185182441</c:v>
                </c:pt>
                <c:pt idx="525">
                  <c:v>1.0016137245833292</c:v>
                </c:pt>
                <c:pt idx="526">
                  <c:v>8.5056075839791916</c:v>
                </c:pt>
                <c:pt idx="527">
                  <c:v>8.4040348715540159</c:v>
                </c:pt>
                <c:pt idx="528">
                  <c:v>8.002201152751665</c:v>
                </c:pt>
                <c:pt idx="529">
                  <c:v>8.2023787179213059</c:v>
                </c:pt>
                <c:pt idx="530">
                  <c:v>7.949952575959621</c:v>
                </c:pt>
                <c:pt idx="531">
                  <c:v>7.8484006600212801</c:v>
                </c:pt>
                <c:pt idx="532">
                  <c:v>15.755161532168966</c:v>
                </c:pt>
                <c:pt idx="533">
                  <c:v>15.804423645710877</c:v>
                </c:pt>
                <c:pt idx="534">
                  <c:v>12.949718986367152</c:v>
                </c:pt>
                <c:pt idx="535">
                  <c:v>7.9948726041455114</c:v>
                </c:pt>
                <c:pt idx="536">
                  <c:v>9.045004138013347</c:v>
                </c:pt>
                <c:pt idx="537">
                  <c:v>6.5893965206312943</c:v>
                </c:pt>
                <c:pt idx="538">
                  <c:v>2.1476066156751581</c:v>
                </c:pt>
                <c:pt idx="539">
                  <c:v>2.0460333183793247</c:v>
                </c:pt>
                <c:pt idx="540">
                  <c:v>1.845725364568561</c:v>
                </c:pt>
                <c:pt idx="541">
                  <c:v>-0.41034764580152716</c:v>
                </c:pt>
                <c:pt idx="542">
                  <c:v>-0.42269065945784973</c:v>
                </c:pt>
                <c:pt idx="543">
                  <c:v>-0.48716089353264574</c:v>
                </c:pt>
                <c:pt idx="544">
                  <c:v>-0.54616020025027401</c:v>
                </c:pt>
                <c:pt idx="545">
                  <c:v>-0.79990844451214005</c:v>
                </c:pt>
                <c:pt idx="546">
                  <c:v>-14.388594114224009</c:v>
                </c:pt>
                <c:pt idx="547">
                  <c:v>-1.3033035404316422</c:v>
                </c:pt>
                <c:pt idx="548">
                  <c:v>-1.6488468684490494</c:v>
                </c:pt>
                <c:pt idx="549">
                  <c:v>-1.9971569291307785</c:v>
                </c:pt>
                <c:pt idx="550">
                  <c:v>-10.787214364361299</c:v>
                </c:pt>
                <c:pt idx="551">
                  <c:v>3.0685142653117663</c:v>
                </c:pt>
                <c:pt idx="552">
                  <c:v>3.2165356796891982</c:v>
                </c:pt>
                <c:pt idx="553">
                  <c:v>-2.7613575730789335</c:v>
                </c:pt>
                <c:pt idx="554">
                  <c:v>2.5667917680854542</c:v>
                </c:pt>
                <c:pt idx="555">
                  <c:v>2.713436525384231</c:v>
                </c:pt>
                <c:pt idx="556">
                  <c:v>2.1623858149897872</c:v>
                </c:pt>
                <c:pt idx="557">
                  <c:v>2.6161340566841726</c:v>
                </c:pt>
                <c:pt idx="558">
                  <c:v>-2.6104743801519819</c:v>
                </c:pt>
                <c:pt idx="559">
                  <c:v>2.5174493634397352</c:v>
                </c:pt>
                <c:pt idx="560">
                  <c:v>2.6161340566841726</c:v>
                </c:pt>
                <c:pt idx="561">
                  <c:v>1.3111426458065782</c:v>
                </c:pt>
                <c:pt idx="562">
                  <c:v>1.6127132291471808</c:v>
                </c:pt>
                <c:pt idx="563">
                  <c:v>1.1055268741632776</c:v>
                </c:pt>
                <c:pt idx="564">
                  <c:v>1.3701114503259952</c:v>
                </c:pt>
                <c:pt idx="565">
                  <c:v>0.56407701455825876</c:v>
                </c:pt>
                <c:pt idx="566">
                  <c:v>14.819283756098237</c:v>
                </c:pt>
                <c:pt idx="567">
                  <c:v>11.9148714742589</c:v>
                </c:pt>
                <c:pt idx="568">
                  <c:v>11.9148714742589</c:v>
                </c:pt>
                <c:pt idx="569">
                  <c:v>11.061749144740357</c:v>
                </c:pt>
                <c:pt idx="570">
                  <c:v>7.1565730119907256</c:v>
                </c:pt>
                <c:pt idx="571">
                  <c:v>6.3035949438860639</c:v>
                </c:pt>
                <c:pt idx="572">
                  <c:v>2.7006174714632407</c:v>
                </c:pt>
                <c:pt idx="573">
                  <c:v>6.2513721536123104</c:v>
                </c:pt>
                <c:pt idx="574">
                  <c:v>6.1498351277878349</c:v>
                </c:pt>
                <c:pt idx="575">
                  <c:v>5.7988058908050117</c:v>
                </c:pt>
                <c:pt idx="576">
                  <c:v>5.7480421360119678</c:v>
                </c:pt>
                <c:pt idx="577">
                  <c:v>1.3477558516419132</c:v>
                </c:pt>
                <c:pt idx="578">
                  <c:v>5.2940719754156129</c:v>
                </c:pt>
                <c:pt idx="579">
                  <c:v>5.2433157731565228</c:v>
                </c:pt>
                <c:pt idx="580">
                  <c:v>5.0910531432218376</c:v>
                </c:pt>
                <c:pt idx="581">
                  <c:v>-3.0236195400948325</c:v>
                </c:pt>
                <c:pt idx="582">
                  <c:v>-3.174456476025632</c:v>
                </c:pt>
                <c:pt idx="583">
                  <c:v>-3.3267073477845224</c:v>
                </c:pt>
                <c:pt idx="584">
                  <c:v>-3.4310442784344106</c:v>
                </c:pt>
                <c:pt idx="585">
                  <c:v>4.5739956235328698</c:v>
                </c:pt>
                <c:pt idx="586">
                  <c:v>1.7685609603717511</c:v>
                </c:pt>
                <c:pt idx="587">
                  <c:v>-1.0370499863782474</c:v>
                </c:pt>
                <c:pt idx="588">
                  <c:v>-16.339674442904375</c:v>
                </c:pt>
                <c:pt idx="589">
                  <c:v>-3.9994814065541564</c:v>
                </c:pt>
                <c:pt idx="590">
                  <c:v>-4.1053796702534928</c:v>
                </c:pt>
                <c:pt idx="591">
                  <c:v>-17.644430099506888</c:v>
                </c:pt>
                <c:pt idx="592">
                  <c:v>-17.846694663905339</c:v>
                </c:pt>
                <c:pt idx="593">
                  <c:v>-18.494070803020985</c:v>
                </c:pt>
                <c:pt idx="594">
                  <c:v>14.015338640171286</c:v>
                </c:pt>
                <c:pt idx="595">
                  <c:v>12.062699488622822</c:v>
                </c:pt>
                <c:pt idx="596">
                  <c:v>10.159380736886483</c:v>
                </c:pt>
                <c:pt idx="597">
                  <c:v>11.160316645185068</c:v>
                </c:pt>
                <c:pt idx="598">
                  <c:v>9.1584448285878981</c:v>
                </c:pt>
                <c:pt idx="599">
                  <c:v>6.2542758722012808</c:v>
                </c:pt>
                <c:pt idx="600">
                  <c:v>6.1048637152726482</c:v>
                </c:pt>
                <c:pt idx="601">
                  <c:v>2.1998170183657297</c:v>
                </c:pt>
                <c:pt idx="602">
                  <c:v>5.904677953911329</c:v>
                </c:pt>
                <c:pt idx="603">
                  <c:v>5.7016016960976215</c:v>
                </c:pt>
                <c:pt idx="604">
                  <c:v>5.6015115784881306</c:v>
                </c:pt>
                <c:pt idx="605">
                  <c:v>5.5014214608786265</c:v>
                </c:pt>
                <c:pt idx="606">
                  <c:v>5.4013313432691366</c:v>
                </c:pt>
                <c:pt idx="607">
                  <c:v>5.1997152403767366</c:v>
                </c:pt>
                <c:pt idx="608">
                  <c:v>4.7486013540002743</c:v>
                </c:pt>
                <c:pt idx="609">
                  <c:v>3.3261706986935611</c:v>
                </c:pt>
                <c:pt idx="610">
                  <c:v>3.1246900421734245</c:v>
                </c:pt>
                <c:pt idx="611">
                  <c:v>3.0246276911214727</c:v>
                </c:pt>
                <c:pt idx="612">
                  <c:v>3.0219167245764238</c:v>
                </c:pt>
                <c:pt idx="613">
                  <c:v>9.0737377505717713</c:v>
                </c:pt>
                <c:pt idx="614">
                  <c:v>8.1718349833423467</c:v>
                </c:pt>
                <c:pt idx="615">
                  <c:v>2.3422275192269888</c:v>
                </c:pt>
                <c:pt idx="616">
                  <c:v>6.8750145520048616</c:v>
                </c:pt>
                <c:pt idx="617">
                  <c:v>-6.7241031148872965</c:v>
                </c:pt>
                <c:pt idx="618">
                  <c:v>-7.0269517932479344</c:v>
                </c:pt>
                <c:pt idx="619">
                  <c:v>-4.7583782631942162</c:v>
                </c:pt>
                <c:pt idx="620">
                  <c:v>-4.7975025703043368</c:v>
                </c:pt>
                <c:pt idx="621">
                  <c:v>-5.0006436452658454</c:v>
                </c:pt>
                <c:pt idx="622">
                  <c:v>-18.092556434209524</c:v>
                </c:pt>
                <c:pt idx="623">
                  <c:v>-5.4533704856772163</c:v>
                </c:pt>
                <c:pt idx="624">
                  <c:v>-5.6580397061937173</c:v>
                </c:pt>
                <c:pt idx="625">
                  <c:v>-19.195968242488281</c:v>
                </c:pt>
                <c:pt idx="626">
                  <c:v>-19.447743796759429</c:v>
                </c:pt>
                <c:pt idx="627">
                  <c:v>-5.2966045431991864</c:v>
                </c:pt>
                <c:pt idx="628">
                  <c:v>-5.7449032062146834</c:v>
                </c:pt>
                <c:pt idx="629">
                  <c:v>-5.9495341135056705</c:v>
                </c:pt>
                <c:pt idx="630">
                  <c:v>-6.2528380734029714</c:v>
                </c:pt>
                <c:pt idx="631">
                  <c:v>-6.751931810592855</c:v>
                </c:pt>
                <c:pt idx="632">
                  <c:v>-7.1030843465603937</c:v>
                </c:pt>
                <c:pt idx="633">
                  <c:v>-0.8969974200478914</c:v>
                </c:pt>
                <c:pt idx="634">
                  <c:v>-0.94771909442614799</c:v>
                </c:pt>
                <c:pt idx="635">
                  <c:v>-10.728625516997731</c:v>
                </c:pt>
                <c:pt idx="636">
                  <c:v>-0.70509090659885476</c:v>
                </c:pt>
                <c:pt idx="637">
                  <c:v>-0.79967256620078153</c:v>
                </c:pt>
                <c:pt idx="638">
                  <c:v>-0.74757855474099888</c:v>
                </c:pt>
                <c:pt idx="639">
                  <c:v>-0.54743801505583567</c:v>
                </c:pt>
                <c:pt idx="640">
                  <c:v>-0.45695952650067018</c:v>
                </c:pt>
                <c:pt idx="641">
                  <c:v>-11.230457627513298</c:v>
                </c:pt>
                <c:pt idx="642">
                  <c:v>-0.86139088948598075</c:v>
                </c:pt>
                <c:pt idx="643">
                  <c:v>-0.81066359925243314</c:v>
                </c:pt>
                <c:pt idx="644">
                  <c:v>-0.61050562252698015</c:v>
                </c:pt>
                <c:pt idx="645">
                  <c:v>-0.26502179475372656</c:v>
                </c:pt>
                <c:pt idx="646">
                  <c:v>-1.6864453916002387E-2</c:v>
                </c:pt>
                <c:pt idx="647">
                  <c:v>-2.4175017298924226</c:v>
                </c:pt>
                <c:pt idx="648">
                  <c:v>-2.4230885446914927</c:v>
                </c:pt>
                <c:pt idx="649">
                  <c:v>4.252688234258664</c:v>
                </c:pt>
                <c:pt idx="650">
                  <c:v>-2.5623558293731641</c:v>
                </c:pt>
                <c:pt idx="651">
                  <c:v>3.9511246488912999</c:v>
                </c:pt>
                <c:pt idx="652">
                  <c:v>3.8496870422464951</c:v>
                </c:pt>
                <c:pt idx="653">
                  <c:v>3.6975337308371885</c:v>
                </c:pt>
                <c:pt idx="654">
                  <c:v>3.5467555733154112</c:v>
                </c:pt>
                <c:pt idx="655">
                  <c:v>3.4453228471015693</c:v>
                </c:pt>
                <c:pt idx="656">
                  <c:v>-3.8148892343221457</c:v>
                </c:pt>
                <c:pt idx="657">
                  <c:v>3.1437697137085294</c:v>
                </c:pt>
                <c:pt idx="658">
                  <c:v>2.9422790106608043</c:v>
                </c:pt>
                <c:pt idx="659">
                  <c:v>2.7407895428017763</c:v>
                </c:pt>
                <c:pt idx="660">
                  <c:v>2.4899541657380828</c:v>
                </c:pt>
                <c:pt idx="661">
                  <c:v>2.3378135647218445</c:v>
                </c:pt>
                <c:pt idx="662">
                  <c:v>2.1363266805421941</c:v>
                </c:pt>
                <c:pt idx="663">
                  <c:v>1.9841884230922604</c:v>
                </c:pt>
                <c:pt idx="664">
                  <c:v>-0.52416673360511268</c:v>
                </c:pt>
                <c:pt idx="665">
                  <c:v>-0.77637314043299877</c:v>
                </c:pt>
                <c:pt idx="666">
                  <c:v>-9.3749594561148051</c:v>
                </c:pt>
                <c:pt idx="667">
                  <c:v>-1.2807946966486912</c:v>
                </c:pt>
                <c:pt idx="668">
                  <c:v>-1.5330108993768012</c:v>
                </c:pt>
                <c:pt idx="669">
                  <c:v>-11.518886199194023</c:v>
                </c:pt>
                <c:pt idx="670">
                  <c:v>-10.979543967422247</c:v>
                </c:pt>
                <c:pt idx="671">
                  <c:v>-11.131436861427508</c:v>
                </c:pt>
                <c:pt idx="672">
                  <c:v>-11.432971111364964</c:v>
                </c:pt>
                <c:pt idx="673">
                  <c:v>-2.7941672286729466</c:v>
                </c:pt>
                <c:pt idx="674">
                  <c:v>-3.046417245396404</c:v>
                </c:pt>
                <c:pt idx="675">
                  <c:v>0.12964859138628157</c:v>
                </c:pt>
                <c:pt idx="676">
                  <c:v>2.8221397211003332E-2</c:v>
                </c:pt>
                <c:pt idx="677">
                  <c:v>-7.3206189351549683E-2</c:v>
                </c:pt>
                <c:pt idx="678">
                  <c:v>-0.17463426242860627</c:v>
                </c:pt>
                <c:pt idx="679">
                  <c:v>-0.27606291614927297</c:v>
                </c:pt>
                <c:pt idx="680">
                  <c:v>-0.37749224464458336</c:v>
                </c:pt>
                <c:pt idx="681">
                  <c:v>-0.57761694674847242</c:v>
                </c:pt>
                <c:pt idx="682">
                  <c:v>-9.1746656616645144</c:v>
                </c:pt>
                <c:pt idx="683">
                  <c:v>-0.87917309485610518</c:v>
                </c:pt>
                <c:pt idx="684">
                  <c:v>-9.4751063533399424</c:v>
                </c:pt>
                <c:pt idx="685">
                  <c:v>-1.7948679670014855</c:v>
                </c:pt>
                <c:pt idx="686">
                  <c:v>-1.3781157551640142</c:v>
                </c:pt>
                <c:pt idx="687">
                  <c:v>-1.5782404572679032</c:v>
                </c:pt>
                <c:pt idx="688">
                  <c:v>-1.8277104014421521</c:v>
                </c:pt>
                <c:pt idx="689">
                  <c:v>-2.0278347896122009</c:v>
                </c:pt>
                <c:pt idx="690">
                  <c:v>0.11599116013211774</c:v>
                </c:pt>
                <c:pt idx="691">
                  <c:v>-7.2706763928675917</c:v>
                </c:pt>
                <c:pt idx="692">
                  <c:v>5.6549415588309362</c:v>
                </c:pt>
                <c:pt idx="693">
                  <c:v>6.5075556326217256</c:v>
                </c:pt>
                <c:pt idx="694">
                  <c:v>5.5562643626842734</c:v>
                </c:pt>
                <c:pt idx="695">
                  <c:v>3.7030353499013047</c:v>
                </c:pt>
                <c:pt idx="696">
                  <c:v>-6.2276695321207845E-2</c:v>
                </c:pt>
                <c:pt idx="697">
                  <c:v>-0.50356999126432667</c:v>
                </c:pt>
                <c:pt idx="698">
                  <c:v>-0.61874672999682467</c:v>
                </c:pt>
                <c:pt idx="699">
                  <c:v>-9.38074879923815</c:v>
                </c:pt>
                <c:pt idx="700">
                  <c:v>-9.3761116226398808</c:v>
                </c:pt>
                <c:pt idx="701">
                  <c:v>6.8636412066980661</c:v>
                </c:pt>
                <c:pt idx="702">
                  <c:v>6.7127533743612204</c:v>
                </c:pt>
                <c:pt idx="703">
                  <c:v>10.815332596766622</c:v>
                </c:pt>
                <c:pt idx="704">
                  <c:v>6.7578689487869994</c:v>
                </c:pt>
                <c:pt idx="705">
                  <c:v>11.767045085048576</c:v>
                </c:pt>
                <c:pt idx="706">
                  <c:v>4.9056293724035847</c:v>
                </c:pt>
                <c:pt idx="707">
                  <c:v>7.5180196574032498</c:v>
                </c:pt>
                <c:pt idx="708">
                  <c:v>4.5049790100432325</c:v>
                </c:pt>
                <c:pt idx="709">
                  <c:v>7.2177041364612888</c:v>
                </c:pt>
                <c:pt idx="710">
                  <c:v>7.1175989628139735</c:v>
                </c:pt>
                <c:pt idx="711">
                  <c:v>7.0160117630894341</c:v>
                </c:pt>
                <c:pt idx="712">
                  <c:v>6.6141242993885401</c:v>
                </c:pt>
                <c:pt idx="713">
                  <c:v>9.7650540616931085</c:v>
                </c:pt>
                <c:pt idx="714">
                  <c:v>9.7650540616931085</c:v>
                </c:pt>
                <c:pt idx="715">
                  <c:v>5.9090360014077126</c:v>
                </c:pt>
                <c:pt idx="716">
                  <c:v>6.8113814374350046</c:v>
                </c:pt>
                <c:pt idx="717">
                  <c:v>5.6087442277651558</c:v>
                </c:pt>
                <c:pt idx="718">
                  <c:v>5.3563321846103049</c:v>
                </c:pt>
                <c:pt idx="719">
                  <c:v>5.3563321846103049</c:v>
                </c:pt>
                <c:pt idx="720">
                  <c:v>5.0546076045637021</c:v>
                </c:pt>
                <c:pt idx="721">
                  <c:v>7.7212244057147688</c:v>
                </c:pt>
                <c:pt idx="722">
                  <c:v>7.5703133410185561</c:v>
                </c:pt>
                <c:pt idx="723">
                  <c:v>4.7053041912234086</c:v>
                </c:pt>
                <c:pt idx="724">
                  <c:v>4.7053041912234086</c:v>
                </c:pt>
                <c:pt idx="725">
                  <c:v>4.5049790100432325</c:v>
                </c:pt>
                <c:pt idx="726">
                  <c:v>7.0174937891666431</c:v>
                </c:pt>
                <c:pt idx="727">
                  <c:v>6.9173886155193278</c:v>
                </c:pt>
                <c:pt idx="728">
                  <c:v>6.8158047062148563</c:v>
                </c:pt>
                <c:pt idx="729">
                  <c:v>6.8143281279057319</c:v>
                </c:pt>
                <c:pt idx="730">
                  <c:v>13.670517285442235</c:v>
                </c:pt>
                <c:pt idx="731">
                  <c:v>14.671528473492849</c:v>
                </c:pt>
                <c:pt idx="732">
                  <c:v>5.8582602365380279</c:v>
                </c:pt>
                <c:pt idx="733">
                  <c:v>5.9583567455002147</c:v>
                </c:pt>
                <c:pt idx="734">
                  <c:v>5.9061287665027749</c:v>
                </c:pt>
                <c:pt idx="735">
                  <c:v>5.6043993118693569</c:v>
                </c:pt>
                <c:pt idx="736">
                  <c:v>4.7640882381383207</c:v>
                </c:pt>
                <c:pt idx="737">
                  <c:v>4.7119693780601404</c:v>
                </c:pt>
                <c:pt idx="738">
                  <c:v>4.5104520462839535</c:v>
                </c:pt>
                <c:pt idx="739">
                  <c:v>4.4597266126426254</c:v>
                </c:pt>
                <c:pt idx="740">
                  <c:v>4.2102594103930215</c:v>
                </c:pt>
                <c:pt idx="741">
                  <c:v>4.1074270320737831</c:v>
                </c:pt>
                <c:pt idx="742">
                  <c:v>4.0553228901782221</c:v>
                </c:pt>
                <c:pt idx="743">
                  <c:v>3.9031598713425981</c:v>
                </c:pt>
                <c:pt idx="744">
                  <c:v>-2.862810587051317</c:v>
                </c:pt>
                <c:pt idx="745">
                  <c:v>3.8441958809308638</c:v>
                </c:pt>
                <c:pt idx="746">
                  <c:v>3.8414574585032377</c:v>
                </c:pt>
                <c:pt idx="747">
                  <c:v>3.6906825489203583</c:v>
                </c:pt>
                <c:pt idx="748">
                  <c:v>1.9760548094813484</c:v>
                </c:pt>
                <c:pt idx="749">
                  <c:v>1.9253272882689882</c:v>
                </c:pt>
                <c:pt idx="750">
                  <c:v>1.7745287041540021</c:v>
                </c:pt>
                <c:pt idx="751">
                  <c:v>1.723802727787632</c:v>
                </c:pt>
                <c:pt idx="752">
                  <c:v>1.5730064654703075</c:v>
                </c:pt>
                <c:pt idx="753">
                  <c:v>1.5222819558731053</c:v>
                </c:pt>
                <c:pt idx="754">
                  <c:v>1.3714879063084939</c:v>
                </c:pt>
                <c:pt idx="755">
                  <c:v>-4.012646957319129</c:v>
                </c:pt>
                <c:pt idx="756">
                  <c:v>1.1699728395595927</c:v>
                </c:pt>
                <c:pt idx="757">
                  <c:v>1.0657829841810091</c:v>
                </c:pt>
                <c:pt idx="758">
                  <c:v>1.0671561519318067</c:v>
                </c:pt>
                <c:pt idx="759">
                  <c:v>0.96571573192070426</c:v>
                </c:pt>
                <c:pt idx="760">
                  <c:v>0.86427690400492918</c:v>
                </c:pt>
                <c:pt idx="761">
                  <c:v>0.76283957401556246</c:v>
                </c:pt>
                <c:pt idx="762">
                  <c:v>0.66140364778870708</c:v>
                </c:pt>
                <c:pt idx="763">
                  <c:v>-6.6227435587886552</c:v>
                </c:pt>
                <c:pt idx="764">
                  <c:v>-6.726541385194504</c:v>
                </c:pt>
                <c:pt idx="765">
                  <c:v>2.0570910731573635</c:v>
                </c:pt>
                <c:pt idx="766">
                  <c:v>1.9502677788556055</c:v>
                </c:pt>
                <c:pt idx="767">
                  <c:v>1.842103043033857</c:v>
                </c:pt>
                <c:pt idx="768">
                  <c:v>1.7927376596444</c:v>
                </c:pt>
                <c:pt idx="769">
                  <c:v>1.7272262589343179</c:v>
                </c:pt>
                <c:pt idx="770">
                  <c:v>1.9073758018448075</c:v>
                </c:pt>
                <c:pt idx="771">
                  <c:v>1.9527802708976183</c:v>
                </c:pt>
                <c:pt idx="772">
                  <c:v>1.5028959715127672</c:v>
                </c:pt>
                <c:pt idx="773">
                  <c:v>1.2572921763452074</c:v>
                </c:pt>
                <c:pt idx="774">
                  <c:v>0.71004322313741774</c:v>
                </c:pt>
                <c:pt idx="775">
                  <c:v>0.71410687939574846</c:v>
                </c:pt>
                <c:pt idx="776">
                  <c:v>0.80880159114087924</c:v>
                </c:pt>
                <c:pt idx="777">
                  <c:v>0.7032738872036135</c:v>
                </c:pt>
                <c:pt idx="778">
                  <c:v>-2.1242177283819106</c:v>
                </c:pt>
                <c:pt idx="779">
                  <c:v>-2.276448870881985</c:v>
                </c:pt>
                <c:pt idx="780">
                  <c:v>-2.530185218825356</c:v>
                </c:pt>
                <c:pt idx="781">
                  <c:v>-2.6908971628807898</c:v>
                </c:pt>
                <c:pt idx="782">
                  <c:v>-9.9054926591512396E-2</c:v>
                </c:pt>
                <c:pt idx="783">
                  <c:v>-2.8688288553904275</c:v>
                </c:pt>
                <c:pt idx="784">
                  <c:v>-2.9848274399786043</c:v>
                </c:pt>
                <c:pt idx="785">
                  <c:v>-3.2476529480047103</c:v>
                </c:pt>
                <c:pt idx="786">
                  <c:v>-3.170944521925219</c:v>
                </c:pt>
                <c:pt idx="787">
                  <c:v>-3.1887428413878873</c:v>
                </c:pt>
                <c:pt idx="788">
                  <c:v>-3.3040264212596688</c:v>
                </c:pt>
                <c:pt idx="789">
                  <c:v>-3.6589858262783252</c:v>
                </c:pt>
                <c:pt idx="790">
                  <c:v>-3.9600087578818886</c:v>
                </c:pt>
                <c:pt idx="791">
                  <c:v>-11.41871851523447</c:v>
                </c:pt>
                <c:pt idx="792">
                  <c:v>-10.728625516997731</c:v>
                </c:pt>
                <c:pt idx="793">
                  <c:v>-10.729751570554853</c:v>
                </c:pt>
                <c:pt idx="794">
                  <c:v>-10.831019886959179</c:v>
                </c:pt>
                <c:pt idx="795">
                  <c:v>-10.981791517946016</c:v>
                </c:pt>
                <c:pt idx="796">
                  <c:v>-11.032423900627046</c:v>
                </c:pt>
                <c:pt idx="797">
                  <c:v>-11.479148213431495</c:v>
                </c:pt>
                <c:pt idx="798">
                  <c:v>-2.1937606543548269</c:v>
                </c:pt>
                <c:pt idx="799">
                  <c:v>-2.1444170549854245</c:v>
                </c:pt>
                <c:pt idx="800">
                  <c:v>-2.1951417273770044</c:v>
                </c:pt>
                <c:pt idx="801">
                  <c:v>-2.2458669209173836</c:v>
                </c:pt>
                <c:pt idx="802">
                  <c:v>-2.2965926473811473</c:v>
                </c:pt>
                <c:pt idx="803">
                  <c:v>-2.2979758577704978</c:v>
                </c:pt>
                <c:pt idx="804">
                  <c:v>-2.4995011179764388</c:v>
                </c:pt>
                <c:pt idx="805">
                  <c:v>-2.5516167706330739</c:v>
                </c:pt>
                <c:pt idx="806">
                  <c:v>4.4980237861653016</c:v>
                </c:pt>
                <c:pt idx="807">
                  <c:v>4.444561167121428</c:v>
                </c:pt>
                <c:pt idx="808">
                  <c:v>4.2430692136394805</c:v>
                </c:pt>
                <c:pt idx="809">
                  <c:v>4.3390272046037222</c:v>
                </c:pt>
                <c:pt idx="810">
                  <c:v>-3.9163152954509006</c:v>
                </c:pt>
                <c:pt idx="811">
                  <c:v>4.0786688721371771</c:v>
                </c:pt>
                <c:pt idx="812">
                  <c:v>4.118565014703762</c:v>
                </c:pt>
                <c:pt idx="813">
                  <c:v>11.308974166292421</c:v>
                </c:pt>
                <c:pt idx="814">
                  <c:v>8.7019568988691276</c:v>
                </c:pt>
                <c:pt idx="815">
                  <c:v>9.0606057592115263</c:v>
                </c:pt>
                <c:pt idx="816">
                  <c:v>-5.3233753550397713</c:v>
                </c:pt>
                <c:pt idx="817">
                  <c:v>1.8344518342882248</c:v>
                </c:pt>
                <c:pt idx="818">
                  <c:v>6.2066462166586032</c:v>
                </c:pt>
                <c:pt idx="819">
                  <c:v>3.5487622071447444</c:v>
                </c:pt>
                <c:pt idx="820">
                  <c:v>4.1558646675454369</c:v>
                </c:pt>
                <c:pt idx="821">
                  <c:v>2.0858316956384515</c:v>
                </c:pt>
                <c:pt idx="822">
                  <c:v>2.0872207296884353</c:v>
                </c:pt>
                <c:pt idx="823">
                  <c:v>1.9899182557649284</c:v>
                </c:pt>
                <c:pt idx="824">
                  <c:v>1.9899182557649284</c:v>
                </c:pt>
                <c:pt idx="825">
                  <c:v>1.9391825582626505</c:v>
                </c:pt>
                <c:pt idx="826">
                  <c:v>1.7883661698069537</c:v>
                </c:pt>
                <c:pt idx="827">
                  <c:v>1.7362469752378302</c:v>
                </c:pt>
                <c:pt idx="828">
                  <c:v>1.6361672172491986</c:v>
                </c:pt>
                <c:pt idx="829">
                  <c:v>-3.4547484430579338</c:v>
                </c:pt>
                <c:pt idx="830">
                  <c:v>-3.1606825336147359</c:v>
                </c:pt>
                <c:pt idx="831">
                  <c:v>-3.2621274576058359</c:v>
                </c:pt>
                <c:pt idx="832">
                  <c:v>-3.3635685165149103</c:v>
                </c:pt>
                <c:pt idx="833">
                  <c:v>-3.5651550308390911</c:v>
                </c:pt>
                <c:pt idx="834">
                  <c:v>-4.0620901250035919</c:v>
                </c:pt>
                <c:pt idx="835">
                  <c:v>0.62576220952541017</c:v>
                </c:pt>
                <c:pt idx="836">
                  <c:v>0.2467668007642442</c:v>
                </c:pt>
                <c:pt idx="837">
                  <c:v>4.8412436107524486E-2</c:v>
                </c:pt>
                <c:pt idx="838">
                  <c:v>-9.8947148919854164E-2</c:v>
                </c:pt>
                <c:pt idx="839">
                  <c:v>-22.759415541976622</c:v>
                </c:pt>
                <c:pt idx="840">
                  <c:v>-0.51084046618085999</c:v>
                </c:pt>
                <c:pt idx="841">
                  <c:v>-0.28653838523667674</c:v>
                </c:pt>
                <c:pt idx="842">
                  <c:v>-0.60694146060617737</c:v>
                </c:pt>
                <c:pt idx="843">
                  <c:v>-0.18197897524709178</c:v>
                </c:pt>
                <c:pt idx="844">
                  <c:v>-4.5123805253642388E-2</c:v>
                </c:pt>
                <c:pt idx="845">
                  <c:v>0.19301222471643323</c:v>
                </c:pt>
                <c:pt idx="846">
                  <c:v>4.760809488475725E-2</c:v>
                </c:pt>
                <c:pt idx="847">
                  <c:v>-0.14193776018903118</c:v>
                </c:pt>
                <c:pt idx="848">
                  <c:v>-3.2780893998820959</c:v>
                </c:pt>
                <c:pt idx="849">
                  <c:v>-3.7778270445631015</c:v>
                </c:pt>
                <c:pt idx="850">
                  <c:v>2.2757299955995438</c:v>
                </c:pt>
                <c:pt idx="851">
                  <c:v>-2.4822428372941783</c:v>
                </c:pt>
                <c:pt idx="852">
                  <c:v>-4.4885064151037461</c:v>
                </c:pt>
                <c:pt idx="853">
                  <c:v>-4.7423740146833611</c:v>
                </c:pt>
                <c:pt idx="854">
                  <c:v>-5.1457098499788936</c:v>
                </c:pt>
                <c:pt idx="855">
                  <c:v>4.1389058406155463</c:v>
                </c:pt>
                <c:pt idx="856">
                  <c:v>4.182804071980021</c:v>
                </c:pt>
                <c:pt idx="857">
                  <c:v>4.0841035878199676</c:v>
                </c:pt>
                <c:pt idx="858">
                  <c:v>-3.9163152954509006</c:v>
                </c:pt>
                <c:pt idx="859">
                  <c:v>4.0759590495741991</c:v>
                </c:pt>
                <c:pt idx="860">
                  <c:v>4.0732542372162994</c:v>
                </c:pt>
                <c:pt idx="861">
                  <c:v>4.5521585259518487</c:v>
                </c:pt>
                <c:pt idx="862">
                  <c:v>-4.4208552528784546</c:v>
                </c:pt>
                <c:pt idx="863">
                  <c:v>9.7027066654082734</c:v>
                </c:pt>
                <c:pt idx="864">
                  <c:v>11.358373576867329</c:v>
                </c:pt>
                <c:pt idx="865">
                  <c:v>-4.8214200984452154</c:v>
                </c:pt>
                <c:pt idx="866">
                  <c:v>-4.9203046980678344</c:v>
                </c:pt>
                <c:pt idx="867">
                  <c:v>-5.1205916228585089</c:v>
                </c:pt>
                <c:pt idx="868">
                  <c:v>-5.3703276401796796</c:v>
                </c:pt>
                <c:pt idx="869">
                  <c:v>-5.9094958974587595</c:v>
                </c:pt>
                <c:pt idx="870">
                  <c:v>7.3148376991987059</c:v>
                </c:pt>
                <c:pt idx="871">
                  <c:v>7.1624657313310083</c:v>
                </c:pt>
                <c:pt idx="872">
                  <c:v>3.853190184126321</c:v>
                </c:pt>
                <c:pt idx="873">
                  <c:v>13.966077462475591</c:v>
                </c:pt>
                <c:pt idx="874">
                  <c:v>12.013423284209191</c:v>
                </c:pt>
                <c:pt idx="875">
                  <c:v>9.1584448285878981</c:v>
                </c:pt>
                <c:pt idx="876">
                  <c:v>2.8007775620827373</c:v>
                </c:pt>
                <c:pt idx="877">
                  <c:v>6.1512827073908056</c:v>
                </c:pt>
                <c:pt idx="878">
                  <c:v>5.9989808479331854</c:v>
                </c:pt>
                <c:pt idx="879">
                  <c:v>1.6482324085740172</c:v>
                </c:pt>
                <c:pt idx="880">
                  <c:v>5.6436484076090281</c:v>
                </c:pt>
                <c:pt idx="881">
                  <c:v>5.5435652489958951</c:v>
                </c:pt>
                <c:pt idx="882">
                  <c:v>5.3912974135322793</c:v>
                </c:pt>
                <c:pt idx="883">
                  <c:v>5.1403817467496751</c:v>
                </c:pt>
                <c:pt idx="884">
                  <c:v>5.0388789888628587</c:v>
                </c:pt>
                <c:pt idx="885">
                  <c:v>-1.4028576200485661</c:v>
                </c:pt>
                <c:pt idx="886">
                  <c:v>-11.780682631466879</c:v>
                </c:pt>
                <c:pt idx="887">
                  <c:v>-1.709990204014838</c:v>
                </c:pt>
                <c:pt idx="888">
                  <c:v>-1.9143071138968242</c:v>
                </c:pt>
                <c:pt idx="889">
                  <c:v>-2.0692967173093586</c:v>
                </c:pt>
                <c:pt idx="890">
                  <c:v>-2.2736540402263916</c:v>
                </c:pt>
                <c:pt idx="891">
                  <c:v>-2.5273794859129519</c:v>
                </c:pt>
                <c:pt idx="892">
                  <c:v>-2.8290639370229616</c:v>
                </c:pt>
                <c:pt idx="893">
                  <c:v>-3.230853376299069</c:v>
                </c:pt>
                <c:pt idx="894">
                  <c:v>4.4751960923278435</c:v>
                </c:pt>
                <c:pt idx="895">
                  <c:v>-0.43092682131839233</c:v>
                </c:pt>
                <c:pt idx="896">
                  <c:v>-4.4856317677827731</c:v>
                </c:pt>
                <c:pt idx="897">
                  <c:v>-4.9382442841691274</c:v>
                </c:pt>
                <c:pt idx="898">
                  <c:v>-1.4088209527295055</c:v>
                </c:pt>
                <c:pt idx="899">
                  <c:v>-1.4709882027012229</c:v>
                </c:pt>
                <c:pt idx="900">
                  <c:v>-20.251656751366905</c:v>
                </c:pt>
                <c:pt idx="901">
                  <c:v>-1.7553945797746842</c:v>
                </c:pt>
                <c:pt idx="902">
                  <c:v>-1.9211906254751445</c:v>
                </c:pt>
                <c:pt idx="903">
                  <c:v>-1.8921802641490075</c:v>
                </c:pt>
                <c:pt idx="904">
                  <c:v>-1.7161066011653145</c:v>
                </c:pt>
                <c:pt idx="905">
                  <c:v>-1.5398549530351955</c:v>
                </c:pt>
                <c:pt idx="906">
                  <c:v>-1.5604699459954712</c:v>
                </c:pt>
                <c:pt idx="907">
                  <c:v>-28.371952612683536</c:v>
                </c:pt>
                <c:pt idx="908">
                  <c:v>-2.1862519473645929</c:v>
                </c:pt>
                <c:pt idx="909">
                  <c:v>-2.7897153570906101</c:v>
                </c:pt>
                <c:pt idx="910">
                  <c:v>-30.324369135688649</c:v>
                </c:pt>
                <c:pt idx="911">
                  <c:v>3.4180575392864223</c:v>
                </c:pt>
                <c:pt idx="912">
                  <c:v>3.3166026168566978</c:v>
                </c:pt>
                <c:pt idx="913">
                  <c:v>3.2658760195783203</c:v>
                </c:pt>
                <c:pt idx="914">
                  <c:v>-2.6612035961735589</c:v>
                </c:pt>
                <c:pt idx="915">
                  <c:v>2.9642924173553391</c:v>
                </c:pt>
                <c:pt idx="916">
                  <c:v>2.8642263790217179</c:v>
                </c:pt>
                <c:pt idx="917">
                  <c:v>2.713436525384231</c:v>
                </c:pt>
                <c:pt idx="918">
                  <c:v>2.6627132040568142</c:v>
                </c:pt>
                <c:pt idx="919">
                  <c:v>2.6119903649334844</c:v>
                </c:pt>
                <c:pt idx="920">
                  <c:v>2.4612030479884979</c:v>
                </c:pt>
                <c:pt idx="921">
                  <c:v>2.3597601734164368</c:v>
                </c:pt>
                <c:pt idx="922">
                  <c:v>2.3090393830837623</c:v>
                </c:pt>
                <c:pt idx="923">
                  <c:v>-4.0139179068499988</c:v>
                </c:pt>
                <c:pt idx="924">
                  <c:v>2.2048488536086532</c:v>
                </c:pt>
                <c:pt idx="925">
                  <c:v>2.1513839628903613</c:v>
                </c:pt>
                <c:pt idx="926">
                  <c:v>3.6632568686418732</c:v>
                </c:pt>
                <c:pt idx="927">
                  <c:v>3.4616251122654833</c:v>
                </c:pt>
                <c:pt idx="928">
                  <c:v>3.2106592145963151</c:v>
                </c:pt>
                <c:pt idx="929">
                  <c:v>3.0090411233562304</c:v>
                </c:pt>
                <c:pt idx="930">
                  <c:v>2.704516878985451</c:v>
                </c:pt>
                <c:pt idx="931">
                  <c:v>2.402827960873088</c:v>
                </c:pt>
                <c:pt idx="932">
                  <c:v>2.2985376973747669</c:v>
                </c:pt>
                <c:pt idx="933">
                  <c:v>1.8474365198658411</c:v>
                </c:pt>
                <c:pt idx="934">
                  <c:v>1.7431802397553562</c:v>
                </c:pt>
                <c:pt idx="935">
                  <c:v>1.2893402484538576</c:v>
                </c:pt>
                <c:pt idx="936">
                  <c:v>-3.4142876260944157</c:v>
                </c:pt>
                <c:pt idx="937">
                  <c:v>0.62576220952541017</c:v>
                </c:pt>
                <c:pt idx="938">
                  <c:v>0.31733103652064842</c:v>
                </c:pt>
                <c:pt idx="939">
                  <c:v>6.7682080631228407</c:v>
                </c:pt>
                <c:pt idx="940">
                  <c:v>-1.14385638007876</c:v>
                </c:pt>
                <c:pt idx="941">
                  <c:v>-6.3904514581129366</c:v>
                </c:pt>
                <c:pt idx="942">
                  <c:v>-6.7430245463682681</c:v>
                </c:pt>
                <c:pt idx="943">
                  <c:v>-19.092960867150605</c:v>
                </c:pt>
                <c:pt idx="944">
                  <c:v>-7.4407835545202001</c:v>
                </c:pt>
                <c:pt idx="945">
                  <c:v>-7.6424760903538971</c:v>
                </c:pt>
                <c:pt idx="946">
                  <c:v>-7.9950844743350915</c:v>
                </c:pt>
                <c:pt idx="947">
                  <c:v>-8.3970151339105819</c:v>
                </c:pt>
                <c:pt idx="948">
                  <c:v>-8.7003716107899223</c:v>
                </c:pt>
                <c:pt idx="949">
                  <c:v>-9.1054088239837725</c:v>
                </c:pt>
                <c:pt idx="950">
                  <c:v>-22.598663831608516</c:v>
                </c:pt>
                <c:pt idx="951">
                  <c:v>-10.212937306608961</c:v>
                </c:pt>
                <c:pt idx="952">
                  <c:v>-10.866119209159598</c:v>
                </c:pt>
                <c:pt idx="953">
                  <c:v>6.5214017212556481</c:v>
                </c:pt>
                <c:pt idx="954">
                  <c:v>6.3197046052829773</c:v>
                </c:pt>
                <c:pt idx="955">
                  <c:v>6.2689132455316381</c:v>
                </c:pt>
                <c:pt idx="956">
                  <c:v>12.324641080402861</c:v>
                </c:pt>
                <c:pt idx="957">
                  <c:v>8.4682655324753338</c:v>
                </c:pt>
                <c:pt idx="958">
                  <c:v>7.5165294052758727</c:v>
                </c:pt>
                <c:pt idx="959">
                  <c:v>5.5637821791189372</c:v>
                </c:pt>
                <c:pt idx="960">
                  <c:v>5.2126974997682085</c:v>
                </c:pt>
                <c:pt idx="961">
                  <c:v>4.9617199494018944</c:v>
                </c:pt>
                <c:pt idx="962">
                  <c:v>4.7107467521963624</c:v>
                </c:pt>
                <c:pt idx="963">
                  <c:v>4.5091095208193286</c:v>
                </c:pt>
                <c:pt idx="964">
                  <c:v>4.4075771331949154</c:v>
                </c:pt>
                <c:pt idx="965">
                  <c:v>-13.334494674195275</c:v>
                </c:pt>
                <c:pt idx="966">
                  <c:v>-13.535843967738991</c:v>
                </c:pt>
                <c:pt idx="967">
                  <c:v>-13.686584756752737</c:v>
                </c:pt>
                <c:pt idx="968">
                  <c:v>-4.9463237813293786</c:v>
                </c:pt>
                <c:pt idx="969">
                  <c:v>-5.0477930565939619</c:v>
                </c:pt>
                <c:pt idx="970">
                  <c:v>-5.2986671104084779</c:v>
                </c:pt>
                <c:pt idx="971">
                  <c:v>-5.5002122868507239</c:v>
                </c:pt>
                <c:pt idx="972">
                  <c:v>-5.6016915475590334</c:v>
                </c:pt>
                <c:pt idx="973">
                  <c:v>2.3025427123718529</c:v>
                </c:pt>
                <c:pt idx="974">
                  <c:v>-0.60090090124863249</c:v>
                </c:pt>
                <c:pt idx="975">
                  <c:v>3.9031598713425981</c:v>
                </c:pt>
                <c:pt idx="976">
                  <c:v>3.7537555594591279</c:v>
                </c:pt>
                <c:pt idx="977">
                  <c:v>3.8990303318405548</c:v>
                </c:pt>
                <c:pt idx="978">
                  <c:v>3.7962222850084193</c:v>
                </c:pt>
                <c:pt idx="979">
                  <c:v>3.7427652894169117</c:v>
                </c:pt>
                <c:pt idx="980">
                  <c:v>3.3905004531247895</c:v>
                </c:pt>
                <c:pt idx="981">
                  <c:v>3.2904397545262709</c:v>
                </c:pt>
                <c:pt idx="982">
                  <c:v>3.2438305947402997</c:v>
                </c:pt>
                <c:pt idx="983">
                  <c:v>2.3405466643648736</c:v>
                </c:pt>
                <c:pt idx="984">
                  <c:v>2.7887696272366753</c:v>
                </c:pt>
                <c:pt idx="985">
                  <c:v>2.5886482676547606</c:v>
                </c:pt>
                <c:pt idx="986">
                  <c:v>2.4844924684873058</c:v>
                </c:pt>
                <c:pt idx="987">
                  <c:v>2.7312379613529489</c:v>
                </c:pt>
                <c:pt idx="988">
                  <c:v>2.6325389637606946</c:v>
                </c:pt>
                <c:pt idx="989">
                  <c:v>2.1322340728314138</c:v>
                </c:pt>
                <c:pt idx="990">
                  <c:v>5.0219398391366887</c:v>
                </c:pt>
                <c:pt idx="991">
                  <c:v>-0.40706033031791489</c:v>
                </c:pt>
                <c:pt idx="992">
                  <c:v>4.7710674997560449</c:v>
                </c:pt>
                <c:pt idx="993">
                  <c:v>4.6202655278847518</c:v>
                </c:pt>
                <c:pt idx="994">
                  <c:v>4.2679350565104803</c:v>
                </c:pt>
                <c:pt idx="995">
                  <c:v>-1.2590479194982271</c:v>
                </c:pt>
                <c:pt idx="996">
                  <c:v>4.2679350565104803</c:v>
                </c:pt>
                <c:pt idx="997">
                  <c:v>4.4708617296274209</c:v>
                </c:pt>
                <c:pt idx="998">
                  <c:v>4.3693970390087378</c:v>
                </c:pt>
                <c:pt idx="999">
                  <c:v>3.9183954147568092</c:v>
                </c:pt>
                <c:pt idx="1000">
                  <c:v>3.9197878199882807</c:v>
                </c:pt>
                <c:pt idx="1001">
                  <c:v>3.6675315429487081</c:v>
                </c:pt>
                <c:pt idx="1002">
                  <c:v>3.6675315429487081</c:v>
                </c:pt>
                <c:pt idx="1003">
                  <c:v>3.6181926894745797</c:v>
                </c:pt>
                <c:pt idx="1004">
                  <c:v>3.5660759090249905</c:v>
                </c:pt>
                <c:pt idx="1005">
                  <c:v>1.8995565502804967</c:v>
                </c:pt>
                <c:pt idx="1006">
                  <c:v>1.6980591346292997</c:v>
                </c:pt>
                <c:pt idx="1007">
                  <c:v>1.5952824979758111</c:v>
                </c:pt>
                <c:pt idx="1008">
                  <c:v>1.2923479648359375</c:v>
                </c:pt>
                <c:pt idx="1009">
                  <c:v>-10.079405189945302</c:v>
                </c:pt>
                <c:pt idx="1010">
                  <c:v>0.89203620898917602</c:v>
                </c:pt>
                <c:pt idx="1011">
                  <c:v>0.89882498351411744</c:v>
                </c:pt>
                <c:pt idx="1012">
                  <c:v>-10.430463921001399</c:v>
                </c:pt>
                <c:pt idx="1013">
                  <c:v>0.76754525223132197</c:v>
                </c:pt>
                <c:pt idx="1014">
                  <c:v>0.41514980032733068</c:v>
                </c:pt>
                <c:pt idx="1015">
                  <c:v>0.40835129389478736</c:v>
                </c:pt>
                <c:pt idx="1016">
                  <c:v>-0.23347045590910723</c:v>
                </c:pt>
                <c:pt idx="1017">
                  <c:v>-0.82856255067492146</c:v>
                </c:pt>
                <c:pt idx="1018">
                  <c:v>-1.2810705836059197</c:v>
                </c:pt>
                <c:pt idx="1019">
                  <c:v>-1.2866180925431019</c:v>
                </c:pt>
                <c:pt idx="1020">
                  <c:v>-0.86112592881829286</c:v>
                </c:pt>
                <c:pt idx="1021">
                  <c:v>-0.8624731919776063</c:v>
                </c:pt>
                <c:pt idx="1022">
                  <c:v>-1.458023749880252</c:v>
                </c:pt>
                <c:pt idx="1023">
                  <c:v>3.3770694795907312</c:v>
                </c:pt>
                <c:pt idx="1024">
                  <c:v>3.3756748996166976</c:v>
                </c:pt>
                <c:pt idx="1025">
                  <c:v>3.1741397289672162</c:v>
                </c:pt>
                <c:pt idx="1026">
                  <c:v>2.9712203364571872</c:v>
                </c:pt>
                <c:pt idx="1027">
                  <c:v>2.7683105483047754</c:v>
                </c:pt>
                <c:pt idx="1028">
                  <c:v>-3.1619734807004614</c:v>
                </c:pt>
                <c:pt idx="1029">
                  <c:v>1.2372281856818064</c:v>
                </c:pt>
                <c:pt idx="1030">
                  <c:v>1.086417675779485</c:v>
                </c:pt>
                <c:pt idx="1031">
                  <c:v>0.88488107564035712</c:v>
                </c:pt>
                <c:pt idx="1032">
                  <c:v>-3.6133067968152734</c:v>
                </c:pt>
                <c:pt idx="1033">
                  <c:v>-4.262402923090006</c:v>
                </c:pt>
                <c:pt idx="1034">
                  <c:v>0.42287674791372259</c:v>
                </c:pt>
                <c:pt idx="1035">
                  <c:v>0.26798094782663956</c:v>
                </c:pt>
                <c:pt idx="1036">
                  <c:v>0.11446062749654236</c:v>
                </c:pt>
                <c:pt idx="1037">
                  <c:v>-3.9054696905133274E-2</c:v>
                </c:pt>
                <c:pt idx="1038">
                  <c:v>6.1622092602679439</c:v>
                </c:pt>
                <c:pt idx="1039">
                  <c:v>1.4057168899543253</c:v>
                </c:pt>
                <c:pt idx="1040">
                  <c:v>-0.49821510372223393</c:v>
                </c:pt>
                <c:pt idx="1041">
                  <c:v>-7.3696319522236546</c:v>
                </c:pt>
                <c:pt idx="1042">
                  <c:v>-0.95463259558797098</c:v>
                </c:pt>
                <c:pt idx="1043">
                  <c:v>-8.2215069248271195</c:v>
                </c:pt>
                <c:pt idx="1044">
                  <c:v>-2.4096711344742205</c:v>
                </c:pt>
                <c:pt idx="1045">
                  <c:v>-20.053374956457045</c:v>
                </c:pt>
                <c:pt idx="1046">
                  <c:v>-20.454832160635597</c:v>
                </c:pt>
                <c:pt idx="1047">
                  <c:v>-21.004986352070212</c:v>
                </c:pt>
                <c:pt idx="1048">
                  <c:v>-21.305339029847861</c:v>
                </c:pt>
                <c:pt idx="1049">
                  <c:v>-23.639938811437137</c:v>
                </c:pt>
                <c:pt idx="1050">
                  <c:v>-22.205450152090535</c:v>
                </c:pt>
                <c:pt idx="1051">
                  <c:v>-4.552721657249414</c:v>
                </c:pt>
                <c:pt idx="1052">
                  <c:v>-5.0112225002423649</c:v>
                </c:pt>
                <c:pt idx="1053">
                  <c:v>1.8115396891508775</c:v>
                </c:pt>
                <c:pt idx="1054">
                  <c:v>-2.4490120525187926</c:v>
                </c:pt>
                <c:pt idx="1055">
                  <c:v>-5.7055626095984069</c:v>
                </c:pt>
                <c:pt idx="1056">
                  <c:v>-7.3039749264454112</c:v>
                </c:pt>
                <c:pt idx="1057">
                  <c:v>-25.761013238896098</c:v>
                </c:pt>
                <c:pt idx="1058">
                  <c:v>-10.177268419131918</c:v>
                </c:pt>
                <c:pt idx="1059">
                  <c:v>-10.328051667416352</c:v>
                </c:pt>
                <c:pt idx="1060">
                  <c:v>-10.479965580157891</c:v>
                </c:pt>
                <c:pt idx="1061">
                  <c:v>-10.681377838345847</c:v>
                </c:pt>
                <c:pt idx="1062">
                  <c:v>-10.782648878428938</c:v>
                </c:pt>
                <c:pt idx="1063">
                  <c:v>-1.9936251295821152</c:v>
                </c:pt>
                <c:pt idx="1064">
                  <c:v>-3.8050079832196135</c:v>
                </c:pt>
                <c:pt idx="1065">
                  <c:v>-2.3980457461792493</c:v>
                </c:pt>
                <c:pt idx="1066">
                  <c:v>-12.330920915323214</c:v>
                </c:pt>
                <c:pt idx="1067">
                  <c:v>-2.6530773890839132</c:v>
                </c:pt>
                <c:pt idx="1068">
                  <c:v>-2.8560064356245327</c:v>
                </c:pt>
                <c:pt idx="1069">
                  <c:v>-3.0082104250450654</c:v>
                </c:pt>
                <c:pt idx="1070">
                  <c:v>0.23675640593913377</c:v>
                </c:pt>
                <c:pt idx="1071">
                  <c:v>-5.6653834683943569E-2</c:v>
                </c:pt>
                <c:pt idx="1072">
                  <c:v>-0.35688310354649205</c:v>
                </c:pt>
                <c:pt idx="1073">
                  <c:v>-8.1266187127276526E-2</c:v>
                </c:pt>
                <c:pt idx="1074">
                  <c:v>0.1478398737287919</c:v>
                </c:pt>
                <c:pt idx="1075">
                  <c:v>-0.2062210489100573</c:v>
                </c:pt>
                <c:pt idx="1076">
                  <c:v>-0.30901357771640414</c:v>
                </c:pt>
                <c:pt idx="1077">
                  <c:v>-0.46251943662428813</c:v>
                </c:pt>
                <c:pt idx="1078">
                  <c:v>-0.71608678049206476</c:v>
                </c:pt>
                <c:pt idx="1079">
                  <c:v>-0.82024842956615962</c:v>
                </c:pt>
                <c:pt idx="1080">
                  <c:v>-1.0738214426388462</c:v>
                </c:pt>
                <c:pt idx="1081">
                  <c:v>-1.2780534041120768</c:v>
                </c:pt>
                <c:pt idx="1082">
                  <c:v>-1.4315751515303989</c:v>
                </c:pt>
                <c:pt idx="1083">
                  <c:v>-10.577846817377944</c:v>
                </c:pt>
                <c:pt idx="1084">
                  <c:v>-10.832150295258089</c:v>
                </c:pt>
                <c:pt idx="1085">
                  <c:v>-2.148562332537113</c:v>
                </c:pt>
                <c:pt idx="1086">
                  <c:v>-12.230777452927876</c:v>
                </c:pt>
                <c:pt idx="1087">
                  <c:v>6.9696671431015211</c:v>
                </c:pt>
                <c:pt idx="1088">
                  <c:v>4.1043286476828946</c:v>
                </c:pt>
                <c:pt idx="1089">
                  <c:v>6.5662829363745816</c:v>
                </c:pt>
                <c:pt idx="1090">
                  <c:v>6.6155976493402786</c:v>
                </c:pt>
                <c:pt idx="1091">
                  <c:v>4.2033466535045312</c:v>
                </c:pt>
                <c:pt idx="1092">
                  <c:v>4.0470614046299334</c:v>
                </c:pt>
                <c:pt idx="1093">
                  <c:v>4.0470614046299334</c:v>
                </c:pt>
                <c:pt idx="1094">
                  <c:v>4.1540052435374077</c:v>
                </c:pt>
                <c:pt idx="1095">
                  <c:v>3.1986001017822652</c:v>
                </c:pt>
                <c:pt idx="1096">
                  <c:v>3.6427045045724036</c:v>
                </c:pt>
                <c:pt idx="1097">
                  <c:v>3.2383597026686952</c:v>
                </c:pt>
                <c:pt idx="1098">
                  <c:v>3.4357518064239301</c:v>
                </c:pt>
                <c:pt idx="1099">
                  <c:v>-3.7654534828406345</c:v>
                </c:pt>
                <c:pt idx="1100">
                  <c:v>3.1713344390371043</c:v>
                </c:pt>
                <c:pt idx="1101">
                  <c:v>2.9712079350993843</c:v>
                </c:pt>
                <c:pt idx="1102">
                  <c:v>8.1718349833423467</c:v>
                </c:pt>
                <c:pt idx="1103">
                  <c:v>7.1218287565636391</c:v>
                </c:pt>
                <c:pt idx="1104">
                  <c:v>4.9231147944200861</c:v>
                </c:pt>
                <c:pt idx="1105">
                  <c:v>4.8737571842987437</c:v>
                </c:pt>
                <c:pt idx="1106">
                  <c:v>-5.2042263862046152</c:v>
                </c:pt>
                <c:pt idx="1107">
                  <c:v>2.5987255952221573</c:v>
                </c:pt>
                <c:pt idx="1108">
                  <c:v>-3.1590229462636352</c:v>
                </c:pt>
                <c:pt idx="1109">
                  <c:v>-6.3178790393552866</c:v>
                </c:pt>
                <c:pt idx="1110">
                  <c:v>-6.9763865306476838</c:v>
                </c:pt>
                <c:pt idx="1111">
                  <c:v>-7.5349577722090002</c:v>
                </c:pt>
                <c:pt idx="1112">
                  <c:v>-6.158024380095287</c:v>
                </c:pt>
                <c:pt idx="1113">
                  <c:v>-6.3122336609846377</c:v>
                </c:pt>
                <c:pt idx="1114">
                  <c:v>-6.4680524082026256</c:v>
                </c:pt>
                <c:pt idx="1115">
                  <c:v>-6.8196323133740995</c:v>
                </c:pt>
                <c:pt idx="1116">
                  <c:v>-7.1696259308180634</c:v>
                </c:pt>
                <c:pt idx="1117">
                  <c:v>-7.4719080091465395</c:v>
                </c:pt>
                <c:pt idx="1118">
                  <c:v>0.43933441231761738</c:v>
                </c:pt>
                <c:pt idx="1119">
                  <c:v>-3.4716882854395799</c:v>
                </c:pt>
                <c:pt idx="1120">
                  <c:v>-8.2902130661811331</c:v>
                </c:pt>
                <c:pt idx="1121">
                  <c:v>-28.247534409723052</c:v>
                </c:pt>
                <c:pt idx="1122">
                  <c:v>-3.4108992788595245</c:v>
                </c:pt>
                <c:pt idx="1123">
                  <c:v>-3.5616720042325891</c:v>
                </c:pt>
                <c:pt idx="1124">
                  <c:v>-3.7631572317978019</c:v>
                </c:pt>
                <c:pt idx="1125">
                  <c:v>-3.8645827377005486</c:v>
                </c:pt>
                <c:pt idx="1126">
                  <c:v>-4.0180910365201701</c:v>
                </c:pt>
                <c:pt idx="1127">
                  <c:v>-4.1702364178695248</c:v>
                </c:pt>
                <c:pt idx="1128">
                  <c:v>-4.2716685310633871</c:v>
                </c:pt>
                <c:pt idx="1129">
                  <c:v>-4.4224462306794043</c:v>
                </c:pt>
                <c:pt idx="1130">
                  <c:v>-4.5732245004765542</c:v>
                </c:pt>
                <c:pt idx="1131">
                  <c:v>-14.624084401940335</c:v>
                </c:pt>
                <c:pt idx="1132">
                  <c:v>-4.8761594051305694</c:v>
                </c:pt>
                <c:pt idx="1133">
                  <c:v>-4.9775992039891293</c:v>
                </c:pt>
                <c:pt idx="1134">
                  <c:v>5.8746402324169269</c:v>
                </c:pt>
                <c:pt idx="1135">
                  <c:v>5.7252402871382557</c:v>
                </c:pt>
                <c:pt idx="1136">
                  <c:v>0.19387077418229692</c:v>
                </c:pt>
                <c:pt idx="1137">
                  <c:v>5.6730915818035861</c:v>
                </c:pt>
                <c:pt idx="1138">
                  <c:v>4.9218708952945436</c:v>
                </c:pt>
                <c:pt idx="1139">
                  <c:v>5.468742083634039</c:v>
                </c:pt>
                <c:pt idx="1140">
                  <c:v>5.1685403268531527</c:v>
                </c:pt>
                <c:pt idx="1141">
                  <c:v>4.9204702598403989</c:v>
                </c:pt>
                <c:pt idx="1142">
                  <c:v>4.7696686616847348</c:v>
                </c:pt>
                <c:pt idx="1143">
                  <c:v>4.2213882883994893</c:v>
                </c:pt>
                <c:pt idx="1144">
                  <c:v>4.2707245495416668</c:v>
                </c:pt>
                <c:pt idx="1145">
                  <c:v>4.1185305649449662</c:v>
                </c:pt>
                <c:pt idx="1146">
                  <c:v>4.2693291333397454</c:v>
                </c:pt>
                <c:pt idx="1147">
                  <c:v>4.0198560639734868</c:v>
                </c:pt>
                <c:pt idx="1148">
                  <c:v>-1.1892871705045294</c:v>
                </c:pt>
                <c:pt idx="1149">
                  <c:v>-1.341532941481187</c:v>
                </c:pt>
                <c:pt idx="1150">
                  <c:v>-1.3936750437125978</c:v>
                </c:pt>
                <c:pt idx="1151">
                  <c:v>-1.5445412109833225</c:v>
                </c:pt>
                <c:pt idx="1152">
                  <c:v>-1.6954102242442874</c:v>
                </c:pt>
                <c:pt idx="1153">
                  <c:v>-1.7969244813884377</c:v>
                </c:pt>
                <c:pt idx="1154">
                  <c:v>-14.788077676116936</c:v>
                </c:pt>
                <c:pt idx="1155">
                  <c:v>-1.9520132004337647</c:v>
                </c:pt>
                <c:pt idx="1156">
                  <c:v>5.1541849114053324</c:v>
                </c:pt>
                <c:pt idx="1157">
                  <c:v>-11.78848774219278</c:v>
                </c:pt>
                <c:pt idx="1158">
                  <c:v>-2.2157505591000501</c:v>
                </c:pt>
                <c:pt idx="1159">
                  <c:v>-2.1706399462864963</c:v>
                </c:pt>
                <c:pt idx="1160">
                  <c:v>-2.1748993292496923</c:v>
                </c:pt>
                <c:pt idx="1161">
                  <c:v>-2.1777426319873592</c:v>
                </c:pt>
                <c:pt idx="1162">
                  <c:v>-2.1805889188425445</c:v>
                </c:pt>
                <c:pt idx="1163">
                  <c:v>3.5536307174200017</c:v>
                </c:pt>
                <c:pt idx="1164">
                  <c:v>3.5029108284600108</c:v>
                </c:pt>
                <c:pt idx="1165">
                  <c:v>3.3027863070187173</c:v>
                </c:pt>
                <c:pt idx="1166">
                  <c:v>-3.4637201024076232</c:v>
                </c:pt>
                <c:pt idx="1167">
                  <c:v>3.0999120558649733</c:v>
                </c:pt>
                <c:pt idx="1168">
                  <c:v>3.047821616705177</c:v>
                </c:pt>
                <c:pt idx="1169">
                  <c:v>2.846327409475077</c:v>
                </c:pt>
                <c:pt idx="1170">
                  <c:v>2.7448957899035404</c:v>
                </c:pt>
                <c:pt idx="1171">
                  <c:v>2.6434653085497208</c:v>
                </c:pt>
                <c:pt idx="1172">
                  <c:v>2.542035871282744</c:v>
                </c:pt>
                <c:pt idx="1173">
                  <c:v>2.4406073839741063</c:v>
                </c:pt>
                <c:pt idx="1174">
                  <c:v>2.2898327685410322</c:v>
                </c:pt>
                <c:pt idx="1175">
                  <c:v>3.8690575106637475</c:v>
                </c:pt>
                <c:pt idx="1176">
                  <c:v>3.8690575106637475</c:v>
                </c:pt>
                <c:pt idx="1177">
                  <c:v>3.6661425388405569</c:v>
                </c:pt>
                <c:pt idx="1178">
                  <c:v>3.4632370265640544</c:v>
                </c:pt>
                <c:pt idx="1179">
                  <c:v>-3.2126956867805334</c:v>
                </c:pt>
                <c:pt idx="1180">
                  <c:v>-3.1125429092718555</c:v>
                </c:pt>
                <c:pt idx="1181">
                  <c:v>3.1095530787929335</c:v>
                </c:pt>
                <c:pt idx="1182">
                  <c:v>2.9629096374970274</c:v>
                </c:pt>
                <c:pt idx="1183">
                  <c:v>3.2123816199151434</c:v>
                </c:pt>
                <c:pt idx="1184">
                  <c:v>2.5022882212535578</c:v>
                </c:pt>
                <c:pt idx="1185">
                  <c:v>2.0499499500342013</c:v>
                </c:pt>
                <c:pt idx="1186">
                  <c:v>1.9992333898439894</c:v>
                </c:pt>
                <c:pt idx="1187">
                  <c:v>1.3566095392382296</c:v>
                </c:pt>
                <c:pt idx="1188">
                  <c:v>1.3031839247377135</c:v>
                </c:pt>
                <c:pt idx="1189">
                  <c:v>1.204470236536004</c:v>
                </c:pt>
                <c:pt idx="1190">
                  <c:v>1.1537565722680307</c:v>
                </c:pt>
                <c:pt idx="1191">
                  <c:v>1.0536863024254561</c:v>
                </c:pt>
                <c:pt idx="1192">
                  <c:v>1.2031132657189256</c:v>
                </c:pt>
                <c:pt idx="1193">
                  <c:v>0.60405090608346657</c:v>
                </c:pt>
                <c:pt idx="1194">
                  <c:v>0.55469700825398827</c:v>
                </c:pt>
                <c:pt idx="1195">
                  <c:v>0.50261865258736782</c:v>
                </c:pt>
                <c:pt idx="1196">
                  <c:v>0.39982203026353724</c:v>
                </c:pt>
                <c:pt idx="1197">
                  <c:v>0.45326468336996639</c:v>
                </c:pt>
                <c:pt idx="1198">
                  <c:v>0.30384124085719777</c:v>
                </c:pt>
                <c:pt idx="1199">
                  <c:v>0.10097057919126673</c:v>
                </c:pt>
                <c:pt idx="1200">
                  <c:v>0.10097057919126673</c:v>
                </c:pt>
                <c:pt idx="1201">
                  <c:v>2.2653574934000903E-3</c:v>
                </c:pt>
                <c:pt idx="1202">
                  <c:v>0.29402595826565842</c:v>
                </c:pt>
                <c:pt idx="1203">
                  <c:v>9.3715590098921164E-2</c:v>
                </c:pt>
                <c:pt idx="1204">
                  <c:v>5.3700760956987175</c:v>
                </c:pt>
                <c:pt idx="1205">
                  <c:v>5.4180082973743158</c:v>
                </c:pt>
                <c:pt idx="1206">
                  <c:v>-0.65812405806595009</c:v>
                </c:pt>
                <c:pt idx="1207">
                  <c:v>4.8120340731441678</c:v>
                </c:pt>
                <c:pt idx="1208">
                  <c:v>-1.4099456916242314</c:v>
                </c:pt>
                <c:pt idx="1209">
                  <c:v>4.8064855106863211</c:v>
                </c:pt>
                <c:pt idx="1210">
                  <c:v>4.7064225623371856</c:v>
                </c:pt>
                <c:pt idx="1211">
                  <c:v>4.5062966656388994</c:v>
                </c:pt>
                <c:pt idx="1212">
                  <c:v>4.3568936410233814</c:v>
                </c:pt>
                <c:pt idx="1213">
                  <c:v>4.1074270320737831</c:v>
                </c:pt>
                <c:pt idx="1214">
                  <c:v>4.0553228901782221</c:v>
                </c:pt>
                <c:pt idx="1215">
                  <c:v>3.9525019097774798</c:v>
                </c:pt>
                <c:pt idx="1216">
                  <c:v>3.6495638916369515</c:v>
                </c:pt>
                <c:pt idx="1217">
                  <c:v>15.262571917792464</c:v>
                </c:pt>
                <c:pt idx="1218">
                  <c:v>12.309083962321859</c:v>
                </c:pt>
                <c:pt idx="1219">
                  <c:v>9.4049360476489756</c:v>
                </c:pt>
                <c:pt idx="1220">
                  <c:v>8.601255290599406</c:v>
                </c:pt>
                <c:pt idx="1221">
                  <c:v>6.3471169501198226</c:v>
                </c:pt>
                <c:pt idx="1222">
                  <c:v>2.1490266701275287</c:v>
                </c:pt>
                <c:pt idx="1223">
                  <c:v>5.9438978834484004</c:v>
                </c:pt>
                <c:pt idx="1224">
                  <c:v>5.7422983333404884</c:v>
                </c:pt>
                <c:pt idx="1225">
                  <c:v>5.6407860494506838</c:v>
                </c:pt>
                <c:pt idx="1226">
                  <c:v>0.64526063002707423</c:v>
                </c:pt>
                <c:pt idx="1227">
                  <c:v>5.2883666823000315</c:v>
                </c:pt>
                <c:pt idx="1228">
                  <c:v>0.44219174740839434</c:v>
                </c:pt>
                <c:pt idx="1229">
                  <c:v>0.44081400919171704</c:v>
                </c:pt>
                <c:pt idx="1230">
                  <c:v>-0.15599056231856773</c:v>
                </c:pt>
                <c:pt idx="1231">
                  <c:v>-0.45645975944819595</c:v>
                </c:pt>
                <c:pt idx="1232">
                  <c:v>3.8621123235424335</c:v>
                </c:pt>
                <c:pt idx="1233">
                  <c:v>3.8100025625384366</c:v>
                </c:pt>
                <c:pt idx="1234">
                  <c:v>3.6098741386111581</c:v>
                </c:pt>
                <c:pt idx="1235">
                  <c:v>3.5591507745266844</c:v>
                </c:pt>
                <c:pt idx="1236">
                  <c:v>3.3493791657226439</c:v>
                </c:pt>
                <c:pt idx="1237">
                  <c:v>3.29591686826861</c:v>
                </c:pt>
                <c:pt idx="1238">
                  <c:v>3.3452618389304143</c:v>
                </c:pt>
                <c:pt idx="1239">
                  <c:v>2.8984157174715737</c:v>
                </c:pt>
                <c:pt idx="1240">
                  <c:v>2.6462050769492653</c:v>
                </c:pt>
                <c:pt idx="1241">
                  <c:v>2.292567978081065</c:v>
                </c:pt>
                <c:pt idx="1242">
                  <c:v>2.2404859447556551</c:v>
                </c:pt>
                <c:pt idx="1243">
                  <c:v>2.0842492321712638</c:v>
                </c:pt>
                <c:pt idx="1244">
                  <c:v>8.1852460732169661</c:v>
                </c:pt>
                <c:pt idx="1245">
                  <c:v>9.2352113862696328</c:v>
                </c:pt>
                <c:pt idx="1246">
                  <c:v>8.0371882227415536</c:v>
                </c:pt>
                <c:pt idx="1247">
                  <c:v>6.5029217574058356</c:v>
                </c:pt>
                <c:pt idx="1248">
                  <c:v>3.6982080661733954</c:v>
                </c:pt>
                <c:pt idx="1249">
                  <c:v>3.6928908770701954</c:v>
                </c:pt>
                <c:pt idx="1250">
                  <c:v>3.7396175660724729</c:v>
                </c:pt>
                <c:pt idx="1251">
                  <c:v>3.4301076083882878</c:v>
                </c:pt>
                <c:pt idx="1252">
                  <c:v>3.4768579797460184</c:v>
                </c:pt>
                <c:pt idx="1253">
                  <c:v>3.615864805099501</c:v>
                </c:pt>
                <c:pt idx="1254">
                  <c:v>3.6132563102000974</c:v>
                </c:pt>
                <c:pt idx="1255">
                  <c:v>-11.068673408113078</c:v>
                </c:pt>
                <c:pt idx="1256">
                  <c:v>3.5341249983428695</c:v>
                </c:pt>
                <c:pt idx="1257">
                  <c:v>3.1373670404762248</c:v>
                </c:pt>
                <c:pt idx="1258">
                  <c:v>2.8863399256699123</c:v>
                </c:pt>
                <c:pt idx="1259">
                  <c:v>2.6418376471803415</c:v>
                </c:pt>
                <c:pt idx="1260">
                  <c:v>-10.637599265463765</c:v>
                </c:pt>
                <c:pt idx="1261">
                  <c:v>-10.779259301411084</c:v>
                </c:pt>
                <c:pt idx="1262">
                  <c:v>-0.90799110679594353</c:v>
                </c:pt>
                <c:pt idx="1263">
                  <c:v>-1.2123590002128659</c:v>
                </c:pt>
                <c:pt idx="1264">
                  <c:v>-1.6182196570388221</c:v>
                </c:pt>
                <c:pt idx="1265">
                  <c:v>-13.534772657174164</c:v>
                </c:pt>
                <c:pt idx="1266">
                  <c:v>-2.3976218246154528</c:v>
                </c:pt>
                <c:pt idx="1267">
                  <c:v>4.3140318829393705</c:v>
                </c:pt>
                <c:pt idx="1268">
                  <c:v>-3.4538568432535279</c:v>
                </c:pt>
                <c:pt idx="1269">
                  <c:v>-3.8282425579286015</c:v>
                </c:pt>
                <c:pt idx="1270">
                  <c:v>-20.499566129326663</c:v>
                </c:pt>
                <c:pt idx="1271">
                  <c:v>-4.631422696863444</c:v>
                </c:pt>
                <c:pt idx="1272">
                  <c:v>-23.258097635943031</c:v>
                </c:pt>
                <c:pt idx="1273">
                  <c:v>-0.13192429996545896</c:v>
                </c:pt>
                <c:pt idx="1274">
                  <c:v>2.5160671195166588</c:v>
                </c:pt>
                <c:pt idx="1275">
                  <c:v>2.4639622256872054</c:v>
                </c:pt>
                <c:pt idx="1276">
                  <c:v>2.310416696043704</c:v>
                </c:pt>
                <c:pt idx="1277">
                  <c:v>2.2583190083592246</c:v>
                </c:pt>
                <c:pt idx="1278">
                  <c:v>2.104785905259503</c:v>
                </c:pt>
                <c:pt idx="1279">
                  <c:v>6.8885290818756619</c:v>
                </c:pt>
                <c:pt idx="1280">
                  <c:v>2.1034122117659937</c:v>
                </c:pt>
                <c:pt idx="1281">
                  <c:v>1.9512597465695671</c:v>
                </c:pt>
                <c:pt idx="1282">
                  <c:v>1.9485171114558557</c:v>
                </c:pt>
                <c:pt idx="1283">
                  <c:v>-5.2169948631191865</c:v>
                </c:pt>
                <c:pt idx="1284">
                  <c:v>1.7922638327353995</c:v>
                </c:pt>
                <c:pt idx="1285">
                  <c:v>9.7423040322847978</c:v>
                </c:pt>
                <c:pt idx="1286">
                  <c:v>6.9872288770427131</c:v>
                </c:pt>
                <c:pt idx="1287">
                  <c:v>6.0359710685430166</c:v>
                </c:pt>
                <c:pt idx="1288">
                  <c:v>-4.7174997572404083</c:v>
                </c:pt>
                <c:pt idx="1289">
                  <c:v>-0.87917309485610518</c:v>
                </c:pt>
                <c:pt idx="1290">
                  <c:v>-1.0299520504343098</c:v>
                </c:pt>
                <c:pt idx="1291">
                  <c:v>-1.1313853956238118</c:v>
                </c:pt>
                <c:pt idx="1292">
                  <c:v>-1.2341915452541965</c:v>
                </c:pt>
                <c:pt idx="1293">
                  <c:v>-10.229045513596409</c:v>
                </c:pt>
                <c:pt idx="1294">
                  <c:v>-10.778136016500957</c:v>
                </c:pt>
                <c:pt idx="1295">
                  <c:v>-1.5961086060081005</c:v>
                </c:pt>
                <c:pt idx="1296">
                  <c:v>-1.7976264157267117</c:v>
                </c:pt>
                <c:pt idx="1297">
                  <c:v>-11.830203603346499</c:v>
                </c:pt>
                <c:pt idx="1298">
                  <c:v>-2.351473024625871</c:v>
                </c:pt>
                <c:pt idx="1299">
                  <c:v>-2.7531501101260782</c:v>
                </c:pt>
                <c:pt idx="1300">
                  <c:v>-3.1041012835514068</c:v>
                </c:pt>
                <c:pt idx="1301">
                  <c:v>-1.7303921291314397</c:v>
                </c:pt>
                <c:pt idx="1302">
                  <c:v>-1.9332655654126023</c:v>
                </c:pt>
                <c:pt idx="1303">
                  <c:v>-11.919556935032263</c:v>
                </c:pt>
                <c:pt idx="1304">
                  <c:v>-11.431853835895836</c:v>
                </c:pt>
                <c:pt idx="1305">
                  <c:v>-2.8448937365714166</c:v>
                </c:pt>
                <c:pt idx="1306">
                  <c:v>-3.3000663901267844</c:v>
                </c:pt>
                <c:pt idx="1307">
                  <c:v>-3.7045402236112355</c:v>
                </c:pt>
                <c:pt idx="1308">
                  <c:v>-14.384383289611947</c:v>
                </c:pt>
                <c:pt idx="1309">
                  <c:v>-4.6629968432584752</c:v>
                </c:pt>
                <c:pt idx="1310">
                  <c:v>-0.66397932095230194</c:v>
                </c:pt>
                <c:pt idx="1311">
                  <c:v>-5.7216923650410196</c:v>
                </c:pt>
                <c:pt idx="1312">
                  <c:v>3.8704501893701724</c:v>
                </c:pt>
                <c:pt idx="1313">
                  <c:v>3.7210435691887378</c:v>
                </c:pt>
                <c:pt idx="1314">
                  <c:v>3.5181251143805081</c:v>
                </c:pt>
                <c:pt idx="1315">
                  <c:v>3.267262533907517</c:v>
                </c:pt>
                <c:pt idx="1316">
                  <c:v>3.1164687425216986</c:v>
                </c:pt>
                <c:pt idx="1317">
                  <c:v>2.9642924173553391</c:v>
                </c:pt>
                <c:pt idx="1318">
                  <c:v>2.9135680337909711</c:v>
                </c:pt>
                <c:pt idx="1319">
                  <c:v>2.713436525384231</c:v>
                </c:pt>
                <c:pt idx="1320">
                  <c:v>2.5626477262434002</c:v>
                </c:pt>
                <c:pt idx="1321">
                  <c:v>2.0609432549730795</c:v>
                </c:pt>
                <c:pt idx="1322">
                  <c:v>2.01159910995184</c:v>
                </c:pt>
                <c:pt idx="1323">
                  <c:v>-3.7654534828406345</c:v>
                </c:pt>
                <c:pt idx="1324">
                  <c:v>3.7866462959098821</c:v>
                </c:pt>
                <c:pt idx="1325">
                  <c:v>3.685222177435417</c:v>
                </c:pt>
                <c:pt idx="1326">
                  <c:v>3.733209723805107</c:v>
                </c:pt>
                <c:pt idx="1327">
                  <c:v>-4.3169075263456476</c:v>
                </c:pt>
                <c:pt idx="1328">
                  <c:v>3.6797800061908794</c:v>
                </c:pt>
                <c:pt idx="1329">
                  <c:v>3.6784222977248118</c:v>
                </c:pt>
                <c:pt idx="1330">
                  <c:v>3.727774752589327</c:v>
                </c:pt>
                <c:pt idx="1331">
                  <c:v>3.727774752589327</c:v>
                </c:pt>
                <c:pt idx="1332">
                  <c:v>3.727774752589327</c:v>
                </c:pt>
                <c:pt idx="1333">
                  <c:v>3.6770657204892427</c:v>
                </c:pt>
                <c:pt idx="1334">
                  <c:v>3.627712982973474</c:v>
                </c:pt>
                <c:pt idx="1335">
                  <c:v>3.6770657204892427</c:v>
                </c:pt>
                <c:pt idx="1336">
                  <c:v>3.6263568332637939</c:v>
                </c:pt>
                <c:pt idx="1337">
                  <c:v>3.4755858850640537</c:v>
                </c:pt>
                <c:pt idx="1338">
                  <c:v>-6.6908257518787178</c:v>
                </c:pt>
                <c:pt idx="1339">
                  <c:v>-21.305339029847861</c:v>
                </c:pt>
                <c:pt idx="1340">
                  <c:v>-7.6508699329830696</c:v>
                </c:pt>
                <c:pt idx="1341">
                  <c:v>-8.1080473256698919</c:v>
                </c:pt>
                <c:pt idx="1342">
                  <c:v>-8.6146817212771349</c:v>
                </c:pt>
                <c:pt idx="1343">
                  <c:v>-9.1742404786072225</c:v>
                </c:pt>
                <c:pt idx="1344">
                  <c:v>-9.6829976691471504</c:v>
                </c:pt>
                <c:pt idx="1345">
                  <c:v>-30.114886926048076</c:v>
                </c:pt>
                <c:pt idx="1346">
                  <c:v>0.2269783866346364</c:v>
                </c:pt>
                <c:pt idx="1347">
                  <c:v>0.17763048844644219</c:v>
                </c:pt>
                <c:pt idx="1348">
                  <c:v>0.17626477161654375</c:v>
                </c:pt>
                <c:pt idx="1349">
                  <c:v>7.4837199275777408E-2</c:v>
                </c:pt>
                <c:pt idx="1350">
                  <c:v>-2.6590907911744496E-2</c:v>
                </c:pt>
                <c:pt idx="1351">
                  <c:v>-2.9323366581250926E-2</c:v>
                </c:pt>
                <c:pt idx="1352">
                  <c:v>-8.0038020957957784E-2</c:v>
                </c:pt>
                <c:pt idx="1353">
                  <c:v>-9.9162032558410953</c:v>
                </c:pt>
                <c:pt idx="1354">
                  <c:v>-9.9162032558410953</c:v>
                </c:pt>
                <c:pt idx="1355">
                  <c:v>-9.0273509768961393</c:v>
                </c:pt>
                <c:pt idx="1356">
                  <c:v>-9.0803416394115537</c:v>
                </c:pt>
                <c:pt idx="1357">
                  <c:v>-0.1951405232620215</c:v>
                </c:pt>
                <c:pt idx="1358">
                  <c:v>-10.027621280230326</c:v>
                </c:pt>
                <c:pt idx="1359">
                  <c:v>-0.20334783773337892</c:v>
                </c:pt>
                <c:pt idx="1360">
                  <c:v>-0.20882111958945027</c:v>
                </c:pt>
                <c:pt idx="1361">
                  <c:v>1.5176807165336783</c:v>
                </c:pt>
                <c:pt idx="1362">
                  <c:v>9.7198421189266817</c:v>
                </c:pt>
                <c:pt idx="1363">
                  <c:v>-16.049700699438194</c:v>
                </c:pt>
                <c:pt idx="1364">
                  <c:v>1.6747248177455507</c:v>
                </c:pt>
                <c:pt idx="1365">
                  <c:v>1.514459864496265</c:v>
                </c:pt>
                <c:pt idx="1366">
                  <c:v>1.0490887461934693</c:v>
                </c:pt>
                <c:pt idx="1367">
                  <c:v>1.0332084656402944</c:v>
                </c:pt>
                <c:pt idx="1368">
                  <c:v>0.87393915232925767</c:v>
                </c:pt>
                <c:pt idx="1369">
                  <c:v>0.86729916825269082</c:v>
                </c:pt>
                <c:pt idx="1370">
                  <c:v>0.76548834113169761</c:v>
                </c:pt>
                <c:pt idx="1371">
                  <c:v>0.61543368601891035</c:v>
                </c:pt>
                <c:pt idx="1372">
                  <c:v>0.32212584939449723</c:v>
                </c:pt>
                <c:pt idx="1373">
                  <c:v>-6.1809454640763616E-2</c:v>
                </c:pt>
                <c:pt idx="1374">
                  <c:v>-0.44252211566761079</c:v>
                </c:pt>
                <c:pt idx="1375">
                  <c:v>-0.72114223252026866</c:v>
                </c:pt>
                <c:pt idx="1376">
                  <c:v>7.8706364399770727</c:v>
                </c:pt>
                <c:pt idx="1377">
                  <c:v>5.1059545535837598</c:v>
                </c:pt>
                <c:pt idx="1378">
                  <c:v>7.4179144837559345</c:v>
                </c:pt>
                <c:pt idx="1379">
                  <c:v>7.616632933713154</c:v>
                </c:pt>
                <c:pt idx="1380">
                  <c:v>7.4657338110339788</c:v>
                </c:pt>
                <c:pt idx="1381">
                  <c:v>7.2640456819183026</c:v>
                </c:pt>
                <c:pt idx="1382">
                  <c:v>4.0535128575511976</c:v>
                </c:pt>
                <c:pt idx="1383">
                  <c:v>14.967042552097514</c:v>
                </c:pt>
                <c:pt idx="1384">
                  <c:v>14.015338640171286</c:v>
                </c:pt>
                <c:pt idx="1385">
                  <c:v>7.2058854027598853</c:v>
                </c:pt>
                <c:pt idx="1386">
                  <c:v>7.3045097802920296</c:v>
                </c:pt>
                <c:pt idx="1387">
                  <c:v>5.9003367184704718</c:v>
                </c:pt>
                <c:pt idx="1388">
                  <c:v>6.0004255010552852</c:v>
                </c:pt>
                <c:pt idx="1389">
                  <c:v>5.9496588743896224</c:v>
                </c:pt>
                <c:pt idx="1390">
                  <c:v>5.7480421360119678</c:v>
                </c:pt>
                <c:pt idx="1391">
                  <c:v>4.0580868199175635</c:v>
                </c:pt>
                <c:pt idx="1392">
                  <c:v>4.0073636934767576</c:v>
                </c:pt>
                <c:pt idx="1393">
                  <c:v>3.9566410826092224</c:v>
                </c:pt>
                <c:pt idx="1394">
                  <c:v>3.8579597292582224</c:v>
                </c:pt>
                <c:pt idx="1395">
                  <c:v>3.7099383505747974</c:v>
                </c:pt>
                <c:pt idx="1396">
                  <c:v>3.2288241464965255</c:v>
                </c:pt>
                <c:pt idx="1397">
                  <c:v>3.1862818857229471</c:v>
                </c:pt>
                <c:pt idx="1398">
                  <c:v>3.3041632804528733</c:v>
                </c:pt>
                <c:pt idx="1399">
                  <c:v>3.3548835363420619</c:v>
                </c:pt>
                <c:pt idx="1400">
                  <c:v>3.4097457146838654</c:v>
                </c:pt>
                <c:pt idx="1401">
                  <c:v>1.2180595186755401</c:v>
                </c:pt>
                <c:pt idx="1402">
                  <c:v>3.5042884585673555</c:v>
                </c:pt>
                <c:pt idx="1403">
                  <c:v>2.581827271485249</c:v>
                </c:pt>
                <c:pt idx="1404">
                  <c:v>2.4310545725106434</c:v>
                </c:pt>
                <c:pt idx="1405">
                  <c:v>2.4817662214543166</c:v>
                </c:pt>
                <c:pt idx="1406">
                  <c:v>7.6288386275336002</c:v>
                </c:pt>
                <c:pt idx="1407">
                  <c:v>-3.6665863142816217</c:v>
                </c:pt>
                <c:pt idx="1408">
                  <c:v>2.0692810949453517</c:v>
                </c:pt>
                <c:pt idx="1409">
                  <c:v>1.8691537619274512</c:v>
                </c:pt>
                <c:pt idx="1410">
                  <c:v>-7.0233174083700334</c:v>
                </c:pt>
                <c:pt idx="1411">
                  <c:v>1.5168920092321847</c:v>
                </c:pt>
                <c:pt idx="1412">
                  <c:v>-7.4757626535634003</c:v>
                </c:pt>
                <c:pt idx="1413">
                  <c:v>-0.35986046541772826</c:v>
                </c:pt>
                <c:pt idx="1414">
                  <c:v>-0.61809742197811279</c:v>
                </c:pt>
                <c:pt idx="1415">
                  <c:v>-0.78175533937393937</c:v>
                </c:pt>
                <c:pt idx="1416">
                  <c:v>-1.0006557952828774</c:v>
                </c:pt>
                <c:pt idx="1417">
                  <c:v>-1.366865107218727</c:v>
                </c:pt>
                <c:pt idx="1418">
                  <c:v>-22.75657451490299</c:v>
                </c:pt>
                <c:pt idx="1419">
                  <c:v>-2.6853803516033201</c:v>
                </c:pt>
                <c:pt idx="1420">
                  <c:v>-25.111613490951836</c:v>
                </c:pt>
                <c:pt idx="1421">
                  <c:v>-1.9965435634507511</c:v>
                </c:pt>
                <c:pt idx="1422">
                  <c:v>-28.520740832147666</c:v>
                </c:pt>
                <c:pt idx="1423">
                  <c:v>-28.623586322649793</c:v>
                </c:pt>
                <c:pt idx="1424">
                  <c:v>-31.45339101179783</c:v>
                </c:pt>
                <c:pt idx="1425">
                  <c:v>-2.2656769298268649</c:v>
                </c:pt>
                <c:pt idx="1426">
                  <c:v>-2.5029544382148541</c:v>
                </c:pt>
                <c:pt idx="1427">
                  <c:v>-2.7803524420194399</c:v>
                </c:pt>
                <c:pt idx="1428">
                  <c:v>7.3730874968254909</c:v>
                </c:pt>
                <c:pt idx="1429">
                  <c:v>7.1205730626725803</c:v>
                </c:pt>
                <c:pt idx="1430">
                  <c:v>6.9203559483251791</c:v>
                </c:pt>
                <c:pt idx="1431">
                  <c:v>6.9696671431015211</c:v>
                </c:pt>
                <c:pt idx="1432">
                  <c:v>2.1706658933915914</c:v>
                </c:pt>
                <c:pt idx="1433">
                  <c:v>2.169284158641283</c:v>
                </c:pt>
                <c:pt idx="1434">
                  <c:v>2.1665227590442631</c:v>
                </c:pt>
                <c:pt idx="1435">
                  <c:v>2.063698072352707</c:v>
                </c:pt>
                <c:pt idx="1436">
                  <c:v>2.01159910995184</c:v>
                </c:pt>
                <c:pt idx="1437">
                  <c:v>1.8608133584653705</c:v>
                </c:pt>
                <c:pt idx="1438">
                  <c:v>1.7607484102115232</c:v>
                </c:pt>
                <c:pt idx="1439">
                  <c:v>1.7100285255395844</c:v>
                </c:pt>
                <c:pt idx="1440">
                  <c:v>-8.8310905090077055E-3</c:v>
                </c:pt>
                <c:pt idx="1441">
                  <c:v>-0.25966610436363829</c:v>
                </c:pt>
                <c:pt idx="1442">
                  <c:v>-0.71062243268568726</c:v>
                </c:pt>
                <c:pt idx="1443">
                  <c:v>-1.3123523810058366</c:v>
                </c:pt>
                <c:pt idx="1444">
                  <c:v>-1.8661017040251311</c:v>
                </c:pt>
                <c:pt idx="1445">
                  <c:v>-2.318426367305126</c:v>
                </c:pt>
                <c:pt idx="1446">
                  <c:v>-2.4212252300609318</c:v>
                </c:pt>
                <c:pt idx="1447">
                  <c:v>-2.5733727146576482</c:v>
                </c:pt>
                <c:pt idx="1448">
                  <c:v>-2.6748058478985146</c:v>
                </c:pt>
                <c:pt idx="1449">
                  <c:v>-2.5322709231878378</c:v>
                </c:pt>
                <c:pt idx="1450">
                  <c:v>-2.9708758146472456</c:v>
                </c:pt>
                <c:pt idx="1451">
                  <c:v>-3.424580444090688</c:v>
                </c:pt>
                <c:pt idx="1452">
                  <c:v>-3.7823711043377131</c:v>
                </c:pt>
                <c:pt idx="1453">
                  <c:v>4.500775812618933</c:v>
                </c:pt>
                <c:pt idx="1454">
                  <c:v>4.4500564940751106</c:v>
                </c:pt>
                <c:pt idx="1455">
                  <c:v>4.2992761775881387</c:v>
                </c:pt>
                <c:pt idx="1456">
                  <c:v>4.148496525085787</c:v>
                </c:pt>
                <c:pt idx="1457">
                  <c:v>4.096405535052317</c:v>
                </c:pt>
                <c:pt idx="1458">
                  <c:v>-3.1138364199236253</c:v>
                </c:pt>
                <c:pt idx="1459">
                  <c:v>3.8935412431871885</c:v>
                </c:pt>
                <c:pt idx="1460">
                  <c:v>3.8414574585032377</c:v>
                </c:pt>
                <c:pt idx="1461">
                  <c:v>3.6893157453553487</c:v>
                </c:pt>
                <c:pt idx="1462">
                  <c:v>3.6331487456192564</c:v>
                </c:pt>
                <c:pt idx="1463">
                  <c:v>3.3248147442772993</c:v>
                </c:pt>
                <c:pt idx="1464">
                  <c:v>3.4248770953292507</c:v>
                </c:pt>
                <c:pt idx="1465">
                  <c:v>3.2727512901338547</c:v>
                </c:pt>
                <c:pt idx="1466">
                  <c:v>3.1713344390371043</c:v>
                </c:pt>
                <c:pt idx="1467">
                  <c:v>3.0712711870682372</c:v>
                </c:pt>
                <c:pt idx="1468">
                  <c:v>-1.955246148661258</c:v>
                </c:pt>
                <c:pt idx="1469">
                  <c:v>-2.1073816325213253</c:v>
                </c:pt>
                <c:pt idx="1470">
                  <c:v>-2.3582156268249297</c:v>
                </c:pt>
                <c:pt idx="1471">
                  <c:v>-2.4596396240701188</c:v>
                </c:pt>
                <c:pt idx="1472">
                  <c:v>-2.6611249406319599</c:v>
                </c:pt>
                <c:pt idx="1473">
                  <c:v>-2.8626107553147917</c:v>
                </c:pt>
                <c:pt idx="1474">
                  <c:v>-3.1148104804301369</c:v>
                </c:pt>
                <c:pt idx="1475">
                  <c:v>-3.8471511373018208</c:v>
                </c:pt>
                <c:pt idx="1476">
                  <c:v>-4.0488187150012633</c:v>
                </c:pt>
                <c:pt idx="1477">
                  <c:v>-4.2040541029837444</c:v>
                </c:pt>
                <c:pt idx="1478">
                  <c:v>-17.644430099506888</c:v>
                </c:pt>
                <c:pt idx="1479">
                  <c:v>-4.2752816498442954</c:v>
                </c:pt>
                <c:pt idx="1480">
                  <c:v>-4.3349498611976225</c:v>
                </c:pt>
                <c:pt idx="1481">
                  <c:v>-4.4410624656602966</c:v>
                </c:pt>
                <c:pt idx="1482">
                  <c:v>2.3611380997346361</c:v>
                </c:pt>
                <c:pt idx="1483">
                  <c:v>2.3597601734164368</c:v>
                </c:pt>
                <c:pt idx="1484">
                  <c:v>2.2089751711201231</c:v>
                </c:pt>
                <c:pt idx="1485">
                  <c:v>-4.0139179068499988</c:v>
                </c:pt>
                <c:pt idx="1486">
                  <c:v>2.2062235987304573</c:v>
                </c:pt>
                <c:pt idx="1487">
                  <c:v>2.1527568231460363</c:v>
                </c:pt>
                <c:pt idx="1488">
                  <c:v>2.1541303583372176</c:v>
                </c:pt>
                <c:pt idx="1489">
                  <c:v>2.1034122117659937</c:v>
                </c:pt>
                <c:pt idx="1490">
                  <c:v>2.1020391783709851</c:v>
                </c:pt>
                <c:pt idx="1491">
                  <c:v>-4.5653875472275365</c:v>
                </c:pt>
                <c:pt idx="1492">
                  <c:v>2.0499499500342013</c:v>
                </c:pt>
                <c:pt idx="1493">
                  <c:v>1.9485171114558557</c:v>
                </c:pt>
                <c:pt idx="1494">
                  <c:v>1.947146708324567</c:v>
                </c:pt>
                <c:pt idx="1495">
                  <c:v>1.9457769131089311</c:v>
                </c:pt>
                <c:pt idx="1496">
                  <c:v>1.7950006180491811</c:v>
                </c:pt>
                <c:pt idx="1497">
                  <c:v>1.936205261313825</c:v>
                </c:pt>
                <c:pt idx="1498">
                  <c:v>1.8854923303179432</c:v>
                </c:pt>
                <c:pt idx="1499">
                  <c:v>8.9884450586228937</c:v>
                </c:pt>
                <c:pt idx="1500">
                  <c:v>7.0859310101859831</c:v>
                </c:pt>
                <c:pt idx="1501">
                  <c:v>5.2327662017055196</c:v>
                </c:pt>
                <c:pt idx="1502">
                  <c:v>2.4283319438666915</c:v>
                </c:pt>
                <c:pt idx="1503">
                  <c:v>1.4263540514249109</c:v>
                </c:pt>
                <c:pt idx="1504">
                  <c:v>1.3249298015586579</c:v>
                </c:pt>
                <c:pt idx="1505">
                  <c:v>1.2742176151935491</c:v>
                </c:pt>
                <c:pt idx="1506">
                  <c:v>1.2235053721865001</c:v>
                </c:pt>
                <c:pt idx="1507">
                  <c:v>-7.2718746143867818</c:v>
                </c:pt>
                <c:pt idx="1508">
                  <c:v>1.1220806691840226</c:v>
                </c:pt>
                <c:pt idx="1509">
                  <c:v>1.0713681856571224</c:v>
                </c:pt>
                <c:pt idx="1510">
                  <c:v>-1.9093880915684229</c:v>
                </c:pt>
                <c:pt idx="1511">
                  <c:v>-2.0602797347412678</c:v>
                </c:pt>
                <c:pt idx="1512">
                  <c:v>-2.0602797347412678</c:v>
                </c:pt>
                <c:pt idx="1513">
                  <c:v>-2.1604337116466565</c:v>
                </c:pt>
                <c:pt idx="1514">
                  <c:v>-2.2098536438185219</c:v>
                </c:pt>
                <c:pt idx="1515">
                  <c:v>-2.3100088279018833</c:v>
                </c:pt>
                <c:pt idx="1516">
                  <c:v>-2.3100088279018833</c:v>
                </c:pt>
                <c:pt idx="1517">
                  <c:v>-2.410164011985259</c:v>
                </c:pt>
                <c:pt idx="1518">
                  <c:v>-2.6104743801519819</c:v>
                </c:pt>
                <c:pt idx="1519">
                  <c:v>-2.7119317992371155</c:v>
                </c:pt>
                <c:pt idx="1520">
                  <c:v>-2.862810587051317</c:v>
                </c:pt>
                <c:pt idx="1521">
                  <c:v>-3.0644089008352404</c:v>
                </c:pt>
                <c:pt idx="1522">
                  <c:v>-3.1658518281559043</c:v>
                </c:pt>
                <c:pt idx="1523">
                  <c:v>-3.8617773269171778</c:v>
                </c:pt>
                <c:pt idx="1524">
                  <c:v>0.82590802484819348</c:v>
                </c:pt>
                <c:pt idx="1525">
                  <c:v>-1.2617228328213794</c:v>
                </c:pt>
                <c:pt idx="1526">
                  <c:v>-1.4633545753284618</c:v>
                </c:pt>
                <c:pt idx="1527">
                  <c:v>2.7272932704145991</c:v>
                </c:pt>
                <c:pt idx="1528">
                  <c:v>2.5257596059977372</c:v>
                </c:pt>
                <c:pt idx="1529">
                  <c:v>2.3242301031140618</c:v>
                </c:pt>
                <c:pt idx="1530">
                  <c:v>2.1227045746252777</c:v>
                </c:pt>
                <c:pt idx="1531">
                  <c:v>1.8704579772419945</c:v>
                </c:pt>
                <c:pt idx="1532">
                  <c:v>1.718286452313619</c:v>
                </c:pt>
                <c:pt idx="1533">
                  <c:v>1.4167060374048761</c:v>
                </c:pt>
                <c:pt idx="1534">
                  <c:v>1.1644767934516138</c:v>
                </c:pt>
                <c:pt idx="1535">
                  <c:v>0.91225294972359694</c:v>
                </c:pt>
                <c:pt idx="1536">
                  <c:v>0.66003397941913</c:v>
                </c:pt>
                <c:pt idx="1537">
                  <c:v>0.40781935577451717</c:v>
                </c:pt>
                <c:pt idx="1538">
                  <c:v>1.0938737460928583</c:v>
                </c:pt>
                <c:pt idx="1539">
                  <c:v>3.4563253845915303</c:v>
                </c:pt>
                <c:pt idx="1540">
                  <c:v>-0.8969974200478914</c:v>
                </c:pt>
                <c:pt idx="1541">
                  <c:v>-0.95459074480239947</c:v>
                </c:pt>
                <c:pt idx="1542">
                  <c:v>-10.92891244178842</c:v>
                </c:pt>
                <c:pt idx="1543">
                  <c:v>-1.2972769736829257</c:v>
                </c:pt>
                <c:pt idx="1544">
                  <c:v>-1.3932185552639955</c:v>
                </c:pt>
                <c:pt idx="1545">
                  <c:v>-1.3959703084729564</c:v>
                </c:pt>
                <c:pt idx="1546">
                  <c:v>-1.5098343260914502</c:v>
                </c:pt>
                <c:pt idx="1547">
                  <c:v>-1.6140635735246591</c:v>
                </c:pt>
                <c:pt idx="1548">
                  <c:v>-1.8170007548239928</c:v>
                </c:pt>
                <c:pt idx="1549">
                  <c:v>-2.0692967173093586</c:v>
                </c:pt>
                <c:pt idx="1550">
                  <c:v>-2.362583759727602</c:v>
                </c:pt>
                <c:pt idx="1551">
                  <c:v>-2.8080585588267701</c:v>
                </c:pt>
                <c:pt idx="1552">
                  <c:v>-3.0068153696388888</c:v>
                </c:pt>
                <c:pt idx="1553">
                  <c:v>-14.242146964684547</c:v>
                </c:pt>
                <c:pt idx="1554">
                  <c:v>5.4383677043320215</c:v>
                </c:pt>
                <c:pt idx="1555">
                  <c:v>-0.88118068726420162</c:v>
                </c:pt>
                <c:pt idx="1556">
                  <c:v>-1.187300791573906</c:v>
                </c:pt>
                <c:pt idx="1557">
                  <c:v>-1.3481277192288001</c:v>
                </c:pt>
                <c:pt idx="1558">
                  <c:v>-1.4596436328077211</c:v>
                </c:pt>
                <c:pt idx="1559">
                  <c:v>-19.300000178013612</c:v>
                </c:pt>
                <c:pt idx="1560">
                  <c:v>-20.100986843395095</c:v>
                </c:pt>
                <c:pt idx="1561">
                  <c:v>-20.701726842431206</c:v>
                </c:pt>
                <c:pt idx="1562">
                  <c:v>-2.4113482594325419</c:v>
                </c:pt>
                <c:pt idx="1563">
                  <c:v>-2.3900363828567341</c:v>
                </c:pt>
                <c:pt idx="1564">
                  <c:v>-24.011295990140002</c:v>
                </c:pt>
                <c:pt idx="1565">
                  <c:v>-3.0217896579586716</c:v>
                </c:pt>
                <c:pt idx="1566">
                  <c:v>1.5382476582751878</c:v>
                </c:pt>
                <c:pt idx="1567">
                  <c:v>3.1686293830250398</c:v>
                </c:pt>
                <c:pt idx="1568">
                  <c:v>0.63558524824171991</c:v>
                </c:pt>
                <c:pt idx="1569">
                  <c:v>-1.4166189111277865</c:v>
                </c:pt>
                <c:pt idx="1570">
                  <c:v>2.6588516187470703</c:v>
                </c:pt>
                <c:pt idx="1571">
                  <c:v>2.9963455615039112</c:v>
                </c:pt>
                <c:pt idx="1572">
                  <c:v>3.5690798806619486</c:v>
                </c:pt>
                <c:pt idx="1573">
                  <c:v>3.5664643569278196</c:v>
                </c:pt>
                <c:pt idx="1574">
                  <c:v>3.2727157878715443</c:v>
                </c:pt>
                <c:pt idx="1575">
                  <c:v>3.1153281409740807</c:v>
                </c:pt>
                <c:pt idx="1576">
                  <c:v>2.9724204411804713</c:v>
                </c:pt>
                <c:pt idx="1577">
                  <c:v>2.6293835813022097</c:v>
                </c:pt>
                <c:pt idx="1578">
                  <c:v>2.6293835813022097</c:v>
                </c:pt>
                <c:pt idx="1579">
                  <c:v>2.581336417002992</c:v>
                </c:pt>
                <c:pt idx="1580">
                  <c:v>2.5786726816478773</c:v>
                </c:pt>
                <c:pt idx="1581">
                  <c:v>4.975414650401242</c:v>
                </c:pt>
                <c:pt idx="1582">
                  <c:v>4.975414650401242</c:v>
                </c:pt>
                <c:pt idx="1583">
                  <c:v>4.7245359225513157</c:v>
                </c:pt>
                <c:pt idx="1584">
                  <c:v>4.8795653275977422</c:v>
                </c:pt>
                <c:pt idx="1585">
                  <c:v>4.5243950496339247</c:v>
                </c:pt>
                <c:pt idx="1586">
                  <c:v>4.8246063590100041</c:v>
                </c:pt>
                <c:pt idx="1587">
                  <c:v>4.6737996121213561</c:v>
                </c:pt>
                <c:pt idx="1588">
                  <c:v>3.9197878199882807</c:v>
                </c:pt>
                <c:pt idx="1589">
                  <c:v>4.3749896765899052</c:v>
                </c:pt>
                <c:pt idx="1590">
                  <c:v>4.1706559594987969</c:v>
                </c:pt>
                <c:pt idx="1591">
                  <c:v>3.8211125130308963</c:v>
                </c:pt>
                <c:pt idx="1592">
                  <c:v>3.7717747795227976</c:v>
                </c:pt>
                <c:pt idx="1593">
                  <c:v>3.9197878199882807</c:v>
                </c:pt>
                <c:pt idx="1594">
                  <c:v>3.6703130092844183</c:v>
                </c:pt>
                <c:pt idx="1595">
                  <c:v>3.9649528006916062</c:v>
                </c:pt>
                <c:pt idx="1596">
                  <c:v>0.67657298963201062</c:v>
                </c:pt>
                <c:pt idx="1597">
                  <c:v>0.62585989449814527</c:v>
                </c:pt>
                <c:pt idx="1598">
                  <c:v>0.27632641521963147</c:v>
                </c:pt>
                <c:pt idx="1599">
                  <c:v>-7.3206189351549683E-2</c:v>
                </c:pt>
                <c:pt idx="1600">
                  <c:v>-0.27332924000901182</c:v>
                </c:pt>
                <c:pt idx="1601">
                  <c:v>-0.57351381599519791</c:v>
                </c:pt>
                <c:pt idx="1602">
                  <c:v>-0.62422837720820046</c:v>
                </c:pt>
                <c:pt idx="1603">
                  <c:v>-0.72429002081130234</c:v>
                </c:pt>
                <c:pt idx="1604">
                  <c:v>-0.8750666497395192</c:v>
                </c:pt>
                <c:pt idx="1605">
                  <c:v>-0.82982631366369519</c:v>
                </c:pt>
                <c:pt idx="1606">
                  <c:v>-0.77363686665266007</c:v>
                </c:pt>
                <c:pt idx="1607">
                  <c:v>-1.3740060186250322</c:v>
                </c:pt>
                <c:pt idx="1608">
                  <c:v>-1.3260294478628003</c:v>
                </c:pt>
                <c:pt idx="1609">
                  <c:v>0.71075139082493366</c:v>
                </c:pt>
                <c:pt idx="1610">
                  <c:v>0.66003397941913</c:v>
                </c:pt>
                <c:pt idx="1611">
                  <c:v>0.60794777970180991</c:v>
                </c:pt>
                <c:pt idx="1612">
                  <c:v>0.55586273337914793</c:v>
                </c:pt>
                <c:pt idx="1613">
                  <c:v>0.55312612099743474</c:v>
                </c:pt>
                <c:pt idx="1614">
                  <c:v>7.75486201987251</c:v>
                </c:pt>
                <c:pt idx="1615">
                  <c:v>4.9503643705989608</c:v>
                </c:pt>
                <c:pt idx="1616">
                  <c:v>3.1465109082637874</c:v>
                </c:pt>
                <c:pt idx="1617">
                  <c:v>1.342673855136822</c:v>
                </c:pt>
                <c:pt idx="1618">
                  <c:v>0.43939299178962082</c:v>
                </c:pt>
                <c:pt idx="1619">
                  <c:v>0.33659992483996709</c:v>
                </c:pt>
                <c:pt idx="1620">
                  <c:v>0.33386799265510786</c:v>
                </c:pt>
                <c:pt idx="1621">
                  <c:v>0.38184976690187961</c:v>
                </c:pt>
                <c:pt idx="1622">
                  <c:v>0.32977085061447581</c:v>
                </c:pt>
                <c:pt idx="1623">
                  <c:v>-7.7219414889510736</c:v>
                </c:pt>
                <c:pt idx="1624">
                  <c:v>-1.0140348570897955</c:v>
                </c:pt>
                <c:pt idx="1625">
                  <c:v>1.5803734927539363</c:v>
                </c:pt>
                <c:pt idx="1626">
                  <c:v>-1.1887016863394484</c:v>
                </c:pt>
                <c:pt idx="1627">
                  <c:v>-1.3509458469724323</c:v>
                </c:pt>
                <c:pt idx="1628">
                  <c:v>-1.6995589711106314</c:v>
                </c:pt>
                <c:pt idx="1629">
                  <c:v>-2.0538630762856966</c:v>
                </c:pt>
                <c:pt idx="1630">
                  <c:v>-19.702463831217894</c:v>
                </c:pt>
                <c:pt idx="1631">
                  <c:v>-0.98515008046244135</c:v>
                </c:pt>
                <c:pt idx="1632">
                  <c:v>6.3781112724859694</c:v>
                </c:pt>
                <c:pt idx="1633">
                  <c:v>-0.98266831793984133</c:v>
                </c:pt>
                <c:pt idx="1634">
                  <c:v>-0.10172095575390602</c:v>
                </c:pt>
                <c:pt idx="1635">
                  <c:v>7.9600535076694928E-2</c:v>
                </c:pt>
                <c:pt idx="1636">
                  <c:v>0.15942486538774511</c:v>
                </c:pt>
                <c:pt idx="1637">
                  <c:v>0.18575744328670915</c:v>
                </c:pt>
                <c:pt idx="1638">
                  <c:v>0.79645526087938812</c:v>
                </c:pt>
                <c:pt idx="1639">
                  <c:v>1.3611018441631473</c:v>
                </c:pt>
                <c:pt idx="1640">
                  <c:v>1.7862636667888863</c:v>
                </c:pt>
                <c:pt idx="1641">
                  <c:v>-27.721760526874331</c:v>
                </c:pt>
                <c:pt idx="1642">
                  <c:v>-31.904407022213682</c:v>
                </c:pt>
                <c:pt idx="1643">
                  <c:v>2.3915919857480321</c:v>
                </c:pt>
                <c:pt idx="1644">
                  <c:v>2.3880639775486627</c:v>
                </c:pt>
                <c:pt idx="1645">
                  <c:v>2.1903072250854936</c:v>
                </c:pt>
                <c:pt idx="1646">
                  <c:v>-29.226033048609974</c:v>
                </c:pt>
                <c:pt idx="1647">
                  <c:v>1.5504739746477281</c:v>
                </c:pt>
                <c:pt idx="1648">
                  <c:v>1.2100801822065164</c:v>
                </c:pt>
              </c:numCache>
            </c:numRef>
          </c:val>
          <c:extLst>
            <c:ext xmlns:c16="http://schemas.microsoft.com/office/drawing/2014/chart" uri="{C3380CC4-5D6E-409C-BE32-E72D297353CC}">
              <c16:uniqueId val="{00000001-8E53-411F-833C-CED1E54EC110}"/>
            </c:ext>
          </c:extLst>
        </c:ser>
        <c:dLbls>
          <c:showLegendKey val="0"/>
          <c:showVal val="0"/>
          <c:showCatName val="0"/>
          <c:showSerName val="0"/>
          <c:showPercent val="0"/>
          <c:showBubbleSize val="0"/>
        </c:dLbls>
        <c:gapWidth val="150"/>
        <c:axId val="145769711"/>
        <c:axId val="145775951"/>
      </c:barChart>
      <c:catAx>
        <c:axId val="145769711"/>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145775951"/>
        <c:crosses val="autoZero"/>
        <c:auto val="1"/>
        <c:lblAlgn val="ctr"/>
        <c:lblOffset val="100"/>
        <c:noMultiLvlLbl val="0"/>
      </c:catAx>
      <c:valAx>
        <c:axId val="145775951"/>
        <c:scaling>
          <c:orientation val="minMax"/>
        </c:scaling>
        <c:delete val="0"/>
        <c:axPos val="l"/>
        <c:majorGridlines/>
        <c:title>
          <c:tx>
            <c:rich>
              <a:bodyPr/>
              <a:lstStyle/>
              <a:p>
                <a:pPr>
                  <a:defRPr/>
                </a:pPr>
                <a:r>
                  <a:rPr lang="en-US"/>
                  <a:t>PRESS Residual</a:t>
                </a:r>
              </a:p>
            </c:rich>
          </c:tx>
          <c:overlay val="0"/>
        </c:title>
        <c:numFmt formatCode="0" sourceLinked="0"/>
        <c:majorTickMark val="out"/>
        <c:minorTickMark val="none"/>
        <c:tickLblPos val="nextTo"/>
        <c:crossAx val="145769711"/>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dLbls>
          <c:showLegendKey val="0"/>
          <c:showVal val="0"/>
          <c:showCatName val="0"/>
          <c:showSerName val="0"/>
          <c:showPercent val="0"/>
          <c:showBubbleSize val="0"/>
        </c:dLbls>
        <c:gapWidth val="150"/>
        <c:axId val="1892948847"/>
        <c:axId val="1892976207"/>
      </c:barChart>
      <c:catAx>
        <c:axId val="1892948847"/>
        <c:scaling>
          <c:orientation val="minMax"/>
        </c:scaling>
        <c:delete val="0"/>
        <c:axPos val="b"/>
        <c:majorTickMark val="out"/>
        <c:minorTickMark val="none"/>
        <c:tickLblPos val="nextTo"/>
        <c:crossAx val="1892976207"/>
        <c:crosses val="autoZero"/>
        <c:auto val="1"/>
        <c:lblAlgn val="ctr"/>
        <c:lblOffset val="100"/>
        <c:noMultiLvlLbl val="0"/>
      </c:catAx>
      <c:valAx>
        <c:axId val="1892976207"/>
        <c:scaling>
          <c:orientation val="minMax"/>
        </c:scaling>
        <c:delete val="0"/>
        <c:axPos val="l"/>
        <c:majorGridlines/>
        <c:majorTickMark val="out"/>
        <c:minorTickMark val="none"/>
        <c:tickLblPos val="nextTo"/>
        <c:crossAx val="1892948847"/>
        <c:crosses val="autoZero"/>
        <c:crossBetween val="between"/>
      </c:valAx>
    </c:plotArea>
    <c:legend>
      <c:legendPos val="r"/>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34</xdr:col>
      <xdr:colOff>0</xdr:colOff>
      <xdr:row>2</xdr:row>
      <xdr:rowOff>0</xdr:rowOff>
    </xdr:from>
    <xdr:to>
      <xdr:col>40</xdr:col>
      <xdr:colOff>279400</xdr:colOff>
      <xdr:row>22</xdr:row>
      <xdr:rowOff>127000</xdr:rowOff>
    </xdr:to>
    <xdr:graphicFrame macro="">
      <xdr:nvGraphicFramePr>
        <xdr:cNvPr id="9" name="Chart 8">
          <a:extLst>
            <a:ext uri="{FF2B5EF4-FFF2-40B4-BE49-F238E27FC236}">
              <a16:creationId xmlns:a16="http://schemas.microsoft.com/office/drawing/2014/main" id="{46C191D5-0B52-08A0-260D-DCFBFDBF1EC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40</xdr:col>
      <xdr:colOff>406400</xdr:colOff>
      <xdr:row>2</xdr:row>
      <xdr:rowOff>0</xdr:rowOff>
    </xdr:from>
    <xdr:to>
      <xdr:col>47</xdr:col>
      <xdr:colOff>76200</xdr:colOff>
      <xdr:row>22</xdr:row>
      <xdr:rowOff>127000</xdr:rowOff>
    </xdr:to>
    <xdr:graphicFrame macro="">
      <xdr:nvGraphicFramePr>
        <xdr:cNvPr id="10" name="Chart 9">
          <a:extLst>
            <a:ext uri="{FF2B5EF4-FFF2-40B4-BE49-F238E27FC236}">
              <a16:creationId xmlns:a16="http://schemas.microsoft.com/office/drawing/2014/main" id="{FF3EC098-EA1C-5583-A741-206A2A9B3D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34</xdr:col>
      <xdr:colOff>0</xdr:colOff>
      <xdr:row>23</xdr:row>
      <xdr:rowOff>63500</xdr:rowOff>
    </xdr:from>
    <xdr:to>
      <xdr:col>40</xdr:col>
      <xdr:colOff>279400</xdr:colOff>
      <xdr:row>44</xdr:row>
      <xdr:rowOff>0</xdr:rowOff>
    </xdr:to>
    <xdr:graphicFrame macro="">
      <xdr:nvGraphicFramePr>
        <xdr:cNvPr id="11" name="Chart 10">
          <a:extLst>
            <a:ext uri="{FF2B5EF4-FFF2-40B4-BE49-F238E27FC236}">
              <a16:creationId xmlns:a16="http://schemas.microsoft.com/office/drawing/2014/main" id="{80DDC593-9324-D936-5117-D4974F0E133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40</xdr:col>
      <xdr:colOff>406400</xdr:colOff>
      <xdr:row>23</xdr:row>
      <xdr:rowOff>63500</xdr:rowOff>
    </xdr:from>
    <xdr:to>
      <xdr:col>47</xdr:col>
      <xdr:colOff>76200</xdr:colOff>
      <xdr:row>44</xdr:row>
      <xdr:rowOff>0</xdr:rowOff>
    </xdr:to>
    <xdr:graphicFrame macro="">
      <xdr:nvGraphicFramePr>
        <xdr:cNvPr id="12" name="Chart 11">
          <a:extLst>
            <a:ext uri="{FF2B5EF4-FFF2-40B4-BE49-F238E27FC236}">
              <a16:creationId xmlns:a16="http://schemas.microsoft.com/office/drawing/2014/main" id="{60161A02-7CB3-B4C4-3263-AC8B76A4F6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34</xdr:col>
      <xdr:colOff>0</xdr:colOff>
      <xdr:row>44</xdr:row>
      <xdr:rowOff>127000</xdr:rowOff>
    </xdr:from>
    <xdr:to>
      <xdr:col>40</xdr:col>
      <xdr:colOff>279400</xdr:colOff>
      <xdr:row>65</xdr:row>
      <xdr:rowOff>63500</xdr:rowOff>
    </xdr:to>
    <xdr:graphicFrame macro="">
      <xdr:nvGraphicFramePr>
        <xdr:cNvPr id="13" name="Chart 12">
          <a:extLst>
            <a:ext uri="{FF2B5EF4-FFF2-40B4-BE49-F238E27FC236}">
              <a16:creationId xmlns:a16="http://schemas.microsoft.com/office/drawing/2014/main" id="{4A3C97F3-A319-7837-D21D-55DCB857E28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40</xdr:col>
      <xdr:colOff>406400</xdr:colOff>
      <xdr:row>44</xdr:row>
      <xdr:rowOff>127000</xdr:rowOff>
    </xdr:from>
    <xdr:to>
      <xdr:col>47</xdr:col>
      <xdr:colOff>76200</xdr:colOff>
      <xdr:row>65</xdr:row>
      <xdr:rowOff>63500</xdr:rowOff>
    </xdr:to>
    <xdr:graphicFrame macro="">
      <xdr:nvGraphicFramePr>
        <xdr:cNvPr id="14" name="Chart 13">
          <a:extLst>
            <a:ext uri="{FF2B5EF4-FFF2-40B4-BE49-F238E27FC236}">
              <a16:creationId xmlns:a16="http://schemas.microsoft.com/office/drawing/2014/main" id="{6DA2D095-F48E-129E-03D6-734D92176BA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34</xdr:col>
      <xdr:colOff>0</xdr:colOff>
      <xdr:row>66</xdr:row>
      <xdr:rowOff>0</xdr:rowOff>
    </xdr:from>
    <xdr:to>
      <xdr:col>40</xdr:col>
      <xdr:colOff>279400</xdr:colOff>
      <xdr:row>86</xdr:row>
      <xdr:rowOff>127000</xdr:rowOff>
    </xdr:to>
    <xdr:graphicFrame macro="">
      <xdr:nvGraphicFramePr>
        <xdr:cNvPr id="15" name="Chart 14">
          <a:extLst>
            <a:ext uri="{FF2B5EF4-FFF2-40B4-BE49-F238E27FC236}">
              <a16:creationId xmlns:a16="http://schemas.microsoft.com/office/drawing/2014/main" id="{25E66C4B-6F30-682D-AA35-B5670424227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0.08453</cdr:x>
      <cdr:y>0.11998</cdr:y>
    </cdr:from>
    <cdr:to>
      <cdr:x>0.95634</cdr:x>
      <cdr:y>0.91547</cdr:y>
    </cdr:to>
    <cdr:cxnSp macro="">
      <cdr:nvCxnSpPr>
        <cdr:cNvPr id="2" name="Straight Connector 1">
          <a:extLst xmlns:a="http://schemas.openxmlformats.org/drawingml/2006/main">
            <a:ext uri="{FF2B5EF4-FFF2-40B4-BE49-F238E27FC236}">
              <a16:creationId xmlns:a16="http://schemas.microsoft.com/office/drawing/2014/main" id="{7D3303ED-36CC-8AC1-E9E9-FB009F452798}"/>
            </a:ext>
          </a:extLst>
        </cdr:cNvPr>
        <cdr:cNvCxnSpPr/>
      </cdr:nvCxnSpPr>
      <cdr:spPr>
        <a:xfrm xmlns:a="http://schemas.openxmlformats.org/drawingml/2006/main" flipV="1">
          <a:off x="332804" y="472345"/>
          <a:ext cx="3432302" cy="3131851"/>
        </a:xfrm>
        <a:prstGeom xmlns:a="http://schemas.openxmlformats.org/drawingml/2006/main" prst="line">
          <a:avLst/>
        </a:prstGeom>
        <a:ln xmlns:a="http://schemas.openxmlformats.org/drawingml/2006/main" w="15875" cap="rnd">
          <a:solidFill>
            <a:srgbClr val="787878"/>
          </a:solidFill>
          <a:prstDash val="dot"/>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userShapes>
</file>

<file path=xl/drawings/drawing3.xml><?xml version="1.0" encoding="utf-8"?>
<c:userShapes xmlns:c="http://schemas.openxmlformats.org/drawingml/2006/chart">
  <cdr:relSizeAnchor xmlns:cdr="http://schemas.openxmlformats.org/drawingml/2006/chartDrawing">
    <cdr:from>
      <cdr:x>0.15186</cdr:x>
      <cdr:y>0.11998</cdr:y>
    </cdr:from>
    <cdr:to>
      <cdr:x>0.94816</cdr:x>
      <cdr:y>0.85106</cdr:y>
    </cdr:to>
    <cdr:cxnSp macro="">
      <cdr:nvCxnSpPr>
        <cdr:cNvPr id="2" name="Straight Connector 1">
          <a:extLst xmlns:a="http://schemas.openxmlformats.org/drawingml/2006/main">
            <a:ext uri="{FF2B5EF4-FFF2-40B4-BE49-F238E27FC236}">
              <a16:creationId xmlns:a16="http://schemas.microsoft.com/office/drawing/2014/main" id="{6A4ED2E4-6350-84D5-66F6-84CAEA5D7E6D}"/>
            </a:ext>
          </a:extLst>
        </cdr:cNvPr>
        <cdr:cNvCxnSpPr/>
      </cdr:nvCxnSpPr>
      <cdr:spPr>
        <a:xfrm xmlns:a="http://schemas.openxmlformats.org/drawingml/2006/main" flipV="1">
          <a:off x="597885" y="472345"/>
          <a:ext cx="3135026" cy="2878295"/>
        </a:xfrm>
        <a:prstGeom xmlns:a="http://schemas.openxmlformats.org/drawingml/2006/main" prst="line">
          <a:avLst/>
        </a:prstGeom>
        <a:ln xmlns:a="http://schemas.openxmlformats.org/drawingml/2006/main" w="15875" cap="rnd">
          <a:solidFill>
            <a:srgbClr val="787878"/>
          </a:solidFill>
          <a:prstDash val="dot"/>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userShapes>
</file>

<file path=xl/drawings/drawing4.xml><?xml version="1.0" encoding="utf-8"?>
<xdr:wsDr xmlns:xdr="http://schemas.openxmlformats.org/drawingml/2006/spreadsheetDrawing" xmlns:a="http://schemas.openxmlformats.org/drawingml/2006/main">
  <xdr:twoCellAnchor>
    <xdr:from>
      <xdr:col>6</xdr:col>
      <xdr:colOff>228600</xdr:colOff>
      <xdr:row>39</xdr:row>
      <xdr:rowOff>142875</xdr:rowOff>
    </xdr:from>
    <xdr:to>
      <xdr:col>12</xdr:col>
      <xdr:colOff>298450</xdr:colOff>
      <xdr:row>54</xdr:row>
      <xdr:rowOff>79375</xdr:rowOff>
    </xdr:to>
    <xdr:graphicFrame macro="">
      <xdr:nvGraphicFramePr>
        <xdr:cNvPr id="2" name="Chart 1">
          <a:extLst>
            <a:ext uri="{FF2B5EF4-FFF2-40B4-BE49-F238E27FC236}">
              <a16:creationId xmlns:a16="http://schemas.microsoft.com/office/drawing/2014/main" id="{CA6EDC66-1B86-770C-D973-9DC8AC2472A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13</v>
    <v>3</v>
  </rv>
</rvData>
</file>

<file path=xl/richData/rdrichvaluestructure.xml><?xml version="1.0" encoding="utf-8"?>
<rvStructures xmlns="http://schemas.microsoft.com/office/spreadsheetml/2017/richdata" count="1">
  <s t="_error">
    <k n="errorType"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51C8A13-A274-4C82-8E56-7C8206F41868}" name="LAMBDAFunctionsCatalog" displayName="LAMBDAFunctionsCatalog" ref="A1:F78" totalsRowShown="0" headerRowDxfId="21" dataDxfId="20">
  <autoFilter ref="A1:F78" xr:uid="{451C8A13-A274-4C82-8E56-7C8206F41868}"/>
  <tableColumns count="6">
    <tableColumn id="1" xr3:uid="{4280534B-FF5F-4152-A112-0EB085F787BF}" name="Function Name" dataDxfId="27"/>
    <tableColumn id="2" xr3:uid="{0979F8DF-BE1B-4E36-B510-9DD94E08F38F}" name="Definition" dataDxfId="26"/>
    <tableColumn id="3" xr3:uid="{3DEAA596-1D2D-48F9-AF8B-1E857FD541DA}" name="Arguments" dataDxfId="25"/>
    <tableColumn id="4" xr3:uid="{6C7B1E58-1E7B-4B9D-BEC2-81050161A926}" name="Yields" dataDxfId="24"/>
    <tableColumn id="5" xr3:uid="{8B84BB0F-D495-46CB-A1CE-4F250DF69F47}" name="Plain-Language Summary" dataDxfId="23"/>
    <tableColumn id="6" xr3:uid="{C6811408-EA80-4410-83CD-A3CD41A89DCB}" name="Description" dataDxfId="2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A4B1F5E-C143-4D33-8CB9-D6781BFF1889}" name="LifeExpectancyData" displayName="LifeExpectancyData" ref="A1:W2939" totalsRowShown="0">
  <autoFilter ref="A1:W2939" xr:uid="{6A4B1F5E-C143-4D33-8CB9-D6781BFF1889}"/>
  <tableColumns count="23">
    <tableColumn id="1" xr3:uid="{8034E46D-B463-4CCF-8898-1234E9F153A3}" name="Country"/>
    <tableColumn id="2" xr3:uid="{080C474E-F194-4190-90F4-C8FC315C7650}" name="Year"/>
    <tableColumn id="3" xr3:uid="{73FF7795-C636-4A5A-9BF0-AC70F3B4844D}" name="Status"/>
    <tableColumn id="4" xr3:uid="{FD3548CC-93E5-407B-BC42-5909BB9E93DA}" name="Life expectancy"/>
    <tableColumn id="5" xr3:uid="{1831FA54-871D-45F6-9B55-61B07D27EC8C}" name="Adult Mortality"/>
    <tableColumn id="6" xr3:uid="{C738B588-DEB4-4F5A-9F15-B152355944FB}" name="infant deaths"/>
    <tableColumn id="7" xr3:uid="{41F4D98D-957D-4101-AB39-2515F40DCB86}" name="Alcohol"/>
    <tableColumn id="8" xr3:uid="{1B2BB387-57F4-481B-9B00-8F709C3F1848}" name="percentage expenditure"/>
    <tableColumn id="9" xr3:uid="{F2592EB0-9112-4F93-B0E2-B5C185A64042}" name="Hepatitis B"/>
    <tableColumn id="10" xr3:uid="{5FC97CB2-951A-4E6E-9CEB-7A95A10E1DA5}" name="Measles"/>
    <tableColumn id="11" xr3:uid="{B726C9D1-C0A8-4229-99CC-E3EA3ECE91B2}" name="BMI"/>
    <tableColumn id="12" xr3:uid="{5137C36B-9431-492E-825E-6E959A445052}" name="under-five deaths"/>
    <tableColumn id="13" xr3:uid="{219460BC-E028-497D-B027-816141BCD37E}" name="Polio"/>
    <tableColumn id="14" xr3:uid="{2D883FBF-B492-4A64-A6EC-3E8F301C12B8}" name="Total expenditure"/>
    <tableColumn id="15" xr3:uid="{16FDF584-A8B1-482A-AA2E-59EC13B0206A}" name="Diphtheria"/>
    <tableColumn id="16" xr3:uid="{71EE86C6-EC3C-4D0F-B85A-28D267022EC9}" name="HIV/AIDS"/>
    <tableColumn id="17" xr3:uid="{90E66251-6707-4AEB-9AF1-5DE442E32408}" name="GDP"/>
    <tableColumn id="18" xr3:uid="{81405E62-C1B8-4284-AB4D-8C24E1BAA1C4}" name="Population"/>
    <tableColumn id="19" xr3:uid="{8E7B2BE2-802D-4F3C-A3CE-D5D08848C925}" name="thinness 1-19 years"/>
    <tableColumn id="20" xr3:uid="{58172631-C46F-4D5D-B217-AFE8C80E1C2C}" name="thinness 5-9 years"/>
    <tableColumn id="21" xr3:uid="{FB2DED49-CE08-4CF1-9B45-8CA925C4F28E}" name="Income composition of resources"/>
    <tableColumn id="22" xr3:uid="{7EAED272-B830-4967-8B7A-730633A792A4}" name="Schooling"/>
    <tableColumn id="23" xr3:uid="{99E04B4A-67F7-4867-A7D4-5D1FFC805014}" name="Full_Data">
      <calculatedColumnFormula>COUNT(LifeExpectancyData[[#This Row],[Life expectancy]:[Schooling]])=19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0B553A-D97E-401C-AA17-25065E0AB8FC}">
  <dimension ref="A1:F78"/>
  <sheetViews>
    <sheetView workbookViewId="0">
      <pane ySplit="1" topLeftCell="A2" activePane="bottomLeft" state="frozenSplit"/>
      <selection pane="bottomLeft" activeCell="F4" sqref="F4"/>
    </sheetView>
  </sheetViews>
  <sheetFormatPr defaultRowHeight="15" x14ac:dyDescent="0.25"/>
  <cols>
    <col min="1" max="1" width="18.7109375" customWidth="1"/>
    <col min="2" max="2" width="72.7109375" customWidth="1"/>
    <col min="3" max="3" width="30.7109375" customWidth="1"/>
    <col min="4" max="4" width="15.7109375" customWidth="1"/>
    <col min="5" max="5" width="34.7109375" customWidth="1"/>
    <col min="6" max="6" width="66.7109375" customWidth="1"/>
  </cols>
  <sheetData>
    <row r="1" spans="1:6" x14ac:dyDescent="0.25">
      <c r="A1" s="2" t="s">
        <v>0</v>
      </c>
      <c r="B1" s="2" t="s">
        <v>1</v>
      </c>
      <c r="C1" s="2" t="s">
        <v>2</v>
      </c>
      <c r="D1" s="2" t="s">
        <v>3</v>
      </c>
      <c r="E1" s="2" t="s">
        <v>4</v>
      </c>
      <c r="F1" s="2" t="s">
        <v>5</v>
      </c>
    </row>
    <row r="2" spans="1:6" ht="90" x14ac:dyDescent="0.25">
      <c r="A2" s="2" t="s">
        <v>6</v>
      </c>
      <c r="B2" s="1" t="s">
        <v>757</v>
      </c>
      <c r="C2" s="2" t="s">
        <v>758</v>
      </c>
      <c r="D2" s="2" t="s">
        <v>7</v>
      </c>
      <c r="E2" s="2" t="s">
        <v>8</v>
      </c>
      <c r="F2" s="2" t="s">
        <v>9</v>
      </c>
    </row>
    <row r="3" spans="1:6" ht="105" x14ac:dyDescent="0.25">
      <c r="A3" s="2" t="s">
        <v>10</v>
      </c>
      <c r="B3" s="1" t="s">
        <v>11</v>
      </c>
      <c r="C3" s="2" t="s">
        <v>12</v>
      </c>
      <c r="D3" s="2" t="s">
        <v>13</v>
      </c>
      <c r="E3" s="2" t="s">
        <v>14</v>
      </c>
      <c r="F3" s="2" t="s">
        <v>759</v>
      </c>
    </row>
    <row r="4" spans="1:6" ht="105" x14ac:dyDescent="0.25">
      <c r="A4" s="2" t="s">
        <v>15</v>
      </c>
      <c r="B4" s="1" t="s">
        <v>760</v>
      </c>
      <c r="C4" s="2" t="s">
        <v>761</v>
      </c>
      <c r="D4" s="2" t="s">
        <v>16</v>
      </c>
      <c r="E4" s="2" t="s">
        <v>17</v>
      </c>
      <c r="F4" s="2" t="s">
        <v>18</v>
      </c>
    </row>
    <row r="5" spans="1:6" ht="120" x14ac:dyDescent="0.25">
      <c r="A5" s="2" t="s">
        <v>19</v>
      </c>
      <c r="B5" s="1" t="s">
        <v>762</v>
      </c>
      <c r="C5" s="2" t="s">
        <v>763</v>
      </c>
      <c r="D5" s="2" t="s">
        <v>20</v>
      </c>
      <c r="E5" s="2" t="s">
        <v>21</v>
      </c>
      <c r="F5" s="2" t="s">
        <v>22</v>
      </c>
    </row>
    <row r="6" spans="1:6" ht="120" x14ac:dyDescent="0.25">
      <c r="A6" s="2" t="s">
        <v>23</v>
      </c>
      <c r="B6" s="1" t="s">
        <v>764</v>
      </c>
      <c r="C6" s="2" t="s">
        <v>763</v>
      </c>
      <c r="D6" s="2" t="s">
        <v>24</v>
      </c>
      <c r="E6" s="2" t="s">
        <v>25</v>
      </c>
      <c r="F6" s="2" t="s">
        <v>26</v>
      </c>
    </row>
    <row r="7" spans="1:6" ht="120" x14ac:dyDescent="0.25">
      <c r="A7" s="2" t="s">
        <v>27</v>
      </c>
      <c r="B7" s="1" t="s">
        <v>765</v>
      </c>
      <c r="C7" s="2" t="s">
        <v>763</v>
      </c>
      <c r="D7" s="2" t="s">
        <v>28</v>
      </c>
      <c r="E7" s="2" t="s">
        <v>29</v>
      </c>
      <c r="F7" s="2" t="s">
        <v>30</v>
      </c>
    </row>
    <row r="8" spans="1:6" ht="150" x14ac:dyDescent="0.25">
      <c r="A8" s="2" t="s">
        <v>31</v>
      </c>
      <c r="B8" s="1" t="s">
        <v>766</v>
      </c>
      <c r="C8" s="2" t="s">
        <v>763</v>
      </c>
      <c r="D8" s="2" t="s">
        <v>32</v>
      </c>
      <c r="E8" s="2" t="s">
        <v>33</v>
      </c>
      <c r="F8" s="2" t="s">
        <v>34</v>
      </c>
    </row>
    <row r="9" spans="1:6" ht="120" x14ac:dyDescent="0.25">
      <c r="A9" s="2" t="s">
        <v>35</v>
      </c>
      <c r="B9" s="1" t="s">
        <v>767</v>
      </c>
      <c r="C9" s="2" t="s">
        <v>761</v>
      </c>
      <c r="D9" s="2" t="s">
        <v>36</v>
      </c>
      <c r="E9" s="2" t="s">
        <v>37</v>
      </c>
      <c r="F9" s="2" t="s">
        <v>38</v>
      </c>
    </row>
    <row r="10" spans="1:6" ht="120" x14ac:dyDescent="0.25">
      <c r="A10" s="2" t="s">
        <v>39</v>
      </c>
      <c r="B10" s="1" t="s">
        <v>768</v>
      </c>
      <c r="C10" s="2" t="s">
        <v>763</v>
      </c>
      <c r="D10" s="2" t="s">
        <v>40</v>
      </c>
      <c r="E10" s="2" t="s">
        <v>41</v>
      </c>
      <c r="F10" s="2" t="s">
        <v>42</v>
      </c>
    </row>
    <row r="11" spans="1:6" ht="120" x14ac:dyDescent="0.25">
      <c r="A11" s="2" t="s">
        <v>43</v>
      </c>
      <c r="B11" s="1" t="s">
        <v>769</v>
      </c>
      <c r="C11" s="2" t="s">
        <v>763</v>
      </c>
      <c r="D11" s="2" t="s">
        <v>44</v>
      </c>
      <c r="E11" s="2" t="s">
        <v>45</v>
      </c>
      <c r="F11" s="2" t="s">
        <v>46</v>
      </c>
    </row>
    <row r="12" spans="1:6" ht="120" x14ac:dyDescent="0.25">
      <c r="A12" s="2" t="s">
        <v>47</v>
      </c>
      <c r="B12" s="1" t="s">
        <v>770</v>
      </c>
      <c r="C12" s="2" t="s">
        <v>763</v>
      </c>
      <c r="D12" s="2" t="s">
        <v>48</v>
      </c>
      <c r="E12" s="2" t="s">
        <v>49</v>
      </c>
      <c r="F12" s="2" t="s">
        <v>50</v>
      </c>
    </row>
    <row r="13" spans="1:6" ht="120" x14ac:dyDescent="0.25">
      <c r="A13" s="2" t="s">
        <v>51</v>
      </c>
      <c r="B13" s="1" t="s">
        <v>771</v>
      </c>
      <c r="C13" s="2" t="s">
        <v>763</v>
      </c>
      <c r="D13" s="2" t="s">
        <v>52</v>
      </c>
      <c r="E13" s="2" t="s">
        <v>53</v>
      </c>
      <c r="F13" s="2" t="s">
        <v>54</v>
      </c>
    </row>
    <row r="14" spans="1:6" ht="120" x14ac:dyDescent="0.25">
      <c r="A14" s="2" t="s">
        <v>55</v>
      </c>
      <c r="B14" s="1" t="s">
        <v>772</v>
      </c>
      <c r="C14" s="2" t="s">
        <v>763</v>
      </c>
      <c r="D14" s="2" t="s">
        <v>56</v>
      </c>
      <c r="E14" s="2" t="s">
        <v>57</v>
      </c>
      <c r="F14" s="2" t="s">
        <v>58</v>
      </c>
    </row>
    <row r="15" spans="1:6" ht="135" x14ac:dyDescent="0.25">
      <c r="A15" s="2" t="s">
        <v>59</v>
      </c>
      <c r="B15" s="1" t="s">
        <v>773</v>
      </c>
      <c r="C15" s="2" t="s">
        <v>763</v>
      </c>
      <c r="D15" s="2" t="s">
        <v>60</v>
      </c>
      <c r="E15" s="2" t="s">
        <v>61</v>
      </c>
      <c r="F15" s="2" t="s">
        <v>62</v>
      </c>
    </row>
    <row r="16" spans="1:6" ht="135" x14ac:dyDescent="0.25">
      <c r="A16" s="2" t="s">
        <v>63</v>
      </c>
      <c r="B16" s="1" t="s">
        <v>774</v>
      </c>
      <c r="C16" s="2" t="s">
        <v>763</v>
      </c>
      <c r="D16" s="2" t="s">
        <v>64</v>
      </c>
      <c r="E16" s="2" t="s">
        <v>65</v>
      </c>
      <c r="F16" s="2" t="s">
        <v>66</v>
      </c>
    </row>
    <row r="17" spans="1:6" ht="135" x14ac:dyDescent="0.25">
      <c r="A17" s="2" t="s">
        <v>67</v>
      </c>
      <c r="B17" s="1" t="s">
        <v>775</v>
      </c>
      <c r="C17" s="2" t="s">
        <v>763</v>
      </c>
      <c r="D17" s="2" t="s">
        <v>68</v>
      </c>
      <c r="E17" s="2" t="s">
        <v>69</v>
      </c>
      <c r="F17" s="2" t="s">
        <v>70</v>
      </c>
    </row>
    <row r="18" spans="1:6" ht="150" x14ac:dyDescent="0.25">
      <c r="A18" s="2" t="s">
        <v>71</v>
      </c>
      <c r="B18" s="1" t="s">
        <v>776</v>
      </c>
      <c r="C18" s="2" t="s">
        <v>763</v>
      </c>
      <c r="D18" s="2" t="s">
        <v>72</v>
      </c>
      <c r="E18" s="2" t="s">
        <v>73</v>
      </c>
      <c r="F18" s="2" t="s">
        <v>74</v>
      </c>
    </row>
    <row r="19" spans="1:6" ht="135" x14ac:dyDescent="0.25">
      <c r="A19" s="2" t="s">
        <v>75</v>
      </c>
      <c r="B19" s="1" t="s">
        <v>777</v>
      </c>
      <c r="C19" s="2" t="s">
        <v>763</v>
      </c>
      <c r="D19" s="2" t="s">
        <v>76</v>
      </c>
      <c r="E19" s="2" t="s">
        <v>77</v>
      </c>
      <c r="F19" s="2" t="s">
        <v>78</v>
      </c>
    </row>
    <row r="20" spans="1:6" ht="135" x14ac:dyDescent="0.25">
      <c r="A20" s="2" t="s">
        <v>79</v>
      </c>
      <c r="B20" s="1" t="s">
        <v>778</v>
      </c>
      <c r="C20" s="2" t="s">
        <v>763</v>
      </c>
      <c r="D20" s="2" t="s">
        <v>80</v>
      </c>
      <c r="E20" s="2" t="s">
        <v>81</v>
      </c>
      <c r="F20" s="2" t="s">
        <v>82</v>
      </c>
    </row>
    <row r="21" spans="1:6" ht="165" x14ac:dyDescent="0.25">
      <c r="A21" s="2" t="s">
        <v>83</v>
      </c>
      <c r="B21" s="1" t="s">
        <v>779</v>
      </c>
      <c r="C21" s="2" t="s">
        <v>763</v>
      </c>
      <c r="D21" s="2" t="s">
        <v>84</v>
      </c>
      <c r="E21" s="2" t="s">
        <v>85</v>
      </c>
      <c r="F21" s="2" t="s">
        <v>86</v>
      </c>
    </row>
    <row r="22" spans="1:6" ht="180" x14ac:dyDescent="0.25">
      <c r="A22" s="2" t="s">
        <v>87</v>
      </c>
      <c r="B22" s="1" t="s">
        <v>780</v>
      </c>
      <c r="C22" s="2" t="s">
        <v>763</v>
      </c>
      <c r="D22" s="2" t="s">
        <v>88</v>
      </c>
      <c r="E22" s="2" t="s">
        <v>89</v>
      </c>
      <c r="F22" s="2" t="s">
        <v>90</v>
      </c>
    </row>
    <row r="23" spans="1:6" ht="120" x14ac:dyDescent="0.25">
      <c r="A23" s="2" t="s">
        <v>91</v>
      </c>
      <c r="B23" s="1" t="s">
        <v>781</v>
      </c>
      <c r="C23" s="2" t="s">
        <v>763</v>
      </c>
      <c r="D23" s="2" t="s">
        <v>92</v>
      </c>
      <c r="E23" s="2" t="s">
        <v>93</v>
      </c>
      <c r="F23" s="2" t="s">
        <v>94</v>
      </c>
    </row>
    <row r="24" spans="1:6" ht="120" x14ac:dyDescent="0.25">
      <c r="A24" s="2" t="s">
        <v>95</v>
      </c>
      <c r="B24" s="1" t="s">
        <v>782</v>
      </c>
      <c r="C24" s="2" t="s">
        <v>763</v>
      </c>
      <c r="D24" s="2" t="s">
        <v>96</v>
      </c>
      <c r="E24" s="2" t="s">
        <v>97</v>
      </c>
      <c r="F24" s="2" t="s">
        <v>98</v>
      </c>
    </row>
    <row r="25" spans="1:6" ht="150" x14ac:dyDescent="0.25">
      <c r="A25" s="2" t="s">
        <v>99</v>
      </c>
      <c r="B25" s="1" t="s">
        <v>783</v>
      </c>
      <c r="C25" s="2" t="s">
        <v>784</v>
      </c>
      <c r="D25" s="2" t="s">
        <v>100</v>
      </c>
      <c r="E25" s="2" t="s">
        <v>101</v>
      </c>
      <c r="F25" s="2" t="s">
        <v>102</v>
      </c>
    </row>
    <row r="26" spans="1:6" ht="150" x14ac:dyDescent="0.25">
      <c r="A26" s="2" t="s">
        <v>103</v>
      </c>
      <c r="B26" s="1" t="s">
        <v>785</v>
      </c>
      <c r="C26" s="2" t="s">
        <v>784</v>
      </c>
      <c r="D26" s="2" t="s">
        <v>104</v>
      </c>
      <c r="E26" s="2" t="s">
        <v>105</v>
      </c>
      <c r="F26" s="2" t="s">
        <v>106</v>
      </c>
    </row>
    <row r="27" spans="1:6" ht="120" x14ac:dyDescent="0.25">
      <c r="A27" s="2" t="s">
        <v>107</v>
      </c>
      <c r="B27" s="1" t="s">
        <v>786</v>
      </c>
      <c r="C27" s="2" t="s">
        <v>763</v>
      </c>
      <c r="D27" s="2" t="s">
        <v>108</v>
      </c>
      <c r="E27" s="2" t="s">
        <v>109</v>
      </c>
      <c r="F27" s="2" t="s">
        <v>110</v>
      </c>
    </row>
    <row r="28" spans="1:6" ht="120" x14ac:dyDescent="0.25">
      <c r="A28" s="2" t="s">
        <v>111</v>
      </c>
      <c r="B28" s="1" t="s">
        <v>787</v>
      </c>
      <c r="C28" s="2" t="s">
        <v>763</v>
      </c>
      <c r="D28" s="2" t="s">
        <v>112</v>
      </c>
      <c r="E28" s="2" t="s">
        <v>113</v>
      </c>
      <c r="F28" s="2" t="s">
        <v>114</v>
      </c>
    </row>
    <row r="29" spans="1:6" ht="180" x14ac:dyDescent="0.25">
      <c r="A29" s="2" t="s">
        <v>115</v>
      </c>
      <c r="B29" s="1" t="s">
        <v>788</v>
      </c>
      <c r="C29" s="2" t="s">
        <v>763</v>
      </c>
      <c r="D29" s="2" t="s">
        <v>116</v>
      </c>
      <c r="E29" s="2" t="s">
        <v>117</v>
      </c>
      <c r="F29" s="2" t="s">
        <v>118</v>
      </c>
    </row>
    <row r="30" spans="1:6" ht="300" x14ac:dyDescent="0.25">
      <c r="A30" s="2" t="s">
        <v>119</v>
      </c>
      <c r="B30" s="1" t="s">
        <v>789</v>
      </c>
      <c r="C30" s="2" t="s">
        <v>790</v>
      </c>
      <c r="D30" s="2" t="s">
        <v>120</v>
      </c>
      <c r="E30" s="2" t="s">
        <v>121</v>
      </c>
      <c r="F30" s="2" t="s">
        <v>122</v>
      </c>
    </row>
    <row r="31" spans="1:6" ht="120" x14ac:dyDescent="0.25">
      <c r="A31" s="2" t="s">
        <v>123</v>
      </c>
      <c r="B31" s="1" t="s">
        <v>791</v>
      </c>
      <c r="C31" s="2" t="s">
        <v>792</v>
      </c>
      <c r="D31" s="2" t="s">
        <v>124</v>
      </c>
      <c r="E31" s="2" t="s">
        <v>125</v>
      </c>
      <c r="F31" s="2" t="s">
        <v>126</v>
      </c>
    </row>
    <row r="32" spans="1:6" ht="405" x14ac:dyDescent="0.25">
      <c r="A32" s="2" t="s">
        <v>127</v>
      </c>
      <c r="B32" s="1" t="s">
        <v>793</v>
      </c>
      <c r="C32" s="2" t="s">
        <v>794</v>
      </c>
      <c r="D32" s="2" t="s">
        <v>128</v>
      </c>
      <c r="E32" s="2" t="s">
        <v>129</v>
      </c>
      <c r="F32" s="2" t="s">
        <v>130</v>
      </c>
    </row>
    <row r="33" spans="1:6" ht="60" x14ac:dyDescent="0.25">
      <c r="A33" s="2" t="s">
        <v>131</v>
      </c>
      <c r="B33" s="1" t="s">
        <v>795</v>
      </c>
      <c r="C33" s="2" t="s">
        <v>758</v>
      </c>
      <c r="D33" s="2" t="s">
        <v>132</v>
      </c>
      <c r="E33" s="2" t="s">
        <v>133</v>
      </c>
      <c r="F33" s="2" t="s">
        <v>134</v>
      </c>
    </row>
    <row r="34" spans="1:6" ht="90" x14ac:dyDescent="0.25">
      <c r="A34" s="2" t="s">
        <v>135</v>
      </c>
      <c r="B34" s="1" t="s">
        <v>796</v>
      </c>
      <c r="C34" s="2" t="s">
        <v>758</v>
      </c>
      <c r="D34" s="2" t="s">
        <v>136</v>
      </c>
      <c r="E34" s="2" t="s">
        <v>137</v>
      </c>
      <c r="F34" s="2" t="s">
        <v>138</v>
      </c>
    </row>
    <row r="35" spans="1:6" ht="60" x14ac:dyDescent="0.25">
      <c r="A35" s="2" t="s">
        <v>139</v>
      </c>
      <c r="B35" s="1" t="s">
        <v>797</v>
      </c>
      <c r="C35" s="2" t="s">
        <v>758</v>
      </c>
      <c r="D35" s="2" t="s">
        <v>140</v>
      </c>
      <c r="E35" s="2" t="s">
        <v>141</v>
      </c>
      <c r="F35" s="2" t="s">
        <v>142</v>
      </c>
    </row>
    <row r="36" spans="1:6" ht="90" x14ac:dyDescent="0.25">
      <c r="A36" s="2" t="s">
        <v>143</v>
      </c>
      <c r="B36" s="1" t="s">
        <v>798</v>
      </c>
      <c r="C36" s="2" t="s">
        <v>758</v>
      </c>
      <c r="D36" s="2" t="s">
        <v>799</v>
      </c>
      <c r="E36" s="2" t="s">
        <v>144</v>
      </c>
      <c r="F36" s="2" t="s">
        <v>145</v>
      </c>
    </row>
    <row r="37" spans="1:6" ht="120" x14ac:dyDescent="0.25">
      <c r="A37" s="2" t="s">
        <v>146</v>
      </c>
      <c r="B37" s="1" t="s">
        <v>800</v>
      </c>
      <c r="C37" s="2" t="s">
        <v>758</v>
      </c>
      <c r="D37" s="2" t="s">
        <v>147</v>
      </c>
      <c r="E37" s="2" t="s">
        <v>148</v>
      </c>
      <c r="F37" s="2" t="s">
        <v>149</v>
      </c>
    </row>
    <row r="38" spans="1:6" ht="165" x14ac:dyDescent="0.25">
      <c r="A38" s="2" t="s">
        <v>150</v>
      </c>
      <c r="B38" s="1" t="s">
        <v>801</v>
      </c>
      <c r="C38" s="2" t="s">
        <v>802</v>
      </c>
      <c r="D38" s="2" t="s">
        <v>151</v>
      </c>
      <c r="E38" s="2" t="s">
        <v>152</v>
      </c>
      <c r="F38" s="2" t="s">
        <v>153</v>
      </c>
    </row>
    <row r="39" spans="1:6" ht="105" x14ac:dyDescent="0.25">
      <c r="A39" s="2" t="s">
        <v>154</v>
      </c>
      <c r="B39" s="1" t="s">
        <v>155</v>
      </c>
      <c r="C39" s="2" t="s">
        <v>156</v>
      </c>
      <c r="D39" s="2" t="s">
        <v>157</v>
      </c>
      <c r="E39" s="2" t="s">
        <v>158</v>
      </c>
      <c r="F39" s="2" t="s">
        <v>159</v>
      </c>
    </row>
    <row r="40" spans="1:6" ht="135" x14ac:dyDescent="0.25">
      <c r="A40" s="2" t="s">
        <v>160</v>
      </c>
      <c r="B40" s="1" t="s">
        <v>803</v>
      </c>
      <c r="C40" s="2" t="s">
        <v>763</v>
      </c>
      <c r="D40" s="2" t="s">
        <v>161</v>
      </c>
      <c r="E40" s="2" t="s">
        <v>162</v>
      </c>
      <c r="F40" s="2" t="s">
        <v>163</v>
      </c>
    </row>
    <row r="41" spans="1:6" ht="120" x14ac:dyDescent="0.25">
      <c r="A41" s="2" t="s">
        <v>164</v>
      </c>
      <c r="B41" s="1" t="s">
        <v>804</v>
      </c>
      <c r="C41" s="2" t="s">
        <v>763</v>
      </c>
      <c r="D41" s="2" t="s">
        <v>165</v>
      </c>
      <c r="E41" s="2" t="s">
        <v>166</v>
      </c>
      <c r="F41" s="2" t="s">
        <v>167</v>
      </c>
    </row>
    <row r="42" spans="1:6" ht="120" x14ac:dyDescent="0.25">
      <c r="A42" s="2" t="s">
        <v>168</v>
      </c>
      <c r="B42" s="1" t="s">
        <v>805</v>
      </c>
      <c r="C42" s="2" t="s">
        <v>763</v>
      </c>
      <c r="D42" s="2" t="s">
        <v>169</v>
      </c>
      <c r="E42" s="2" t="s">
        <v>170</v>
      </c>
      <c r="F42" s="2" t="s">
        <v>171</v>
      </c>
    </row>
    <row r="43" spans="1:6" ht="105" x14ac:dyDescent="0.25">
      <c r="A43" s="2" t="s">
        <v>172</v>
      </c>
      <c r="B43" s="1" t="s">
        <v>173</v>
      </c>
      <c r="C43" s="2" t="s">
        <v>174</v>
      </c>
      <c r="D43" s="2" t="s">
        <v>175</v>
      </c>
      <c r="E43" s="2" t="s">
        <v>176</v>
      </c>
      <c r="F43" s="2" t="s">
        <v>177</v>
      </c>
    </row>
    <row r="44" spans="1:6" ht="210" x14ac:dyDescent="0.25">
      <c r="A44" s="2" t="s">
        <v>178</v>
      </c>
      <c r="B44" s="1" t="s">
        <v>179</v>
      </c>
      <c r="C44" s="2" t="s">
        <v>180</v>
      </c>
      <c r="D44" s="2" t="s">
        <v>181</v>
      </c>
      <c r="E44" s="2" t="s">
        <v>182</v>
      </c>
      <c r="F44" s="2" t="s">
        <v>183</v>
      </c>
    </row>
    <row r="45" spans="1:6" ht="195" x14ac:dyDescent="0.25">
      <c r="A45" s="2" t="s">
        <v>184</v>
      </c>
      <c r="B45" s="1" t="s">
        <v>806</v>
      </c>
      <c r="C45" s="2" t="s">
        <v>807</v>
      </c>
      <c r="D45" s="2" t="s">
        <v>185</v>
      </c>
      <c r="E45" s="2" t="s">
        <v>186</v>
      </c>
      <c r="F45" s="2" t="s">
        <v>187</v>
      </c>
    </row>
    <row r="46" spans="1:6" ht="150" x14ac:dyDescent="0.25">
      <c r="A46" s="2" t="s">
        <v>188</v>
      </c>
      <c r="B46" s="1" t="s">
        <v>808</v>
      </c>
      <c r="C46" s="2" t="s">
        <v>763</v>
      </c>
      <c r="D46" s="2" t="s">
        <v>189</v>
      </c>
      <c r="E46" s="2" t="s">
        <v>190</v>
      </c>
      <c r="F46" s="2" t="s">
        <v>191</v>
      </c>
    </row>
    <row r="47" spans="1:6" ht="150" x14ac:dyDescent="0.25">
      <c r="A47" s="2" t="s">
        <v>192</v>
      </c>
      <c r="B47" s="1" t="s">
        <v>809</v>
      </c>
      <c r="C47" s="2" t="s">
        <v>802</v>
      </c>
      <c r="D47" s="2" t="s">
        <v>193</v>
      </c>
      <c r="E47" s="2" t="s">
        <v>194</v>
      </c>
      <c r="F47" s="2" t="s">
        <v>195</v>
      </c>
    </row>
    <row r="48" spans="1:6" ht="135" x14ac:dyDescent="0.25">
      <c r="A48" s="2" t="s">
        <v>196</v>
      </c>
      <c r="B48" s="1" t="s">
        <v>810</v>
      </c>
      <c r="C48" s="2" t="s">
        <v>763</v>
      </c>
      <c r="D48" s="2" t="s">
        <v>197</v>
      </c>
      <c r="E48" s="2" t="s">
        <v>198</v>
      </c>
      <c r="F48" s="2" t="s">
        <v>199</v>
      </c>
    </row>
    <row r="49" spans="1:6" ht="120" x14ac:dyDescent="0.25">
      <c r="A49" s="2" t="s">
        <v>200</v>
      </c>
      <c r="B49" s="1" t="s">
        <v>811</v>
      </c>
      <c r="C49" s="2" t="s">
        <v>763</v>
      </c>
      <c r="D49" s="2" t="s">
        <v>201</v>
      </c>
      <c r="E49" s="2" t="s">
        <v>202</v>
      </c>
      <c r="F49" s="2" t="s">
        <v>203</v>
      </c>
    </row>
    <row r="50" spans="1:6" ht="135" x14ac:dyDescent="0.25">
      <c r="A50" s="2" t="s">
        <v>204</v>
      </c>
      <c r="B50" s="1" t="s">
        <v>812</v>
      </c>
      <c r="C50" s="2" t="s">
        <v>763</v>
      </c>
      <c r="D50" s="2" t="s">
        <v>205</v>
      </c>
      <c r="E50" s="2" t="s">
        <v>206</v>
      </c>
      <c r="F50" s="2" t="s">
        <v>207</v>
      </c>
    </row>
    <row r="51" spans="1:6" ht="120" x14ac:dyDescent="0.25">
      <c r="A51" s="2" t="s">
        <v>208</v>
      </c>
      <c r="B51" s="1" t="s">
        <v>813</v>
      </c>
      <c r="C51" s="2" t="s">
        <v>763</v>
      </c>
      <c r="D51" s="2" t="s">
        <v>209</v>
      </c>
      <c r="E51" s="2" t="s">
        <v>210</v>
      </c>
      <c r="F51" s="2" t="s">
        <v>211</v>
      </c>
    </row>
    <row r="52" spans="1:6" ht="135" x14ac:dyDescent="0.25">
      <c r="A52" s="2" t="s">
        <v>212</v>
      </c>
      <c r="B52" s="1" t="s">
        <v>213</v>
      </c>
      <c r="C52" s="2" t="s">
        <v>214</v>
      </c>
      <c r="D52" s="2" t="s">
        <v>215</v>
      </c>
      <c r="E52" s="2" t="s">
        <v>216</v>
      </c>
      <c r="F52" s="2" t="s">
        <v>217</v>
      </c>
    </row>
    <row r="53" spans="1:6" ht="150" x14ac:dyDescent="0.25">
      <c r="A53" s="2" t="s">
        <v>218</v>
      </c>
      <c r="B53" s="1" t="s">
        <v>219</v>
      </c>
      <c r="C53" s="2" t="s">
        <v>220</v>
      </c>
      <c r="D53" s="2" t="s">
        <v>221</v>
      </c>
      <c r="E53" s="2" t="s">
        <v>222</v>
      </c>
      <c r="F53" s="2" t="s">
        <v>814</v>
      </c>
    </row>
    <row r="54" spans="1:6" ht="150" x14ac:dyDescent="0.25">
      <c r="A54" s="2" t="s">
        <v>223</v>
      </c>
      <c r="B54" s="1" t="s">
        <v>815</v>
      </c>
      <c r="C54" s="2" t="s">
        <v>816</v>
      </c>
      <c r="D54" s="2" t="s">
        <v>224</v>
      </c>
      <c r="E54" s="2" t="s">
        <v>225</v>
      </c>
      <c r="F54" s="2" t="s">
        <v>817</v>
      </c>
    </row>
    <row r="55" spans="1:6" ht="315" x14ac:dyDescent="0.25">
      <c r="A55" s="2" t="s">
        <v>226</v>
      </c>
      <c r="B55" s="1" t="s">
        <v>818</v>
      </c>
      <c r="C55" s="2" t="s">
        <v>819</v>
      </c>
      <c r="D55" s="2" t="s">
        <v>227</v>
      </c>
      <c r="E55" s="2" t="s">
        <v>228</v>
      </c>
      <c r="F55" s="2" t="s">
        <v>820</v>
      </c>
    </row>
    <row r="56" spans="1:6" ht="135" x14ac:dyDescent="0.25">
      <c r="A56" s="2" t="s">
        <v>229</v>
      </c>
      <c r="B56" s="1" t="s">
        <v>821</v>
      </c>
      <c r="C56" s="2" t="s">
        <v>822</v>
      </c>
      <c r="D56" s="2" t="s">
        <v>230</v>
      </c>
      <c r="E56" s="2" t="s">
        <v>231</v>
      </c>
      <c r="F56" s="2" t="s">
        <v>232</v>
      </c>
    </row>
    <row r="57" spans="1:6" ht="150" x14ac:dyDescent="0.25">
      <c r="A57" s="2" t="s">
        <v>233</v>
      </c>
      <c r="B57" s="1" t="s">
        <v>823</v>
      </c>
      <c r="C57" s="2" t="s">
        <v>822</v>
      </c>
      <c r="D57" s="2" t="s">
        <v>234</v>
      </c>
      <c r="E57" s="2" t="s">
        <v>235</v>
      </c>
      <c r="F57" s="2" t="s">
        <v>236</v>
      </c>
    </row>
    <row r="58" spans="1:6" ht="165" x14ac:dyDescent="0.25">
      <c r="A58" s="2" t="s">
        <v>237</v>
      </c>
      <c r="B58" s="1" t="s">
        <v>824</v>
      </c>
      <c r="C58" s="2" t="s">
        <v>763</v>
      </c>
      <c r="D58" s="2" t="s">
        <v>238</v>
      </c>
      <c r="E58" s="2" t="s">
        <v>239</v>
      </c>
      <c r="F58" s="2" t="s">
        <v>240</v>
      </c>
    </row>
    <row r="59" spans="1:6" ht="150" x14ac:dyDescent="0.25">
      <c r="A59" s="2" t="s">
        <v>241</v>
      </c>
      <c r="B59" s="1" t="s">
        <v>825</v>
      </c>
      <c r="C59" s="2" t="s">
        <v>763</v>
      </c>
      <c r="D59" s="2" t="s">
        <v>242</v>
      </c>
      <c r="E59" s="2" t="s">
        <v>243</v>
      </c>
      <c r="F59" s="2" t="s">
        <v>244</v>
      </c>
    </row>
    <row r="60" spans="1:6" ht="150" x14ac:dyDescent="0.25">
      <c r="A60" s="2" t="s">
        <v>245</v>
      </c>
      <c r="B60" s="1" t="s">
        <v>826</v>
      </c>
      <c r="C60" s="2" t="s">
        <v>827</v>
      </c>
      <c r="D60" s="2" t="s">
        <v>246</v>
      </c>
      <c r="E60" s="2" t="s">
        <v>247</v>
      </c>
      <c r="F60" s="2" t="s">
        <v>248</v>
      </c>
    </row>
    <row r="61" spans="1:6" ht="120" x14ac:dyDescent="0.25">
      <c r="A61" s="2" t="s">
        <v>249</v>
      </c>
      <c r="B61" s="1" t="s">
        <v>250</v>
      </c>
      <c r="C61" s="2" t="s">
        <v>251</v>
      </c>
      <c r="D61" s="2" t="s">
        <v>252</v>
      </c>
      <c r="E61" s="2" t="s">
        <v>253</v>
      </c>
      <c r="F61" s="2" t="s">
        <v>254</v>
      </c>
    </row>
    <row r="62" spans="1:6" ht="330" x14ac:dyDescent="0.25">
      <c r="A62" s="2" t="s">
        <v>255</v>
      </c>
      <c r="B62" s="1" t="s">
        <v>256</v>
      </c>
      <c r="C62" s="2" t="s">
        <v>257</v>
      </c>
      <c r="D62" s="2" t="s">
        <v>258</v>
      </c>
      <c r="E62" s="2" t="s">
        <v>259</v>
      </c>
      <c r="F62" s="2" t="s">
        <v>260</v>
      </c>
    </row>
    <row r="63" spans="1:6" ht="120" x14ac:dyDescent="0.25">
      <c r="A63" s="2" t="s">
        <v>261</v>
      </c>
      <c r="B63" s="1" t="s">
        <v>262</v>
      </c>
      <c r="C63" s="2" t="s">
        <v>263</v>
      </c>
      <c r="D63" s="2" t="s">
        <v>264</v>
      </c>
      <c r="E63" s="2" t="s">
        <v>265</v>
      </c>
      <c r="F63" s="2" t="s">
        <v>266</v>
      </c>
    </row>
    <row r="64" spans="1:6" ht="150" x14ac:dyDescent="0.25">
      <c r="A64" s="2" t="s">
        <v>267</v>
      </c>
      <c r="B64" s="1" t="s">
        <v>268</v>
      </c>
      <c r="C64" s="2" t="s">
        <v>263</v>
      </c>
      <c r="D64" s="2" t="s">
        <v>269</v>
      </c>
      <c r="E64" s="2" t="s">
        <v>270</v>
      </c>
      <c r="F64" s="2" t="s">
        <v>271</v>
      </c>
    </row>
    <row r="65" spans="1:6" ht="150" x14ac:dyDescent="0.25">
      <c r="A65" s="2" t="s">
        <v>272</v>
      </c>
      <c r="B65" s="1" t="s">
        <v>273</v>
      </c>
      <c r="C65" s="2" t="s">
        <v>263</v>
      </c>
      <c r="D65" s="2" t="s">
        <v>274</v>
      </c>
      <c r="E65" s="2" t="s">
        <v>275</v>
      </c>
      <c r="F65" s="2" t="s">
        <v>276</v>
      </c>
    </row>
    <row r="66" spans="1:6" ht="330" x14ac:dyDescent="0.25">
      <c r="A66" s="2" t="s">
        <v>277</v>
      </c>
      <c r="B66" s="1" t="s">
        <v>278</v>
      </c>
      <c r="C66" s="2" t="s">
        <v>279</v>
      </c>
      <c r="D66" s="2" t="s">
        <v>280</v>
      </c>
      <c r="E66" s="2" t="s">
        <v>281</v>
      </c>
      <c r="F66" s="2" t="s">
        <v>282</v>
      </c>
    </row>
    <row r="67" spans="1:6" ht="150" x14ac:dyDescent="0.25">
      <c r="A67" s="2" t="s">
        <v>283</v>
      </c>
      <c r="B67" s="1" t="s">
        <v>284</v>
      </c>
      <c r="C67" s="2" t="s">
        <v>279</v>
      </c>
      <c r="D67" s="2" t="s">
        <v>285</v>
      </c>
      <c r="E67" s="2" t="s">
        <v>286</v>
      </c>
      <c r="F67" s="2" t="s">
        <v>287</v>
      </c>
    </row>
    <row r="68" spans="1:6" ht="120" x14ac:dyDescent="0.25">
      <c r="A68" s="2" t="s">
        <v>288</v>
      </c>
      <c r="B68" s="1" t="s">
        <v>289</v>
      </c>
      <c r="C68" s="2" t="s">
        <v>290</v>
      </c>
      <c r="D68" s="2" t="s">
        <v>291</v>
      </c>
      <c r="E68" s="2" t="s">
        <v>292</v>
      </c>
      <c r="F68" s="2" t="s">
        <v>293</v>
      </c>
    </row>
    <row r="69" spans="1:6" ht="120" x14ac:dyDescent="0.25">
      <c r="A69" s="2" t="s">
        <v>294</v>
      </c>
      <c r="B69" s="1" t="s">
        <v>828</v>
      </c>
      <c r="C69" s="2" t="s">
        <v>295</v>
      </c>
      <c r="D69" s="2" t="s">
        <v>829</v>
      </c>
      <c r="E69" s="2" t="s">
        <v>296</v>
      </c>
      <c r="F69" s="2" t="s">
        <v>830</v>
      </c>
    </row>
    <row r="70" spans="1:6" ht="105" x14ac:dyDescent="0.25">
      <c r="A70" s="2" t="s">
        <v>297</v>
      </c>
      <c r="B70" s="1" t="s">
        <v>831</v>
      </c>
      <c r="C70" s="2" t="s">
        <v>298</v>
      </c>
      <c r="D70" s="2" t="s">
        <v>832</v>
      </c>
      <c r="E70" s="2" t="s">
        <v>299</v>
      </c>
      <c r="F70" s="2" t="s">
        <v>833</v>
      </c>
    </row>
    <row r="71" spans="1:6" ht="90" x14ac:dyDescent="0.25">
      <c r="A71" s="2" t="s">
        <v>300</v>
      </c>
      <c r="B71" s="1" t="s">
        <v>834</v>
      </c>
      <c r="C71" s="2" t="s">
        <v>301</v>
      </c>
      <c r="D71" s="2" t="s">
        <v>835</v>
      </c>
      <c r="E71" s="2" t="s">
        <v>302</v>
      </c>
      <c r="F71" s="2" t="s">
        <v>836</v>
      </c>
    </row>
    <row r="72" spans="1:6" ht="120" x14ac:dyDescent="0.25">
      <c r="A72" s="2" t="s">
        <v>303</v>
      </c>
      <c r="B72" s="1" t="s">
        <v>304</v>
      </c>
      <c r="C72" s="2" t="s">
        <v>305</v>
      </c>
      <c r="D72" s="2" t="s">
        <v>306</v>
      </c>
      <c r="E72" s="2" t="s">
        <v>307</v>
      </c>
      <c r="F72" s="2" t="s">
        <v>308</v>
      </c>
    </row>
    <row r="73" spans="1:6" ht="120" x14ac:dyDescent="0.25">
      <c r="A73" s="2" t="s">
        <v>309</v>
      </c>
      <c r="B73" s="1" t="s">
        <v>310</v>
      </c>
      <c r="C73" s="2" t="s">
        <v>311</v>
      </c>
      <c r="D73" s="2" t="s">
        <v>312</v>
      </c>
      <c r="E73" s="2" t="s">
        <v>313</v>
      </c>
      <c r="F73" s="2" t="s">
        <v>314</v>
      </c>
    </row>
    <row r="74" spans="1:6" ht="180" x14ac:dyDescent="0.25">
      <c r="A74" s="2" t="s">
        <v>315</v>
      </c>
      <c r="B74" s="1" t="s">
        <v>316</v>
      </c>
      <c r="C74" s="2" t="s">
        <v>317</v>
      </c>
      <c r="D74" s="2" t="s">
        <v>318</v>
      </c>
      <c r="E74" s="2" t="s">
        <v>319</v>
      </c>
      <c r="F74" s="2" t="s">
        <v>320</v>
      </c>
    </row>
    <row r="75" spans="1:6" ht="135" x14ac:dyDescent="0.25">
      <c r="A75" s="2" t="s">
        <v>321</v>
      </c>
      <c r="B75" s="1" t="s">
        <v>322</v>
      </c>
      <c r="C75" s="2" t="s">
        <v>323</v>
      </c>
      <c r="D75" s="2" t="s">
        <v>324</v>
      </c>
      <c r="E75" s="2" t="s">
        <v>325</v>
      </c>
      <c r="F75" s="2" t="s">
        <v>326</v>
      </c>
    </row>
    <row r="76" spans="1:6" ht="180" x14ac:dyDescent="0.25">
      <c r="A76" s="2" t="s">
        <v>327</v>
      </c>
      <c r="B76" s="1" t="s">
        <v>328</v>
      </c>
      <c r="C76" s="2" t="s">
        <v>329</v>
      </c>
      <c r="D76" s="2" t="s">
        <v>330</v>
      </c>
      <c r="E76" s="2" t="s">
        <v>331</v>
      </c>
      <c r="F76" s="2" t="s">
        <v>332</v>
      </c>
    </row>
    <row r="77" spans="1:6" ht="150" x14ac:dyDescent="0.25">
      <c r="A77" s="2" t="s">
        <v>333</v>
      </c>
      <c r="B77" s="1" t="s">
        <v>334</v>
      </c>
      <c r="C77" s="2" t="s">
        <v>335</v>
      </c>
      <c r="D77" s="2" t="s">
        <v>336</v>
      </c>
      <c r="E77" s="2" t="s">
        <v>337</v>
      </c>
      <c r="F77" s="2" t="s">
        <v>338</v>
      </c>
    </row>
    <row r="78" spans="1:6" ht="135" x14ac:dyDescent="0.25">
      <c r="A78" s="2" t="s">
        <v>339</v>
      </c>
      <c r="B78" s="1" t="s">
        <v>340</v>
      </c>
      <c r="C78" s="2" t="s">
        <v>341</v>
      </c>
      <c r="D78" s="2" t="s">
        <v>342</v>
      </c>
      <c r="E78" s="2" t="s">
        <v>343</v>
      </c>
      <c r="F78" s="2" t="s">
        <v>344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76767-B1D3-4C9F-B58B-F6002F10FC98}">
  <dimension ref="A1:W2939"/>
  <sheetViews>
    <sheetView workbookViewId="0">
      <pane ySplit="1" topLeftCell="A2" activePane="bottomLeft" state="frozenSplit"/>
      <selection pane="bottomLeft"/>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s>
  <sheetData>
    <row r="1" spans="1:23" x14ac:dyDescent="0.25">
      <c r="A1" t="s">
        <v>345</v>
      </c>
      <c r="B1" t="s">
        <v>346</v>
      </c>
      <c r="C1" t="s">
        <v>347</v>
      </c>
      <c r="D1" t="s">
        <v>348</v>
      </c>
      <c r="E1" t="s">
        <v>349</v>
      </c>
      <c r="F1" t="s">
        <v>350</v>
      </c>
      <c r="G1" t="s">
        <v>351</v>
      </c>
      <c r="H1" t="s">
        <v>352</v>
      </c>
      <c r="I1" t="s">
        <v>353</v>
      </c>
      <c r="J1" t="s">
        <v>354</v>
      </c>
      <c r="K1" t="s">
        <v>355</v>
      </c>
      <c r="L1" t="s">
        <v>356</v>
      </c>
      <c r="M1" t="s">
        <v>357</v>
      </c>
      <c r="N1" t="s">
        <v>358</v>
      </c>
      <c r="O1" t="s">
        <v>359</v>
      </c>
      <c r="P1" t="s">
        <v>360</v>
      </c>
      <c r="Q1" t="s">
        <v>361</v>
      </c>
      <c r="R1" t="s">
        <v>362</v>
      </c>
      <c r="S1" t="s">
        <v>363</v>
      </c>
      <c r="T1" t="s">
        <v>364</v>
      </c>
      <c r="U1" t="s">
        <v>365</v>
      </c>
      <c r="V1" t="s">
        <v>366</v>
      </c>
      <c r="W1" t="s">
        <v>367</v>
      </c>
    </row>
    <row r="2" spans="1:23" x14ac:dyDescent="0.25">
      <c r="A2" t="s">
        <v>368</v>
      </c>
      <c r="B2">
        <v>2015</v>
      </c>
      <c r="C2" t="s">
        <v>369</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COUNT(LifeExpectancyData[[#This Row],[Life expectancy]:[Schooling]])=19</f>
        <v>1</v>
      </c>
    </row>
    <row r="3" spans="1:23" x14ac:dyDescent="0.25">
      <c r="A3" t="s">
        <v>368</v>
      </c>
      <c r="B3">
        <v>2014</v>
      </c>
      <c r="C3" t="s">
        <v>369</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COUNT(LifeExpectancyData[[#This Row],[Life expectancy]:[Schooling]])=19</f>
        <v>1</v>
      </c>
    </row>
    <row r="4" spans="1:23" x14ac:dyDescent="0.25">
      <c r="A4" t="s">
        <v>368</v>
      </c>
      <c r="B4">
        <v>2013</v>
      </c>
      <c r="C4" t="s">
        <v>369</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COUNT(LifeExpectancyData[[#This Row],[Life expectancy]:[Schooling]])=19</f>
        <v>1</v>
      </c>
    </row>
    <row r="5" spans="1:23" x14ac:dyDescent="0.25">
      <c r="A5" t="s">
        <v>368</v>
      </c>
      <c r="B5">
        <v>2012</v>
      </c>
      <c r="C5" t="s">
        <v>369</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COUNT(LifeExpectancyData[[#This Row],[Life expectancy]:[Schooling]])=19</f>
        <v>1</v>
      </c>
    </row>
    <row r="6" spans="1:23" x14ac:dyDescent="0.25">
      <c r="A6" t="s">
        <v>368</v>
      </c>
      <c r="B6">
        <v>2011</v>
      </c>
      <c r="C6" t="s">
        <v>369</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COUNT(LifeExpectancyData[[#This Row],[Life expectancy]:[Schooling]])=19</f>
        <v>1</v>
      </c>
    </row>
    <row r="7" spans="1:23" x14ac:dyDescent="0.25">
      <c r="A7" t="s">
        <v>368</v>
      </c>
      <c r="B7">
        <v>2010</v>
      </c>
      <c r="C7" t="s">
        <v>369</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COUNT(LifeExpectancyData[[#This Row],[Life expectancy]:[Schooling]])=19</f>
        <v>1</v>
      </c>
    </row>
    <row r="8" spans="1:23" x14ac:dyDescent="0.25">
      <c r="A8" t="s">
        <v>368</v>
      </c>
      <c r="B8">
        <v>2009</v>
      </c>
      <c r="C8" t="s">
        <v>369</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COUNT(LifeExpectancyData[[#This Row],[Life expectancy]:[Schooling]])=19</f>
        <v>1</v>
      </c>
    </row>
    <row r="9" spans="1:23" x14ac:dyDescent="0.25">
      <c r="A9" t="s">
        <v>368</v>
      </c>
      <c r="B9">
        <v>2008</v>
      </c>
      <c r="C9" t="s">
        <v>369</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COUNT(LifeExpectancyData[[#This Row],[Life expectancy]:[Schooling]])=19</f>
        <v>1</v>
      </c>
    </row>
    <row r="10" spans="1:23" x14ac:dyDescent="0.25">
      <c r="A10" t="s">
        <v>368</v>
      </c>
      <c r="B10">
        <v>2007</v>
      </c>
      <c r="C10" t="s">
        <v>369</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COUNT(LifeExpectancyData[[#This Row],[Life expectancy]:[Schooling]])=19</f>
        <v>1</v>
      </c>
    </row>
    <row r="11" spans="1:23" x14ac:dyDescent="0.25">
      <c r="A11" t="s">
        <v>368</v>
      </c>
      <c r="B11">
        <v>2006</v>
      </c>
      <c r="C11" t="s">
        <v>369</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COUNT(LifeExpectancyData[[#This Row],[Life expectancy]:[Schooling]])=19</f>
        <v>1</v>
      </c>
    </row>
    <row r="12" spans="1:23" x14ac:dyDescent="0.25">
      <c r="A12" t="s">
        <v>368</v>
      </c>
      <c r="B12">
        <v>2005</v>
      </c>
      <c r="C12" t="s">
        <v>369</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COUNT(LifeExpectancyData[[#This Row],[Life expectancy]:[Schooling]])=19</f>
        <v>1</v>
      </c>
    </row>
    <row r="13" spans="1:23" x14ac:dyDescent="0.25">
      <c r="A13" t="s">
        <v>368</v>
      </c>
      <c r="B13">
        <v>2004</v>
      </c>
      <c r="C13" t="s">
        <v>369</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COUNT(LifeExpectancyData[[#This Row],[Life expectancy]:[Schooling]])=19</f>
        <v>1</v>
      </c>
    </row>
    <row r="14" spans="1:23" x14ac:dyDescent="0.25">
      <c r="A14" t="s">
        <v>368</v>
      </c>
      <c r="B14">
        <v>2003</v>
      </c>
      <c r="C14" t="s">
        <v>369</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COUNT(LifeExpectancyData[[#This Row],[Life expectancy]:[Schooling]])=19</f>
        <v>1</v>
      </c>
    </row>
    <row r="15" spans="1:23" x14ac:dyDescent="0.25">
      <c r="A15" t="s">
        <v>368</v>
      </c>
      <c r="B15">
        <v>2002</v>
      </c>
      <c r="C15" t="s">
        <v>369</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COUNT(LifeExpectancyData[[#This Row],[Life expectancy]:[Schooling]])=19</f>
        <v>1</v>
      </c>
    </row>
    <row r="16" spans="1:23" x14ac:dyDescent="0.25">
      <c r="A16" t="s">
        <v>368</v>
      </c>
      <c r="B16">
        <v>2001</v>
      </c>
      <c r="C16" t="s">
        <v>369</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COUNT(LifeExpectancyData[[#This Row],[Life expectancy]:[Schooling]])=19</f>
        <v>1</v>
      </c>
    </row>
    <row r="17" spans="1:23" x14ac:dyDescent="0.25">
      <c r="A17" t="s">
        <v>368</v>
      </c>
      <c r="B17">
        <v>2000</v>
      </c>
      <c r="C17" t="s">
        <v>369</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COUNT(LifeExpectancyData[[#This Row],[Life expectancy]:[Schooling]])=19</f>
        <v>1</v>
      </c>
    </row>
    <row r="18" spans="1:23" x14ac:dyDescent="0.25">
      <c r="A18" t="s">
        <v>370</v>
      </c>
      <c r="B18">
        <v>2015</v>
      </c>
      <c r="C18" t="s">
        <v>369</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COUNT(LifeExpectancyData[[#This Row],[Life expectancy]:[Schooling]])=19</f>
        <v>1</v>
      </c>
    </row>
    <row r="19" spans="1:23" x14ac:dyDescent="0.25">
      <c r="A19" t="s">
        <v>370</v>
      </c>
      <c r="B19">
        <v>2014</v>
      </c>
      <c r="C19" t="s">
        <v>369</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COUNT(LifeExpectancyData[[#This Row],[Life expectancy]:[Schooling]])=19</f>
        <v>1</v>
      </c>
    </row>
    <row r="20" spans="1:23" x14ac:dyDescent="0.25">
      <c r="A20" t="s">
        <v>370</v>
      </c>
      <c r="B20">
        <v>2013</v>
      </c>
      <c r="C20" t="s">
        <v>369</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COUNT(LifeExpectancyData[[#This Row],[Life expectancy]:[Schooling]])=19</f>
        <v>1</v>
      </c>
    </row>
    <row r="21" spans="1:23" x14ac:dyDescent="0.25">
      <c r="A21" t="s">
        <v>370</v>
      </c>
      <c r="B21">
        <v>2012</v>
      </c>
      <c r="C21" t="s">
        <v>369</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COUNT(LifeExpectancyData[[#This Row],[Life expectancy]:[Schooling]])=19</f>
        <v>1</v>
      </c>
    </row>
    <row r="22" spans="1:23" x14ac:dyDescent="0.25">
      <c r="A22" t="s">
        <v>370</v>
      </c>
      <c r="B22">
        <v>2011</v>
      </c>
      <c r="C22" t="s">
        <v>369</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COUNT(LifeExpectancyData[[#This Row],[Life expectancy]:[Schooling]])=19</f>
        <v>1</v>
      </c>
    </row>
    <row r="23" spans="1:23" x14ac:dyDescent="0.25">
      <c r="A23" t="s">
        <v>370</v>
      </c>
      <c r="B23">
        <v>2010</v>
      </c>
      <c r="C23" t="s">
        <v>369</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COUNT(LifeExpectancyData[[#This Row],[Life expectancy]:[Schooling]])=19</f>
        <v>1</v>
      </c>
    </row>
    <row r="24" spans="1:23" x14ac:dyDescent="0.25">
      <c r="A24" t="s">
        <v>370</v>
      </c>
      <c r="B24">
        <v>2009</v>
      </c>
      <c r="C24" t="s">
        <v>369</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COUNT(LifeExpectancyData[[#This Row],[Life expectancy]:[Schooling]])=19</f>
        <v>1</v>
      </c>
    </row>
    <row r="25" spans="1:23" x14ac:dyDescent="0.25">
      <c r="A25" t="s">
        <v>370</v>
      </c>
      <c r="B25">
        <v>2008</v>
      </c>
      <c r="C25" t="s">
        <v>369</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COUNT(LifeExpectancyData[[#This Row],[Life expectancy]:[Schooling]])=19</f>
        <v>1</v>
      </c>
    </row>
    <row r="26" spans="1:23" x14ac:dyDescent="0.25">
      <c r="A26" t="s">
        <v>370</v>
      </c>
      <c r="B26">
        <v>2007</v>
      </c>
      <c r="C26" t="s">
        <v>369</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COUNT(LifeExpectancyData[[#This Row],[Life expectancy]:[Schooling]])=19</f>
        <v>1</v>
      </c>
    </row>
    <row r="27" spans="1:23" x14ac:dyDescent="0.25">
      <c r="A27" t="s">
        <v>370</v>
      </c>
      <c r="B27">
        <v>2006</v>
      </c>
      <c r="C27" t="s">
        <v>369</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COUNT(LifeExpectancyData[[#This Row],[Life expectancy]:[Schooling]])=19</f>
        <v>1</v>
      </c>
    </row>
    <row r="28" spans="1:23" x14ac:dyDescent="0.25">
      <c r="A28" t="s">
        <v>370</v>
      </c>
      <c r="B28">
        <v>2005</v>
      </c>
      <c r="C28" t="s">
        <v>369</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COUNT(LifeExpectancyData[[#This Row],[Life expectancy]:[Schooling]])=19</f>
        <v>1</v>
      </c>
    </row>
    <row r="29" spans="1:23" x14ac:dyDescent="0.25">
      <c r="A29" t="s">
        <v>370</v>
      </c>
      <c r="B29">
        <v>2004</v>
      </c>
      <c r="C29" t="s">
        <v>369</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COUNT(LifeExpectancyData[[#This Row],[Life expectancy]:[Schooling]])=19</f>
        <v>1</v>
      </c>
    </row>
    <row r="30" spans="1:23" x14ac:dyDescent="0.25">
      <c r="A30" t="s">
        <v>370</v>
      </c>
      <c r="B30">
        <v>2003</v>
      </c>
      <c r="C30" t="s">
        <v>369</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COUNT(LifeExpectancyData[[#This Row],[Life expectancy]:[Schooling]])=19</f>
        <v>1</v>
      </c>
    </row>
    <row r="31" spans="1:23" x14ac:dyDescent="0.25">
      <c r="A31" t="s">
        <v>370</v>
      </c>
      <c r="B31">
        <v>2002</v>
      </c>
      <c r="C31" t="s">
        <v>369</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COUNT(LifeExpectancyData[[#This Row],[Life expectancy]:[Schooling]])=19</f>
        <v>1</v>
      </c>
    </row>
    <row r="32" spans="1:23" x14ac:dyDescent="0.25">
      <c r="A32" t="s">
        <v>370</v>
      </c>
      <c r="B32">
        <v>2001</v>
      </c>
      <c r="C32" t="s">
        <v>369</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COUNT(LifeExpectancyData[[#This Row],[Life expectancy]:[Schooling]])=19</f>
        <v>1</v>
      </c>
    </row>
    <row r="33" spans="1:23" x14ac:dyDescent="0.25">
      <c r="A33" t="s">
        <v>370</v>
      </c>
      <c r="B33">
        <v>2000</v>
      </c>
      <c r="C33" t="s">
        <v>369</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COUNT(LifeExpectancyData[[#This Row],[Life expectancy]:[Schooling]])=19</f>
        <v>1</v>
      </c>
    </row>
    <row r="34" spans="1:23" x14ac:dyDescent="0.25">
      <c r="A34" t="s">
        <v>371</v>
      </c>
      <c r="B34">
        <v>2015</v>
      </c>
      <c r="C34" t="s">
        <v>369</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COUNT(LifeExpectancyData[[#This Row],[Life expectancy]:[Schooling]])=19</f>
        <v>0</v>
      </c>
    </row>
    <row r="35" spans="1:23" x14ac:dyDescent="0.25">
      <c r="A35" t="s">
        <v>371</v>
      </c>
      <c r="B35">
        <v>2014</v>
      </c>
      <c r="C35" t="s">
        <v>369</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COUNT(LifeExpectancyData[[#This Row],[Life expectancy]:[Schooling]])=19</f>
        <v>1</v>
      </c>
    </row>
    <row r="36" spans="1:23" x14ac:dyDescent="0.25">
      <c r="A36" t="s">
        <v>371</v>
      </c>
      <c r="B36">
        <v>2013</v>
      </c>
      <c r="C36" t="s">
        <v>369</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COUNT(LifeExpectancyData[[#This Row],[Life expectancy]:[Schooling]])=19</f>
        <v>1</v>
      </c>
    </row>
    <row r="37" spans="1:23" x14ac:dyDescent="0.25">
      <c r="A37" t="s">
        <v>371</v>
      </c>
      <c r="B37">
        <v>2012</v>
      </c>
      <c r="C37" t="s">
        <v>369</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COUNT(LifeExpectancyData[[#This Row],[Life expectancy]:[Schooling]])=19</f>
        <v>1</v>
      </c>
    </row>
    <row r="38" spans="1:23" x14ac:dyDescent="0.25">
      <c r="A38" t="s">
        <v>371</v>
      </c>
      <c r="B38">
        <v>2011</v>
      </c>
      <c r="C38" t="s">
        <v>369</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COUNT(LifeExpectancyData[[#This Row],[Life expectancy]:[Schooling]])=19</f>
        <v>1</v>
      </c>
    </row>
    <row r="39" spans="1:23" x14ac:dyDescent="0.25">
      <c r="A39" t="s">
        <v>371</v>
      </c>
      <c r="B39">
        <v>2010</v>
      </c>
      <c r="C39" t="s">
        <v>369</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COUNT(LifeExpectancyData[[#This Row],[Life expectancy]:[Schooling]])=19</f>
        <v>1</v>
      </c>
    </row>
    <row r="40" spans="1:23" x14ac:dyDescent="0.25">
      <c r="A40" t="s">
        <v>371</v>
      </c>
      <c r="B40">
        <v>2009</v>
      </c>
      <c r="C40" t="s">
        <v>369</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COUNT(LifeExpectancyData[[#This Row],[Life expectancy]:[Schooling]])=19</f>
        <v>1</v>
      </c>
    </row>
    <row r="41" spans="1:23" x14ac:dyDescent="0.25">
      <c r="A41" t="s">
        <v>371</v>
      </c>
      <c r="B41">
        <v>2008</v>
      </c>
      <c r="C41" t="s">
        <v>369</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COUNT(LifeExpectancyData[[#This Row],[Life expectancy]:[Schooling]])=19</f>
        <v>1</v>
      </c>
    </row>
    <row r="42" spans="1:23" x14ac:dyDescent="0.25">
      <c r="A42" t="s">
        <v>371</v>
      </c>
      <c r="B42">
        <v>2007</v>
      </c>
      <c r="C42" t="s">
        <v>369</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COUNT(LifeExpectancyData[[#This Row],[Life expectancy]:[Schooling]])=19</f>
        <v>1</v>
      </c>
    </row>
    <row r="43" spans="1:23" x14ac:dyDescent="0.25">
      <c r="A43" t="s">
        <v>371</v>
      </c>
      <c r="B43">
        <v>2006</v>
      </c>
      <c r="C43" t="s">
        <v>369</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COUNT(LifeExpectancyData[[#This Row],[Life expectancy]:[Schooling]])=19</f>
        <v>1</v>
      </c>
    </row>
    <row r="44" spans="1:23" x14ac:dyDescent="0.25">
      <c r="A44" t="s">
        <v>371</v>
      </c>
      <c r="B44">
        <v>2005</v>
      </c>
      <c r="C44" t="s">
        <v>369</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COUNT(LifeExpectancyData[[#This Row],[Life expectancy]:[Schooling]])=19</f>
        <v>1</v>
      </c>
    </row>
    <row r="45" spans="1:23" x14ac:dyDescent="0.25">
      <c r="A45" t="s">
        <v>371</v>
      </c>
      <c r="B45">
        <v>2004</v>
      </c>
      <c r="C45" t="s">
        <v>369</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COUNT(LifeExpectancyData[[#This Row],[Life expectancy]:[Schooling]])=19</f>
        <v>1</v>
      </c>
    </row>
    <row r="46" spans="1:23" x14ac:dyDescent="0.25">
      <c r="A46" t="s">
        <v>371</v>
      </c>
      <c r="B46">
        <v>2003</v>
      </c>
      <c r="C46" t="s">
        <v>369</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COUNT(LifeExpectancyData[[#This Row],[Life expectancy]:[Schooling]])=19</f>
        <v>0</v>
      </c>
    </row>
    <row r="47" spans="1:23" x14ac:dyDescent="0.25">
      <c r="A47" t="s">
        <v>371</v>
      </c>
      <c r="B47">
        <v>2002</v>
      </c>
      <c r="C47" t="s">
        <v>369</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COUNT(LifeExpectancyData[[#This Row],[Life expectancy]:[Schooling]])=19</f>
        <v>0</v>
      </c>
    </row>
    <row r="48" spans="1:23" x14ac:dyDescent="0.25">
      <c r="A48" t="s">
        <v>371</v>
      </c>
      <c r="B48">
        <v>2001</v>
      </c>
      <c r="C48" t="s">
        <v>369</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COUNT(LifeExpectancyData[[#This Row],[Life expectancy]:[Schooling]])=19</f>
        <v>0</v>
      </c>
    </row>
    <row r="49" spans="1:23" x14ac:dyDescent="0.25">
      <c r="A49" t="s">
        <v>371</v>
      </c>
      <c r="B49">
        <v>2000</v>
      </c>
      <c r="C49" t="s">
        <v>369</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COUNT(LifeExpectancyData[[#This Row],[Life expectancy]:[Schooling]])=19</f>
        <v>0</v>
      </c>
    </row>
    <row r="50" spans="1:23" x14ac:dyDescent="0.25">
      <c r="A50" t="s">
        <v>372</v>
      </c>
      <c r="B50">
        <v>2015</v>
      </c>
      <c r="C50" t="s">
        <v>369</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COUNT(LifeExpectancyData[[#This Row],[Life expectancy]:[Schooling]])=19</f>
        <v>0</v>
      </c>
    </row>
    <row r="51" spans="1:23" x14ac:dyDescent="0.25">
      <c r="A51" t="s">
        <v>372</v>
      </c>
      <c r="B51">
        <v>2014</v>
      </c>
      <c r="C51" t="s">
        <v>369</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COUNT(LifeExpectancyData[[#This Row],[Life expectancy]:[Schooling]])=19</f>
        <v>1</v>
      </c>
    </row>
    <row r="52" spans="1:23" x14ac:dyDescent="0.25">
      <c r="A52" t="s">
        <v>372</v>
      </c>
      <c r="B52">
        <v>2013</v>
      </c>
      <c r="C52" t="s">
        <v>369</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COUNT(LifeExpectancyData[[#This Row],[Life expectancy]:[Schooling]])=19</f>
        <v>1</v>
      </c>
    </row>
    <row r="53" spans="1:23" x14ac:dyDescent="0.25">
      <c r="A53" t="s">
        <v>372</v>
      </c>
      <c r="B53">
        <v>2012</v>
      </c>
      <c r="C53" t="s">
        <v>369</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COUNT(LifeExpectancyData[[#This Row],[Life expectancy]:[Schooling]])=19</f>
        <v>1</v>
      </c>
    </row>
    <row r="54" spans="1:23" x14ac:dyDescent="0.25">
      <c r="A54" t="s">
        <v>372</v>
      </c>
      <c r="B54">
        <v>2011</v>
      </c>
      <c r="C54" t="s">
        <v>369</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COUNT(LifeExpectancyData[[#This Row],[Life expectancy]:[Schooling]])=19</f>
        <v>1</v>
      </c>
    </row>
    <row r="55" spans="1:23" x14ac:dyDescent="0.25">
      <c r="A55" t="s">
        <v>372</v>
      </c>
      <c r="B55">
        <v>2010</v>
      </c>
      <c r="C55" t="s">
        <v>369</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COUNT(LifeExpectancyData[[#This Row],[Life expectancy]:[Schooling]])=19</f>
        <v>1</v>
      </c>
    </row>
    <row r="56" spans="1:23" x14ac:dyDescent="0.25">
      <c r="A56" t="s">
        <v>372</v>
      </c>
      <c r="B56">
        <v>2009</v>
      </c>
      <c r="C56" t="s">
        <v>369</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COUNT(LifeExpectancyData[[#This Row],[Life expectancy]:[Schooling]])=19</f>
        <v>1</v>
      </c>
    </row>
    <row r="57" spans="1:23" x14ac:dyDescent="0.25">
      <c r="A57" t="s">
        <v>372</v>
      </c>
      <c r="B57">
        <v>2008</v>
      </c>
      <c r="C57" t="s">
        <v>369</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COUNT(LifeExpectancyData[[#This Row],[Life expectancy]:[Schooling]])=19</f>
        <v>1</v>
      </c>
    </row>
    <row r="58" spans="1:23" x14ac:dyDescent="0.25">
      <c r="A58" t="s">
        <v>372</v>
      </c>
      <c r="B58">
        <v>2007</v>
      </c>
      <c r="C58" t="s">
        <v>369</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COUNT(LifeExpectancyData[[#This Row],[Life expectancy]:[Schooling]])=19</f>
        <v>1</v>
      </c>
    </row>
    <row r="59" spans="1:23" x14ac:dyDescent="0.25">
      <c r="A59" t="s">
        <v>372</v>
      </c>
      <c r="B59">
        <v>2006</v>
      </c>
      <c r="C59" t="s">
        <v>369</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COUNT(LifeExpectancyData[[#This Row],[Life expectancy]:[Schooling]])=19</f>
        <v>0</v>
      </c>
    </row>
    <row r="60" spans="1:23" x14ac:dyDescent="0.25">
      <c r="A60" t="s">
        <v>372</v>
      </c>
      <c r="B60">
        <v>2005</v>
      </c>
      <c r="C60" t="s">
        <v>369</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COUNT(LifeExpectancyData[[#This Row],[Life expectancy]:[Schooling]])=19</f>
        <v>0</v>
      </c>
    </row>
    <row r="61" spans="1:23" x14ac:dyDescent="0.25">
      <c r="A61" t="s">
        <v>372</v>
      </c>
      <c r="B61">
        <v>2004</v>
      </c>
      <c r="C61" t="s">
        <v>369</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COUNT(LifeExpectancyData[[#This Row],[Life expectancy]:[Schooling]])=19</f>
        <v>0</v>
      </c>
    </row>
    <row r="62" spans="1:23" x14ac:dyDescent="0.25">
      <c r="A62" t="s">
        <v>372</v>
      </c>
      <c r="B62">
        <v>2003</v>
      </c>
      <c r="C62" t="s">
        <v>369</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COUNT(LifeExpectancyData[[#This Row],[Life expectancy]:[Schooling]])=19</f>
        <v>0</v>
      </c>
    </row>
    <row r="63" spans="1:23" x14ac:dyDescent="0.25">
      <c r="A63" t="s">
        <v>372</v>
      </c>
      <c r="B63">
        <v>2002</v>
      </c>
      <c r="C63" t="s">
        <v>369</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COUNT(LifeExpectancyData[[#This Row],[Life expectancy]:[Schooling]])=19</f>
        <v>0</v>
      </c>
    </row>
    <row r="64" spans="1:23" x14ac:dyDescent="0.25">
      <c r="A64" t="s">
        <v>372</v>
      </c>
      <c r="B64">
        <v>2001</v>
      </c>
      <c r="C64" t="s">
        <v>369</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COUNT(LifeExpectancyData[[#This Row],[Life expectancy]:[Schooling]])=19</f>
        <v>0</v>
      </c>
    </row>
    <row r="65" spans="1:23" x14ac:dyDescent="0.25">
      <c r="A65" t="s">
        <v>372</v>
      </c>
      <c r="B65">
        <v>2000</v>
      </c>
      <c r="C65" t="s">
        <v>369</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COUNT(LifeExpectancyData[[#This Row],[Life expectancy]:[Schooling]])=19</f>
        <v>0</v>
      </c>
    </row>
    <row r="66" spans="1:23" x14ac:dyDescent="0.25">
      <c r="A66" t="s">
        <v>373</v>
      </c>
      <c r="B66">
        <v>2015</v>
      </c>
      <c r="C66" t="s">
        <v>369</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COUNT(LifeExpectancyData[[#This Row],[Life expectancy]:[Schooling]])=19</f>
        <v>0</v>
      </c>
    </row>
    <row r="67" spans="1:23" x14ac:dyDescent="0.25">
      <c r="A67" t="s">
        <v>373</v>
      </c>
      <c r="B67">
        <v>2014</v>
      </c>
      <c r="C67" t="s">
        <v>369</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COUNT(LifeExpectancyData[[#This Row],[Life expectancy]:[Schooling]])=19</f>
        <v>0</v>
      </c>
    </row>
    <row r="68" spans="1:23" x14ac:dyDescent="0.25">
      <c r="A68" t="s">
        <v>373</v>
      </c>
      <c r="B68">
        <v>2013</v>
      </c>
      <c r="C68" t="s">
        <v>369</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COUNT(LifeExpectancyData[[#This Row],[Life expectancy]:[Schooling]])=19</f>
        <v>0</v>
      </c>
    </row>
    <row r="69" spans="1:23" x14ac:dyDescent="0.25">
      <c r="A69" t="s">
        <v>373</v>
      </c>
      <c r="B69">
        <v>2012</v>
      </c>
      <c r="C69" t="s">
        <v>369</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COUNT(LifeExpectancyData[[#This Row],[Life expectancy]:[Schooling]])=19</f>
        <v>0</v>
      </c>
    </row>
    <row r="70" spans="1:23" x14ac:dyDescent="0.25">
      <c r="A70" t="s">
        <v>373</v>
      </c>
      <c r="B70">
        <v>2011</v>
      </c>
      <c r="C70" t="s">
        <v>369</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COUNT(LifeExpectancyData[[#This Row],[Life expectancy]:[Schooling]])=19</f>
        <v>0</v>
      </c>
    </row>
    <row r="71" spans="1:23" x14ac:dyDescent="0.25">
      <c r="A71" t="s">
        <v>373</v>
      </c>
      <c r="B71">
        <v>2010</v>
      </c>
      <c r="C71" t="s">
        <v>369</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COUNT(LifeExpectancyData[[#This Row],[Life expectancy]:[Schooling]])=19</f>
        <v>0</v>
      </c>
    </row>
    <row r="72" spans="1:23" x14ac:dyDescent="0.25">
      <c r="A72" t="s">
        <v>373</v>
      </c>
      <c r="B72">
        <v>2009</v>
      </c>
      <c r="C72" t="s">
        <v>369</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COUNT(LifeExpectancyData[[#This Row],[Life expectancy]:[Schooling]])=19</f>
        <v>0</v>
      </c>
    </row>
    <row r="73" spans="1:23" x14ac:dyDescent="0.25">
      <c r="A73" t="s">
        <v>373</v>
      </c>
      <c r="B73">
        <v>2008</v>
      </c>
      <c r="C73" t="s">
        <v>369</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COUNT(LifeExpectancyData[[#This Row],[Life expectancy]:[Schooling]])=19</f>
        <v>0</v>
      </c>
    </row>
    <row r="74" spans="1:23" x14ac:dyDescent="0.25">
      <c r="A74" t="s">
        <v>373</v>
      </c>
      <c r="B74">
        <v>2007</v>
      </c>
      <c r="C74" t="s">
        <v>369</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COUNT(LifeExpectancyData[[#This Row],[Life expectancy]:[Schooling]])=19</f>
        <v>0</v>
      </c>
    </row>
    <row r="75" spans="1:23" x14ac:dyDescent="0.25">
      <c r="A75" t="s">
        <v>373</v>
      </c>
      <c r="B75">
        <v>2006</v>
      </c>
      <c r="C75" t="s">
        <v>369</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COUNT(LifeExpectancyData[[#This Row],[Life expectancy]:[Schooling]])=19</f>
        <v>0</v>
      </c>
    </row>
    <row r="76" spans="1:23" x14ac:dyDescent="0.25">
      <c r="A76" t="s">
        <v>373</v>
      </c>
      <c r="B76">
        <v>2005</v>
      </c>
      <c r="C76" t="s">
        <v>369</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COUNT(LifeExpectancyData[[#This Row],[Life expectancy]:[Schooling]])=19</f>
        <v>0</v>
      </c>
    </row>
    <row r="77" spans="1:23" x14ac:dyDescent="0.25">
      <c r="A77" t="s">
        <v>373</v>
      </c>
      <c r="B77">
        <v>2004</v>
      </c>
      <c r="C77" t="s">
        <v>369</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COUNT(LifeExpectancyData[[#This Row],[Life expectancy]:[Schooling]])=19</f>
        <v>0</v>
      </c>
    </row>
    <row r="78" spans="1:23" x14ac:dyDescent="0.25">
      <c r="A78" t="s">
        <v>373</v>
      </c>
      <c r="B78">
        <v>2003</v>
      </c>
      <c r="C78" t="s">
        <v>369</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COUNT(LifeExpectancyData[[#This Row],[Life expectancy]:[Schooling]])=19</f>
        <v>0</v>
      </c>
    </row>
    <row r="79" spans="1:23" x14ac:dyDescent="0.25">
      <c r="A79" t="s">
        <v>373</v>
      </c>
      <c r="B79">
        <v>2002</v>
      </c>
      <c r="C79" t="s">
        <v>369</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COUNT(LifeExpectancyData[[#This Row],[Life expectancy]:[Schooling]])=19</f>
        <v>0</v>
      </c>
    </row>
    <row r="80" spans="1:23" x14ac:dyDescent="0.25">
      <c r="A80" t="s">
        <v>373</v>
      </c>
      <c r="B80">
        <v>2001</v>
      </c>
      <c r="C80" t="s">
        <v>369</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COUNT(LifeExpectancyData[[#This Row],[Life expectancy]:[Schooling]])=19</f>
        <v>0</v>
      </c>
    </row>
    <row r="81" spans="1:23" x14ac:dyDescent="0.25">
      <c r="A81" t="s">
        <v>373</v>
      </c>
      <c r="B81">
        <v>2000</v>
      </c>
      <c r="C81" t="s">
        <v>369</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COUNT(LifeExpectancyData[[#This Row],[Life expectancy]:[Schooling]])=19</f>
        <v>0</v>
      </c>
    </row>
    <row r="82" spans="1:23" x14ac:dyDescent="0.25">
      <c r="A82" t="s">
        <v>374</v>
      </c>
      <c r="B82">
        <v>2015</v>
      </c>
      <c r="C82" t="s">
        <v>369</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COUNT(LifeExpectancyData[[#This Row],[Life expectancy]:[Schooling]])=19</f>
        <v>0</v>
      </c>
    </row>
    <row r="83" spans="1:23" x14ac:dyDescent="0.25">
      <c r="A83" t="s">
        <v>374</v>
      </c>
      <c r="B83">
        <v>2014</v>
      </c>
      <c r="C83" t="s">
        <v>369</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COUNT(LifeExpectancyData[[#This Row],[Life expectancy]:[Schooling]])=19</f>
        <v>1</v>
      </c>
    </row>
    <row r="84" spans="1:23" x14ac:dyDescent="0.25">
      <c r="A84" t="s">
        <v>374</v>
      </c>
      <c r="B84">
        <v>2013</v>
      </c>
      <c r="C84" t="s">
        <v>369</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COUNT(LifeExpectancyData[[#This Row],[Life expectancy]:[Schooling]])=19</f>
        <v>1</v>
      </c>
    </row>
    <row r="85" spans="1:23" x14ac:dyDescent="0.25">
      <c r="A85" t="s">
        <v>374</v>
      </c>
      <c r="B85">
        <v>2012</v>
      </c>
      <c r="C85" t="s">
        <v>369</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COUNT(LifeExpectancyData[[#This Row],[Life expectancy]:[Schooling]])=19</f>
        <v>1</v>
      </c>
    </row>
    <row r="86" spans="1:23" x14ac:dyDescent="0.25">
      <c r="A86" t="s">
        <v>374</v>
      </c>
      <c r="B86">
        <v>2011</v>
      </c>
      <c r="C86" t="s">
        <v>369</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COUNT(LifeExpectancyData[[#This Row],[Life expectancy]:[Schooling]])=19</f>
        <v>1</v>
      </c>
    </row>
    <row r="87" spans="1:23" x14ac:dyDescent="0.25">
      <c r="A87" t="s">
        <v>374</v>
      </c>
      <c r="B87">
        <v>2010</v>
      </c>
      <c r="C87" t="s">
        <v>369</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COUNT(LifeExpectancyData[[#This Row],[Life expectancy]:[Schooling]])=19</f>
        <v>1</v>
      </c>
    </row>
    <row r="88" spans="1:23" x14ac:dyDescent="0.25">
      <c r="A88" t="s">
        <v>374</v>
      </c>
      <c r="B88">
        <v>2009</v>
      </c>
      <c r="C88" t="s">
        <v>369</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COUNT(LifeExpectancyData[[#This Row],[Life expectancy]:[Schooling]])=19</f>
        <v>1</v>
      </c>
    </row>
    <row r="89" spans="1:23" x14ac:dyDescent="0.25">
      <c r="A89" t="s">
        <v>374</v>
      </c>
      <c r="B89">
        <v>2008</v>
      </c>
      <c r="C89" t="s">
        <v>369</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COUNT(LifeExpectancyData[[#This Row],[Life expectancy]:[Schooling]])=19</f>
        <v>1</v>
      </c>
    </row>
    <row r="90" spans="1:23" x14ac:dyDescent="0.25">
      <c r="A90" t="s">
        <v>374</v>
      </c>
      <c r="B90">
        <v>2007</v>
      </c>
      <c r="C90" t="s">
        <v>369</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COUNT(LifeExpectancyData[[#This Row],[Life expectancy]:[Schooling]])=19</f>
        <v>1</v>
      </c>
    </row>
    <row r="91" spans="1:23" x14ac:dyDescent="0.25">
      <c r="A91" t="s">
        <v>374</v>
      </c>
      <c r="B91">
        <v>2006</v>
      </c>
      <c r="C91" t="s">
        <v>369</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COUNT(LifeExpectancyData[[#This Row],[Life expectancy]:[Schooling]])=19</f>
        <v>1</v>
      </c>
    </row>
    <row r="92" spans="1:23" x14ac:dyDescent="0.25">
      <c r="A92" t="s">
        <v>374</v>
      </c>
      <c r="B92">
        <v>2005</v>
      </c>
      <c r="C92" t="s">
        <v>369</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COUNT(LifeExpectancyData[[#This Row],[Life expectancy]:[Schooling]])=19</f>
        <v>1</v>
      </c>
    </row>
    <row r="93" spans="1:23" x14ac:dyDescent="0.25">
      <c r="A93" t="s">
        <v>374</v>
      </c>
      <c r="B93">
        <v>2004</v>
      </c>
      <c r="C93" t="s">
        <v>369</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COUNT(LifeExpectancyData[[#This Row],[Life expectancy]:[Schooling]])=19</f>
        <v>1</v>
      </c>
    </row>
    <row r="94" spans="1:23" x14ac:dyDescent="0.25">
      <c r="A94" t="s">
        <v>374</v>
      </c>
      <c r="B94">
        <v>2003</v>
      </c>
      <c r="C94" t="s">
        <v>369</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COUNT(LifeExpectancyData[[#This Row],[Life expectancy]:[Schooling]])=19</f>
        <v>1</v>
      </c>
    </row>
    <row r="95" spans="1:23" x14ac:dyDescent="0.25">
      <c r="A95" t="s">
        <v>374</v>
      </c>
      <c r="B95">
        <v>2002</v>
      </c>
      <c r="C95" t="s">
        <v>369</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COUNT(LifeExpectancyData[[#This Row],[Life expectancy]:[Schooling]])=19</f>
        <v>1</v>
      </c>
    </row>
    <row r="96" spans="1:23" x14ac:dyDescent="0.25">
      <c r="A96" t="s">
        <v>374</v>
      </c>
      <c r="B96">
        <v>2001</v>
      </c>
      <c r="C96" t="s">
        <v>369</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COUNT(LifeExpectancyData[[#This Row],[Life expectancy]:[Schooling]])=19</f>
        <v>0</v>
      </c>
    </row>
    <row r="97" spans="1:23" x14ac:dyDescent="0.25">
      <c r="A97" t="s">
        <v>374</v>
      </c>
      <c r="B97">
        <v>2000</v>
      </c>
      <c r="C97" t="s">
        <v>369</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COUNT(LifeExpectancyData[[#This Row],[Life expectancy]:[Schooling]])=19</f>
        <v>0</v>
      </c>
    </row>
    <row r="98" spans="1:23" x14ac:dyDescent="0.25">
      <c r="A98" t="s">
        <v>375</v>
      </c>
      <c r="B98">
        <v>2015</v>
      </c>
      <c r="C98" t="s">
        <v>369</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COUNT(LifeExpectancyData[[#This Row],[Life expectancy]:[Schooling]])=19</f>
        <v>0</v>
      </c>
    </row>
    <row r="99" spans="1:23" x14ac:dyDescent="0.25">
      <c r="A99" t="s">
        <v>375</v>
      </c>
      <c r="B99">
        <v>2014</v>
      </c>
      <c r="C99" t="s">
        <v>369</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COUNT(LifeExpectancyData[[#This Row],[Life expectancy]:[Schooling]])=19</f>
        <v>1</v>
      </c>
    </row>
    <row r="100" spans="1:23" x14ac:dyDescent="0.25">
      <c r="A100" t="s">
        <v>375</v>
      </c>
      <c r="B100">
        <v>2013</v>
      </c>
      <c r="C100" t="s">
        <v>369</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COUNT(LifeExpectancyData[[#This Row],[Life expectancy]:[Schooling]])=19</f>
        <v>1</v>
      </c>
    </row>
    <row r="101" spans="1:23" x14ac:dyDescent="0.25">
      <c r="A101" t="s">
        <v>375</v>
      </c>
      <c r="B101">
        <v>2012</v>
      </c>
      <c r="C101" t="s">
        <v>369</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COUNT(LifeExpectancyData[[#This Row],[Life expectancy]:[Schooling]])=19</f>
        <v>1</v>
      </c>
    </row>
    <row r="102" spans="1:23" x14ac:dyDescent="0.25">
      <c r="A102" t="s">
        <v>375</v>
      </c>
      <c r="B102">
        <v>2011</v>
      </c>
      <c r="C102" t="s">
        <v>369</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COUNT(LifeExpectancyData[[#This Row],[Life expectancy]:[Schooling]])=19</f>
        <v>1</v>
      </c>
    </row>
    <row r="103" spans="1:23" x14ac:dyDescent="0.25">
      <c r="A103" t="s">
        <v>375</v>
      </c>
      <c r="B103">
        <v>2010</v>
      </c>
      <c r="C103" t="s">
        <v>369</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COUNT(LifeExpectancyData[[#This Row],[Life expectancy]:[Schooling]])=19</f>
        <v>1</v>
      </c>
    </row>
    <row r="104" spans="1:23" x14ac:dyDescent="0.25">
      <c r="A104" t="s">
        <v>375</v>
      </c>
      <c r="B104">
        <v>2009</v>
      </c>
      <c r="C104" t="s">
        <v>369</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COUNT(LifeExpectancyData[[#This Row],[Life expectancy]:[Schooling]])=19</f>
        <v>1</v>
      </c>
    </row>
    <row r="105" spans="1:23" x14ac:dyDescent="0.25">
      <c r="A105" t="s">
        <v>375</v>
      </c>
      <c r="B105">
        <v>2008</v>
      </c>
      <c r="C105" t="s">
        <v>369</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COUNT(LifeExpectancyData[[#This Row],[Life expectancy]:[Schooling]])=19</f>
        <v>1</v>
      </c>
    </row>
    <row r="106" spans="1:23" x14ac:dyDescent="0.25">
      <c r="A106" t="s">
        <v>375</v>
      </c>
      <c r="B106">
        <v>2007</v>
      </c>
      <c r="C106" t="s">
        <v>369</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COUNT(LifeExpectancyData[[#This Row],[Life expectancy]:[Schooling]])=19</f>
        <v>1</v>
      </c>
    </row>
    <row r="107" spans="1:23" x14ac:dyDescent="0.25">
      <c r="A107" t="s">
        <v>375</v>
      </c>
      <c r="B107">
        <v>2006</v>
      </c>
      <c r="C107" t="s">
        <v>369</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COUNT(LifeExpectancyData[[#This Row],[Life expectancy]:[Schooling]])=19</f>
        <v>1</v>
      </c>
    </row>
    <row r="108" spans="1:23" x14ac:dyDescent="0.25">
      <c r="A108" t="s">
        <v>375</v>
      </c>
      <c r="B108">
        <v>2005</v>
      </c>
      <c r="C108" t="s">
        <v>369</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COUNT(LifeExpectancyData[[#This Row],[Life expectancy]:[Schooling]])=19</f>
        <v>1</v>
      </c>
    </row>
    <row r="109" spans="1:23" x14ac:dyDescent="0.25">
      <c r="A109" t="s">
        <v>375</v>
      </c>
      <c r="B109">
        <v>2004</v>
      </c>
      <c r="C109" t="s">
        <v>369</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COUNT(LifeExpectancyData[[#This Row],[Life expectancy]:[Schooling]])=19</f>
        <v>1</v>
      </c>
    </row>
    <row r="110" spans="1:23" x14ac:dyDescent="0.25">
      <c r="A110" t="s">
        <v>375</v>
      </c>
      <c r="B110">
        <v>2003</v>
      </c>
      <c r="C110" t="s">
        <v>369</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COUNT(LifeExpectancyData[[#This Row],[Life expectancy]:[Schooling]])=19</f>
        <v>1</v>
      </c>
    </row>
    <row r="111" spans="1:23" x14ac:dyDescent="0.25">
      <c r="A111" t="s">
        <v>375</v>
      </c>
      <c r="B111">
        <v>2002</v>
      </c>
      <c r="C111" t="s">
        <v>369</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COUNT(LifeExpectancyData[[#This Row],[Life expectancy]:[Schooling]])=19</f>
        <v>1</v>
      </c>
    </row>
    <row r="112" spans="1:23" x14ac:dyDescent="0.25">
      <c r="A112" t="s">
        <v>375</v>
      </c>
      <c r="B112">
        <v>2001</v>
      </c>
      <c r="C112" t="s">
        <v>369</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COUNT(LifeExpectancyData[[#This Row],[Life expectancy]:[Schooling]])=19</f>
        <v>1</v>
      </c>
    </row>
    <row r="113" spans="1:23" x14ac:dyDescent="0.25">
      <c r="A113" t="s">
        <v>375</v>
      </c>
      <c r="B113">
        <v>2000</v>
      </c>
      <c r="C113" t="s">
        <v>369</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COUNT(LifeExpectancyData[[#This Row],[Life expectancy]:[Schooling]])=19</f>
        <v>1</v>
      </c>
    </row>
    <row r="114" spans="1:23" x14ac:dyDescent="0.25">
      <c r="A114" t="s">
        <v>376</v>
      </c>
      <c r="B114">
        <v>2015</v>
      </c>
      <c r="C114" t="s">
        <v>377</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COUNT(LifeExpectancyData[[#This Row],[Life expectancy]:[Schooling]])=19</f>
        <v>0</v>
      </c>
    </row>
    <row r="115" spans="1:23" x14ac:dyDescent="0.25">
      <c r="A115" t="s">
        <v>376</v>
      </c>
      <c r="B115">
        <v>2014</v>
      </c>
      <c r="C115" t="s">
        <v>377</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COUNT(LifeExpectancyData[[#This Row],[Life expectancy]:[Schooling]])=19</f>
        <v>1</v>
      </c>
    </row>
    <row r="116" spans="1:23" x14ac:dyDescent="0.25">
      <c r="A116" t="s">
        <v>376</v>
      </c>
      <c r="B116">
        <v>2013</v>
      </c>
      <c r="C116" t="s">
        <v>377</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COUNT(LifeExpectancyData[[#This Row],[Life expectancy]:[Schooling]])=19</f>
        <v>1</v>
      </c>
    </row>
    <row r="117" spans="1:23" x14ac:dyDescent="0.25">
      <c r="A117" t="s">
        <v>376</v>
      </c>
      <c r="B117">
        <v>2012</v>
      </c>
      <c r="C117" t="s">
        <v>377</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COUNT(LifeExpectancyData[[#This Row],[Life expectancy]:[Schooling]])=19</f>
        <v>1</v>
      </c>
    </row>
    <row r="118" spans="1:23" x14ac:dyDescent="0.25">
      <c r="A118" t="s">
        <v>376</v>
      </c>
      <c r="B118">
        <v>2011</v>
      </c>
      <c r="C118" t="s">
        <v>377</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COUNT(LifeExpectancyData[[#This Row],[Life expectancy]:[Schooling]])=19</f>
        <v>1</v>
      </c>
    </row>
    <row r="119" spans="1:23" x14ac:dyDescent="0.25">
      <c r="A119" t="s">
        <v>376</v>
      </c>
      <c r="B119">
        <v>2010</v>
      </c>
      <c r="C119" t="s">
        <v>377</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COUNT(LifeExpectancyData[[#This Row],[Life expectancy]:[Schooling]])=19</f>
        <v>1</v>
      </c>
    </row>
    <row r="120" spans="1:23" x14ac:dyDescent="0.25">
      <c r="A120" t="s">
        <v>376</v>
      </c>
      <c r="B120">
        <v>2009</v>
      </c>
      <c r="C120" t="s">
        <v>377</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COUNT(LifeExpectancyData[[#This Row],[Life expectancy]:[Schooling]])=19</f>
        <v>1</v>
      </c>
    </row>
    <row r="121" spans="1:23" x14ac:dyDescent="0.25">
      <c r="A121" t="s">
        <v>376</v>
      </c>
      <c r="B121">
        <v>2008</v>
      </c>
      <c r="C121" t="s">
        <v>377</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COUNT(LifeExpectancyData[[#This Row],[Life expectancy]:[Schooling]])=19</f>
        <v>1</v>
      </c>
    </row>
    <row r="122" spans="1:23" x14ac:dyDescent="0.25">
      <c r="A122" t="s">
        <v>376</v>
      </c>
      <c r="B122">
        <v>2007</v>
      </c>
      <c r="C122" t="s">
        <v>377</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COUNT(LifeExpectancyData[[#This Row],[Life expectancy]:[Schooling]])=19</f>
        <v>1</v>
      </c>
    </row>
    <row r="123" spans="1:23" x14ac:dyDescent="0.25">
      <c r="A123" t="s">
        <v>376</v>
      </c>
      <c r="B123">
        <v>2006</v>
      </c>
      <c r="C123" t="s">
        <v>377</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COUNT(LifeExpectancyData[[#This Row],[Life expectancy]:[Schooling]])=19</f>
        <v>1</v>
      </c>
    </row>
    <row r="124" spans="1:23" x14ac:dyDescent="0.25">
      <c r="A124" t="s">
        <v>376</v>
      </c>
      <c r="B124">
        <v>2005</v>
      </c>
      <c r="C124" t="s">
        <v>377</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COUNT(LifeExpectancyData[[#This Row],[Life expectancy]:[Schooling]])=19</f>
        <v>1</v>
      </c>
    </row>
    <row r="125" spans="1:23" x14ac:dyDescent="0.25">
      <c r="A125" t="s">
        <v>376</v>
      </c>
      <c r="B125">
        <v>2004</v>
      </c>
      <c r="C125" t="s">
        <v>377</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COUNT(LifeExpectancyData[[#This Row],[Life expectancy]:[Schooling]])=19</f>
        <v>1</v>
      </c>
    </row>
    <row r="126" spans="1:23" x14ac:dyDescent="0.25">
      <c r="A126" t="s">
        <v>376</v>
      </c>
      <c r="B126">
        <v>2003</v>
      </c>
      <c r="C126" t="s">
        <v>377</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COUNT(LifeExpectancyData[[#This Row],[Life expectancy]:[Schooling]])=19</f>
        <v>1</v>
      </c>
    </row>
    <row r="127" spans="1:23" x14ac:dyDescent="0.25">
      <c r="A127" t="s">
        <v>376</v>
      </c>
      <c r="B127">
        <v>2002</v>
      </c>
      <c r="C127" t="s">
        <v>377</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COUNT(LifeExpectancyData[[#This Row],[Life expectancy]:[Schooling]])=19</f>
        <v>1</v>
      </c>
    </row>
    <row r="128" spans="1:23" x14ac:dyDescent="0.25">
      <c r="A128" t="s">
        <v>376</v>
      </c>
      <c r="B128">
        <v>2001</v>
      </c>
      <c r="C128" t="s">
        <v>377</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COUNT(LifeExpectancyData[[#This Row],[Life expectancy]:[Schooling]])=19</f>
        <v>1</v>
      </c>
    </row>
    <row r="129" spans="1:23" x14ac:dyDescent="0.25">
      <c r="A129" t="s">
        <v>376</v>
      </c>
      <c r="B129">
        <v>2000</v>
      </c>
      <c r="C129" t="s">
        <v>377</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COUNT(LifeExpectancyData[[#This Row],[Life expectancy]:[Schooling]])=19</f>
        <v>0</v>
      </c>
    </row>
    <row r="130" spans="1:23" x14ac:dyDescent="0.25">
      <c r="A130" t="s">
        <v>378</v>
      </c>
      <c r="B130">
        <v>2015</v>
      </c>
      <c r="C130" t="s">
        <v>377</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COUNT(LifeExpectancyData[[#This Row],[Life expectancy]:[Schooling]])=19</f>
        <v>0</v>
      </c>
    </row>
    <row r="131" spans="1:23" x14ac:dyDescent="0.25">
      <c r="A131" t="s">
        <v>378</v>
      </c>
      <c r="B131">
        <v>2014</v>
      </c>
      <c r="C131" t="s">
        <v>377</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COUNT(LifeExpectancyData[[#This Row],[Life expectancy]:[Schooling]])=19</f>
        <v>1</v>
      </c>
    </row>
    <row r="132" spans="1:23" x14ac:dyDescent="0.25">
      <c r="A132" t="s">
        <v>378</v>
      </c>
      <c r="B132">
        <v>2013</v>
      </c>
      <c r="C132" t="s">
        <v>377</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COUNT(LifeExpectancyData[[#This Row],[Life expectancy]:[Schooling]])=19</f>
        <v>1</v>
      </c>
    </row>
    <row r="133" spans="1:23" x14ac:dyDescent="0.25">
      <c r="A133" t="s">
        <v>378</v>
      </c>
      <c r="B133">
        <v>2012</v>
      </c>
      <c r="C133" t="s">
        <v>377</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COUNT(LifeExpectancyData[[#This Row],[Life expectancy]:[Schooling]])=19</f>
        <v>1</v>
      </c>
    </row>
    <row r="134" spans="1:23" x14ac:dyDescent="0.25">
      <c r="A134" t="s">
        <v>378</v>
      </c>
      <c r="B134">
        <v>2011</v>
      </c>
      <c r="C134" t="s">
        <v>377</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COUNT(LifeExpectancyData[[#This Row],[Life expectancy]:[Schooling]])=19</f>
        <v>1</v>
      </c>
    </row>
    <row r="135" spans="1:23" x14ac:dyDescent="0.25">
      <c r="A135" t="s">
        <v>378</v>
      </c>
      <c r="B135">
        <v>2010</v>
      </c>
      <c r="C135" t="s">
        <v>377</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COUNT(LifeExpectancyData[[#This Row],[Life expectancy]:[Schooling]])=19</f>
        <v>1</v>
      </c>
    </row>
    <row r="136" spans="1:23" x14ac:dyDescent="0.25">
      <c r="A136" t="s">
        <v>378</v>
      </c>
      <c r="B136">
        <v>2009</v>
      </c>
      <c r="C136" t="s">
        <v>377</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COUNT(LifeExpectancyData[[#This Row],[Life expectancy]:[Schooling]])=19</f>
        <v>1</v>
      </c>
    </row>
    <row r="137" spans="1:23" x14ac:dyDescent="0.25">
      <c r="A137" t="s">
        <v>378</v>
      </c>
      <c r="B137">
        <v>2008</v>
      </c>
      <c r="C137" t="s">
        <v>377</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COUNT(LifeExpectancyData[[#This Row],[Life expectancy]:[Schooling]])=19</f>
        <v>1</v>
      </c>
    </row>
    <row r="138" spans="1:23" x14ac:dyDescent="0.25">
      <c r="A138" t="s">
        <v>378</v>
      </c>
      <c r="B138">
        <v>2007</v>
      </c>
      <c r="C138" t="s">
        <v>377</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COUNT(LifeExpectancyData[[#This Row],[Life expectancy]:[Schooling]])=19</f>
        <v>1</v>
      </c>
    </row>
    <row r="139" spans="1:23" x14ac:dyDescent="0.25">
      <c r="A139" t="s">
        <v>378</v>
      </c>
      <c r="B139">
        <v>2006</v>
      </c>
      <c r="C139" t="s">
        <v>377</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COUNT(LifeExpectancyData[[#This Row],[Life expectancy]:[Schooling]])=19</f>
        <v>1</v>
      </c>
    </row>
    <row r="140" spans="1:23" x14ac:dyDescent="0.25">
      <c r="A140" t="s">
        <v>378</v>
      </c>
      <c r="B140">
        <v>2005</v>
      </c>
      <c r="C140" t="s">
        <v>377</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COUNT(LifeExpectancyData[[#This Row],[Life expectancy]:[Schooling]])=19</f>
        <v>1</v>
      </c>
    </row>
    <row r="141" spans="1:23" x14ac:dyDescent="0.25">
      <c r="A141" t="s">
        <v>378</v>
      </c>
      <c r="B141">
        <v>2004</v>
      </c>
      <c r="C141" t="s">
        <v>377</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COUNT(LifeExpectancyData[[#This Row],[Life expectancy]:[Schooling]])=19</f>
        <v>1</v>
      </c>
    </row>
    <row r="142" spans="1:23" x14ac:dyDescent="0.25">
      <c r="A142" t="s">
        <v>378</v>
      </c>
      <c r="B142">
        <v>2003</v>
      </c>
      <c r="C142" t="s">
        <v>377</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COUNT(LifeExpectancyData[[#This Row],[Life expectancy]:[Schooling]])=19</f>
        <v>1</v>
      </c>
    </row>
    <row r="143" spans="1:23" x14ac:dyDescent="0.25">
      <c r="A143" t="s">
        <v>378</v>
      </c>
      <c r="B143">
        <v>2002</v>
      </c>
      <c r="C143" t="s">
        <v>377</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COUNT(LifeExpectancyData[[#This Row],[Life expectancy]:[Schooling]])=19</f>
        <v>1</v>
      </c>
    </row>
    <row r="144" spans="1:23" x14ac:dyDescent="0.25">
      <c r="A144" t="s">
        <v>378</v>
      </c>
      <c r="B144">
        <v>2001</v>
      </c>
      <c r="C144" t="s">
        <v>377</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COUNT(LifeExpectancyData[[#This Row],[Life expectancy]:[Schooling]])=19</f>
        <v>1</v>
      </c>
    </row>
    <row r="145" spans="1:23" x14ac:dyDescent="0.25">
      <c r="A145" t="s">
        <v>378</v>
      </c>
      <c r="B145">
        <v>2000</v>
      </c>
      <c r="C145" t="s">
        <v>377</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COUNT(LifeExpectancyData[[#This Row],[Life expectancy]:[Schooling]])=19</f>
        <v>1</v>
      </c>
    </row>
    <row r="146" spans="1:23" x14ac:dyDescent="0.25">
      <c r="A146" t="s">
        <v>379</v>
      </c>
      <c r="B146">
        <v>2015</v>
      </c>
      <c r="C146" t="s">
        <v>369</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COUNT(LifeExpectancyData[[#This Row],[Life expectancy]:[Schooling]])=19</f>
        <v>0</v>
      </c>
    </row>
    <row r="147" spans="1:23" x14ac:dyDescent="0.25">
      <c r="A147" t="s">
        <v>379</v>
      </c>
      <c r="B147">
        <v>2014</v>
      </c>
      <c r="C147" t="s">
        <v>369</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COUNT(LifeExpectancyData[[#This Row],[Life expectancy]:[Schooling]])=19</f>
        <v>1</v>
      </c>
    </row>
    <row r="148" spans="1:23" x14ac:dyDescent="0.25">
      <c r="A148" t="s">
        <v>379</v>
      </c>
      <c r="B148">
        <v>2013</v>
      </c>
      <c r="C148" t="s">
        <v>369</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COUNT(LifeExpectancyData[[#This Row],[Life expectancy]:[Schooling]])=19</f>
        <v>1</v>
      </c>
    </row>
    <row r="149" spans="1:23" x14ac:dyDescent="0.25">
      <c r="A149" t="s">
        <v>379</v>
      </c>
      <c r="B149">
        <v>2012</v>
      </c>
      <c r="C149" t="s">
        <v>369</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COUNT(LifeExpectancyData[[#This Row],[Life expectancy]:[Schooling]])=19</f>
        <v>1</v>
      </c>
    </row>
    <row r="150" spans="1:23" x14ac:dyDescent="0.25">
      <c r="A150" t="s">
        <v>379</v>
      </c>
      <c r="B150">
        <v>2011</v>
      </c>
      <c r="C150" t="s">
        <v>369</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COUNT(LifeExpectancyData[[#This Row],[Life expectancy]:[Schooling]])=19</f>
        <v>1</v>
      </c>
    </row>
    <row r="151" spans="1:23" x14ac:dyDescent="0.25">
      <c r="A151" t="s">
        <v>379</v>
      </c>
      <c r="B151">
        <v>2010</v>
      </c>
      <c r="C151" t="s">
        <v>369</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COUNT(LifeExpectancyData[[#This Row],[Life expectancy]:[Schooling]])=19</f>
        <v>1</v>
      </c>
    </row>
    <row r="152" spans="1:23" x14ac:dyDescent="0.25">
      <c r="A152" t="s">
        <v>379</v>
      </c>
      <c r="B152">
        <v>2009</v>
      </c>
      <c r="C152" t="s">
        <v>369</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COUNT(LifeExpectancyData[[#This Row],[Life expectancy]:[Schooling]])=19</f>
        <v>1</v>
      </c>
    </row>
    <row r="153" spans="1:23" x14ac:dyDescent="0.25">
      <c r="A153" t="s">
        <v>379</v>
      </c>
      <c r="B153">
        <v>2008</v>
      </c>
      <c r="C153" t="s">
        <v>369</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COUNT(LifeExpectancyData[[#This Row],[Life expectancy]:[Schooling]])=19</f>
        <v>1</v>
      </c>
    </row>
    <row r="154" spans="1:23" x14ac:dyDescent="0.25">
      <c r="A154" t="s">
        <v>379</v>
      </c>
      <c r="B154">
        <v>2007</v>
      </c>
      <c r="C154" t="s">
        <v>369</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COUNT(LifeExpectancyData[[#This Row],[Life expectancy]:[Schooling]])=19</f>
        <v>1</v>
      </c>
    </row>
    <row r="155" spans="1:23" x14ac:dyDescent="0.25">
      <c r="A155" t="s">
        <v>379</v>
      </c>
      <c r="B155">
        <v>2006</v>
      </c>
      <c r="C155" t="s">
        <v>369</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COUNT(LifeExpectancyData[[#This Row],[Life expectancy]:[Schooling]])=19</f>
        <v>1</v>
      </c>
    </row>
    <row r="156" spans="1:23" x14ac:dyDescent="0.25">
      <c r="A156" t="s">
        <v>379</v>
      </c>
      <c r="B156">
        <v>2005</v>
      </c>
      <c r="C156" t="s">
        <v>369</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COUNT(LifeExpectancyData[[#This Row],[Life expectancy]:[Schooling]])=19</f>
        <v>1</v>
      </c>
    </row>
    <row r="157" spans="1:23" x14ac:dyDescent="0.25">
      <c r="A157" t="s">
        <v>379</v>
      </c>
      <c r="B157">
        <v>2004</v>
      </c>
      <c r="C157" t="s">
        <v>369</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COUNT(LifeExpectancyData[[#This Row],[Life expectancy]:[Schooling]])=19</f>
        <v>1</v>
      </c>
    </row>
    <row r="158" spans="1:23" x14ac:dyDescent="0.25">
      <c r="A158" t="s">
        <v>379</v>
      </c>
      <c r="B158">
        <v>2003</v>
      </c>
      <c r="C158" t="s">
        <v>369</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COUNT(LifeExpectancyData[[#This Row],[Life expectancy]:[Schooling]])=19</f>
        <v>1</v>
      </c>
    </row>
    <row r="159" spans="1:23" x14ac:dyDescent="0.25">
      <c r="A159" t="s">
        <v>379</v>
      </c>
      <c r="B159">
        <v>2002</v>
      </c>
      <c r="C159" t="s">
        <v>369</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COUNT(LifeExpectancyData[[#This Row],[Life expectancy]:[Schooling]])=19</f>
        <v>1</v>
      </c>
    </row>
    <row r="160" spans="1:23" x14ac:dyDescent="0.25">
      <c r="A160" t="s">
        <v>379</v>
      </c>
      <c r="B160">
        <v>2001</v>
      </c>
      <c r="C160" t="s">
        <v>369</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COUNT(LifeExpectancyData[[#This Row],[Life expectancy]:[Schooling]])=19</f>
        <v>0</v>
      </c>
    </row>
    <row r="161" spans="1:23" x14ac:dyDescent="0.25">
      <c r="A161" t="s">
        <v>379</v>
      </c>
      <c r="B161">
        <v>2000</v>
      </c>
      <c r="C161" t="s">
        <v>369</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COUNT(LifeExpectancyData[[#This Row],[Life expectancy]:[Schooling]])=19</f>
        <v>0</v>
      </c>
    </row>
    <row r="162" spans="1:23" x14ac:dyDescent="0.25">
      <c r="A162" t="s">
        <v>380</v>
      </c>
      <c r="B162">
        <v>2015</v>
      </c>
      <c r="C162" t="s">
        <v>369</v>
      </c>
      <c r="D162">
        <v>76.099999999999994</v>
      </c>
      <c r="E162">
        <v>147</v>
      </c>
      <c r="F162">
        <v>0</v>
      </c>
      <c r="H162">
        <v>0</v>
      </c>
      <c r="I162">
        <v>95</v>
      </c>
      <c r="J162">
        <v>0</v>
      </c>
      <c r="K162">
        <v>64.5</v>
      </c>
      <c r="L162">
        <v>0</v>
      </c>
      <c r="M162">
        <v>95</v>
      </c>
      <c r="O162">
        <v>95</v>
      </c>
      <c r="P162">
        <v>0.1</v>
      </c>
      <c r="S162">
        <v>2.5</v>
      </c>
      <c r="T162">
        <v>2.5</v>
      </c>
      <c r="U162">
        <v>0.79</v>
      </c>
      <c r="V162">
        <v>12.6</v>
      </c>
      <c r="W162" t="b">
        <f>COUNT(LifeExpectancyData[[#This Row],[Life expectancy]:[Schooling]])=19</f>
        <v>0</v>
      </c>
    </row>
    <row r="163" spans="1:23" x14ac:dyDescent="0.25">
      <c r="A163" t="s">
        <v>380</v>
      </c>
      <c r="B163">
        <v>2014</v>
      </c>
      <c r="C163" t="s">
        <v>369</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COUNT(LifeExpectancyData[[#This Row],[Life expectancy]:[Schooling]])=19</f>
        <v>0</v>
      </c>
    </row>
    <row r="164" spans="1:23" x14ac:dyDescent="0.25">
      <c r="A164" t="s">
        <v>380</v>
      </c>
      <c r="B164">
        <v>2013</v>
      </c>
      <c r="C164" t="s">
        <v>369</v>
      </c>
      <c r="D164">
        <v>74.8</v>
      </c>
      <c r="E164">
        <v>172</v>
      </c>
      <c r="F164">
        <v>0</v>
      </c>
      <c r="G164">
        <v>9.42</v>
      </c>
      <c r="H164">
        <v>0</v>
      </c>
      <c r="I164">
        <v>97</v>
      </c>
      <c r="J164">
        <v>0</v>
      </c>
      <c r="K164">
        <v>63.2</v>
      </c>
      <c r="L164">
        <v>0</v>
      </c>
      <c r="M164">
        <v>97</v>
      </c>
      <c r="N164">
        <v>7.5</v>
      </c>
      <c r="O164">
        <v>97</v>
      </c>
      <c r="P164">
        <v>0.1</v>
      </c>
      <c r="S164">
        <v>2.5</v>
      </c>
      <c r="T164">
        <v>2.5</v>
      </c>
      <c r="U164">
        <v>0.79</v>
      </c>
      <c r="V164">
        <v>12.6</v>
      </c>
      <c r="W164" t="b">
        <f>COUNT(LifeExpectancyData[[#This Row],[Life expectancy]:[Schooling]])=19</f>
        <v>0</v>
      </c>
    </row>
    <row r="165" spans="1:23" x14ac:dyDescent="0.25">
      <c r="A165" t="s">
        <v>380</v>
      </c>
      <c r="B165">
        <v>2012</v>
      </c>
      <c r="C165" t="s">
        <v>369</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COUNT(LifeExpectancyData[[#This Row],[Life expectancy]:[Schooling]])=19</f>
        <v>0</v>
      </c>
    </row>
    <row r="166" spans="1:23" x14ac:dyDescent="0.25">
      <c r="A166" t="s">
        <v>380</v>
      </c>
      <c r="B166">
        <v>2011</v>
      </c>
      <c r="C166" t="s">
        <v>369</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COUNT(LifeExpectancyData[[#This Row],[Life expectancy]:[Schooling]])=19</f>
        <v>0</v>
      </c>
    </row>
    <row r="167" spans="1:23" x14ac:dyDescent="0.25">
      <c r="A167" t="s">
        <v>380</v>
      </c>
      <c r="B167">
        <v>2010</v>
      </c>
      <c r="C167" t="s">
        <v>369</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COUNT(LifeExpectancyData[[#This Row],[Life expectancy]:[Schooling]])=19</f>
        <v>0</v>
      </c>
    </row>
    <row r="168" spans="1:23" x14ac:dyDescent="0.25">
      <c r="A168" t="s">
        <v>380</v>
      </c>
      <c r="B168">
        <v>2009</v>
      </c>
      <c r="C168" t="s">
        <v>369</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COUNT(LifeExpectancyData[[#This Row],[Life expectancy]:[Schooling]])=19</f>
        <v>0</v>
      </c>
    </row>
    <row r="169" spans="1:23" x14ac:dyDescent="0.25">
      <c r="A169" t="s">
        <v>380</v>
      </c>
      <c r="B169">
        <v>2008</v>
      </c>
      <c r="C169" t="s">
        <v>369</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COUNT(LifeExpectancyData[[#This Row],[Life expectancy]:[Schooling]])=19</f>
        <v>0</v>
      </c>
    </row>
    <row r="170" spans="1:23" x14ac:dyDescent="0.25">
      <c r="A170" t="s">
        <v>380</v>
      </c>
      <c r="B170">
        <v>2007</v>
      </c>
      <c r="C170" t="s">
        <v>369</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COUNT(LifeExpectancyData[[#This Row],[Life expectancy]:[Schooling]])=19</f>
        <v>0</v>
      </c>
    </row>
    <row r="171" spans="1:23" x14ac:dyDescent="0.25">
      <c r="A171" t="s">
        <v>380</v>
      </c>
      <c r="B171">
        <v>2006</v>
      </c>
      <c r="C171" t="s">
        <v>369</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COUNT(LifeExpectancyData[[#This Row],[Life expectancy]:[Schooling]])=19</f>
        <v>0</v>
      </c>
    </row>
    <row r="172" spans="1:23" x14ac:dyDescent="0.25">
      <c r="A172" t="s">
        <v>380</v>
      </c>
      <c r="B172">
        <v>2005</v>
      </c>
      <c r="C172" t="s">
        <v>369</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COUNT(LifeExpectancyData[[#This Row],[Life expectancy]:[Schooling]])=19</f>
        <v>0</v>
      </c>
    </row>
    <row r="173" spans="1:23" x14ac:dyDescent="0.25">
      <c r="A173" t="s">
        <v>380</v>
      </c>
      <c r="B173">
        <v>2004</v>
      </c>
      <c r="C173" t="s">
        <v>369</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COUNT(LifeExpectancyData[[#This Row],[Life expectancy]:[Schooling]])=19</f>
        <v>0</v>
      </c>
    </row>
    <row r="174" spans="1:23" x14ac:dyDescent="0.25">
      <c r="A174" t="s">
        <v>380</v>
      </c>
      <c r="B174">
        <v>2003</v>
      </c>
      <c r="C174" t="s">
        <v>369</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COUNT(LifeExpectancyData[[#This Row],[Life expectancy]:[Schooling]])=19</f>
        <v>0</v>
      </c>
    </row>
    <row r="175" spans="1:23" x14ac:dyDescent="0.25">
      <c r="A175" t="s">
        <v>380</v>
      </c>
      <c r="B175">
        <v>2002</v>
      </c>
      <c r="C175" t="s">
        <v>369</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COUNT(LifeExpectancyData[[#This Row],[Life expectancy]:[Schooling]])=19</f>
        <v>0</v>
      </c>
    </row>
    <row r="176" spans="1:23" x14ac:dyDescent="0.25">
      <c r="A176" t="s">
        <v>380</v>
      </c>
      <c r="B176">
        <v>2001</v>
      </c>
      <c r="C176" t="s">
        <v>369</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COUNT(LifeExpectancyData[[#This Row],[Life expectancy]:[Schooling]])=19</f>
        <v>0</v>
      </c>
    </row>
    <row r="177" spans="1:23" x14ac:dyDescent="0.25">
      <c r="A177" t="s">
        <v>380</v>
      </c>
      <c r="B177">
        <v>2000</v>
      </c>
      <c r="C177" t="s">
        <v>369</v>
      </c>
      <c r="D177">
        <v>72.599999999999994</v>
      </c>
      <c r="E177">
        <v>192</v>
      </c>
      <c r="F177">
        <v>0</v>
      </c>
      <c r="G177">
        <v>12.15</v>
      </c>
      <c r="H177">
        <v>0</v>
      </c>
      <c r="J177">
        <v>0</v>
      </c>
      <c r="K177">
        <v>54.4</v>
      </c>
      <c r="L177">
        <v>0</v>
      </c>
      <c r="M177">
        <v>91</v>
      </c>
      <c r="N177">
        <v>5.21</v>
      </c>
      <c r="O177">
        <v>99</v>
      </c>
      <c r="P177">
        <v>0.1</v>
      </c>
      <c r="S177">
        <v>2.7</v>
      </c>
      <c r="T177">
        <v>2.6</v>
      </c>
      <c r="U177">
        <v>0</v>
      </c>
      <c r="V177">
        <v>12</v>
      </c>
      <c r="W177" t="b">
        <f>COUNT(LifeExpectancyData[[#This Row],[Life expectancy]:[Schooling]])=19</f>
        <v>0</v>
      </c>
    </row>
    <row r="178" spans="1:23" x14ac:dyDescent="0.25">
      <c r="A178" t="s">
        <v>381</v>
      </c>
      <c r="B178">
        <v>2015</v>
      </c>
      <c r="C178" t="s">
        <v>369</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COUNT(LifeExpectancyData[[#This Row],[Life expectancy]:[Schooling]])=19</f>
        <v>0</v>
      </c>
    </row>
    <row r="179" spans="1:23" x14ac:dyDescent="0.25">
      <c r="A179" t="s">
        <v>381</v>
      </c>
      <c r="B179">
        <v>2014</v>
      </c>
      <c r="C179" t="s">
        <v>369</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COUNT(LifeExpectancyData[[#This Row],[Life expectancy]:[Schooling]])=19</f>
        <v>0</v>
      </c>
    </row>
    <row r="180" spans="1:23" x14ac:dyDescent="0.25">
      <c r="A180" t="s">
        <v>381</v>
      </c>
      <c r="B180">
        <v>2013</v>
      </c>
      <c r="C180" t="s">
        <v>369</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COUNT(LifeExpectancyData[[#This Row],[Life expectancy]:[Schooling]])=19</f>
        <v>0</v>
      </c>
    </row>
    <row r="181" spans="1:23" x14ac:dyDescent="0.25">
      <c r="A181" t="s">
        <v>381</v>
      </c>
      <c r="B181">
        <v>2012</v>
      </c>
      <c r="C181" t="s">
        <v>369</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COUNT(LifeExpectancyData[[#This Row],[Life expectancy]:[Schooling]])=19</f>
        <v>0</v>
      </c>
    </row>
    <row r="182" spans="1:23" x14ac:dyDescent="0.25">
      <c r="A182" t="s">
        <v>381</v>
      </c>
      <c r="B182">
        <v>2011</v>
      </c>
      <c r="C182" t="s">
        <v>369</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COUNT(LifeExpectancyData[[#This Row],[Life expectancy]:[Schooling]])=19</f>
        <v>0</v>
      </c>
    </row>
    <row r="183" spans="1:23" x14ac:dyDescent="0.25">
      <c r="A183" t="s">
        <v>381</v>
      </c>
      <c r="B183">
        <v>2010</v>
      </c>
      <c r="C183" t="s">
        <v>369</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COUNT(LifeExpectancyData[[#This Row],[Life expectancy]:[Schooling]])=19</f>
        <v>0</v>
      </c>
    </row>
    <row r="184" spans="1:23" x14ac:dyDescent="0.25">
      <c r="A184" t="s">
        <v>381</v>
      </c>
      <c r="B184">
        <v>2009</v>
      </c>
      <c r="C184" t="s">
        <v>369</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COUNT(LifeExpectancyData[[#This Row],[Life expectancy]:[Schooling]])=19</f>
        <v>0</v>
      </c>
    </row>
    <row r="185" spans="1:23" x14ac:dyDescent="0.25">
      <c r="A185" t="s">
        <v>381</v>
      </c>
      <c r="B185">
        <v>2008</v>
      </c>
      <c r="C185" t="s">
        <v>369</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COUNT(LifeExpectancyData[[#This Row],[Life expectancy]:[Schooling]])=19</f>
        <v>0</v>
      </c>
    </row>
    <row r="186" spans="1:23" x14ac:dyDescent="0.25">
      <c r="A186" t="s">
        <v>381</v>
      </c>
      <c r="B186">
        <v>2007</v>
      </c>
      <c r="C186" t="s">
        <v>369</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COUNT(LifeExpectancyData[[#This Row],[Life expectancy]:[Schooling]])=19</f>
        <v>0</v>
      </c>
    </row>
    <row r="187" spans="1:23" x14ac:dyDescent="0.25">
      <c r="A187" t="s">
        <v>381</v>
      </c>
      <c r="B187">
        <v>2006</v>
      </c>
      <c r="C187" t="s">
        <v>369</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COUNT(LifeExpectancyData[[#This Row],[Life expectancy]:[Schooling]])=19</f>
        <v>0</v>
      </c>
    </row>
    <row r="188" spans="1:23" x14ac:dyDescent="0.25">
      <c r="A188" t="s">
        <v>381</v>
      </c>
      <c r="B188">
        <v>2005</v>
      </c>
      <c r="C188" t="s">
        <v>369</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COUNT(LifeExpectancyData[[#This Row],[Life expectancy]:[Schooling]])=19</f>
        <v>0</v>
      </c>
    </row>
    <row r="189" spans="1:23" x14ac:dyDescent="0.25">
      <c r="A189" t="s">
        <v>381</v>
      </c>
      <c r="B189">
        <v>2004</v>
      </c>
      <c r="C189" t="s">
        <v>369</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COUNT(LifeExpectancyData[[#This Row],[Life expectancy]:[Schooling]])=19</f>
        <v>0</v>
      </c>
    </row>
    <row r="190" spans="1:23" x14ac:dyDescent="0.25">
      <c r="A190" t="s">
        <v>381</v>
      </c>
      <c r="B190">
        <v>2003</v>
      </c>
      <c r="C190" t="s">
        <v>369</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COUNT(LifeExpectancyData[[#This Row],[Life expectancy]:[Schooling]])=19</f>
        <v>0</v>
      </c>
    </row>
    <row r="191" spans="1:23" x14ac:dyDescent="0.25">
      <c r="A191" t="s">
        <v>381</v>
      </c>
      <c r="B191">
        <v>2002</v>
      </c>
      <c r="C191" t="s">
        <v>369</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COUNT(LifeExpectancyData[[#This Row],[Life expectancy]:[Schooling]])=19</f>
        <v>0</v>
      </c>
    </row>
    <row r="192" spans="1:23" x14ac:dyDescent="0.25">
      <c r="A192" t="s">
        <v>381</v>
      </c>
      <c r="B192">
        <v>2001</v>
      </c>
      <c r="C192" t="s">
        <v>369</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COUNT(LifeExpectancyData[[#This Row],[Life expectancy]:[Schooling]])=19</f>
        <v>0</v>
      </c>
    </row>
    <row r="193" spans="1:23" x14ac:dyDescent="0.25">
      <c r="A193" t="s">
        <v>381</v>
      </c>
      <c r="B193">
        <v>2000</v>
      </c>
      <c r="C193" t="s">
        <v>369</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COUNT(LifeExpectancyData[[#This Row],[Life expectancy]:[Schooling]])=19</f>
        <v>0</v>
      </c>
    </row>
    <row r="194" spans="1:23" x14ac:dyDescent="0.25">
      <c r="A194" t="s">
        <v>382</v>
      </c>
      <c r="B194">
        <v>2015</v>
      </c>
      <c r="C194" t="s">
        <v>369</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COUNT(LifeExpectancyData[[#This Row],[Life expectancy]:[Schooling]])=19</f>
        <v>0</v>
      </c>
    </row>
    <row r="195" spans="1:23" x14ac:dyDescent="0.25">
      <c r="A195" t="s">
        <v>382</v>
      </c>
      <c r="B195">
        <v>2014</v>
      </c>
      <c r="C195" t="s">
        <v>369</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COUNT(LifeExpectancyData[[#This Row],[Life expectancy]:[Schooling]])=19</f>
        <v>1</v>
      </c>
    </row>
    <row r="196" spans="1:23" x14ac:dyDescent="0.25">
      <c r="A196" t="s">
        <v>382</v>
      </c>
      <c r="B196">
        <v>2013</v>
      </c>
      <c r="C196" t="s">
        <v>369</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COUNT(LifeExpectancyData[[#This Row],[Life expectancy]:[Schooling]])=19</f>
        <v>1</v>
      </c>
    </row>
    <row r="197" spans="1:23" x14ac:dyDescent="0.25">
      <c r="A197" t="s">
        <v>382</v>
      </c>
      <c r="B197">
        <v>2012</v>
      </c>
      <c r="C197" t="s">
        <v>369</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COUNT(LifeExpectancyData[[#This Row],[Life expectancy]:[Schooling]])=19</f>
        <v>1</v>
      </c>
    </row>
    <row r="198" spans="1:23" x14ac:dyDescent="0.25">
      <c r="A198" t="s">
        <v>382</v>
      </c>
      <c r="B198">
        <v>2011</v>
      </c>
      <c r="C198" t="s">
        <v>369</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COUNT(LifeExpectancyData[[#This Row],[Life expectancy]:[Schooling]])=19</f>
        <v>1</v>
      </c>
    </row>
    <row r="199" spans="1:23" x14ac:dyDescent="0.25">
      <c r="A199" t="s">
        <v>382</v>
      </c>
      <c r="B199">
        <v>2010</v>
      </c>
      <c r="C199" t="s">
        <v>369</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COUNT(LifeExpectancyData[[#This Row],[Life expectancy]:[Schooling]])=19</f>
        <v>1</v>
      </c>
    </row>
    <row r="200" spans="1:23" x14ac:dyDescent="0.25">
      <c r="A200" t="s">
        <v>382</v>
      </c>
      <c r="B200">
        <v>2009</v>
      </c>
      <c r="C200" t="s">
        <v>369</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COUNT(LifeExpectancyData[[#This Row],[Life expectancy]:[Schooling]])=19</f>
        <v>1</v>
      </c>
    </row>
    <row r="201" spans="1:23" x14ac:dyDescent="0.25">
      <c r="A201" t="s">
        <v>382</v>
      </c>
      <c r="B201">
        <v>2008</v>
      </c>
      <c r="C201" t="s">
        <v>369</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COUNT(LifeExpectancyData[[#This Row],[Life expectancy]:[Schooling]])=19</f>
        <v>1</v>
      </c>
    </row>
    <row r="202" spans="1:23" x14ac:dyDescent="0.25">
      <c r="A202" t="s">
        <v>382</v>
      </c>
      <c r="B202">
        <v>2007</v>
      </c>
      <c r="C202" t="s">
        <v>369</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COUNT(LifeExpectancyData[[#This Row],[Life expectancy]:[Schooling]])=19</f>
        <v>1</v>
      </c>
    </row>
    <row r="203" spans="1:23" x14ac:dyDescent="0.25">
      <c r="A203" t="s">
        <v>382</v>
      </c>
      <c r="B203">
        <v>2006</v>
      </c>
      <c r="C203" t="s">
        <v>369</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COUNT(LifeExpectancyData[[#This Row],[Life expectancy]:[Schooling]])=19</f>
        <v>1</v>
      </c>
    </row>
    <row r="204" spans="1:23" x14ac:dyDescent="0.25">
      <c r="A204" t="s">
        <v>382</v>
      </c>
      <c r="B204">
        <v>2005</v>
      </c>
      <c r="C204" t="s">
        <v>369</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COUNT(LifeExpectancyData[[#This Row],[Life expectancy]:[Schooling]])=19</f>
        <v>1</v>
      </c>
    </row>
    <row r="205" spans="1:23" x14ac:dyDescent="0.25">
      <c r="A205" t="s">
        <v>382</v>
      </c>
      <c r="B205">
        <v>2004</v>
      </c>
      <c r="C205" t="s">
        <v>369</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COUNT(LifeExpectancyData[[#This Row],[Life expectancy]:[Schooling]])=19</f>
        <v>1</v>
      </c>
    </row>
    <row r="206" spans="1:23" x14ac:dyDescent="0.25">
      <c r="A206" t="s">
        <v>382</v>
      </c>
      <c r="B206">
        <v>2003</v>
      </c>
      <c r="C206" t="s">
        <v>369</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COUNT(LifeExpectancyData[[#This Row],[Life expectancy]:[Schooling]])=19</f>
        <v>1</v>
      </c>
    </row>
    <row r="207" spans="1:23" x14ac:dyDescent="0.25">
      <c r="A207" t="s">
        <v>382</v>
      </c>
      <c r="B207">
        <v>2002</v>
      </c>
      <c r="C207" t="s">
        <v>369</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COUNT(LifeExpectancyData[[#This Row],[Life expectancy]:[Schooling]])=19</f>
        <v>0</v>
      </c>
    </row>
    <row r="208" spans="1:23" x14ac:dyDescent="0.25">
      <c r="A208" t="s">
        <v>382</v>
      </c>
      <c r="B208">
        <v>2001</v>
      </c>
      <c r="C208" t="s">
        <v>369</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COUNT(LifeExpectancyData[[#This Row],[Life expectancy]:[Schooling]])=19</f>
        <v>0</v>
      </c>
    </row>
    <row r="209" spans="1:23" x14ac:dyDescent="0.25">
      <c r="A209" t="s">
        <v>382</v>
      </c>
      <c r="B209">
        <v>2000</v>
      </c>
      <c r="C209" t="s">
        <v>369</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COUNT(LifeExpectancyData[[#This Row],[Life expectancy]:[Schooling]])=19</f>
        <v>0</v>
      </c>
    </row>
    <row r="210" spans="1:23" x14ac:dyDescent="0.25">
      <c r="A210" t="s">
        <v>383</v>
      </c>
      <c r="B210">
        <v>2015</v>
      </c>
      <c r="C210" t="s">
        <v>369</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COUNT(LifeExpectancyData[[#This Row],[Life expectancy]:[Schooling]])=19</f>
        <v>0</v>
      </c>
    </row>
    <row r="211" spans="1:23" x14ac:dyDescent="0.25">
      <c r="A211" t="s">
        <v>383</v>
      </c>
      <c r="B211">
        <v>2014</v>
      </c>
      <c r="C211" t="s">
        <v>369</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COUNT(LifeExpectancyData[[#This Row],[Life expectancy]:[Schooling]])=19</f>
        <v>0</v>
      </c>
    </row>
    <row r="212" spans="1:23" x14ac:dyDescent="0.25">
      <c r="A212" t="s">
        <v>383</v>
      </c>
      <c r="B212">
        <v>2013</v>
      </c>
      <c r="C212" t="s">
        <v>369</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COUNT(LifeExpectancyData[[#This Row],[Life expectancy]:[Schooling]])=19</f>
        <v>0</v>
      </c>
    </row>
    <row r="213" spans="1:23" x14ac:dyDescent="0.25">
      <c r="A213" t="s">
        <v>383</v>
      </c>
      <c r="B213">
        <v>2012</v>
      </c>
      <c r="C213" t="s">
        <v>369</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COUNT(LifeExpectancyData[[#This Row],[Life expectancy]:[Schooling]])=19</f>
        <v>0</v>
      </c>
    </row>
    <row r="214" spans="1:23" x14ac:dyDescent="0.25">
      <c r="A214" t="s">
        <v>383</v>
      </c>
      <c r="B214">
        <v>2011</v>
      </c>
      <c r="C214" t="s">
        <v>369</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COUNT(LifeExpectancyData[[#This Row],[Life expectancy]:[Schooling]])=19</f>
        <v>0</v>
      </c>
    </row>
    <row r="215" spans="1:23" x14ac:dyDescent="0.25">
      <c r="A215" t="s">
        <v>383</v>
      </c>
      <c r="B215">
        <v>2010</v>
      </c>
      <c r="C215" t="s">
        <v>369</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COUNT(LifeExpectancyData[[#This Row],[Life expectancy]:[Schooling]])=19</f>
        <v>0</v>
      </c>
    </row>
    <row r="216" spans="1:23" x14ac:dyDescent="0.25">
      <c r="A216" t="s">
        <v>383</v>
      </c>
      <c r="B216">
        <v>2009</v>
      </c>
      <c r="C216" t="s">
        <v>369</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COUNT(LifeExpectancyData[[#This Row],[Life expectancy]:[Schooling]])=19</f>
        <v>0</v>
      </c>
    </row>
    <row r="217" spans="1:23" x14ac:dyDescent="0.25">
      <c r="A217" t="s">
        <v>383</v>
      </c>
      <c r="B217">
        <v>2008</v>
      </c>
      <c r="C217" t="s">
        <v>369</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COUNT(LifeExpectancyData[[#This Row],[Life expectancy]:[Schooling]])=19</f>
        <v>0</v>
      </c>
    </row>
    <row r="218" spans="1:23" x14ac:dyDescent="0.25">
      <c r="A218" t="s">
        <v>383</v>
      </c>
      <c r="B218">
        <v>2007</v>
      </c>
      <c r="C218" t="s">
        <v>369</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COUNT(LifeExpectancyData[[#This Row],[Life expectancy]:[Schooling]])=19</f>
        <v>0</v>
      </c>
    </row>
    <row r="219" spans="1:23" x14ac:dyDescent="0.25">
      <c r="A219" t="s">
        <v>383</v>
      </c>
      <c r="B219">
        <v>2006</v>
      </c>
      <c r="C219" t="s">
        <v>369</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COUNT(LifeExpectancyData[[#This Row],[Life expectancy]:[Schooling]])=19</f>
        <v>0</v>
      </c>
    </row>
    <row r="220" spans="1:23" x14ac:dyDescent="0.25">
      <c r="A220" t="s">
        <v>383</v>
      </c>
      <c r="B220">
        <v>2005</v>
      </c>
      <c r="C220" t="s">
        <v>369</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COUNT(LifeExpectancyData[[#This Row],[Life expectancy]:[Schooling]])=19</f>
        <v>0</v>
      </c>
    </row>
    <row r="221" spans="1:23" x14ac:dyDescent="0.25">
      <c r="A221" t="s">
        <v>383</v>
      </c>
      <c r="B221">
        <v>2004</v>
      </c>
      <c r="C221" t="s">
        <v>369</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COUNT(LifeExpectancyData[[#This Row],[Life expectancy]:[Schooling]])=19</f>
        <v>0</v>
      </c>
    </row>
    <row r="222" spans="1:23" x14ac:dyDescent="0.25">
      <c r="A222" t="s">
        <v>383</v>
      </c>
      <c r="B222">
        <v>2003</v>
      </c>
      <c r="C222" t="s">
        <v>369</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COUNT(LifeExpectancyData[[#This Row],[Life expectancy]:[Schooling]])=19</f>
        <v>0</v>
      </c>
    </row>
    <row r="223" spans="1:23" x14ac:dyDescent="0.25">
      <c r="A223" t="s">
        <v>383</v>
      </c>
      <c r="B223">
        <v>2002</v>
      </c>
      <c r="C223" t="s">
        <v>369</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COUNT(LifeExpectancyData[[#This Row],[Life expectancy]:[Schooling]])=19</f>
        <v>0</v>
      </c>
    </row>
    <row r="224" spans="1:23" x14ac:dyDescent="0.25">
      <c r="A224" t="s">
        <v>383</v>
      </c>
      <c r="B224">
        <v>2001</v>
      </c>
      <c r="C224" t="s">
        <v>369</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COUNT(LifeExpectancyData[[#This Row],[Life expectancy]:[Schooling]])=19</f>
        <v>0</v>
      </c>
    </row>
    <row r="225" spans="1:23" x14ac:dyDescent="0.25">
      <c r="A225" t="s">
        <v>383</v>
      </c>
      <c r="B225">
        <v>2000</v>
      </c>
      <c r="C225" t="s">
        <v>369</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COUNT(LifeExpectancyData[[#This Row],[Life expectancy]:[Schooling]])=19</f>
        <v>0</v>
      </c>
    </row>
    <row r="226" spans="1:23" x14ac:dyDescent="0.25">
      <c r="A226" t="s">
        <v>384</v>
      </c>
      <c r="B226">
        <v>2015</v>
      </c>
      <c r="C226" t="s">
        <v>369</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COUNT(LifeExpectancyData[[#This Row],[Life expectancy]:[Schooling]])=19</f>
        <v>0</v>
      </c>
    </row>
    <row r="227" spans="1:23" x14ac:dyDescent="0.25">
      <c r="A227" t="s">
        <v>384</v>
      </c>
      <c r="B227">
        <v>2014</v>
      </c>
      <c r="C227" t="s">
        <v>369</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COUNT(LifeExpectancyData[[#This Row],[Life expectancy]:[Schooling]])=19</f>
        <v>1</v>
      </c>
    </row>
    <row r="228" spans="1:23" x14ac:dyDescent="0.25">
      <c r="A228" t="s">
        <v>384</v>
      </c>
      <c r="B228">
        <v>2013</v>
      </c>
      <c r="C228" t="s">
        <v>369</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COUNT(LifeExpectancyData[[#This Row],[Life expectancy]:[Schooling]])=19</f>
        <v>1</v>
      </c>
    </row>
    <row r="229" spans="1:23" x14ac:dyDescent="0.25">
      <c r="A229" t="s">
        <v>384</v>
      </c>
      <c r="B229">
        <v>2012</v>
      </c>
      <c r="C229" t="s">
        <v>369</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COUNT(LifeExpectancyData[[#This Row],[Life expectancy]:[Schooling]])=19</f>
        <v>1</v>
      </c>
    </row>
    <row r="230" spans="1:23" x14ac:dyDescent="0.25">
      <c r="A230" t="s">
        <v>384</v>
      </c>
      <c r="B230">
        <v>2011</v>
      </c>
      <c r="C230" t="s">
        <v>369</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COUNT(LifeExpectancyData[[#This Row],[Life expectancy]:[Schooling]])=19</f>
        <v>1</v>
      </c>
    </row>
    <row r="231" spans="1:23" x14ac:dyDescent="0.25">
      <c r="A231" t="s">
        <v>384</v>
      </c>
      <c r="B231">
        <v>2010</v>
      </c>
      <c r="C231" t="s">
        <v>369</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COUNT(LifeExpectancyData[[#This Row],[Life expectancy]:[Schooling]])=19</f>
        <v>1</v>
      </c>
    </row>
    <row r="232" spans="1:23" x14ac:dyDescent="0.25">
      <c r="A232" t="s">
        <v>384</v>
      </c>
      <c r="B232">
        <v>2009</v>
      </c>
      <c r="C232" t="s">
        <v>369</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COUNT(LifeExpectancyData[[#This Row],[Life expectancy]:[Schooling]])=19</f>
        <v>1</v>
      </c>
    </row>
    <row r="233" spans="1:23" x14ac:dyDescent="0.25">
      <c r="A233" t="s">
        <v>384</v>
      </c>
      <c r="B233">
        <v>2008</v>
      </c>
      <c r="C233" t="s">
        <v>369</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COUNT(LifeExpectancyData[[#This Row],[Life expectancy]:[Schooling]])=19</f>
        <v>1</v>
      </c>
    </row>
    <row r="234" spans="1:23" x14ac:dyDescent="0.25">
      <c r="A234" t="s">
        <v>384</v>
      </c>
      <c r="B234">
        <v>2007</v>
      </c>
      <c r="C234" t="s">
        <v>369</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COUNT(LifeExpectancyData[[#This Row],[Life expectancy]:[Schooling]])=19</f>
        <v>1</v>
      </c>
    </row>
    <row r="235" spans="1:23" x14ac:dyDescent="0.25">
      <c r="A235" t="s">
        <v>384</v>
      </c>
      <c r="B235">
        <v>2006</v>
      </c>
      <c r="C235" t="s">
        <v>369</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COUNT(LifeExpectancyData[[#This Row],[Life expectancy]:[Schooling]])=19</f>
        <v>1</v>
      </c>
    </row>
    <row r="236" spans="1:23" x14ac:dyDescent="0.25">
      <c r="A236" t="s">
        <v>384</v>
      </c>
      <c r="B236">
        <v>2005</v>
      </c>
      <c r="C236" t="s">
        <v>369</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COUNT(LifeExpectancyData[[#This Row],[Life expectancy]:[Schooling]])=19</f>
        <v>1</v>
      </c>
    </row>
    <row r="237" spans="1:23" x14ac:dyDescent="0.25">
      <c r="A237" t="s">
        <v>384</v>
      </c>
      <c r="B237">
        <v>2004</v>
      </c>
      <c r="C237" t="s">
        <v>369</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COUNT(LifeExpectancyData[[#This Row],[Life expectancy]:[Schooling]])=19</f>
        <v>1</v>
      </c>
    </row>
    <row r="238" spans="1:23" x14ac:dyDescent="0.25">
      <c r="A238" t="s">
        <v>384</v>
      </c>
      <c r="B238">
        <v>2003</v>
      </c>
      <c r="C238" t="s">
        <v>369</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COUNT(LifeExpectancyData[[#This Row],[Life expectancy]:[Schooling]])=19</f>
        <v>1</v>
      </c>
    </row>
    <row r="239" spans="1:23" x14ac:dyDescent="0.25">
      <c r="A239" t="s">
        <v>384</v>
      </c>
      <c r="B239">
        <v>2002</v>
      </c>
      <c r="C239" t="s">
        <v>369</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COUNT(LifeExpectancyData[[#This Row],[Life expectancy]:[Schooling]])=19</f>
        <v>1</v>
      </c>
    </row>
    <row r="240" spans="1:23" x14ac:dyDescent="0.25">
      <c r="A240" t="s">
        <v>384</v>
      </c>
      <c r="B240">
        <v>2001</v>
      </c>
      <c r="C240" t="s">
        <v>369</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COUNT(LifeExpectancyData[[#This Row],[Life expectancy]:[Schooling]])=19</f>
        <v>1</v>
      </c>
    </row>
    <row r="241" spans="1:23" x14ac:dyDescent="0.25">
      <c r="A241" t="s">
        <v>384</v>
      </c>
      <c r="B241">
        <v>2000</v>
      </c>
      <c r="C241" t="s">
        <v>369</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COUNT(LifeExpectancyData[[#This Row],[Life expectancy]:[Schooling]])=19</f>
        <v>1</v>
      </c>
    </row>
    <row r="242" spans="1:23" x14ac:dyDescent="0.25">
      <c r="A242" t="s">
        <v>385</v>
      </c>
      <c r="B242">
        <v>2015</v>
      </c>
      <c r="C242" t="s">
        <v>377</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COUNT(LifeExpectancyData[[#This Row],[Life expectancy]:[Schooling]])=19</f>
        <v>0</v>
      </c>
    </row>
    <row r="243" spans="1:23" x14ac:dyDescent="0.25">
      <c r="A243" t="s">
        <v>385</v>
      </c>
      <c r="B243">
        <v>2014</v>
      </c>
      <c r="C243" t="s">
        <v>377</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COUNT(LifeExpectancyData[[#This Row],[Life expectancy]:[Schooling]])=19</f>
        <v>1</v>
      </c>
    </row>
    <row r="244" spans="1:23" x14ac:dyDescent="0.25">
      <c r="A244" t="s">
        <v>385</v>
      </c>
      <c r="B244">
        <v>2013</v>
      </c>
      <c r="C244" t="s">
        <v>377</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COUNT(LifeExpectancyData[[#This Row],[Life expectancy]:[Schooling]])=19</f>
        <v>1</v>
      </c>
    </row>
    <row r="245" spans="1:23" x14ac:dyDescent="0.25">
      <c r="A245" t="s">
        <v>385</v>
      </c>
      <c r="B245">
        <v>2012</v>
      </c>
      <c r="C245" t="s">
        <v>377</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COUNT(LifeExpectancyData[[#This Row],[Life expectancy]:[Schooling]])=19</f>
        <v>1</v>
      </c>
    </row>
    <row r="246" spans="1:23" x14ac:dyDescent="0.25">
      <c r="A246" t="s">
        <v>385</v>
      </c>
      <c r="B246">
        <v>2011</v>
      </c>
      <c r="C246" t="s">
        <v>377</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COUNT(LifeExpectancyData[[#This Row],[Life expectancy]:[Schooling]])=19</f>
        <v>1</v>
      </c>
    </row>
    <row r="247" spans="1:23" x14ac:dyDescent="0.25">
      <c r="A247" t="s">
        <v>385</v>
      </c>
      <c r="B247">
        <v>2010</v>
      </c>
      <c r="C247" t="s">
        <v>377</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COUNT(LifeExpectancyData[[#This Row],[Life expectancy]:[Schooling]])=19</f>
        <v>1</v>
      </c>
    </row>
    <row r="248" spans="1:23" x14ac:dyDescent="0.25">
      <c r="A248" t="s">
        <v>385</v>
      </c>
      <c r="B248">
        <v>2009</v>
      </c>
      <c r="C248" t="s">
        <v>377</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COUNT(LifeExpectancyData[[#This Row],[Life expectancy]:[Schooling]])=19</f>
        <v>1</v>
      </c>
    </row>
    <row r="249" spans="1:23" x14ac:dyDescent="0.25">
      <c r="A249" t="s">
        <v>385</v>
      </c>
      <c r="B249">
        <v>2008</v>
      </c>
      <c r="C249" t="s">
        <v>377</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COUNT(LifeExpectancyData[[#This Row],[Life expectancy]:[Schooling]])=19</f>
        <v>1</v>
      </c>
    </row>
    <row r="250" spans="1:23" x14ac:dyDescent="0.25">
      <c r="A250" t="s">
        <v>385</v>
      </c>
      <c r="B250">
        <v>2007</v>
      </c>
      <c r="C250" t="s">
        <v>377</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COUNT(LifeExpectancyData[[#This Row],[Life expectancy]:[Schooling]])=19</f>
        <v>1</v>
      </c>
    </row>
    <row r="251" spans="1:23" x14ac:dyDescent="0.25">
      <c r="A251" t="s">
        <v>385</v>
      </c>
      <c r="B251">
        <v>2006</v>
      </c>
      <c r="C251" t="s">
        <v>377</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COUNT(LifeExpectancyData[[#This Row],[Life expectancy]:[Schooling]])=19</f>
        <v>1</v>
      </c>
    </row>
    <row r="252" spans="1:23" x14ac:dyDescent="0.25">
      <c r="A252" t="s">
        <v>385</v>
      </c>
      <c r="B252">
        <v>2005</v>
      </c>
      <c r="C252" t="s">
        <v>377</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COUNT(LifeExpectancyData[[#This Row],[Life expectancy]:[Schooling]])=19</f>
        <v>1</v>
      </c>
    </row>
    <row r="253" spans="1:23" x14ac:dyDescent="0.25">
      <c r="A253" t="s">
        <v>385</v>
      </c>
      <c r="B253">
        <v>2004</v>
      </c>
      <c r="C253" t="s">
        <v>377</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COUNT(LifeExpectancyData[[#This Row],[Life expectancy]:[Schooling]])=19</f>
        <v>1</v>
      </c>
    </row>
    <row r="254" spans="1:23" x14ac:dyDescent="0.25">
      <c r="A254" t="s">
        <v>385</v>
      </c>
      <c r="B254">
        <v>2003</v>
      </c>
      <c r="C254" t="s">
        <v>377</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COUNT(LifeExpectancyData[[#This Row],[Life expectancy]:[Schooling]])=19</f>
        <v>1</v>
      </c>
    </row>
    <row r="255" spans="1:23" x14ac:dyDescent="0.25">
      <c r="A255" t="s">
        <v>385</v>
      </c>
      <c r="B255">
        <v>2002</v>
      </c>
      <c r="C255" t="s">
        <v>377</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COUNT(LifeExpectancyData[[#This Row],[Life expectancy]:[Schooling]])=19</f>
        <v>1</v>
      </c>
    </row>
    <row r="256" spans="1:23" x14ac:dyDescent="0.25">
      <c r="A256" t="s">
        <v>385</v>
      </c>
      <c r="B256">
        <v>2001</v>
      </c>
      <c r="C256" t="s">
        <v>377</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COUNT(LifeExpectancyData[[#This Row],[Life expectancy]:[Schooling]])=19</f>
        <v>1</v>
      </c>
    </row>
    <row r="257" spans="1:23" x14ac:dyDescent="0.25">
      <c r="A257" t="s">
        <v>385</v>
      </c>
      <c r="B257">
        <v>2000</v>
      </c>
      <c r="C257" t="s">
        <v>377</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COUNT(LifeExpectancyData[[#This Row],[Life expectancy]:[Schooling]])=19</f>
        <v>1</v>
      </c>
    </row>
    <row r="258" spans="1:23" x14ac:dyDescent="0.25">
      <c r="A258" t="s">
        <v>386</v>
      </c>
      <c r="B258">
        <v>2015</v>
      </c>
      <c r="C258" t="s">
        <v>369</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COUNT(LifeExpectancyData[[#This Row],[Life expectancy]:[Schooling]])=19</f>
        <v>0</v>
      </c>
    </row>
    <row r="259" spans="1:23" x14ac:dyDescent="0.25">
      <c r="A259" t="s">
        <v>386</v>
      </c>
      <c r="B259">
        <v>2014</v>
      </c>
      <c r="C259" t="s">
        <v>369</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COUNT(LifeExpectancyData[[#This Row],[Life expectancy]:[Schooling]])=19</f>
        <v>1</v>
      </c>
    </row>
    <row r="260" spans="1:23" x14ac:dyDescent="0.25">
      <c r="A260" t="s">
        <v>386</v>
      </c>
      <c r="B260">
        <v>2013</v>
      </c>
      <c r="C260" t="s">
        <v>369</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COUNT(LifeExpectancyData[[#This Row],[Life expectancy]:[Schooling]])=19</f>
        <v>1</v>
      </c>
    </row>
    <row r="261" spans="1:23" x14ac:dyDescent="0.25">
      <c r="A261" t="s">
        <v>386</v>
      </c>
      <c r="B261">
        <v>2012</v>
      </c>
      <c r="C261" t="s">
        <v>369</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COUNT(LifeExpectancyData[[#This Row],[Life expectancy]:[Schooling]])=19</f>
        <v>1</v>
      </c>
    </row>
    <row r="262" spans="1:23" x14ac:dyDescent="0.25">
      <c r="A262" t="s">
        <v>386</v>
      </c>
      <c r="B262">
        <v>2011</v>
      </c>
      <c r="C262" t="s">
        <v>369</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COUNT(LifeExpectancyData[[#This Row],[Life expectancy]:[Schooling]])=19</f>
        <v>1</v>
      </c>
    </row>
    <row r="263" spans="1:23" x14ac:dyDescent="0.25">
      <c r="A263" t="s">
        <v>386</v>
      </c>
      <c r="B263">
        <v>2010</v>
      </c>
      <c r="C263" t="s">
        <v>369</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COUNT(LifeExpectancyData[[#This Row],[Life expectancy]:[Schooling]])=19</f>
        <v>1</v>
      </c>
    </row>
    <row r="264" spans="1:23" x14ac:dyDescent="0.25">
      <c r="A264" t="s">
        <v>386</v>
      </c>
      <c r="B264">
        <v>2009</v>
      </c>
      <c r="C264" t="s">
        <v>369</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COUNT(LifeExpectancyData[[#This Row],[Life expectancy]:[Schooling]])=19</f>
        <v>1</v>
      </c>
    </row>
    <row r="265" spans="1:23" x14ac:dyDescent="0.25">
      <c r="A265" t="s">
        <v>386</v>
      </c>
      <c r="B265">
        <v>2008</v>
      </c>
      <c r="C265" t="s">
        <v>369</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COUNT(LifeExpectancyData[[#This Row],[Life expectancy]:[Schooling]])=19</f>
        <v>1</v>
      </c>
    </row>
    <row r="266" spans="1:23" x14ac:dyDescent="0.25">
      <c r="A266" t="s">
        <v>386</v>
      </c>
      <c r="B266">
        <v>2007</v>
      </c>
      <c r="C266" t="s">
        <v>369</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COUNT(LifeExpectancyData[[#This Row],[Life expectancy]:[Schooling]])=19</f>
        <v>1</v>
      </c>
    </row>
    <row r="267" spans="1:23" x14ac:dyDescent="0.25">
      <c r="A267" t="s">
        <v>386</v>
      </c>
      <c r="B267">
        <v>2006</v>
      </c>
      <c r="C267" t="s">
        <v>369</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COUNT(LifeExpectancyData[[#This Row],[Life expectancy]:[Schooling]])=19</f>
        <v>1</v>
      </c>
    </row>
    <row r="268" spans="1:23" x14ac:dyDescent="0.25">
      <c r="A268" t="s">
        <v>386</v>
      </c>
      <c r="B268">
        <v>2005</v>
      </c>
      <c r="C268" t="s">
        <v>369</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COUNT(LifeExpectancyData[[#This Row],[Life expectancy]:[Schooling]])=19</f>
        <v>1</v>
      </c>
    </row>
    <row r="269" spans="1:23" x14ac:dyDescent="0.25">
      <c r="A269" t="s">
        <v>386</v>
      </c>
      <c r="B269">
        <v>2004</v>
      </c>
      <c r="C269" t="s">
        <v>369</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COUNT(LifeExpectancyData[[#This Row],[Life expectancy]:[Schooling]])=19</f>
        <v>1</v>
      </c>
    </row>
    <row r="270" spans="1:23" x14ac:dyDescent="0.25">
      <c r="A270" t="s">
        <v>386</v>
      </c>
      <c r="B270">
        <v>2003</v>
      </c>
      <c r="C270" t="s">
        <v>369</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COUNT(LifeExpectancyData[[#This Row],[Life expectancy]:[Schooling]])=19</f>
        <v>1</v>
      </c>
    </row>
    <row r="271" spans="1:23" x14ac:dyDescent="0.25">
      <c r="A271" t="s">
        <v>386</v>
      </c>
      <c r="B271">
        <v>2002</v>
      </c>
      <c r="C271" t="s">
        <v>369</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COUNT(LifeExpectancyData[[#This Row],[Life expectancy]:[Schooling]])=19</f>
        <v>1</v>
      </c>
    </row>
    <row r="272" spans="1:23" x14ac:dyDescent="0.25">
      <c r="A272" t="s">
        <v>386</v>
      </c>
      <c r="B272">
        <v>2001</v>
      </c>
      <c r="C272" t="s">
        <v>369</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COUNT(LifeExpectancyData[[#This Row],[Life expectancy]:[Schooling]])=19</f>
        <v>1</v>
      </c>
    </row>
    <row r="273" spans="1:23" x14ac:dyDescent="0.25">
      <c r="A273" t="s">
        <v>386</v>
      </c>
      <c r="B273">
        <v>2000</v>
      </c>
      <c r="C273" t="s">
        <v>369</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COUNT(LifeExpectancyData[[#This Row],[Life expectancy]:[Schooling]])=19</f>
        <v>1</v>
      </c>
    </row>
    <row r="274" spans="1:23" x14ac:dyDescent="0.25">
      <c r="A274" t="s">
        <v>387</v>
      </c>
      <c r="B274">
        <v>2015</v>
      </c>
      <c r="C274" t="s">
        <v>369</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COUNT(LifeExpectancyData[[#This Row],[Life expectancy]:[Schooling]])=19</f>
        <v>0</v>
      </c>
    </row>
    <row r="275" spans="1:23" x14ac:dyDescent="0.25">
      <c r="A275" t="s">
        <v>387</v>
      </c>
      <c r="B275">
        <v>2014</v>
      </c>
      <c r="C275" t="s">
        <v>369</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COUNT(LifeExpectancyData[[#This Row],[Life expectancy]:[Schooling]])=19</f>
        <v>1</v>
      </c>
    </row>
    <row r="276" spans="1:23" x14ac:dyDescent="0.25">
      <c r="A276" t="s">
        <v>387</v>
      </c>
      <c r="B276">
        <v>2013</v>
      </c>
      <c r="C276" t="s">
        <v>369</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COUNT(LifeExpectancyData[[#This Row],[Life expectancy]:[Schooling]])=19</f>
        <v>1</v>
      </c>
    </row>
    <row r="277" spans="1:23" x14ac:dyDescent="0.25">
      <c r="A277" t="s">
        <v>387</v>
      </c>
      <c r="B277">
        <v>2012</v>
      </c>
      <c r="C277" t="s">
        <v>369</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COUNT(LifeExpectancyData[[#This Row],[Life expectancy]:[Schooling]])=19</f>
        <v>1</v>
      </c>
    </row>
    <row r="278" spans="1:23" x14ac:dyDescent="0.25">
      <c r="A278" t="s">
        <v>387</v>
      </c>
      <c r="B278">
        <v>2011</v>
      </c>
      <c r="C278" t="s">
        <v>369</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COUNT(LifeExpectancyData[[#This Row],[Life expectancy]:[Schooling]])=19</f>
        <v>1</v>
      </c>
    </row>
    <row r="279" spans="1:23" x14ac:dyDescent="0.25">
      <c r="A279" t="s">
        <v>387</v>
      </c>
      <c r="B279">
        <v>2010</v>
      </c>
      <c r="C279" t="s">
        <v>369</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COUNT(LifeExpectancyData[[#This Row],[Life expectancy]:[Schooling]])=19</f>
        <v>1</v>
      </c>
    </row>
    <row r="280" spans="1:23" x14ac:dyDescent="0.25">
      <c r="A280" t="s">
        <v>387</v>
      </c>
      <c r="B280">
        <v>2009</v>
      </c>
      <c r="C280" t="s">
        <v>369</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COUNT(LifeExpectancyData[[#This Row],[Life expectancy]:[Schooling]])=19</f>
        <v>1</v>
      </c>
    </row>
    <row r="281" spans="1:23" x14ac:dyDescent="0.25">
      <c r="A281" t="s">
        <v>387</v>
      </c>
      <c r="B281">
        <v>2008</v>
      </c>
      <c r="C281" t="s">
        <v>369</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COUNT(LifeExpectancyData[[#This Row],[Life expectancy]:[Schooling]])=19</f>
        <v>1</v>
      </c>
    </row>
    <row r="282" spans="1:23" x14ac:dyDescent="0.25">
      <c r="A282" t="s">
        <v>387</v>
      </c>
      <c r="B282">
        <v>2007</v>
      </c>
      <c r="C282" t="s">
        <v>369</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COUNT(LifeExpectancyData[[#This Row],[Life expectancy]:[Schooling]])=19</f>
        <v>1</v>
      </c>
    </row>
    <row r="283" spans="1:23" x14ac:dyDescent="0.25">
      <c r="A283" t="s">
        <v>387</v>
      </c>
      <c r="B283">
        <v>2006</v>
      </c>
      <c r="C283" t="s">
        <v>369</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COUNT(LifeExpectancyData[[#This Row],[Life expectancy]:[Schooling]])=19</f>
        <v>1</v>
      </c>
    </row>
    <row r="284" spans="1:23" x14ac:dyDescent="0.25">
      <c r="A284" t="s">
        <v>387</v>
      </c>
      <c r="B284">
        <v>2005</v>
      </c>
      <c r="C284" t="s">
        <v>369</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COUNT(LifeExpectancyData[[#This Row],[Life expectancy]:[Schooling]])=19</f>
        <v>1</v>
      </c>
    </row>
    <row r="285" spans="1:23" x14ac:dyDescent="0.25">
      <c r="A285" t="s">
        <v>387</v>
      </c>
      <c r="B285">
        <v>2004</v>
      </c>
      <c r="C285" t="s">
        <v>369</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COUNT(LifeExpectancyData[[#This Row],[Life expectancy]:[Schooling]])=19</f>
        <v>1</v>
      </c>
    </row>
    <row r="286" spans="1:23" x14ac:dyDescent="0.25">
      <c r="A286" t="s">
        <v>387</v>
      </c>
      <c r="B286">
        <v>2003</v>
      </c>
      <c r="C286" t="s">
        <v>369</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COUNT(LifeExpectancyData[[#This Row],[Life expectancy]:[Schooling]])=19</f>
        <v>1</v>
      </c>
    </row>
    <row r="287" spans="1:23" x14ac:dyDescent="0.25">
      <c r="A287" t="s">
        <v>387</v>
      </c>
      <c r="B287">
        <v>2002</v>
      </c>
      <c r="C287" t="s">
        <v>369</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COUNT(LifeExpectancyData[[#This Row],[Life expectancy]:[Schooling]])=19</f>
        <v>1</v>
      </c>
    </row>
    <row r="288" spans="1:23" x14ac:dyDescent="0.25">
      <c r="A288" t="s">
        <v>387</v>
      </c>
      <c r="B288">
        <v>2001</v>
      </c>
      <c r="C288" t="s">
        <v>369</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COUNT(LifeExpectancyData[[#This Row],[Life expectancy]:[Schooling]])=19</f>
        <v>0</v>
      </c>
    </row>
    <row r="289" spans="1:23" x14ac:dyDescent="0.25">
      <c r="A289" t="s">
        <v>387</v>
      </c>
      <c r="B289">
        <v>2000</v>
      </c>
      <c r="C289" t="s">
        <v>369</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COUNT(LifeExpectancyData[[#This Row],[Life expectancy]:[Schooling]])=19</f>
        <v>0</v>
      </c>
    </row>
    <row r="290" spans="1:23" x14ac:dyDescent="0.25">
      <c r="A290" t="s">
        <v>388</v>
      </c>
      <c r="B290">
        <v>2015</v>
      </c>
      <c r="C290" t="s">
        <v>369</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COUNT(LifeExpectancyData[[#This Row],[Life expectancy]:[Schooling]])=19</f>
        <v>0</v>
      </c>
    </row>
    <row r="291" spans="1:23" x14ac:dyDescent="0.25">
      <c r="A291" t="s">
        <v>388</v>
      </c>
      <c r="B291">
        <v>2014</v>
      </c>
      <c r="C291" t="s">
        <v>369</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COUNT(LifeExpectancyData[[#This Row],[Life expectancy]:[Schooling]])=19</f>
        <v>1</v>
      </c>
    </row>
    <row r="292" spans="1:23" x14ac:dyDescent="0.25">
      <c r="A292" t="s">
        <v>388</v>
      </c>
      <c r="B292">
        <v>2013</v>
      </c>
      <c r="C292" t="s">
        <v>369</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COUNT(LifeExpectancyData[[#This Row],[Life expectancy]:[Schooling]])=19</f>
        <v>1</v>
      </c>
    </row>
    <row r="293" spans="1:23" x14ac:dyDescent="0.25">
      <c r="A293" t="s">
        <v>388</v>
      </c>
      <c r="B293">
        <v>2012</v>
      </c>
      <c r="C293" t="s">
        <v>369</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COUNT(LifeExpectancyData[[#This Row],[Life expectancy]:[Schooling]])=19</f>
        <v>1</v>
      </c>
    </row>
    <row r="294" spans="1:23" x14ac:dyDescent="0.25">
      <c r="A294" t="s">
        <v>388</v>
      </c>
      <c r="B294">
        <v>2011</v>
      </c>
      <c r="C294" t="s">
        <v>369</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COUNT(LifeExpectancyData[[#This Row],[Life expectancy]:[Schooling]])=19</f>
        <v>1</v>
      </c>
    </row>
    <row r="295" spans="1:23" x14ac:dyDescent="0.25">
      <c r="A295" t="s">
        <v>388</v>
      </c>
      <c r="B295">
        <v>2010</v>
      </c>
      <c r="C295" t="s">
        <v>369</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COUNT(LifeExpectancyData[[#This Row],[Life expectancy]:[Schooling]])=19</f>
        <v>1</v>
      </c>
    </row>
    <row r="296" spans="1:23" x14ac:dyDescent="0.25">
      <c r="A296" t="s">
        <v>388</v>
      </c>
      <c r="B296">
        <v>2009</v>
      </c>
      <c r="C296" t="s">
        <v>369</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COUNT(LifeExpectancyData[[#This Row],[Life expectancy]:[Schooling]])=19</f>
        <v>1</v>
      </c>
    </row>
    <row r="297" spans="1:23" x14ac:dyDescent="0.25">
      <c r="A297" t="s">
        <v>388</v>
      </c>
      <c r="B297">
        <v>2008</v>
      </c>
      <c r="C297" t="s">
        <v>369</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COUNT(LifeExpectancyData[[#This Row],[Life expectancy]:[Schooling]])=19</f>
        <v>1</v>
      </c>
    </row>
    <row r="298" spans="1:23" x14ac:dyDescent="0.25">
      <c r="A298" t="s">
        <v>388</v>
      </c>
      <c r="B298">
        <v>2007</v>
      </c>
      <c r="C298" t="s">
        <v>369</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COUNT(LifeExpectancyData[[#This Row],[Life expectancy]:[Schooling]])=19</f>
        <v>1</v>
      </c>
    </row>
    <row r="299" spans="1:23" x14ac:dyDescent="0.25">
      <c r="A299" t="s">
        <v>388</v>
      </c>
      <c r="B299">
        <v>2006</v>
      </c>
      <c r="C299" t="s">
        <v>369</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COUNT(LifeExpectancyData[[#This Row],[Life expectancy]:[Schooling]])=19</f>
        <v>1</v>
      </c>
    </row>
    <row r="300" spans="1:23" x14ac:dyDescent="0.25">
      <c r="A300" t="s">
        <v>388</v>
      </c>
      <c r="B300">
        <v>2005</v>
      </c>
      <c r="C300" t="s">
        <v>369</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COUNT(LifeExpectancyData[[#This Row],[Life expectancy]:[Schooling]])=19</f>
        <v>1</v>
      </c>
    </row>
    <row r="301" spans="1:23" x14ac:dyDescent="0.25">
      <c r="A301" t="s">
        <v>388</v>
      </c>
      <c r="B301">
        <v>2004</v>
      </c>
      <c r="C301" t="s">
        <v>369</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COUNT(LifeExpectancyData[[#This Row],[Life expectancy]:[Schooling]])=19</f>
        <v>1</v>
      </c>
    </row>
    <row r="302" spans="1:23" x14ac:dyDescent="0.25">
      <c r="A302" t="s">
        <v>388</v>
      </c>
      <c r="B302">
        <v>2003</v>
      </c>
      <c r="C302" t="s">
        <v>369</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COUNT(LifeExpectancyData[[#This Row],[Life expectancy]:[Schooling]])=19</f>
        <v>1</v>
      </c>
    </row>
    <row r="303" spans="1:23" x14ac:dyDescent="0.25">
      <c r="A303" t="s">
        <v>388</v>
      </c>
      <c r="B303">
        <v>2002</v>
      </c>
      <c r="C303" t="s">
        <v>369</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COUNT(LifeExpectancyData[[#This Row],[Life expectancy]:[Schooling]])=19</f>
        <v>1</v>
      </c>
    </row>
    <row r="304" spans="1:23" x14ac:dyDescent="0.25">
      <c r="A304" t="s">
        <v>388</v>
      </c>
      <c r="B304">
        <v>2001</v>
      </c>
      <c r="C304" t="s">
        <v>369</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COUNT(LifeExpectancyData[[#This Row],[Life expectancy]:[Schooling]])=19</f>
        <v>1</v>
      </c>
    </row>
    <row r="305" spans="1:23" x14ac:dyDescent="0.25">
      <c r="A305" t="s">
        <v>388</v>
      </c>
      <c r="B305">
        <v>2000</v>
      </c>
      <c r="C305" t="s">
        <v>369</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COUNT(LifeExpectancyData[[#This Row],[Life expectancy]:[Schooling]])=19</f>
        <v>1</v>
      </c>
    </row>
    <row r="306" spans="1:23" x14ac:dyDescent="0.25">
      <c r="A306" t="s">
        <v>389</v>
      </c>
      <c r="B306">
        <v>2015</v>
      </c>
      <c r="C306" t="s">
        <v>369</v>
      </c>
      <c r="D306">
        <v>77</v>
      </c>
      <c r="E306">
        <v>186</v>
      </c>
      <c r="F306">
        <v>8</v>
      </c>
      <c r="H306">
        <v>0</v>
      </c>
      <c r="I306">
        <v>99</v>
      </c>
      <c r="J306">
        <v>0</v>
      </c>
      <c r="K306">
        <v>52.6</v>
      </c>
      <c r="L306">
        <v>10</v>
      </c>
      <c r="M306">
        <v>99</v>
      </c>
      <c r="O306">
        <v>99</v>
      </c>
      <c r="P306">
        <v>0.1</v>
      </c>
      <c r="S306">
        <v>1.2</v>
      </c>
      <c r="T306">
        <v>1.1000000000000001</v>
      </c>
      <c r="U306">
        <v>0.67100000000000004</v>
      </c>
      <c r="V306">
        <v>13.8</v>
      </c>
      <c r="W306" t="b">
        <f>COUNT(LifeExpectancyData[[#This Row],[Life expectancy]:[Schooling]])=19</f>
        <v>0</v>
      </c>
    </row>
    <row r="307" spans="1:23" x14ac:dyDescent="0.25">
      <c r="A307" t="s">
        <v>389</v>
      </c>
      <c r="B307">
        <v>2014</v>
      </c>
      <c r="C307" t="s">
        <v>369</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COUNT(LifeExpectancyData[[#This Row],[Life expectancy]:[Schooling]])=19</f>
        <v>0</v>
      </c>
    </row>
    <row r="308" spans="1:23" x14ac:dyDescent="0.25">
      <c r="A308" t="s">
        <v>389</v>
      </c>
      <c r="B308">
        <v>2013</v>
      </c>
      <c r="C308" t="s">
        <v>369</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COUNT(LifeExpectancyData[[#This Row],[Life expectancy]:[Schooling]])=19</f>
        <v>0</v>
      </c>
    </row>
    <row r="309" spans="1:23" x14ac:dyDescent="0.25">
      <c r="A309" t="s">
        <v>389</v>
      </c>
      <c r="B309">
        <v>2012</v>
      </c>
      <c r="C309" t="s">
        <v>369</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COUNT(LifeExpectancyData[[#This Row],[Life expectancy]:[Schooling]])=19</f>
        <v>0</v>
      </c>
    </row>
    <row r="310" spans="1:23" x14ac:dyDescent="0.25">
      <c r="A310" t="s">
        <v>389</v>
      </c>
      <c r="B310">
        <v>2011</v>
      </c>
      <c r="C310" t="s">
        <v>369</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COUNT(LifeExpectancyData[[#This Row],[Life expectancy]:[Schooling]])=19</f>
        <v>0</v>
      </c>
    </row>
    <row r="311" spans="1:23" x14ac:dyDescent="0.25">
      <c r="A311" t="s">
        <v>389</v>
      </c>
      <c r="B311">
        <v>2010</v>
      </c>
      <c r="C311" t="s">
        <v>369</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COUNT(LifeExpectancyData[[#This Row],[Life expectancy]:[Schooling]])=19</f>
        <v>0</v>
      </c>
    </row>
    <row r="312" spans="1:23" x14ac:dyDescent="0.25">
      <c r="A312" t="s">
        <v>389</v>
      </c>
      <c r="B312">
        <v>2009</v>
      </c>
      <c r="C312" t="s">
        <v>369</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COUNT(LifeExpectancyData[[#This Row],[Life expectancy]:[Schooling]])=19</f>
        <v>0</v>
      </c>
    </row>
    <row r="313" spans="1:23" x14ac:dyDescent="0.25">
      <c r="A313" t="s">
        <v>389</v>
      </c>
      <c r="B313">
        <v>2008</v>
      </c>
      <c r="C313" t="s">
        <v>369</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COUNT(LifeExpectancyData[[#This Row],[Life expectancy]:[Schooling]])=19</f>
        <v>0</v>
      </c>
    </row>
    <row r="314" spans="1:23" x14ac:dyDescent="0.25">
      <c r="A314" t="s">
        <v>389</v>
      </c>
      <c r="B314">
        <v>2007</v>
      </c>
      <c r="C314" t="s">
        <v>369</v>
      </c>
      <c r="D314">
        <v>66.8</v>
      </c>
      <c r="E314">
        <v>216</v>
      </c>
      <c r="F314">
        <v>11</v>
      </c>
      <c r="G314">
        <v>3.47</v>
      </c>
      <c r="H314">
        <v>0</v>
      </c>
      <c r="I314">
        <v>84</v>
      </c>
      <c r="J314">
        <v>0</v>
      </c>
      <c r="K314">
        <v>47.3</v>
      </c>
      <c r="L314">
        <v>14</v>
      </c>
      <c r="M314">
        <v>85</v>
      </c>
      <c r="N314">
        <v>4.96</v>
      </c>
      <c r="O314">
        <v>84</v>
      </c>
      <c r="P314">
        <v>0.2</v>
      </c>
      <c r="S314">
        <v>1.3</v>
      </c>
      <c r="T314">
        <v>1.2</v>
      </c>
      <c r="U314">
        <v>0.626</v>
      </c>
      <c r="V314">
        <v>14.1</v>
      </c>
      <c r="W314" t="b">
        <f>COUNT(LifeExpectancyData[[#This Row],[Life expectancy]:[Schooling]])=19</f>
        <v>0</v>
      </c>
    </row>
    <row r="315" spans="1:23" x14ac:dyDescent="0.25">
      <c r="A315" t="s">
        <v>389</v>
      </c>
      <c r="B315">
        <v>2006</v>
      </c>
      <c r="C315" t="s">
        <v>369</v>
      </c>
      <c r="D315">
        <v>66.2</v>
      </c>
      <c r="E315">
        <v>219</v>
      </c>
      <c r="F315">
        <v>11</v>
      </c>
      <c r="G315">
        <v>3.23</v>
      </c>
      <c r="H315">
        <v>0</v>
      </c>
      <c r="I315">
        <v>83</v>
      </c>
      <c r="J315">
        <v>0</v>
      </c>
      <c r="K315">
        <v>46.7</v>
      </c>
      <c r="L315">
        <v>15</v>
      </c>
      <c r="M315">
        <v>82</v>
      </c>
      <c r="N315">
        <v>5.19</v>
      </c>
      <c r="O315">
        <v>83</v>
      </c>
      <c r="P315">
        <v>0.2</v>
      </c>
      <c r="S315">
        <v>1.3</v>
      </c>
      <c r="T315">
        <v>1.2</v>
      </c>
      <c r="U315">
        <v>0.625</v>
      </c>
      <c r="V315">
        <v>14.3</v>
      </c>
      <c r="W315" t="b">
        <f>COUNT(LifeExpectancyData[[#This Row],[Life expectancy]:[Schooling]])=19</f>
        <v>0</v>
      </c>
    </row>
    <row r="316" spans="1:23" x14ac:dyDescent="0.25">
      <c r="A316" t="s">
        <v>389</v>
      </c>
      <c r="B316">
        <v>2005</v>
      </c>
      <c r="C316" t="s">
        <v>369</v>
      </c>
      <c r="D316">
        <v>65.7</v>
      </c>
      <c r="E316">
        <v>222</v>
      </c>
      <c r="F316">
        <v>12</v>
      </c>
      <c r="G316">
        <v>2.86</v>
      </c>
      <c r="H316">
        <v>0</v>
      </c>
      <c r="I316">
        <v>85</v>
      </c>
      <c r="J316">
        <v>0</v>
      </c>
      <c r="K316">
        <v>46</v>
      </c>
      <c r="L316">
        <v>16</v>
      </c>
      <c r="M316">
        <v>84</v>
      </c>
      <c r="N316">
        <v>5.67</v>
      </c>
      <c r="O316">
        <v>85</v>
      </c>
      <c r="P316">
        <v>0.2</v>
      </c>
      <c r="S316">
        <v>1.3</v>
      </c>
      <c r="T316">
        <v>1.2</v>
      </c>
      <c r="U316">
        <v>0.622</v>
      </c>
      <c r="V316">
        <v>14.4</v>
      </c>
      <c r="W316" t="b">
        <f>COUNT(LifeExpectancyData[[#This Row],[Life expectancy]:[Schooling]])=19</f>
        <v>0</v>
      </c>
    </row>
    <row r="317" spans="1:23" x14ac:dyDescent="0.25">
      <c r="A317" t="s">
        <v>389</v>
      </c>
      <c r="B317">
        <v>2004</v>
      </c>
      <c r="C317" t="s">
        <v>369</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COUNT(LifeExpectancyData[[#This Row],[Life expectancy]:[Schooling]])=19</f>
        <v>0</v>
      </c>
    </row>
    <row r="318" spans="1:23" x14ac:dyDescent="0.25">
      <c r="A318" t="s">
        <v>389</v>
      </c>
      <c r="B318">
        <v>2003</v>
      </c>
      <c r="C318" t="s">
        <v>369</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COUNT(LifeExpectancyData[[#This Row],[Life expectancy]:[Schooling]])=19</f>
        <v>0</v>
      </c>
    </row>
    <row r="319" spans="1:23" x14ac:dyDescent="0.25">
      <c r="A319" t="s">
        <v>389</v>
      </c>
      <c r="B319">
        <v>2002</v>
      </c>
      <c r="C319" t="s">
        <v>369</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COUNT(LifeExpectancyData[[#This Row],[Life expectancy]:[Schooling]])=19</f>
        <v>0</v>
      </c>
    </row>
    <row r="320" spans="1:23" x14ac:dyDescent="0.25">
      <c r="A320" t="s">
        <v>389</v>
      </c>
      <c r="B320">
        <v>2001</v>
      </c>
      <c r="C320" t="s">
        <v>369</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COUNT(LifeExpectancyData[[#This Row],[Life expectancy]:[Schooling]])=19</f>
        <v>0</v>
      </c>
    </row>
    <row r="321" spans="1:23" x14ac:dyDescent="0.25">
      <c r="A321" t="s">
        <v>389</v>
      </c>
      <c r="B321">
        <v>2000</v>
      </c>
      <c r="C321" t="s">
        <v>369</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COUNT(LifeExpectancyData[[#This Row],[Life expectancy]:[Schooling]])=19</f>
        <v>0</v>
      </c>
    </row>
    <row r="322" spans="1:23" x14ac:dyDescent="0.25">
      <c r="A322" t="s">
        <v>390</v>
      </c>
      <c r="B322">
        <v>2015</v>
      </c>
      <c r="C322" t="s">
        <v>369</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COUNT(LifeExpectancyData[[#This Row],[Life expectancy]:[Schooling]])=19</f>
        <v>0</v>
      </c>
    </row>
    <row r="323" spans="1:23" x14ac:dyDescent="0.25">
      <c r="A323" t="s">
        <v>390</v>
      </c>
      <c r="B323">
        <v>2014</v>
      </c>
      <c r="C323" t="s">
        <v>369</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COUNT(LifeExpectancyData[[#This Row],[Life expectancy]:[Schooling]])=19</f>
        <v>1</v>
      </c>
    </row>
    <row r="324" spans="1:23" x14ac:dyDescent="0.25">
      <c r="A324" t="s">
        <v>390</v>
      </c>
      <c r="B324">
        <v>2013</v>
      </c>
      <c r="C324" t="s">
        <v>369</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COUNT(LifeExpectancyData[[#This Row],[Life expectancy]:[Schooling]])=19</f>
        <v>1</v>
      </c>
    </row>
    <row r="325" spans="1:23" x14ac:dyDescent="0.25">
      <c r="A325" t="s">
        <v>390</v>
      </c>
      <c r="B325">
        <v>2012</v>
      </c>
      <c r="C325" t="s">
        <v>369</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COUNT(LifeExpectancyData[[#This Row],[Life expectancy]:[Schooling]])=19</f>
        <v>1</v>
      </c>
    </row>
    <row r="326" spans="1:23" x14ac:dyDescent="0.25">
      <c r="A326" t="s">
        <v>390</v>
      </c>
      <c r="B326">
        <v>2011</v>
      </c>
      <c r="C326" t="s">
        <v>369</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COUNT(LifeExpectancyData[[#This Row],[Life expectancy]:[Schooling]])=19</f>
        <v>1</v>
      </c>
    </row>
    <row r="327" spans="1:23" x14ac:dyDescent="0.25">
      <c r="A327" t="s">
        <v>390</v>
      </c>
      <c r="B327">
        <v>2010</v>
      </c>
      <c r="C327" t="s">
        <v>369</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COUNT(LifeExpectancyData[[#This Row],[Life expectancy]:[Schooling]])=19</f>
        <v>1</v>
      </c>
    </row>
    <row r="328" spans="1:23" x14ac:dyDescent="0.25">
      <c r="A328" t="s">
        <v>390</v>
      </c>
      <c r="B328">
        <v>2009</v>
      </c>
      <c r="C328" t="s">
        <v>369</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COUNT(LifeExpectancyData[[#This Row],[Life expectancy]:[Schooling]])=19</f>
        <v>1</v>
      </c>
    </row>
    <row r="329" spans="1:23" x14ac:dyDescent="0.25">
      <c r="A329" t="s">
        <v>390</v>
      </c>
      <c r="B329">
        <v>2008</v>
      </c>
      <c r="C329" t="s">
        <v>369</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COUNT(LifeExpectancyData[[#This Row],[Life expectancy]:[Schooling]])=19</f>
        <v>1</v>
      </c>
    </row>
    <row r="330" spans="1:23" x14ac:dyDescent="0.25">
      <c r="A330" t="s">
        <v>390</v>
      </c>
      <c r="B330">
        <v>2007</v>
      </c>
      <c r="C330" t="s">
        <v>369</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COUNT(LifeExpectancyData[[#This Row],[Life expectancy]:[Schooling]])=19</f>
        <v>1</v>
      </c>
    </row>
    <row r="331" spans="1:23" x14ac:dyDescent="0.25">
      <c r="A331" t="s">
        <v>390</v>
      </c>
      <c r="B331">
        <v>2006</v>
      </c>
      <c r="C331" t="s">
        <v>369</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COUNT(LifeExpectancyData[[#This Row],[Life expectancy]:[Schooling]])=19</f>
        <v>1</v>
      </c>
    </row>
    <row r="332" spans="1:23" x14ac:dyDescent="0.25">
      <c r="A332" t="s">
        <v>390</v>
      </c>
      <c r="B332">
        <v>2005</v>
      </c>
      <c r="C332" t="s">
        <v>369</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COUNT(LifeExpectancyData[[#This Row],[Life expectancy]:[Schooling]])=19</f>
        <v>1</v>
      </c>
    </row>
    <row r="333" spans="1:23" x14ac:dyDescent="0.25">
      <c r="A333" t="s">
        <v>390</v>
      </c>
      <c r="B333">
        <v>2004</v>
      </c>
      <c r="C333" t="s">
        <v>369</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COUNT(LifeExpectancyData[[#This Row],[Life expectancy]:[Schooling]])=19</f>
        <v>1</v>
      </c>
    </row>
    <row r="334" spans="1:23" x14ac:dyDescent="0.25">
      <c r="A334" t="s">
        <v>390</v>
      </c>
      <c r="B334">
        <v>2003</v>
      </c>
      <c r="C334" t="s">
        <v>369</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COUNT(LifeExpectancyData[[#This Row],[Life expectancy]:[Schooling]])=19</f>
        <v>0</v>
      </c>
    </row>
    <row r="335" spans="1:23" x14ac:dyDescent="0.25">
      <c r="A335" t="s">
        <v>390</v>
      </c>
      <c r="B335">
        <v>2002</v>
      </c>
      <c r="C335" t="s">
        <v>369</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COUNT(LifeExpectancyData[[#This Row],[Life expectancy]:[Schooling]])=19</f>
        <v>0</v>
      </c>
    </row>
    <row r="336" spans="1:23" x14ac:dyDescent="0.25">
      <c r="A336" t="s">
        <v>390</v>
      </c>
      <c r="B336">
        <v>2001</v>
      </c>
      <c r="C336" t="s">
        <v>369</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COUNT(LifeExpectancyData[[#This Row],[Life expectancy]:[Schooling]])=19</f>
        <v>0</v>
      </c>
    </row>
    <row r="337" spans="1:23" x14ac:dyDescent="0.25">
      <c r="A337" t="s">
        <v>390</v>
      </c>
      <c r="B337">
        <v>2000</v>
      </c>
      <c r="C337" t="s">
        <v>369</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COUNT(LifeExpectancyData[[#This Row],[Life expectancy]:[Schooling]])=19</f>
        <v>0</v>
      </c>
    </row>
    <row r="338" spans="1:23" x14ac:dyDescent="0.25">
      <c r="A338" t="s">
        <v>391</v>
      </c>
      <c r="B338">
        <v>2015</v>
      </c>
      <c r="C338" t="s">
        <v>369</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COUNT(LifeExpectancyData[[#This Row],[Life expectancy]:[Schooling]])=19</f>
        <v>0</v>
      </c>
    </row>
    <row r="339" spans="1:23" x14ac:dyDescent="0.25">
      <c r="A339" t="s">
        <v>391</v>
      </c>
      <c r="B339">
        <v>2014</v>
      </c>
      <c r="C339" t="s">
        <v>369</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COUNT(LifeExpectancyData[[#This Row],[Life expectancy]:[Schooling]])=19</f>
        <v>1</v>
      </c>
    </row>
    <row r="340" spans="1:23" x14ac:dyDescent="0.25">
      <c r="A340" t="s">
        <v>391</v>
      </c>
      <c r="B340">
        <v>2013</v>
      </c>
      <c r="C340" t="s">
        <v>369</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COUNT(LifeExpectancyData[[#This Row],[Life expectancy]:[Schooling]])=19</f>
        <v>1</v>
      </c>
    </row>
    <row r="341" spans="1:23" x14ac:dyDescent="0.25">
      <c r="A341" t="s">
        <v>391</v>
      </c>
      <c r="B341">
        <v>2012</v>
      </c>
      <c r="C341" t="s">
        <v>369</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COUNT(LifeExpectancyData[[#This Row],[Life expectancy]:[Schooling]])=19</f>
        <v>1</v>
      </c>
    </row>
    <row r="342" spans="1:23" x14ac:dyDescent="0.25">
      <c r="A342" t="s">
        <v>391</v>
      </c>
      <c r="B342">
        <v>2011</v>
      </c>
      <c r="C342" t="s">
        <v>369</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COUNT(LifeExpectancyData[[#This Row],[Life expectancy]:[Schooling]])=19</f>
        <v>1</v>
      </c>
    </row>
    <row r="343" spans="1:23" x14ac:dyDescent="0.25">
      <c r="A343" t="s">
        <v>391</v>
      </c>
      <c r="B343">
        <v>2010</v>
      </c>
      <c r="C343" t="s">
        <v>369</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COUNT(LifeExpectancyData[[#This Row],[Life expectancy]:[Schooling]])=19</f>
        <v>1</v>
      </c>
    </row>
    <row r="344" spans="1:23" x14ac:dyDescent="0.25">
      <c r="A344" t="s">
        <v>391</v>
      </c>
      <c r="B344">
        <v>2009</v>
      </c>
      <c r="C344" t="s">
        <v>369</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COUNT(LifeExpectancyData[[#This Row],[Life expectancy]:[Schooling]])=19</f>
        <v>1</v>
      </c>
    </row>
    <row r="345" spans="1:23" x14ac:dyDescent="0.25">
      <c r="A345" t="s">
        <v>391</v>
      </c>
      <c r="B345">
        <v>2008</v>
      </c>
      <c r="C345" t="s">
        <v>369</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COUNT(LifeExpectancyData[[#This Row],[Life expectancy]:[Schooling]])=19</f>
        <v>1</v>
      </c>
    </row>
    <row r="346" spans="1:23" x14ac:dyDescent="0.25">
      <c r="A346" t="s">
        <v>391</v>
      </c>
      <c r="B346">
        <v>2007</v>
      </c>
      <c r="C346" t="s">
        <v>369</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COUNT(LifeExpectancyData[[#This Row],[Life expectancy]:[Schooling]])=19</f>
        <v>1</v>
      </c>
    </row>
    <row r="347" spans="1:23" x14ac:dyDescent="0.25">
      <c r="A347" t="s">
        <v>391</v>
      </c>
      <c r="B347">
        <v>2006</v>
      </c>
      <c r="C347" t="s">
        <v>369</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COUNT(LifeExpectancyData[[#This Row],[Life expectancy]:[Schooling]])=19</f>
        <v>1</v>
      </c>
    </row>
    <row r="348" spans="1:23" x14ac:dyDescent="0.25">
      <c r="A348" t="s">
        <v>391</v>
      </c>
      <c r="B348">
        <v>2005</v>
      </c>
      <c r="C348" t="s">
        <v>369</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COUNT(LifeExpectancyData[[#This Row],[Life expectancy]:[Schooling]])=19</f>
        <v>1</v>
      </c>
    </row>
    <row r="349" spans="1:23" x14ac:dyDescent="0.25">
      <c r="A349" t="s">
        <v>391</v>
      </c>
      <c r="B349">
        <v>2004</v>
      </c>
      <c r="C349" t="s">
        <v>369</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COUNT(LifeExpectancyData[[#This Row],[Life expectancy]:[Schooling]])=19</f>
        <v>1</v>
      </c>
    </row>
    <row r="350" spans="1:23" x14ac:dyDescent="0.25">
      <c r="A350" t="s">
        <v>391</v>
      </c>
      <c r="B350">
        <v>2003</v>
      </c>
      <c r="C350" t="s">
        <v>369</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COUNT(LifeExpectancyData[[#This Row],[Life expectancy]:[Schooling]])=19</f>
        <v>1</v>
      </c>
    </row>
    <row r="351" spans="1:23" x14ac:dyDescent="0.25">
      <c r="A351" t="s">
        <v>391</v>
      </c>
      <c r="B351">
        <v>2002</v>
      </c>
      <c r="C351" t="s">
        <v>369</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COUNT(LifeExpectancyData[[#This Row],[Life expectancy]:[Schooling]])=19</f>
        <v>1</v>
      </c>
    </row>
    <row r="352" spans="1:23" x14ac:dyDescent="0.25">
      <c r="A352" t="s">
        <v>391</v>
      </c>
      <c r="B352">
        <v>2001</v>
      </c>
      <c r="C352" t="s">
        <v>369</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COUNT(LifeExpectancyData[[#This Row],[Life expectancy]:[Schooling]])=19</f>
        <v>1</v>
      </c>
    </row>
    <row r="353" spans="1:23" x14ac:dyDescent="0.25">
      <c r="A353" t="s">
        <v>391</v>
      </c>
      <c r="B353">
        <v>2000</v>
      </c>
      <c r="C353" t="s">
        <v>369</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COUNT(LifeExpectancyData[[#This Row],[Life expectancy]:[Schooling]])=19</f>
        <v>1</v>
      </c>
    </row>
    <row r="354" spans="1:23" x14ac:dyDescent="0.25">
      <c r="A354" t="s">
        <v>392</v>
      </c>
      <c r="B354">
        <v>2015</v>
      </c>
      <c r="C354" t="s">
        <v>369</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COUNT(LifeExpectancyData[[#This Row],[Life expectancy]:[Schooling]])=19</f>
        <v>0</v>
      </c>
    </row>
    <row r="355" spans="1:23" x14ac:dyDescent="0.25">
      <c r="A355" t="s">
        <v>392</v>
      </c>
      <c r="B355">
        <v>2014</v>
      </c>
      <c r="C355" t="s">
        <v>369</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COUNT(LifeExpectancyData[[#This Row],[Life expectancy]:[Schooling]])=19</f>
        <v>1</v>
      </c>
    </row>
    <row r="356" spans="1:23" x14ac:dyDescent="0.25">
      <c r="A356" t="s">
        <v>392</v>
      </c>
      <c r="B356">
        <v>2013</v>
      </c>
      <c r="C356" t="s">
        <v>369</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COUNT(LifeExpectancyData[[#This Row],[Life expectancy]:[Schooling]])=19</f>
        <v>1</v>
      </c>
    </row>
    <row r="357" spans="1:23" x14ac:dyDescent="0.25">
      <c r="A357" t="s">
        <v>392</v>
      </c>
      <c r="B357">
        <v>2012</v>
      </c>
      <c r="C357" t="s">
        <v>369</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COUNT(LifeExpectancyData[[#This Row],[Life expectancy]:[Schooling]])=19</f>
        <v>1</v>
      </c>
    </row>
    <row r="358" spans="1:23" x14ac:dyDescent="0.25">
      <c r="A358" t="s">
        <v>392</v>
      </c>
      <c r="B358">
        <v>2011</v>
      </c>
      <c r="C358" t="s">
        <v>369</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COUNT(LifeExpectancyData[[#This Row],[Life expectancy]:[Schooling]])=19</f>
        <v>1</v>
      </c>
    </row>
    <row r="359" spans="1:23" x14ac:dyDescent="0.25">
      <c r="A359" t="s">
        <v>392</v>
      </c>
      <c r="B359">
        <v>2010</v>
      </c>
      <c r="C359" t="s">
        <v>369</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COUNT(LifeExpectancyData[[#This Row],[Life expectancy]:[Schooling]])=19</f>
        <v>1</v>
      </c>
    </row>
    <row r="360" spans="1:23" x14ac:dyDescent="0.25">
      <c r="A360" t="s">
        <v>392</v>
      </c>
      <c r="B360">
        <v>2009</v>
      </c>
      <c r="C360" t="s">
        <v>369</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COUNT(LifeExpectancyData[[#This Row],[Life expectancy]:[Schooling]])=19</f>
        <v>1</v>
      </c>
    </row>
    <row r="361" spans="1:23" x14ac:dyDescent="0.25">
      <c r="A361" t="s">
        <v>392</v>
      </c>
      <c r="B361">
        <v>2008</v>
      </c>
      <c r="C361" t="s">
        <v>369</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COUNT(LifeExpectancyData[[#This Row],[Life expectancy]:[Schooling]])=19</f>
        <v>1</v>
      </c>
    </row>
    <row r="362" spans="1:23" x14ac:dyDescent="0.25">
      <c r="A362" t="s">
        <v>392</v>
      </c>
      <c r="B362">
        <v>2007</v>
      </c>
      <c r="C362" t="s">
        <v>369</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COUNT(LifeExpectancyData[[#This Row],[Life expectancy]:[Schooling]])=19</f>
        <v>1</v>
      </c>
    </row>
    <row r="363" spans="1:23" x14ac:dyDescent="0.25">
      <c r="A363" t="s">
        <v>392</v>
      </c>
      <c r="B363">
        <v>2006</v>
      </c>
      <c r="C363" t="s">
        <v>369</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COUNT(LifeExpectancyData[[#This Row],[Life expectancy]:[Schooling]])=19</f>
        <v>1</v>
      </c>
    </row>
    <row r="364" spans="1:23" x14ac:dyDescent="0.25">
      <c r="A364" t="s">
        <v>392</v>
      </c>
      <c r="B364">
        <v>2005</v>
      </c>
      <c r="C364" t="s">
        <v>369</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COUNT(LifeExpectancyData[[#This Row],[Life expectancy]:[Schooling]])=19</f>
        <v>1</v>
      </c>
    </row>
    <row r="365" spans="1:23" x14ac:dyDescent="0.25">
      <c r="A365" t="s">
        <v>392</v>
      </c>
      <c r="B365">
        <v>2004</v>
      </c>
      <c r="C365" t="s">
        <v>369</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COUNT(LifeExpectancyData[[#This Row],[Life expectancy]:[Schooling]])=19</f>
        <v>1</v>
      </c>
    </row>
    <row r="366" spans="1:23" x14ac:dyDescent="0.25">
      <c r="A366" t="s">
        <v>392</v>
      </c>
      <c r="B366">
        <v>2003</v>
      </c>
      <c r="C366" t="s">
        <v>369</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COUNT(LifeExpectancyData[[#This Row],[Life expectancy]:[Schooling]])=19</f>
        <v>1</v>
      </c>
    </row>
    <row r="367" spans="1:23" x14ac:dyDescent="0.25">
      <c r="A367" t="s">
        <v>392</v>
      </c>
      <c r="B367">
        <v>2002</v>
      </c>
      <c r="C367" t="s">
        <v>369</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COUNT(LifeExpectancyData[[#This Row],[Life expectancy]:[Schooling]])=19</f>
        <v>1</v>
      </c>
    </row>
    <row r="368" spans="1:23" x14ac:dyDescent="0.25">
      <c r="A368" t="s">
        <v>392</v>
      </c>
      <c r="B368">
        <v>2001</v>
      </c>
      <c r="C368" t="s">
        <v>369</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COUNT(LifeExpectancyData[[#This Row],[Life expectancy]:[Schooling]])=19</f>
        <v>1</v>
      </c>
    </row>
    <row r="369" spans="1:23" x14ac:dyDescent="0.25">
      <c r="A369" t="s">
        <v>392</v>
      </c>
      <c r="B369">
        <v>2000</v>
      </c>
      <c r="C369" t="s">
        <v>369</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COUNT(LifeExpectancyData[[#This Row],[Life expectancy]:[Schooling]])=19</f>
        <v>1</v>
      </c>
    </row>
    <row r="370" spans="1:23" x14ac:dyDescent="0.25">
      <c r="A370" t="s">
        <v>393</v>
      </c>
      <c r="B370">
        <v>2015</v>
      </c>
      <c r="C370" t="s">
        <v>369</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COUNT(LifeExpectancyData[[#This Row],[Life expectancy]:[Schooling]])=19</f>
        <v>0</v>
      </c>
    </row>
    <row r="371" spans="1:23" x14ac:dyDescent="0.25">
      <c r="A371" t="s">
        <v>393</v>
      </c>
      <c r="B371">
        <v>2014</v>
      </c>
      <c r="C371" t="s">
        <v>369</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COUNT(LifeExpectancyData[[#This Row],[Life expectancy]:[Schooling]])=19</f>
        <v>0</v>
      </c>
    </row>
    <row r="372" spans="1:23" x14ac:dyDescent="0.25">
      <c r="A372" t="s">
        <v>393</v>
      </c>
      <c r="B372">
        <v>2013</v>
      </c>
      <c r="C372" t="s">
        <v>369</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COUNT(LifeExpectancyData[[#This Row],[Life expectancy]:[Schooling]])=19</f>
        <v>0</v>
      </c>
    </row>
    <row r="373" spans="1:23" x14ac:dyDescent="0.25">
      <c r="A373" t="s">
        <v>393</v>
      </c>
      <c r="B373">
        <v>2012</v>
      </c>
      <c r="C373" t="s">
        <v>369</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COUNT(LifeExpectancyData[[#This Row],[Life expectancy]:[Schooling]])=19</f>
        <v>0</v>
      </c>
    </row>
    <row r="374" spans="1:23" x14ac:dyDescent="0.25">
      <c r="A374" t="s">
        <v>393</v>
      </c>
      <c r="B374">
        <v>2011</v>
      </c>
      <c r="C374" t="s">
        <v>369</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COUNT(LifeExpectancyData[[#This Row],[Life expectancy]:[Schooling]])=19</f>
        <v>0</v>
      </c>
    </row>
    <row r="375" spans="1:23" x14ac:dyDescent="0.25">
      <c r="A375" t="s">
        <v>393</v>
      </c>
      <c r="B375">
        <v>2010</v>
      </c>
      <c r="C375" t="s">
        <v>369</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COUNT(LifeExpectancyData[[#This Row],[Life expectancy]:[Schooling]])=19</f>
        <v>0</v>
      </c>
    </row>
    <row r="376" spans="1:23" x14ac:dyDescent="0.25">
      <c r="A376" t="s">
        <v>393</v>
      </c>
      <c r="B376">
        <v>2009</v>
      </c>
      <c r="C376" t="s">
        <v>369</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COUNT(LifeExpectancyData[[#This Row],[Life expectancy]:[Schooling]])=19</f>
        <v>0</v>
      </c>
    </row>
    <row r="377" spans="1:23" x14ac:dyDescent="0.25">
      <c r="A377" t="s">
        <v>393</v>
      </c>
      <c r="B377">
        <v>2008</v>
      </c>
      <c r="C377" t="s">
        <v>369</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COUNT(LifeExpectancyData[[#This Row],[Life expectancy]:[Schooling]])=19</f>
        <v>0</v>
      </c>
    </row>
    <row r="378" spans="1:23" x14ac:dyDescent="0.25">
      <c r="A378" t="s">
        <v>393</v>
      </c>
      <c r="B378">
        <v>2007</v>
      </c>
      <c r="C378" t="s">
        <v>369</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COUNT(LifeExpectancyData[[#This Row],[Life expectancy]:[Schooling]])=19</f>
        <v>0</v>
      </c>
    </row>
    <row r="379" spans="1:23" x14ac:dyDescent="0.25">
      <c r="A379" t="s">
        <v>393</v>
      </c>
      <c r="B379">
        <v>2006</v>
      </c>
      <c r="C379" t="s">
        <v>369</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COUNT(LifeExpectancyData[[#This Row],[Life expectancy]:[Schooling]])=19</f>
        <v>0</v>
      </c>
    </row>
    <row r="380" spans="1:23" x14ac:dyDescent="0.25">
      <c r="A380" t="s">
        <v>393</v>
      </c>
      <c r="B380">
        <v>2005</v>
      </c>
      <c r="C380" t="s">
        <v>369</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COUNT(LifeExpectancyData[[#This Row],[Life expectancy]:[Schooling]])=19</f>
        <v>0</v>
      </c>
    </row>
    <row r="381" spans="1:23" x14ac:dyDescent="0.25">
      <c r="A381" t="s">
        <v>393</v>
      </c>
      <c r="B381">
        <v>2004</v>
      </c>
      <c r="C381" t="s">
        <v>369</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COUNT(LifeExpectancyData[[#This Row],[Life expectancy]:[Schooling]])=19</f>
        <v>0</v>
      </c>
    </row>
    <row r="382" spans="1:23" x14ac:dyDescent="0.25">
      <c r="A382" t="s">
        <v>393</v>
      </c>
      <c r="B382">
        <v>2003</v>
      </c>
      <c r="C382" t="s">
        <v>369</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COUNT(LifeExpectancyData[[#This Row],[Life expectancy]:[Schooling]])=19</f>
        <v>0</v>
      </c>
    </row>
    <row r="383" spans="1:23" x14ac:dyDescent="0.25">
      <c r="A383" t="s">
        <v>393</v>
      </c>
      <c r="B383">
        <v>2002</v>
      </c>
      <c r="C383" t="s">
        <v>369</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COUNT(LifeExpectancyData[[#This Row],[Life expectancy]:[Schooling]])=19</f>
        <v>0</v>
      </c>
    </row>
    <row r="384" spans="1:23" x14ac:dyDescent="0.25">
      <c r="A384" t="s">
        <v>393</v>
      </c>
      <c r="B384">
        <v>2001</v>
      </c>
      <c r="C384" t="s">
        <v>369</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COUNT(LifeExpectancyData[[#This Row],[Life expectancy]:[Schooling]])=19</f>
        <v>0</v>
      </c>
    </row>
    <row r="385" spans="1:23" x14ac:dyDescent="0.25">
      <c r="A385" t="s">
        <v>393</v>
      </c>
      <c r="B385">
        <v>2000</v>
      </c>
      <c r="C385" t="s">
        <v>369</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COUNT(LifeExpectancyData[[#This Row],[Life expectancy]:[Schooling]])=19</f>
        <v>0</v>
      </c>
    </row>
    <row r="386" spans="1:23" x14ac:dyDescent="0.25">
      <c r="A386" t="s">
        <v>394</v>
      </c>
      <c r="B386">
        <v>2015</v>
      </c>
      <c r="C386" t="s">
        <v>377</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COUNT(LifeExpectancyData[[#This Row],[Life expectancy]:[Schooling]])=19</f>
        <v>0</v>
      </c>
    </row>
    <row r="387" spans="1:23" x14ac:dyDescent="0.25">
      <c r="A387" t="s">
        <v>394</v>
      </c>
      <c r="B387">
        <v>2014</v>
      </c>
      <c r="C387" t="s">
        <v>377</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COUNT(LifeExpectancyData[[#This Row],[Life expectancy]:[Schooling]])=19</f>
        <v>1</v>
      </c>
    </row>
    <row r="388" spans="1:23" x14ac:dyDescent="0.25">
      <c r="A388" t="s">
        <v>394</v>
      </c>
      <c r="B388">
        <v>2013</v>
      </c>
      <c r="C388" t="s">
        <v>377</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COUNT(LifeExpectancyData[[#This Row],[Life expectancy]:[Schooling]])=19</f>
        <v>1</v>
      </c>
    </row>
    <row r="389" spans="1:23" x14ac:dyDescent="0.25">
      <c r="A389" t="s">
        <v>394</v>
      </c>
      <c r="B389">
        <v>2012</v>
      </c>
      <c r="C389" t="s">
        <v>377</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COUNT(LifeExpectancyData[[#This Row],[Life expectancy]:[Schooling]])=19</f>
        <v>1</v>
      </c>
    </row>
    <row r="390" spans="1:23" x14ac:dyDescent="0.25">
      <c r="A390" t="s">
        <v>394</v>
      </c>
      <c r="B390">
        <v>2011</v>
      </c>
      <c r="C390" t="s">
        <v>377</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COUNT(LifeExpectancyData[[#This Row],[Life expectancy]:[Schooling]])=19</f>
        <v>1</v>
      </c>
    </row>
    <row r="391" spans="1:23" x14ac:dyDescent="0.25">
      <c r="A391" t="s">
        <v>394</v>
      </c>
      <c r="B391">
        <v>2010</v>
      </c>
      <c r="C391" t="s">
        <v>377</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COUNT(LifeExpectancyData[[#This Row],[Life expectancy]:[Schooling]])=19</f>
        <v>1</v>
      </c>
    </row>
    <row r="392" spans="1:23" x14ac:dyDescent="0.25">
      <c r="A392" t="s">
        <v>394</v>
      </c>
      <c r="B392">
        <v>2009</v>
      </c>
      <c r="C392" t="s">
        <v>377</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COUNT(LifeExpectancyData[[#This Row],[Life expectancy]:[Schooling]])=19</f>
        <v>1</v>
      </c>
    </row>
    <row r="393" spans="1:23" x14ac:dyDescent="0.25">
      <c r="A393" t="s">
        <v>394</v>
      </c>
      <c r="B393">
        <v>2008</v>
      </c>
      <c r="C393" t="s">
        <v>377</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COUNT(LifeExpectancyData[[#This Row],[Life expectancy]:[Schooling]])=19</f>
        <v>1</v>
      </c>
    </row>
    <row r="394" spans="1:23" x14ac:dyDescent="0.25">
      <c r="A394" t="s">
        <v>394</v>
      </c>
      <c r="B394">
        <v>2007</v>
      </c>
      <c r="C394" t="s">
        <v>377</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COUNT(LifeExpectancyData[[#This Row],[Life expectancy]:[Schooling]])=19</f>
        <v>1</v>
      </c>
    </row>
    <row r="395" spans="1:23" x14ac:dyDescent="0.25">
      <c r="A395" t="s">
        <v>394</v>
      </c>
      <c r="B395">
        <v>2006</v>
      </c>
      <c r="C395" t="s">
        <v>377</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COUNT(LifeExpectancyData[[#This Row],[Life expectancy]:[Schooling]])=19</f>
        <v>1</v>
      </c>
    </row>
    <row r="396" spans="1:23" x14ac:dyDescent="0.25">
      <c r="A396" t="s">
        <v>394</v>
      </c>
      <c r="B396">
        <v>2005</v>
      </c>
      <c r="C396" t="s">
        <v>377</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COUNT(LifeExpectancyData[[#This Row],[Life expectancy]:[Schooling]])=19</f>
        <v>1</v>
      </c>
    </row>
    <row r="397" spans="1:23" x14ac:dyDescent="0.25">
      <c r="A397" t="s">
        <v>394</v>
      </c>
      <c r="B397">
        <v>2004</v>
      </c>
      <c r="C397" t="s">
        <v>377</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COUNT(LifeExpectancyData[[#This Row],[Life expectancy]:[Schooling]])=19</f>
        <v>1</v>
      </c>
    </row>
    <row r="398" spans="1:23" x14ac:dyDescent="0.25">
      <c r="A398" t="s">
        <v>394</v>
      </c>
      <c r="B398">
        <v>2003</v>
      </c>
      <c r="C398" t="s">
        <v>377</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COUNT(LifeExpectancyData[[#This Row],[Life expectancy]:[Schooling]])=19</f>
        <v>1</v>
      </c>
    </row>
    <row r="399" spans="1:23" x14ac:dyDescent="0.25">
      <c r="A399" t="s">
        <v>394</v>
      </c>
      <c r="B399">
        <v>2002</v>
      </c>
      <c r="C399" t="s">
        <v>377</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COUNT(LifeExpectancyData[[#This Row],[Life expectancy]:[Schooling]])=19</f>
        <v>1</v>
      </c>
    </row>
    <row r="400" spans="1:23" x14ac:dyDescent="0.25">
      <c r="A400" t="s">
        <v>394</v>
      </c>
      <c r="B400">
        <v>2001</v>
      </c>
      <c r="C400" t="s">
        <v>377</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COUNT(LifeExpectancyData[[#This Row],[Life expectancy]:[Schooling]])=19</f>
        <v>1</v>
      </c>
    </row>
    <row r="401" spans="1:23" x14ac:dyDescent="0.25">
      <c r="A401" t="s">
        <v>394</v>
      </c>
      <c r="B401">
        <v>2000</v>
      </c>
      <c r="C401" t="s">
        <v>377</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COUNT(LifeExpectancyData[[#This Row],[Life expectancy]:[Schooling]])=19</f>
        <v>1</v>
      </c>
    </row>
    <row r="402" spans="1:23" x14ac:dyDescent="0.25">
      <c r="A402" t="s">
        <v>395</v>
      </c>
      <c r="B402">
        <v>2015</v>
      </c>
      <c r="C402" t="s">
        <v>369</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COUNT(LifeExpectancyData[[#This Row],[Life expectancy]:[Schooling]])=19</f>
        <v>0</v>
      </c>
    </row>
    <row r="403" spans="1:23" x14ac:dyDescent="0.25">
      <c r="A403" t="s">
        <v>395</v>
      </c>
      <c r="B403">
        <v>2014</v>
      </c>
      <c r="C403" t="s">
        <v>369</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COUNT(LifeExpectancyData[[#This Row],[Life expectancy]:[Schooling]])=19</f>
        <v>1</v>
      </c>
    </row>
    <row r="404" spans="1:23" x14ac:dyDescent="0.25">
      <c r="A404" t="s">
        <v>395</v>
      </c>
      <c r="B404">
        <v>2013</v>
      </c>
      <c r="C404" t="s">
        <v>369</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COUNT(LifeExpectancyData[[#This Row],[Life expectancy]:[Schooling]])=19</f>
        <v>1</v>
      </c>
    </row>
    <row r="405" spans="1:23" x14ac:dyDescent="0.25">
      <c r="A405" t="s">
        <v>395</v>
      </c>
      <c r="B405">
        <v>2012</v>
      </c>
      <c r="C405" t="s">
        <v>369</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COUNT(LifeExpectancyData[[#This Row],[Life expectancy]:[Schooling]])=19</f>
        <v>1</v>
      </c>
    </row>
    <row r="406" spans="1:23" x14ac:dyDescent="0.25">
      <c r="A406" t="s">
        <v>395</v>
      </c>
      <c r="B406">
        <v>2011</v>
      </c>
      <c r="C406" t="s">
        <v>369</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COUNT(LifeExpectancyData[[#This Row],[Life expectancy]:[Schooling]])=19</f>
        <v>1</v>
      </c>
    </row>
    <row r="407" spans="1:23" x14ac:dyDescent="0.25">
      <c r="A407" t="s">
        <v>395</v>
      </c>
      <c r="B407">
        <v>2010</v>
      </c>
      <c r="C407" t="s">
        <v>369</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COUNT(LifeExpectancyData[[#This Row],[Life expectancy]:[Schooling]])=19</f>
        <v>1</v>
      </c>
    </row>
    <row r="408" spans="1:23" x14ac:dyDescent="0.25">
      <c r="A408" t="s">
        <v>395</v>
      </c>
      <c r="B408">
        <v>2009</v>
      </c>
      <c r="C408" t="s">
        <v>369</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COUNT(LifeExpectancyData[[#This Row],[Life expectancy]:[Schooling]])=19</f>
        <v>1</v>
      </c>
    </row>
    <row r="409" spans="1:23" x14ac:dyDescent="0.25">
      <c r="A409" t="s">
        <v>395</v>
      </c>
      <c r="B409">
        <v>2008</v>
      </c>
      <c r="C409" t="s">
        <v>369</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COUNT(LifeExpectancyData[[#This Row],[Life expectancy]:[Schooling]])=19</f>
        <v>1</v>
      </c>
    </row>
    <row r="410" spans="1:23" x14ac:dyDescent="0.25">
      <c r="A410" t="s">
        <v>395</v>
      </c>
      <c r="B410">
        <v>2007</v>
      </c>
      <c r="C410" t="s">
        <v>369</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COUNT(LifeExpectancyData[[#This Row],[Life expectancy]:[Schooling]])=19</f>
        <v>1</v>
      </c>
    </row>
    <row r="411" spans="1:23" x14ac:dyDescent="0.25">
      <c r="A411" t="s">
        <v>395</v>
      </c>
      <c r="B411">
        <v>2006</v>
      </c>
      <c r="C411" t="s">
        <v>369</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COUNT(LifeExpectancyData[[#This Row],[Life expectancy]:[Schooling]])=19</f>
        <v>1</v>
      </c>
    </row>
    <row r="412" spans="1:23" x14ac:dyDescent="0.25">
      <c r="A412" t="s">
        <v>395</v>
      </c>
      <c r="B412">
        <v>2005</v>
      </c>
      <c r="C412" t="s">
        <v>369</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COUNT(LifeExpectancyData[[#This Row],[Life expectancy]:[Schooling]])=19</f>
        <v>0</v>
      </c>
    </row>
    <row r="413" spans="1:23" x14ac:dyDescent="0.25">
      <c r="A413" t="s">
        <v>395</v>
      </c>
      <c r="B413">
        <v>2004</v>
      </c>
      <c r="C413" t="s">
        <v>369</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COUNT(LifeExpectancyData[[#This Row],[Life expectancy]:[Schooling]])=19</f>
        <v>0</v>
      </c>
    </row>
    <row r="414" spans="1:23" x14ac:dyDescent="0.25">
      <c r="A414" t="s">
        <v>395</v>
      </c>
      <c r="B414">
        <v>2003</v>
      </c>
      <c r="C414" t="s">
        <v>369</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COUNT(LifeExpectancyData[[#This Row],[Life expectancy]:[Schooling]])=19</f>
        <v>0</v>
      </c>
    </row>
    <row r="415" spans="1:23" x14ac:dyDescent="0.25">
      <c r="A415" t="s">
        <v>395</v>
      </c>
      <c r="B415">
        <v>2002</v>
      </c>
      <c r="C415" t="s">
        <v>369</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COUNT(LifeExpectancyData[[#This Row],[Life expectancy]:[Schooling]])=19</f>
        <v>0</v>
      </c>
    </row>
    <row r="416" spans="1:23" x14ac:dyDescent="0.25">
      <c r="A416" t="s">
        <v>395</v>
      </c>
      <c r="B416">
        <v>2001</v>
      </c>
      <c r="C416" t="s">
        <v>369</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COUNT(LifeExpectancyData[[#This Row],[Life expectancy]:[Schooling]])=19</f>
        <v>0</v>
      </c>
    </row>
    <row r="417" spans="1:23" x14ac:dyDescent="0.25">
      <c r="A417" t="s">
        <v>395</v>
      </c>
      <c r="B417">
        <v>2000</v>
      </c>
      <c r="C417" t="s">
        <v>369</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COUNT(LifeExpectancyData[[#This Row],[Life expectancy]:[Schooling]])=19</f>
        <v>0</v>
      </c>
    </row>
    <row r="418" spans="1:23" x14ac:dyDescent="0.25">
      <c r="A418" t="s">
        <v>396</v>
      </c>
      <c r="B418">
        <v>2015</v>
      </c>
      <c r="C418" t="s">
        <v>369</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COUNT(LifeExpectancyData[[#This Row],[Life expectancy]:[Schooling]])=19</f>
        <v>0</v>
      </c>
    </row>
    <row r="419" spans="1:23" x14ac:dyDescent="0.25">
      <c r="A419" t="s">
        <v>396</v>
      </c>
      <c r="B419">
        <v>2014</v>
      </c>
      <c r="C419" t="s">
        <v>369</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COUNT(LifeExpectancyData[[#This Row],[Life expectancy]:[Schooling]])=19</f>
        <v>1</v>
      </c>
    </row>
    <row r="420" spans="1:23" x14ac:dyDescent="0.25">
      <c r="A420" t="s">
        <v>396</v>
      </c>
      <c r="B420">
        <v>2013</v>
      </c>
      <c r="C420" t="s">
        <v>369</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COUNT(LifeExpectancyData[[#This Row],[Life expectancy]:[Schooling]])=19</f>
        <v>1</v>
      </c>
    </row>
    <row r="421" spans="1:23" x14ac:dyDescent="0.25">
      <c r="A421" t="s">
        <v>396</v>
      </c>
      <c r="B421">
        <v>2012</v>
      </c>
      <c r="C421" t="s">
        <v>369</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COUNT(LifeExpectancyData[[#This Row],[Life expectancy]:[Schooling]])=19</f>
        <v>1</v>
      </c>
    </row>
    <row r="422" spans="1:23" x14ac:dyDescent="0.25">
      <c r="A422" t="s">
        <v>396</v>
      </c>
      <c r="B422">
        <v>2011</v>
      </c>
      <c r="C422" t="s">
        <v>369</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COUNT(LifeExpectancyData[[#This Row],[Life expectancy]:[Schooling]])=19</f>
        <v>1</v>
      </c>
    </row>
    <row r="423" spans="1:23" x14ac:dyDescent="0.25">
      <c r="A423" t="s">
        <v>396</v>
      </c>
      <c r="B423">
        <v>2010</v>
      </c>
      <c r="C423" t="s">
        <v>369</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COUNT(LifeExpectancyData[[#This Row],[Life expectancy]:[Schooling]])=19</f>
        <v>1</v>
      </c>
    </row>
    <row r="424" spans="1:23" x14ac:dyDescent="0.25">
      <c r="A424" t="s">
        <v>396</v>
      </c>
      <c r="B424">
        <v>2009</v>
      </c>
      <c r="C424" t="s">
        <v>369</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COUNT(LifeExpectancyData[[#This Row],[Life expectancy]:[Schooling]])=19</f>
        <v>1</v>
      </c>
    </row>
    <row r="425" spans="1:23" x14ac:dyDescent="0.25">
      <c r="A425" t="s">
        <v>396</v>
      </c>
      <c r="B425">
        <v>2008</v>
      </c>
      <c r="C425" t="s">
        <v>369</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COUNT(LifeExpectancyData[[#This Row],[Life expectancy]:[Schooling]])=19</f>
        <v>1</v>
      </c>
    </row>
    <row r="426" spans="1:23" x14ac:dyDescent="0.25">
      <c r="A426" t="s">
        <v>396</v>
      </c>
      <c r="B426">
        <v>2007</v>
      </c>
      <c r="C426" t="s">
        <v>369</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COUNT(LifeExpectancyData[[#This Row],[Life expectancy]:[Schooling]])=19</f>
        <v>1</v>
      </c>
    </row>
    <row r="427" spans="1:23" x14ac:dyDescent="0.25">
      <c r="A427" t="s">
        <v>396</v>
      </c>
      <c r="B427">
        <v>2006</v>
      </c>
      <c r="C427" t="s">
        <v>369</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COUNT(LifeExpectancyData[[#This Row],[Life expectancy]:[Schooling]])=19</f>
        <v>1</v>
      </c>
    </row>
    <row r="428" spans="1:23" x14ac:dyDescent="0.25">
      <c r="A428" t="s">
        <v>396</v>
      </c>
      <c r="B428">
        <v>2005</v>
      </c>
      <c r="C428" t="s">
        <v>369</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COUNT(LifeExpectancyData[[#This Row],[Life expectancy]:[Schooling]])=19</f>
        <v>1</v>
      </c>
    </row>
    <row r="429" spans="1:23" x14ac:dyDescent="0.25">
      <c r="A429" t="s">
        <v>396</v>
      </c>
      <c r="B429">
        <v>2004</v>
      </c>
      <c r="C429" t="s">
        <v>369</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COUNT(LifeExpectancyData[[#This Row],[Life expectancy]:[Schooling]])=19</f>
        <v>1</v>
      </c>
    </row>
    <row r="430" spans="1:23" x14ac:dyDescent="0.25">
      <c r="A430" t="s">
        <v>396</v>
      </c>
      <c r="B430">
        <v>2003</v>
      </c>
      <c r="C430" t="s">
        <v>369</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COUNT(LifeExpectancyData[[#This Row],[Life expectancy]:[Schooling]])=19</f>
        <v>0</v>
      </c>
    </row>
    <row r="431" spans="1:23" x14ac:dyDescent="0.25">
      <c r="A431" t="s">
        <v>396</v>
      </c>
      <c r="B431">
        <v>2002</v>
      </c>
      <c r="C431" t="s">
        <v>369</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COUNT(LifeExpectancyData[[#This Row],[Life expectancy]:[Schooling]])=19</f>
        <v>0</v>
      </c>
    </row>
    <row r="432" spans="1:23" x14ac:dyDescent="0.25">
      <c r="A432" t="s">
        <v>396</v>
      </c>
      <c r="B432">
        <v>2001</v>
      </c>
      <c r="C432" t="s">
        <v>369</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COUNT(LifeExpectancyData[[#This Row],[Life expectancy]:[Schooling]])=19</f>
        <v>0</v>
      </c>
    </row>
    <row r="433" spans="1:23" x14ac:dyDescent="0.25">
      <c r="A433" t="s">
        <v>396</v>
      </c>
      <c r="B433">
        <v>2000</v>
      </c>
      <c r="C433" t="s">
        <v>369</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COUNT(LifeExpectancyData[[#This Row],[Life expectancy]:[Schooling]])=19</f>
        <v>0</v>
      </c>
    </row>
    <row r="434" spans="1:23" x14ac:dyDescent="0.25">
      <c r="A434" t="s">
        <v>397</v>
      </c>
      <c r="B434">
        <v>2015</v>
      </c>
      <c r="C434" t="s">
        <v>369</v>
      </c>
      <c r="D434">
        <v>53.3</v>
      </c>
      <c r="E434">
        <v>397</v>
      </c>
      <c r="F434">
        <v>57</v>
      </c>
      <c r="H434">
        <v>0</v>
      </c>
      <c r="I434">
        <v>83</v>
      </c>
      <c r="J434">
        <v>65</v>
      </c>
      <c r="K434">
        <v>28</v>
      </c>
      <c r="L434">
        <v>79</v>
      </c>
      <c r="M434">
        <v>81</v>
      </c>
      <c r="O434">
        <v>83</v>
      </c>
      <c r="P434">
        <v>1.9</v>
      </c>
      <c r="S434">
        <v>5.5</v>
      </c>
      <c r="T434">
        <v>5.5</v>
      </c>
      <c r="W434" t="b">
        <f>COUNT(LifeExpectancyData[[#This Row],[Life expectancy]:[Schooling]])=19</f>
        <v>0</v>
      </c>
    </row>
    <row r="435" spans="1:23" x14ac:dyDescent="0.25">
      <c r="A435" t="s">
        <v>397</v>
      </c>
      <c r="B435">
        <v>2014</v>
      </c>
      <c r="C435" t="s">
        <v>369</v>
      </c>
      <c r="D435">
        <v>52.8</v>
      </c>
      <c r="E435">
        <v>47</v>
      </c>
      <c r="F435">
        <v>58</v>
      </c>
      <c r="G435">
        <v>0.01</v>
      </c>
      <c r="H435">
        <v>0</v>
      </c>
      <c r="I435">
        <v>76</v>
      </c>
      <c r="J435">
        <v>50</v>
      </c>
      <c r="K435">
        <v>27.4</v>
      </c>
      <c r="L435">
        <v>80</v>
      </c>
      <c r="M435">
        <v>76</v>
      </c>
      <c r="N435">
        <v>5.72</v>
      </c>
      <c r="O435">
        <v>76</v>
      </c>
      <c r="P435">
        <v>2</v>
      </c>
      <c r="S435">
        <v>5.6</v>
      </c>
      <c r="T435">
        <v>5.6</v>
      </c>
      <c r="W435" t="b">
        <f>COUNT(LifeExpectancyData[[#This Row],[Life expectancy]:[Schooling]])=19</f>
        <v>0</v>
      </c>
    </row>
    <row r="436" spans="1:23" x14ac:dyDescent="0.25">
      <c r="A436" t="s">
        <v>397</v>
      </c>
      <c r="B436">
        <v>2013</v>
      </c>
      <c r="C436" t="s">
        <v>369</v>
      </c>
      <c r="D436">
        <v>52.3</v>
      </c>
      <c r="E436">
        <v>412</v>
      </c>
      <c r="F436">
        <v>59</v>
      </c>
      <c r="G436">
        <v>3.15</v>
      </c>
      <c r="H436">
        <v>0</v>
      </c>
      <c r="I436">
        <v>8</v>
      </c>
      <c r="J436">
        <v>48</v>
      </c>
      <c r="K436">
        <v>26.8</v>
      </c>
      <c r="L436">
        <v>81</v>
      </c>
      <c r="M436">
        <v>79</v>
      </c>
      <c r="N436">
        <v>5.81</v>
      </c>
      <c r="O436">
        <v>8</v>
      </c>
      <c r="P436">
        <v>2.4</v>
      </c>
      <c r="S436">
        <v>5.8</v>
      </c>
      <c r="T436">
        <v>5.7</v>
      </c>
      <c r="W436" t="b">
        <f>COUNT(LifeExpectancyData[[#This Row],[Life expectancy]:[Schooling]])=19</f>
        <v>0</v>
      </c>
    </row>
    <row r="437" spans="1:23" x14ac:dyDescent="0.25">
      <c r="A437" t="s">
        <v>397</v>
      </c>
      <c r="B437">
        <v>2012</v>
      </c>
      <c r="C437" t="s">
        <v>369</v>
      </c>
      <c r="D437">
        <v>52</v>
      </c>
      <c r="E437">
        <v>415</v>
      </c>
      <c r="F437">
        <v>59</v>
      </c>
      <c r="G437">
        <v>3.24</v>
      </c>
      <c r="H437">
        <v>0</v>
      </c>
      <c r="I437">
        <v>82</v>
      </c>
      <c r="J437">
        <v>137</v>
      </c>
      <c r="K437">
        <v>26.2</v>
      </c>
      <c r="L437">
        <v>82</v>
      </c>
      <c r="M437">
        <v>83</v>
      </c>
      <c r="N437">
        <v>6.14</v>
      </c>
      <c r="O437">
        <v>82</v>
      </c>
      <c r="P437">
        <v>2.9</v>
      </c>
      <c r="S437">
        <v>5.9</v>
      </c>
      <c r="T437">
        <v>5.9</v>
      </c>
      <c r="W437" t="b">
        <f>COUNT(LifeExpectancyData[[#This Row],[Life expectancy]:[Schooling]])=19</f>
        <v>0</v>
      </c>
    </row>
    <row r="438" spans="1:23" x14ac:dyDescent="0.25">
      <c r="A438" t="s">
        <v>397</v>
      </c>
      <c r="B438">
        <v>2011</v>
      </c>
      <c r="C438" t="s">
        <v>369</v>
      </c>
      <c r="D438">
        <v>51.7</v>
      </c>
      <c r="E438">
        <v>419</v>
      </c>
      <c r="F438">
        <v>60</v>
      </c>
      <c r="G438">
        <v>3.13</v>
      </c>
      <c r="H438">
        <v>0</v>
      </c>
      <c r="I438">
        <v>62</v>
      </c>
      <c r="J438">
        <v>628</v>
      </c>
      <c r="K438">
        <v>25.6</v>
      </c>
      <c r="L438">
        <v>83</v>
      </c>
      <c r="M438">
        <v>58</v>
      </c>
      <c r="N438">
        <v>6.42</v>
      </c>
      <c r="O438">
        <v>62</v>
      </c>
      <c r="P438">
        <v>3.3</v>
      </c>
      <c r="S438">
        <v>6.1</v>
      </c>
      <c r="T438">
        <v>6</v>
      </c>
      <c r="W438" t="b">
        <f>COUNT(LifeExpectancyData[[#This Row],[Life expectancy]:[Schooling]])=19</f>
        <v>0</v>
      </c>
    </row>
    <row r="439" spans="1:23" x14ac:dyDescent="0.25">
      <c r="A439" t="s">
        <v>397</v>
      </c>
      <c r="B439">
        <v>2010</v>
      </c>
      <c r="C439" t="s">
        <v>369</v>
      </c>
      <c r="D439">
        <v>51.5</v>
      </c>
      <c r="E439">
        <v>417</v>
      </c>
      <c r="F439">
        <v>60</v>
      </c>
      <c r="G439">
        <v>3.15</v>
      </c>
      <c r="H439">
        <v>0</v>
      </c>
      <c r="I439">
        <v>85</v>
      </c>
      <c r="J439">
        <v>441</v>
      </c>
      <c r="K439">
        <v>25</v>
      </c>
      <c r="L439">
        <v>84</v>
      </c>
      <c r="M439">
        <v>81</v>
      </c>
      <c r="N439">
        <v>6.32</v>
      </c>
      <c r="O439">
        <v>85</v>
      </c>
      <c r="P439">
        <v>3.3</v>
      </c>
      <c r="S439">
        <v>6.3</v>
      </c>
      <c r="T439">
        <v>6.2</v>
      </c>
      <c r="W439" t="b">
        <f>COUNT(LifeExpectancyData[[#This Row],[Life expectancy]:[Schooling]])=19</f>
        <v>0</v>
      </c>
    </row>
    <row r="440" spans="1:23" x14ac:dyDescent="0.25">
      <c r="A440" t="s">
        <v>397</v>
      </c>
      <c r="B440">
        <v>2009</v>
      </c>
      <c r="C440" t="s">
        <v>369</v>
      </c>
      <c r="D440">
        <v>51</v>
      </c>
      <c r="E440">
        <v>426</v>
      </c>
      <c r="F440">
        <v>60</v>
      </c>
      <c r="G440">
        <v>2.92</v>
      </c>
      <c r="H440">
        <v>0</v>
      </c>
      <c r="I440">
        <v>81</v>
      </c>
      <c r="J440">
        <v>183</v>
      </c>
      <c r="K440">
        <v>24.4</v>
      </c>
      <c r="L440">
        <v>84</v>
      </c>
      <c r="M440">
        <v>77</v>
      </c>
      <c r="N440">
        <v>6.41</v>
      </c>
      <c r="O440">
        <v>81</v>
      </c>
      <c r="P440">
        <v>3.7</v>
      </c>
      <c r="S440">
        <v>6.5</v>
      </c>
      <c r="T440">
        <v>6.4</v>
      </c>
      <c r="W440" t="b">
        <f>COUNT(LifeExpectancyData[[#This Row],[Life expectancy]:[Schooling]])=19</f>
        <v>0</v>
      </c>
    </row>
    <row r="441" spans="1:23" x14ac:dyDescent="0.25">
      <c r="A441" t="s">
        <v>397</v>
      </c>
      <c r="B441">
        <v>2008</v>
      </c>
      <c r="C441" t="s">
        <v>369</v>
      </c>
      <c r="D441">
        <v>54</v>
      </c>
      <c r="E441">
        <v>437</v>
      </c>
      <c r="F441">
        <v>60</v>
      </c>
      <c r="G441">
        <v>2.69</v>
      </c>
      <c r="H441">
        <v>0</v>
      </c>
      <c r="I441">
        <v>74</v>
      </c>
      <c r="J441">
        <v>12</v>
      </c>
      <c r="K441">
        <v>23.8</v>
      </c>
      <c r="L441">
        <v>85</v>
      </c>
      <c r="M441">
        <v>58</v>
      </c>
      <c r="N441">
        <v>6.21</v>
      </c>
      <c r="O441">
        <v>74</v>
      </c>
      <c r="P441">
        <v>4.0999999999999996</v>
      </c>
      <c r="S441">
        <v>6.6</v>
      </c>
      <c r="T441">
        <v>6.6</v>
      </c>
      <c r="W441" t="b">
        <f>COUNT(LifeExpectancyData[[#This Row],[Life expectancy]:[Schooling]])=19</f>
        <v>0</v>
      </c>
    </row>
    <row r="442" spans="1:23" x14ac:dyDescent="0.25">
      <c r="A442" t="s">
        <v>397</v>
      </c>
      <c r="B442">
        <v>2007</v>
      </c>
      <c r="C442" t="s">
        <v>369</v>
      </c>
      <c r="D442">
        <v>49.9</v>
      </c>
      <c r="E442">
        <v>443</v>
      </c>
      <c r="F442">
        <v>61</v>
      </c>
      <c r="G442">
        <v>2.58</v>
      </c>
      <c r="H442">
        <v>0</v>
      </c>
      <c r="I442">
        <v>76</v>
      </c>
      <c r="J442">
        <v>5</v>
      </c>
      <c r="K442">
        <v>23.2</v>
      </c>
      <c r="L442">
        <v>87</v>
      </c>
      <c r="M442">
        <v>75</v>
      </c>
      <c r="N442">
        <v>6.35</v>
      </c>
      <c r="O442">
        <v>76</v>
      </c>
      <c r="P442">
        <v>5.3</v>
      </c>
      <c r="S442">
        <v>6.8</v>
      </c>
      <c r="T442">
        <v>6.7</v>
      </c>
      <c r="W442" t="b">
        <f>COUNT(LifeExpectancyData[[#This Row],[Life expectancy]:[Schooling]])=19</f>
        <v>0</v>
      </c>
    </row>
    <row r="443" spans="1:23" x14ac:dyDescent="0.25">
      <c r="A443" t="s">
        <v>397</v>
      </c>
      <c r="B443">
        <v>2006</v>
      </c>
      <c r="C443" t="s">
        <v>369</v>
      </c>
      <c r="D443">
        <v>49.4</v>
      </c>
      <c r="E443">
        <v>452</v>
      </c>
      <c r="F443">
        <v>62</v>
      </c>
      <c r="G443">
        <v>2.65</v>
      </c>
      <c r="H443">
        <v>0</v>
      </c>
      <c r="I443">
        <v>77</v>
      </c>
      <c r="J443">
        <v>11</v>
      </c>
      <c r="K443">
        <v>22.6</v>
      </c>
      <c r="L443">
        <v>89</v>
      </c>
      <c r="M443">
        <v>76</v>
      </c>
      <c r="N443">
        <v>5.87</v>
      </c>
      <c r="O443">
        <v>77</v>
      </c>
      <c r="P443">
        <v>5.8</v>
      </c>
      <c r="S443">
        <v>7</v>
      </c>
      <c r="T443">
        <v>6.9</v>
      </c>
      <c r="W443" t="b">
        <f>COUNT(LifeExpectancyData[[#This Row],[Life expectancy]:[Schooling]])=19</f>
        <v>0</v>
      </c>
    </row>
    <row r="444" spans="1:23" x14ac:dyDescent="0.25">
      <c r="A444" t="s">
        <v>397</v>
      </c>
      <c r="B444">
        <v>2005</v>
      </c>
      <c r="C444" t="s">
        <v>369</v>
      </c>
      <c r="D444">
        <v>48.7</v>
      </c>
      <c r="E444">
        <v>466</v>
      </c>
      <c r="F444">
        <v>63</v>
      </c>
      <c r="G444">
        <v>3.11</v>
      </c>
      <c r="H444">
        <v>0</v>
      </c>
      <c r="I444">
        <v>76</v>
      </c>
      <c r="J444">
        <v>115</v>
      </c>
      <c r="K444">
        <v>22.1</v>
      </c>
      <c r="L444">
        <v>90</v>
      </c>
      <c r="M444">
        <v>87</v>
      </c>
      <c r="N444">
        <v>5.39</v>
      </c>
      <c r="O444">
        <v>76</v>
      </c>
      <c r="P444">
        <v>6.1</v>
      </c>
      <c r="S444">
        <v>7.2</v>
      </c>
      <c r="T444">
        <v>7.1</v>
      </c>
      <c r="W444" t="b">
        <f>COUNT(LifeExpectancyData[[#This Row],[Life expectancy]:[Schooling]])=19</f>
        <v>0</v>
      </c>
    </row>
    <row r="445" spans="1:23" x14ac:dyDescent="0.25">
      <c r="A445" t="s">
        <v>397</v>
      </c>
      <c r="B445">
        <v>2004</v>
      </c>
      <c r="C445" t="s">
        <v>369</v>
      </c>
      <c r="D445">
        <v>48.2</v>
      </c>
      <c r="E445">
        <v>472</v>
      </c>
      <c r="F445">
        <v>64</v>
      </c>
      <c r="G445">
        <v>3.08</v>
      </c>
      <c r="H445">
        <v>0</v>
      </c>
      <c r="I445">
        <v>67</v>
      </c>
      <c r="J445">
        <v>3466</v>
      </c>
      <c r="K445">
        <v>21.5</v>
      </c>
      <c r="L445">
        <v>91</v>
      </c>
      <c r="M445">
        <v>76</v>
      </c>
      <c r="N445">
        <v>5.24</v>
      </c>
      <c r="O445">
        <v>67</v>
      </c>
      <c r="P445">
        <v>6.5</v>
      </c>
      <c r="S445">
        <v>7.3</v>
      </c>
      <c r="T445">
        <v>7.3</v>
      </c>
      <c r="W445" t="b">
        <f>COUNT(LifeExpectancyData[[#This Row],[Life expectancy]:[Schooling]])=19</f>
        <v>0</v>
      </c>
    </row>
    <row r="446" spans="1:23" x14ac:dyDescent="0.25">
      <c r="A446" t="s">
        <v>397</v>
      </c>
      <c r="B446">
        <v>2003</v>
      </c>
      <c r="C446" t="s">
        <v>369</v>
      </c>
      <c r="D446">
        <v>48</v>
      </c>
      <c r="E446">
        <v>473</v>
      </c>
      <c r="F446">
        <v>64</v>
      </c>
      <c r="G446">
        <v>3.12</v>
      </c>
      <c r="H446">
        <v>0</v>
      </c>
      <c r="I446">
        <v>63</v>
      </c>
      <c r="J446">
        <v>4770</v>
      </c>
      <c r="K446">
        <v>2.9</v>
      </c>
      <c r="L446">
        <v>92</v>
      </c>
      <c r="M446">
        <v>68</v>
      </c>
      <c r="N446">
        <v>4.6500000000000004</v>
      </c>
      <c r="O446">
        <v>61</v>
      </c>
      <c r="P446">
        <v>6.7</v>
      </c>
      <c r="S446">
        <v>7.5</v>
      </c>
      <c r="T446">
        <v>7.5</v>
      </c>
      <c r="W446" t="b">
        <f>COUNT(LifeExpectancyData[[#This Row],[Life expectancy]:[Schooling]])=19</f>
        <v>0</v>
      </c>
    </row>
    <row r="447" spans="1:23" x14ac:dyDescent="0.25">
      <c r="A447" t="s">
        <v>397</v>
      </c>
      <c r="B447">
        <v>2002</v>
      </c>
      <c r="C447" t="s">
        <v>369</v>
      </c>
      <c r="D447">
        <v>47.7</v>
      </c>
      <c r="E447">
        <v>473</v>
      </c>
      <c r="F447">
        <v>65</v>
      </c>
      <c r="G447">
        <v>3.13</v>
      </c>
      <c r="H447">
        <v>0</v>
      </c>
      <c r="I447">
        <v>48</v>
      </c>
      <c r="J447">
        <v>5882</v>
      </c>
      <c r="K447">
        <v>2.4</v>
      </c>
      <c r="L447">
        <v>93</v>
      </c>
      <c r="M447">
        <v>7</v>
      </c>
      <c r="N447">
        <v>4.47</v>
      </c>
      <c r="O447">
        <v>64</v>
      </c>
      <c r="P447">
        <v>6.9</v>
      </c>
      <c r="S447">
        <v>7.7</v>
      </c>
      <c r="T447">
        <v>7.7</v>
      </c>
      <c r="W447" t="b">
        <f>COUNT(LifeExpectancyData[[#This Row],[Life expectancy]:[Schooling]])=19</f>
        <v>0</v>
      </c>
    </row>
    <row r="448" spans="1:23" x14ac:dyDescent="0.25">
      <c r="A448" t="s">
        <v>397</v>
      </c>
      <c r="B448">
        <v>2001</v>
      </c>
      <c r="C448" t="s">
        <v>369</v>
      </c>
      <c r="D448">
        <v>47.8</v>
      </c>
      <c r="E448">
        <v>467</v>
      </c>
      <c r="F448">
        <v>65</v>
      </c>
      <c r="G448">
        <v>3.15</v>
      </c>
      <c r="H448">
        <v>0</v>
      </c>
      <c r="I448">
        <v>1</v>
      </c>
      <c r="J448">
        <v>5790</v>
      </c>
      <c r="K448">
        <v>19.899999999999999</v>
      </c>
      <c r="L448">
        <v>94</v>
      </c>
      <c r="M448">
        <v>7</v>
      </c>
      <c r="N448">
        <v>4.8499999999999996</v>
      </c>
      <c r="O448">
        <v>66</v>
      </c>
      <c r="P448">
        <v>7</v>
      </c>
      <c r="S448">
        <v>7.9</v>
      </c>
      <c r="T448">
        <v>7.9</v>
      </c>
      <c r="W448" t="b">
        <f>COUNT(LifeExpectancyData[[#This Row],[Life expectancy]:[Schooling]])=19</f>
        <v>0</v>
      </c>
    </row>
    <row r="449" spans="1:23" x14ac:dyDescent="0.25">
      <c r="A449" t="s">
        <v>397</v>
      </c>
      <c r="B449">
        <v>2000</v>
      </c>
      <c r="C449" t="s">
        <v>369</v>
      </c>
      <c r="D449">
        <v>47.9</v>
      </c>
      <c r="E449">
        <v>461</v>
      </c>
      <c r="F449">
        <v>67</v>
      </c>
      <c r="G449">
        <v>3.45</v>
      </c>
      <c r="H449">
        <v>0</v>
      </c>
      <c r="J449">
        <v>5729</v>
      </c>
      <c r="K449">
        <v>19.399999999999999</v>
      </c>
      <c r="L449">
        <v>95</v>
      </c>
      <c r="M449">
        <v>66</v>
      </c>
      <c r="N449">
        <v>6</v>
      </c>
      <c r="O449">
        <v>65</v>
      </c>
      <c r="P449">
        <v>7.1</v>
      </c>
      <c r="S449">
        <v>8.1</v>
      </c>
      <c r="T449">
        <v>8.1</v>
      </c>
      <c r="W449" t="b">
        <f>COUNT(LifeExpectancyData[[#This Row],[Life expectancy]:[Schooling]])=19</f>
        <v>0</v>
      </c>
    </row>
    <row r="450" spans="1:23" x14ac:dyDescent="0.25">
      <c r="A450" t="s">
        <v>398</v>
      </c>
      <c r="B450">
        <v>2015</v>
      </c>
      <c r="C450" t="s">
        <v>369</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COUNT(LifeExpectancyData[[#This Row],[Life expectancy]:[Schooling]])=19</f>
        <v>0</v>
      </c>
    </row>
    <row r="451" spans="1:23" x14ac:dyDescent="0.25">
      <c r="A451" t="s">
        <v>398</v>
      </c>
      <c r="B451">
        <v>2014</v>
      </c>
      <c r="C451" t="s">
        <v>369</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COUNT(LifeExpectancyData[[#This Row],[Life expectancy]:[Schooling]])=19</f>
        <v>1</v>
      </c>
    </row>
    <row r="452" spans="1:23" x14ac:dyDescent="0.25">
      <c r="A452" t="s">
        <v>398</v>
      </c>
      <c r="B452">
        <v>2013</v>
      </c>
      <c r="C452" t="s">
        <v>369</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COUNT(LifeExpectancyData[[#This Row],[Life expectancy]:[Schooling]])=19</f>
        <v>1</v>
      </c>
    </row>
    <row r="453" spans="1:23" x14ac:dyDescent="0.25">
      <c r="A453" t="s">
        <v>398</v>
      </c>
      <c r="B453">
        <v>2012</v>
      </c>
      <c r="C453" t="s">
        <v>369</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COUNT(LifeExpectancyData[[#This Row],[Life expectancy]:[Schooling]])=19</f>
        <v>1</v>
      </c>
    </row>
    <row r="454" spans="1:23" x14ac:dyDescent="0.25">
      <c r="A454" t="s">
        <v>398</v>
      </c>
      <c r="B454">
        <v>2011</v>
      </c>
      <c r="C454" t="s">
        <v>369</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COUNT(LifeExpectancyData[[#This Row],[Life expectancy]:[Schooling]])=19</f>
        <v>1</v>
      </c>
    </row>
    <row r="455" spans="1:23" x14ac:dyDescent="0.25">
      <c r="A455" t="s">
        <v>398</v>
      </c>
      <c r="B455">
        <v>2010</v>
      </c>
      <c r="C455" t="s">
        <v>369</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COUNT(LifeExpectancyData[[#This Row],[Life expectancy]:[Schooling]])=19</f>
        <v>1</v>
      </c>
    </row>
    <row r="456" spans="1:23" x14ac:dyDescent="0.25">
      <c r="A456" t="s">
        <v>398</v>
      </c>
      <c r="B456">
        <v>2009</v>
      </c>
      <c r="C456" t="s">
        <v>369</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COUNT(LifeExpectancyData[[#This Row],[Life expectancy]:[Schooling]])=19</f>
        <v>1</v>
      </c>
    </row>
    <row r="457" spans="1:23" x14ac:dyDescent="0.25">
      <c r="A457" t="s">
        <v>398</v>
      </c>
      <c r="B457">
        <v>2008</v>
      </c>
      <c r="C457" t="s">
        <v>369</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COUNT(LifeExpectancyData[[#This Row],[Life expectancy]:[Schooling]])=19</f>
        <v>1</v>
      </c>
    </row>
    <row r="458" spans="1:23" x14ac:dyDescent="0.25">
      <c r="A458" t="s">
        <v>398</v>
      </c>
      <c r="B458">
        <v>2007</v>
      </c>
      <c r="C458" t="s">
        <v>369</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COUNT(LifeExpectancyData[[#This Row],[Life expectancy]:[Schooling]])=19</f>
        <v>1</v>
      </c>
    </row>
    <row r="459" spans="1:23" x14ac:dyDescent="0.25">
      <c r="A459" t="s">
        <v>398</v>
      </c>
      <c r="B459">
        <v>2006</v>
      </c>
      <c r="C459" t="s">
        <v>369</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COUNT(LifeExpectancyData[[#This Row],[Life expectancy]:[Schooling]])=19</f>
        <v>1</v>
      </c>
    </row>
    <row r="460" spans="1:23" x14ac:dyDescent="0.25">
      <c r="A460" t="s">
        <v>398</v>
      </c>
      <c r="B460">
        <v>2005</v>
      </c>
      <c r="C460" t="s">
        <v>369</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COUNT(LifeExpectancyData[[#This Row],[Life expectancy]:[Schooling]])=19</f>
        <v>1</v>
      </c>
    </row>
    <row r="461" spans="1:23" x14ac:dyDescent="0.25">
      <c r="A461" t="s">
        <v>398</v>
      </c>
      <c r="B461">
        <v>2004</v>
      </c>
      <c r="C461" t="s">
        <v>369</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COUNT(LifeExpectancyData[[#This Row],[Life expectancy]:[Schooling]])=19</f>
        <v>1</v>
      </c>
    </row>
    <row r="462" spans="1:23" x14ac:dyDescent="0.25">
      <c r="A462" t="s">
        <v>398</v>
      </c>
      <c r="B462">
        <v>2003</v>
      </c>
      <c r="C462" t="s">
        <v>369</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COUNT(LifeExpectancyData[[#This Row],[Life expectancy]:[Schooling]])=19</f>
        <v>1</v>
      </c>
    </row>
    <row r="463" spans="1:23" x14ac:dyDescent="0.25">
      <c r="A463" t="s">
        <v>398</v>
      </c>
      <c r="B463">
        <v>2002</v>
      </c>
      <c r="C463" t="s">
        <v>369</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COUNT(LifeExpectancyData[[#This Row],[Life expectancy]:[Schooling]])=19</f>
        <v>1</v>
      </c>
    </row>
    <row r="464" spans="1:23" x14ac:dyDescent="0.25">
      <c r="A464" t="s">
        <v>398</v>
      </c>
      <c r="B464">
        <v>2001</v>
      </c>
      <c r="C464" t="s">
        <v>369</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COUNT(LifeExpectancyData[[#This Row],[Life expectancy]:[Schooling]])=19</f>
        <v>0</v>
      </c>
    </row>
    <row r="465" spans="1:23" x14ac:dyDescent="0.25">
      <c r="A465" t="s">
        <v>398</v>
      </c>
      <c r="B465">
        <v>2000</v>
      </c>
      <c r="C465" t="s">
        <v>369</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COUNT(LifeExpectancyData[[#This Row],[Life expectancy]:[Schooling]])=19</f>
        <v>0</v>
      </c>
    </row>
    <row r="466" spans="1:23" x14ac:dyDescent="0.25">
      <c r="A466" t="s">
        <v>399</v>
      </c>
      <c r="B466">
        <v>2015</v>
      </c>
      <c r="C466" t="s">
        <v>369</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COUNT(LifeExpectancyData[[#This Row],[Life expectancy]:[Schooling]])=19</f>
        <v>0</v>
      </c>
    </row>
    <row r="467" spans="1:23" x14ac:dyDescent="0.25">
      <c r="A467" t="s">
        <v>399</v>
      </c>
      <c r="B467">
        <v>2014</v>
      </c>
      <c r="C467" t="s">
        <v>369</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COUNT(LifeExpectancyData[[#This Row],[Life expectancy]:[Schooling]])=19</f>
        <v>1</v>
      </c>
    </row>
    <row r="468" spans="1:23" x14ac:dyDescent="0.25">
      <c r="A468" t="s">
        <v>399</v>
      </c>
      <c r="B468">
        <v>2013</v>
      </c>
      <c r="C468" t="s">
        <v>369</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COUNT(LifeExpectancyData[[#This Row],[Life expectancy]:[Schooling]])=19</f>
        <v>1</v>
      </c>
    </row>
    <row r="469" spans="1:23" x14ac:dyDescent="0.25">
      <c r="A469" t="s">
        <v>399</v>
      </c>
      <c r="B469">
        <v>2012</v>
      </c>
      <c r="C469" t="s">
        <v>369</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COUNT(LifeExpectancyData[[#This Row],[Life expectancy]:[Schooling]])=19</f>
        <v>1</v>
      </c>
    </row>
    <row r="470" spans="1:23" x14ac:dyDescent="0.25">
      <c r="A470" t="s">
        <v>399</v>
      </c>
      <c r="B470">
        <v>2011</v>
      </c>
      <c r="C470" t="s">
        <v>369</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COUNT(LifeExpectancyData[[#This Row],[Life expectancy]:[Schooling]])=19</f>
        <v>1</v>
      </c>
    </row>
    <row r="471" spans="1:23" x14ac:dyDescent="0.25">
      <c r="A471" t="s">
        <v>399</v>
      </c>
      <c r="B471">
        <v>2010</v>
      </c>
      <c r="C471" t="s">
        <v>369</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COUNT(LifeExpectancyData[[#This Row],[Life expectancy]:[Schooling]])=19</f>
        <v>1</v>
      </c>
    </row>
    <row r="472" spans="1:23" x14ac:dyDescent="0.25">
      <c r="A472" t="s">
        <v>399</v>
      </c>
      <c r="B472">
        <v>2009</v>
      </c>
      <c r="C472" t="s">
        <v>369</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COUNT(LifeExpectancyData[[#This Row],[Life expectancy]:[Schooling]])=19</f>
        <v>1</v>
      </c>
    </row>
    <row r="473" spans="1:23" x14ac:dyDescent="0.25">
      <c r="A473" t="s">
        <v>399</v>
      </c>
      <c r="B473">
        <v>2008</v>
      </c>
      <c r="C473" t="s">
        <v>369</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COUNT(LifeExpectancyData[[#This Row],[Life expectancy]:[Schooling]])=19</f>
        <v>1</v>
      </c>
    </row>
    <row r="474" spans="1:23" x14ac:dyDescent="0.25">
      <c r="A474" t="s">
        <v>399</v>
      </c>
      <c r="B474">
        <v>2007</v>
      </c>
      <c r="C474" t="s">
        <v>369</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COUNT(LifeExpectancyData[[#This Row],[Life expectancy]:[Schooling]])=19</f>
        <v>1</v>
      </c>
    </row>
    <row r="475" spans="1:23" x14ac:dyDescent="0.25">
      <c r="A475" t="s">
        <v>399</v>
      </c>
      <c r="B475">
        <v>2006</v>
      </c>
      <c r="C475" t="s">
        <v>369</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COUNT(LifeExpectancyData[[#This Row],[Life expectancy]:[Schooling]])=19</f>
        <v>1</v>
      </c>
    </row>
    <row r="476" spans="1:23" x14ac:dyDescent="0.25">
      <c r="A476" t="s">
        <v>399</v>
      </c>
      <c r="B476">
        <v>2005</v>
      </c>
      <c r="C476" t="s">
        <v>369</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COUNT(LifeExpectancyData[[#This Row],[Life expectancy]:[Schooling]])=19</f>
        <v>0</v>
      </c>
    </row>
    <row r="477" spans="1:23" x14ac:dyDescent="0.25">
      <c r="A477" t="s">
        <v>399</v>
      </c>
      <c r="B477">
        <v>2004</v>
      </c>
      <c r="C477" t="s">
        <v>369</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COUNT(LifeExpectancyData[[#This Row],[Life expectancy]:[Schooling]])=19</f>
        <v>0</v>
      </c>
    </row>
    <row r="478" spans="1:23" x14ac:dyDescent="0.25">
      <c r="A478" t="s">
        <v>399</v>
      </c>
      <c r="B478">
        <v>2003</v>
      </c>
      <c r="C478" t="s">
        <v>369</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COUNT(LifeExpectancyData[[#This Row],[Life expectancy]:[Schooling]])=19</f>
        <v>0</v>
      </c>
    </row>
    <row r="479" spans="1:23" x14ac:dyDescent="0.25">
      <c r="A479" t="s">
        <v>399</v>
      </c>
      <c r="B479">
        <v>2002</v>
      </c>
      <c r="C479" t="s">
        <v>369</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COUNT(LifeExpectancyData[[#This Row],[Life expectancy]:[Schooling]])=19</f>
        <v>0</v>
      </c>
    </row>
    <row r="480" spans="1:23" x14ac:dyDescent="0.25">
      <c r="A480" t="s">
        <v>399</v>
      </c>
      <c r="B480">
        <v>2001</v>
      </c>
      <c r="C480" t="s">
        <v>369</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COUNT(LifeExpectancyData[[#This Row],[Life expectancy]:[Schooling]])=19</f>
        <v>0</v>
      </c>
    </row>
    <row r="481" spans="1:23" x14ac:dyDescent="0.25">
      <c r="A481" t="s">
        <v>399</v>
      </c>
      <c r="B481">
        <v>2000</v>
      </c>
      <c r="C481" t="s">
        <v>369</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COUNT(LifeExpectancyData[[#This Row],[Life expectancy]:[Schooling]])=19</f>
        <v>0</v>
      </c>
    </row>
    <row r="482" spans="1:23" x14ac:dyDescent="0.25">
      <c r="A482" t="s">
        <v>400</v>
      </c>
      <c r="B482">
        <v>2015</v>
      </c>
      <c r="C482" t="s">
        <v>369</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COUNT(LifeExpectancyData[[#This Row],[Life expectancy]:[Schooling]])=19</f>
        <v>0</v>
      </c>
    </row>
    <row r="483" spans="1:23" x14ac:dyDescent="0.25">
      <c r="A483" t="s">
        <v>400</v>
      </c>
      <c r="B483">
        <v>2014</v>
      </c>
      <c r="C483" t="s">
        <v>369</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COUNT(LifeExpectancyData[[#This Row],[Life expectancy]:[Schooling]])=19</f>
        <v>1</v>
      </c>
    </row>
    <row r="484" spans="1:23" x14ac:dyDescent="0.25">
      <c r="A484" t="s">
        <v>400</v>
      </c>
      <c r="B484">
        <v>2013</v>
      </c>
      <c r="C484" t="s">
        <v>369</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COUNT(LifeExpectancyData[[#This Row],[Life expectancy]:[Schooling]])=19</f>
        <v>1</v>
      </c>
    </row>
    <row r="485" spans="1:23" x14ac:dyDescent="0.25">
      <c r="A485" t="s">
        <v>400</v>
      </c>
      <c r="B485">
        <v>2012</v>
      </c>
      <c r="C485" t="s">
        <v>369</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COUNT(LifeExpectancyData[[#This Row],[Life expectancy]:[Schooling]])=19</f>
        <v>1</v>
      </c>
    </row>
    <row r="486" spans="1:23" x14ac:dyDescent="0.25">
      <c r="A486" t="s">
        <v>400</v>
      </c>
      <c r="B486">
        <v>2011</v>
      </c>
      <c r="C486" t="s">
        <v>369</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COUNT(LifeExpectancyData[[#This Row],[Life expectancy]:[Schooling]])=19</f>
        <v>1</v>
      </c>
    </row>
    <row r="487" spans="1:23" x14ac:dyDescent="0.25">
      <c r="A487" t="s">
        <v>400</v>
      </c>
      <c r="B487">
        <v>2010</v>
      </c>
      <c r="C487" t="s">
        <v>369</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COUNT(LifeExpectancyData[[#This Row],[Life expectancy]:[Schooling]])=19</f>
        <v>1</v>
      </c>
    </row>
    <row r="488" spans="1:23" x14ac:dyDescent="0.25">
      <c r="A488" t="s">
        <v>400</v>
      </c>
      <c r="B488">
        <v>2009</v>
      </c>
      <c r="C488" t="s">
        <v>369</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COUNT(LifeExpectancyData[[#This Row],[Life expectancy]:[Schooling]])=19</f>
        <v>1</v>
      </c>
    </row>
    <row r="489" spans="1:23" x14ac:dyDescent="0.25">
      <c r="A489" t="s">
        <v>400</v>
      </c>
      <c r="B489">
        <v>2008</v>
      </c>
      <c r="C489" t="s">
        <v>369</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COUNT(LifeExpectancyData[[#This Row],[Life expectancy]:[Schooling]])=19</f>
        <v>1</v>
      </c>
    </row>
    <row r="490" spans="1:23" x14ac:dyDescent="0.25">
      <c r="A490" t="s">
        <v>400</v>
      </c>
      <c r="B490">
        <v>2007</v>
      </c>
      <c r="C490" t="s">
        <v>369</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COUNT(LifeExpectancyData[[#This Row],[Life expectancy]:[Schooling]])=19</f>
        <v>1</v>
      </c>
    </row>
    <row r="491" spans="1:23" x14ac:dyDescent="0.25">
      <c r="A491" t="s">
        <v>400</v>
      </c>
      <c r="B491">
        <v>2006</v>
      </c>
      <c r="C491" t="s">
        <v>369</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COUNT(LifeExpectancyData[[#This Row],[Life expectancy]:[Schooling]])=19</f>
        <v>1</v>
      </c>
    </row>
    <row r="492" spans="1:23" x14ac:dyDescent="0.25">
      <c r="A492" t="s">
        <v>400</v>
      </c>
      <c r="B492">
        <v>2005</v>
      </c>
      <c r="C492" t="s">
        <v>369</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COUNT(LifeExpectancyData[[#This Row],[Life expectancy]:[Schooling]])=19</f>
        <v>1</v>
      </c>
    </row>
    <row r="493" spans="1:23" x14ac:dyDescent="0.25">
      <c r="A493" t="s">
        <v>400</v>
      </c>
      <c r="B493">
        <v>2004</v>
      </c>
      <c r="C493" t="s">
        <v>369</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COUNT(LifeExpectancyData[[#This Row],[Life expectancy]:[Schooling]])=19</f>
        <v>0</v>
      </c>
    </row>
    <row r="494" spans="1:23" x14ac:dyDescent="0.25">
      <c r="A494" t="s">
        <v>400</v>
      </c>
      <c r="B494">
        <v>2003</v>
      </c>
      <c r="C494" t="s">
        <v>369</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COUNT(LifeExpectancyData[[#This Row],[Life expectancy]:[Schooling]])=19</f>
        <v>0</v>
      </c>
    </row>
    <row r="495" spans="1:23" x14ac:dyDescent="0.25">
      <c r="A495" t="s">
        <v>400</v>
      </c>
      <c r="B495">
        <v>2002</v>
      </c>
      <c r="C495" t="s">
        <v>369</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COUNT(LifeExpectancyData[[#This Row],[Life expectancy]:[Schooling]])=19</f>
        <v>0</v>
      </c>
    </row>
    <row r="496" spans="1:23" x14ac:dyDescent="0.25">
      <c r="A496" t="s">
        <v>400</v>
      </c>
      <c r="B496">
        <v>2001</v>
      </c>
      <c r="C496" t="s">
        <v>369</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COUNT(LifeExpectancyData[[#This Row],[Life expectancy]:[Schooling]])=19</f>
        <v>0</v>
      </c>
    </row>
    <row r="497" spans="1:23" x14ac:dyDescent="0.25">
      <c r="A497" t="s">
        <v>400</v>
      </c>
      <c r="B497">
        <v>2000</v>
      </c>
      <c r="C497" t="s">
        <v>369</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COUNT(LifeExpectancyData[[#This Row],[Life expectancy]:[Schooling]])=19</f>
        <v>0</v>
      </c>
    </row>
    <row r="498" spans="1:23" x14ac:dyDescent="0.25">
      <c r="A498" t="s">
        <v>401</v>
      </c>
      <c r="B498">
        <v>2015</v>
      </c>
      <c r="C498" t="s">
        <v>369</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COUNT(LifeExpectancyData[[#This Row],[Life expectancy]:[Schooling]])=19</f>
        <v>0</v>
      </c>
    </row>
    <row r="499" spans="1:23" x14ac:dyDescent="0.25">
      <c r="A499" t="s">
        <v>401</v>
      </c>
      <c r="B499">
        <v>2014</v>
      </c>
      <c r="C499" t="s">
        <v>369</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COUNT(LifeExpectancyData[[#This Row],[Life expectancy]:[Schooling]])=19</f>
        <v>1</v>
      </c>
    </row>
    <row r="500" spans="1:23" x14ac:dyDescent="0.25">
      <c r="A500" t="s">
        <v>401</v>
      </c>
      <c r="B500">
        <v>2013</v>
      </c>
      <c r="C500" t="s">
        <v>369</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COUNT(LifeExpectancyData[[#This Row],[Life expectancy]:[Schooling]])=19</f>
        <v>1</v>
      </c>
    </row>
    <row r="501" spans="1:23" x14ac:dyDescent="0.25">
      <c r="A501" t="s">
        <v>401</v>
      </c>
      <c r="B501">
        <v>2012</v>
      </c>
      <c r="C501" t="s">
        <v>369</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COUNT(LifeExpectancyData[[#This Row],[Life expectancy]:[Schooling]])=19</f>
        <v>1</v>
      </c>
    </row>
    <row r="502" spans="1:23" x14ac:dyDescent="0.25">
      <c r="A502" t="s">
        <v>401</v>
      </c>
      <c r="B502">
        <v>2011</v>
      </c>
      <c r="C502" t="s">
        <v>369</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COUNT(LifeExpectancyData[[#This Row],[Life expectancy]:[Schooling]])=19</f>
        <v>1</v>
      </c>
    </row>
    <row r="503" spans="1:23" x14ac:dyDescent="0.25">
      <c r="A503" t="s">
        <v>401</v>
      </c>
      <c r="B503">
        <v>2010</v>
      </c>
      <c r="C503" t="s">
        <v>369</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COUNT(LifeExpectancyData[[#This Row],[Life expectancy]:[Schooling]])=19</f>
        <v>1</v>
      </c>
    </row>
    <row r="504" spans="1:23" x14ac:dyDescent="0.25">
      <c r="A504" t="s">
        <v>401</v>
      </c>
      <c r="B504">
        <v>2009</v>
      </c>
      <c r="C504" t="s">
        <v>369</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COUNT(LifeExpectancyData[[#This Row],[Life expectancy]:[Schooling]])=19</f>
        <v>1</v>
      </c>
    </row>
    <row r="505" spans="1:23" x14ac:dyDescent="0.25">
      <c r="A505" t="s">
        <v>401</v>
      </c>
      <c r="B505">
        <v>2008</v>
      </c>
      <c r="C505" t="s">
        <v>369</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COUNT(LifeExpectancyData[[#This Row],[Life expectancy]:[Schooling]])=19</f>
        <v>1</v>
      </c>
    </row>
    <row r="506" spans="1:23" x14ac:dyDescent="0.25">
      <c r="A506" t="s">
        <v>401</v>
      </c>
      <c r="B506">
        <v>2007</v>
      </c>
      <c r="C506" t="s">
        <v>369</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COUNT(LifeExpectancyData[[#This Row],[Life expectancy]:[Schooling]])=19</f>
        <v>1</v>
      </c>
    </row>
    <row r="507" spans="1:23" x14ac:dyDescent="0.25">
      <c r="A507" t="s">
        <v>401</v>
      </c>
      <c r="B507">
        <v>2006</v>
      </c>
      <c r="C507" t="s">
        <v>369</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COUNT(LifeExpectancyData[[#This Row],[Life expectancy]:[Schooling]])=19</f>
        <v>1</v>
      </c>
    </row>
    <row r="508" spans="1:23" x14ac:dyDescent="0.25">
      <c r="A508" t="s">
        <v>401</v>
      </c>
      <c r="B508">
        <v>2005</v>
      </c>
      <c r="C508" t="s">
        <v>369</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COUNT(LifeExpectancyData[[#This Row],[Life expectancy]:[Schooling]])=19</f>
        <v>1</v>
      </c>
    </row>
    <row r="509" spans="1:23" x14ac:dyDescent="0.25">
      <c r="A509" t="s">
        <v>401</v>
      </c>
      <c r="B509">
        <v>2004</v>
      </c>
      <c r="C509" t="s">
        <v>369</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COUNT(LifeExpectancyData[[#This Row],[Life expectancy]:[Schooling]])=19</f>
        <v>1</v>
      </c>
    </row>
    <row r="510" spans="1:23" x14ac:dyDescent="0.25">
      <c r="A510" t="s">
        <v>401</v>
      </c>
      <c r="B510">
        <v>2003</v>
      </c>
      <c r="C510" t="s">
        <v>369</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COUNT(LifeExpectancyData[[#This Row],[Life expectancy]:[Schooling]])=19</f>
        <v>1</v>
      </c>
    </row>
    <row r="511" spans="1:23" x14ac:dyDescent="0.25">
      <c r="A511" t="s">
        <v>401</v>
      </c>
      <c r="B511">
        <v>2002</v>
      </c>
      <c r="C511" t="s">
        <v>369</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COUNT(LifeExpectancyData[[#This Row],[Life expectancy]:[Schooling]])=19</f>
        <v>0</v>
      </c>
    </row>
    <row r="512" spans="1:23" x14ac:dyDescent="0.25">
      <c r="A512" t="s">
        <v>401</v>
      </c>
      <c r="B512">
        <v>2001</v>
      </c>
      <c r="C512" t="s">
        <v>369</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COUNT(LifeExpectancyData[[#This Row],[Life expectancy]:[Schooling]])=19</f>
        <v>0</v>
      </c>
    </row>
    <row r="513" spans="1:23" x14ac:dyDescent="0.25">
      <c r="A513" t="s">
        <v>401</v>
      </c>
      <c r="B513">
        <v>2000</v>
      </c>
      <c r="C513" t="s">
        <v>369</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COUNT(LifeExpectancyData[[#This Row],[Life expectancy]:[Schooling]])=19</f>
        <v>0</v>
      </c>
    </row>
    <row r="514" spans="1:23" x14ac:dyDescent="0.25">
      <c r="A514" t="s">
        <v>402</v>
      </c>
      <c r="B514">
        <v>2015</v>
      </c>
      <c r="C514" t="s">
        <v>369</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COUNT(LifeExpectancyData[[#This Row],[Life expectancy]:[Schooling]])=19</f>
        <v>0</v>
      </c>
    </row>
    <row r="515" spans="1:23" x14ac:dyDescent="0.25">
      <c r="A515" t="s">
        <v>402</v>
      </c>
      <c r="B515">
        <v>2014</v>
      </c>
      <c r="C515" t="s">
        <v>369</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COUNT(LifeExpectancyData[[#This Row],[Life expectancy]:[Schooling]])=19</f>
        <v>1</v>
      </c>
    </row>
    <row r="516" spans="1:23" x14ac:dyDescent="0.25">
      <c r="A516" t="s">
        <v>402</v>
      </c>
      <c r="B516">
        <v>2013</v>
      </c>
      <c r="C516" t="s">
        <v>369</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COUNT(LifeExpectancyData[[#This Row],[Life expectancy]:[Schooling]])=19</f>
        <v>1</v>
      </c>
    </row>
    <row r="517" spans="1:23" x14ac:dyDescent="0.25">
      <c r="A517" t="s">
        <v>402</v>
      </c>
      <c r="B517">
        <v>2012</v>
      </c>
      <c r="C517" t="s">
        <v>369</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COUNT(LifeExpectancyData[[#This Row],[Life expectancy]:[Schooling]])=19</f>
        <v>1</v>
      </c>
    </row>
    <row r="518" spans="1:23" x14ac:dyDescent="0.25">
      <c r="A518" t="s">
        <v>402</v>
      </c>
      <c r="B518">
        <v>2011</v>
      </c>
      <c r="C518" t="s">
        <v>369</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COUNT(LifeExpectancyData[[#This Row],[Life expectancy]:[Schooling]])=19</f>
        <v>1</v>
      </c>
    </row>
    <row r="519" spans="1:23" x14ac:dyDescent="0.25">
      <c r="A519" t="s">
        <v>402</v>
      </c>
      <c r="B519">
        <v>2010</v>
      </c>
      <c r="C519" t="s">
        <v>369</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COUNT(LifeExpectancyData[[#This Row],[Life expectancy]:[Schooling]])=19</f>
        <v>1</v>
      </c>
    </row>
    <row r="520" spans="1:23" x14ac:dyDescent="0.25">
      <c r="A520" t="s">
        <v>402</v>
      </c>
      <c r="B520">
        <v>2009</v>
      </c>
      <c r="C520" t="s">
        <v>369</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COUNT(LifeExpectancyData[[#This Row],[Life expectancy]:[Schooling]])=19</f>
        <v>1</v>
      </c>
    </row>
    <row r="521" spans="1:23" x14ac:dyDescent="0.25">
      <c r="A521" t="s">
        <v>402</v>
      </c>
      <c r="B521">
        <v>2008</v>
      </c>
      <c r="C521" t="s">
        <v>369</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COUNT(LifeExpectancyData[[#This Row],[Life expectancy]:[Schooling]])=19</f>
        <v>0</v>
      </c>
    </row>
    <row r="522" spans="1:23" x14ac:dyDescent="0.25">
      <c r="A522" t="s">
        <v>402</v>
      </c>
      <c r="B522">
        <v>2007</v>
      </c>
      <c r="C522" t="s">
        <v>369</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COUNT(LifeExpectancyData[[#This Row],[Life expectancy]:[Schooling]])=19</f>
        <v>0</v>
      </c>
    </row>
    <row r="523" spans="1:23" x14ac:dyDescent="0.25">
      <c r="A523" t="s">
        <v>402</v>
      </c>
      <c r="B523">
        <v>2006</v>
      </c>
      <c r="C523" t="s">
        <v>369</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COUNT(LifeExpectancyData[[#This Row],[Life expectancy]:[Schooling]])=19</f>
        <v>0</v>
      </c>
    </row>
    <row r="524" spans="1:23" x14ac:dyDescent="0.25">
      <c r="A524" t="s">
        <v>402</v>
      </c>
      <c r="B524">
        <v>2005</v>
      </c>
      <c r="C524" t="s">
        <v>369</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COUNT(LifeExpectancyData[[#This Row],[Life expectancy]:[Schooling]])=19</f>
        <v>0</v>
      </c>
    </row>
    <row r="525" spans="1:23" x14ac:dyDescent="0.25">
      <c r="A525" t="s">
        <v>402</v>
      </c>
      <c r="B525">
        <v>2004</v>
      </c>
      <c r="C525" t="s">
        <v>369</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COUNT(LifeExpectancyData[[#This Row],[Life expectancy]:[Schooling]])=19</f>
        <v>0</v>
      </c>
    </row>
    <row r="526" spans="1:23" x14ac:dyDescent="0.25">
      <c r="A526" t="s">
        <v>402</v>
      </c>
      <c r="B526">
        <v>2003</v>
      </c>
      <c r="C526" t="s">
        <v>369</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COUNT(LifeExpectancyData[[#This Row],[Life expectancy]:[Schooling]])=19</f>
        <v>0</v>
      </c>
    </row>
    <row r="527" spans="1:23" x14ac:dyDescent="0.25">
      <c r="A527" t="s">
        <v>402</v>
      </c>
      <c r="B527">
        <v>2002</v>
      </c>
      <c r="C527" t="s">
        <v>369</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COUNT(LifeExpectancyData[[#This Row],[Life expectancy]:[Schooling]])=19</f>
        <v>0</v>
      </c>
    </row>
    <row r="528" spans="1:23" x14ac:dyDescent="0.25">
      <c r="A528" t="s">
        <v>402</v>
      </c>
      <c r="B528">
        <v>2001</v>
      </c>
      <c r="C528" t="s">
        <v>369</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COUNT(LifeExpectancyData[[#This Row],[Life expectancy]:[Schooling]])=19</f>
        <v>0</v>
      </c>
    </row>
    <row r="529" spans="1:23" x14ac:dyDescent="0.25">
      <c r="A529" t="s">
        <v>402</v>
      </c>
      <c r="B529">
        <v>2000</v>
      </c>
      <c r="C529" t="s">
        <v>369</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COUNT(LifeExpectancyData[[#This Row],[Life expectancy]:[Schooling]])=19</f>
        <v>0</v>
      </c>
    </row>
    <row r="530" spans="1:23" x14ac:dyDescent="0.25">
      <c r="A530" t="s">
        <v>403</v>
      </c>
      <c r="B530">
        <v>2015</v>
      </c>
      <c r="C530" t="s">
        <v>369</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COUNT(LifeExpectancyData[[#This Row],[Life expectancy]:[Schooling]])=19</f>
        <v>0</v>
      </c>
    </row>
    <row r="531" spans="1:23" x14ac:dyDescent="0.25">
      <c r="A531" t="s">
        <v>403</v>
      </c>
      <c r="B531">
        <v>2014</v>
      </c>
      <c r="C531" t="s">
        <v>369</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COUNT(LifeExpectancyData[[#This Row],[Life expectancy]:[Schooling]])=19</f>
        <v>1</v>
      </c>
    </row>
    <row r="532" spans="1:23" x14ac:dyDescent="0.25">
      <c r="A532" t="s">
        <v>403</v>
      </c>
      <c r="B532">
        <v>2013</v>
      </c>
      <c r="C532" t="s">
        <v>369</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COUNT(LifeExpectancyData[[#This Row],[Life expectancy]:[Schooling]])=19</f>
        <v>1</v>
      </c>
    </row>
    <row r="533" spans="1:23" x14ac:dyDescent="0.25">
      <c r="A533" t="s">
        <v>403</v>
      </c>
      <c r="B533">
        <v>2012</v>
      </c>
      <c r="C533" t="s">
        <v>369</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COUNT(LifeExpectancyData[[#This Row],[Life expectancy]:[Schooling]])=19</f>
        <v>1</v>
      </c>
    </row>
    <row r="534" spans="1:23" x14ac:dyDescent="0.25">
      <c r="A534" t="s">
        <v>403</v>
      </c>
      <c r="B534">
        <v>2011</v>
      </c>
      <c r="C534" t="s">
        <v>369</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COUNT(LifeExpectancyData[[#This Row],[Life expectancy]:[Schooling]])=19</f>
        <v>1</v>
      </c>
    </row>
    <row r="535" spans="1:23" x14ac:dyDescent="0.25">
      <c r="A535" t="s">
        <v>403</v>
      </c>
      <c r="B535">
        <v>2010</v>
      </c>
      <c r="C535" t="s">
        <v>369</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COUNT(LifeExpectancyData[[#This Row],[Life expectancy]:[Schooling]])=19</f>
        <v>1</v>
      </c>
    </row>
    <row r="536" spans="1:23" x14ac:dyDescent="0.25">
      <c r="A536" t="s">
        <v>403</v>
      </c>
      <c r="B536">
        <v>2009</v>
      </c>
      <c r="C536" t="s">
        <v>369</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COUNT(LifeExpectancyData[[#This Row],[Life expectancy]:[Schooling]])=19</f>
        <v>1</v>
      </c>
    </row>
    <row r="537" spans="1:23" x14ac:dyDescent="0.25">
      <c r="A537" t="s">
        <v>403</v>
      </c>
      <c r="B537">
        <v>2008</v>
      </c>
      <c r="C537" t="s">
        <v>369</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COUNT(LifeExpectancyData[[#This Row],[Life expectancy]:[Schooling]])=19</f>
        <v>1</v>
      </c>
    </row>
    <row r="538" spans="1:23" x14ac:dyDescent="0.25">
      <c r="A538" t="s">
        <v>403</v>
      </c>
      <c r="B538">
        <v>2007</v>
      </c>
      <c r="C538" t="s">
        <v>369</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COUNT(LifeExpectancyData[[#This Row],[Life expectancy]:[Schooling]])=19</f>
        <v>0</v>
      </c>
    </row>
    <row r="539" spans="1:23" x14ac:dyDescent="0.25">
      <c r="A539" t="s">
        <v>403</v>
      </c>
      <c r="B539">
        <v>2006</v>
      </c>
      <c r="C539" t="s">
        <v>369</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COUNT(LifeExpectancyData[[#This Row],[Life expectancy]:[Schooling]])=19</f>
        <v>0</v>
      </c>
    </row>
    <row r="540" spans="1:23" x14ac:dyDescent="0.25">
      <c r="A540" t="s">
        <v>403</v>
      </c>
      <c r="B540">
        <v>2005</v>
      </c>
      <c r="C540" t="s">
        <v>369</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COUNT(LifeExpectancyData[[#This Row],[Life expectancy]:[Schooling]])=19</f>
        <v>0</v>
      </c>
    </row>
    <row r="541" spans="1:23" x14ac:dyDescent="0.25">
      <c r="A541" t="s">
        <v>403</v>
      </c>
      <c r="B541">
        <v>2004</v>
      </c>
      <c r="C541" t="s">
        <v>369</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COUNT(LifeExpectancyData[[#This Row],[Life expectancy]:[Schooling]])=19</f>
        <v>0</v>
      </c>
    </row>
    <row r="542" spans="1:23" x14ac:dyDescent="0.25">
      <c r="A542" t="s">
        <v>403</v>
      </c>
      <c r="B542">
        <v>2003</v>
      </c>
      <c r="C542" t="s">
        <v>369</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COUNT(LifeExpectancyData[[#This Row],[Life expectancy]:[Schooling]])=19</f>
        <v>0</v>
      </c>
    </row>
    <row r="543" spans="1:23" x14ac:dyDescent="0.25">
      <c r="A543" t="s">
        <v>403</v>
      </c>
      <c r="B543">
        <v>2002</v>
      </c>
      <c r="C543" t="s">
        <v>369</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COUNT(LifeExpectancyData[[#This Row],[Life expectancy]:[Schooling]])=19</f>
        <v>0</v>
      </c>
    </row>
    <row r="544" spans="1:23" x14ac:dyDescent="0.25">
      <c r="A544" t="s">
        <v>403</v>
      </c>
      <c r="B544">
        <v>2001</v>
      </c>
      <c r="C544" t="s">
        <v>369</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COUNT(LifeExpectancyData[[#This Row],[Life expectancy]:[Schooling]])=19</f>
        <v>0</v>
      </c>
    </row>
    <row r="545" spans="1:23" x14ac:dyDescent="0.25">
      <c r="A545" t="s">
        <v>403</v>
      </c>
      <c r="B545">
        <v>2000</v>
      </c>
      <c r="C545" t="s">
        <v>369</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COUNT(LifeExpectancyData[[#This Row],[Life expectancy]:[Schooling]])=19</f>
        <v>0</v>
      </c>
    </row>
    <row r="546" spans="1:23" x14ac:dyDescent="0.25">
      <c r="A546" t="s">
        <v>404</v>
      </c>
      <c r="B546">
        <v>2015</v>
      </c>
      <c r="C546" t="s">
        <v>369</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COUNT(LifeExpectancyData[[#This Row],[Life expectancy]:[Schooling]])=19</f>
        <v>0</v>
      </c>
    </row>
    <row r="547" spans="1:23" x14ac:dyDescent="0.25">
      <c r="A547" t="s">
        <v>404</v>
      </c>
      <c r="B547">
        <v>2014</v>
      </c>
      <c r="C547" t="s">
        <v>369</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COUNT(LifeExpectancyData[[#This Row],[Life expectancy]:[Schooling]])=19</f>
        <v>1</v>
      </c>
    </row>
    <row r="548" spans="1:23" x14ac:dyDescent="0.25">
      <c r="A548" t="s">
        <v>404</v>
      </c>
      <c r="B548">
        <v>2013</v>
      </c>
      <c r="C548" t="s">
        <v>369</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COUNT(LifeExpectancyData[[#This Row],[Life expectancy]:[Schooling]])=19</f>
        <v>1</v>
      </c>
    </row>
    <row r="549" spans="1:23" x14ac:dyDescent="0.25">
      <c r="A549" t="s">
        <v>404</v>
      </c>
      <c r="B549">
        <v>2012</v>
      </c>
      <c r="C549" t="s">
        <v>369</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COUNT(LifeExpectancyData[[#This Row],[Life expectancy]:[Schooling]])=19</f>
        <v>1</v>
      </c>
    </row>
    <row r="550" spans="1:23" x14ac:dyDescent="0.25">
      <c r="A550" t="s">
        <v>404</v>
      </c>
      <c r="B550">
        <v>2011</v>
      </c>
      <c r="C550" t="s">
        <v>369</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COUNT(LifeExpectancyData[[#This Row],[Life expectancy]:[Schooling]])=19</f>
        <v>1</v>
      </c>
    </row>
    <row r="551" spans="1:23" x14ac:dyDescent="0.25">
      <c r="A551" t="s">
        <v>404</v>
      </c>
      <c r="B551">
        <v>2010</v>
      </c>
      <c r="C551" t="s">
        <v>369</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COUNT(LifeExpectancyData[[#This Row],[Life expectancy]:[Schooling]])=19</f>
        <v>1</v>
      </c>
    </row>
    <row r="552" spans="1:23" x14ac:dyDescent="0.25">
      <c r="A552" t="s">
        <v>404</v>
      </c>
      <c r="B552">
        <v>2009</v>
      </c>
      <c r="C552" t="s">
        <v>369</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COUNT(LifeExpectancyData[[#This Row],[Life expectancy]:[Schooling]])=19</f>
        <v>1</v>
      </c>
    </row>
    <row r="553" spans="1:23" x14ac:dyDescent="0.25">
      <c r="A553" t="s">
        <v>404</v>
      </c>
      <c r="B553">
        <v>2008</v>
      </c>
      <c r="C553" t="s">
        <v>369</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COUNT(LifeExpectancyData[[#This Row],[Life expectancy]:[Schooling]])=19</f>
        <v>1</v>
      </c>
    </row>
    <row r="554" spans="1:23" x14ac:dyDescent="0.25">
      <c r="A554" t="s">
        <v>404</v>
      </c>
      <c r="B554">
        <v>2007</v>
      </c>
      <c r="C554" t="s">
        <v>369</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COUNT(LifeExpectancyData[[#This Row],[Life expectancy]:[Schooling]])=19</f>
        <v>1</v>
      </c>
    </row>
    <row r="555" spans="1:23" x14ac:dyDescent="0.25">
      <c r="A555" t="s">
        <v>404</v>
      </c>
      <c r="B555">
        <v>2006</v>
      </c>
      <c r="C555" t="s">
        <v>369</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COUNT(LifeExpectancyData[[#This Row],[Life expectancy]:[Schooling]])=19</f>
        <v>1</v>
      </c>
    </row>
    <row r="556" spans="1:23" x14ac:dyDescent="0.25">
      <c r="A556" t="s">
        <v>404</v>
      </c>
      <c r="B556">
        <v>2005</v>
      </c>
      <c r="C556" t="s">
        <v>369</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COUNT(LifeExpectancyData[[#This Row],[Life expectancy]:[Schooling]])=19</f>
        <v>0</v>
      </c>
    </row>
    <row r="557" spans="1:23" x14ac:dyDescent="0.25">
      <c r="A557" t="s">
        <v>404</v>
      </c>
      <c r="B557">
        <v>2004</v>
      </c>
      <c r="C557" t="s">
        <v>369</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COUNT(LifeExpectancyData[[#This Row],[Life expectancy]:[Schooling]])=19</f>
        <v>0</v>
      </c>
    </row>
    <row r="558" spans="1:23" x14ac:dyDescent="0.25">
      <c r="A558" t="s">
        <v>404</v>
      </c>
      <c r="B558">
        <v>2003</v>
      </c>
      <c r="C558" t="s">
        <v>369</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COUNT(LifeExpectancyData[[#This Row],[Life expectancy]:[Schooling]])=19</f>
        <v>0</v>
      </c>
    </row>
    <row r="559" spans="1:23" x14ac:dyDescent="0.25">
      <c r="A559" t="s">
        <v>404</v>
      </c>
      <c r="B559">
        <v>2002</v>
      </c>
      <c r="C559" t="s">
        <v>369</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COUNT(LifeExpectancyData[[#This Row],[Life expectancy]:[Schooling]])=19</f>
        <v>0</v>
      </c>
    </row>
    <row r="560" spans="1:23" x14ac:dyDescent="0.25">
      <c r="A560" t="s">
        <v>404</v>
      </c>
      <c r="B560">
        <v>2001</v>
      </c>
      <c r="C560" t="s">
        <v>369</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COUNT(LifeExpectancyData[[#This Row],[Life expectancy]:[Schooling]])=19</f>
        <v>0</v>
      </c>
    </row>
    <row r="561" spans="1:23" x14ac:dyDescent="0.25">
      <c r="A561" t="s">
        <v>404</v>
      </c>
      <c r="B561">
        <v>2000</v>
      </c>
      <c r="C561" t="s">
        <v>369</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COUNT(LifeExpectancyData[[#This Row],[Life expectancy]:[Schooling]])=19</f>
        <v>0</v>
      </c>
    </row>
    <row r="562" spans="1:23" x14ac:dyDescent="0.25">
      <c r="A562" t="s">
        <v>405</v>
      </c>
      <c r="B562">
        <v>2015</v>
      </c>
      <c r="C562" t="s">
        <v>369</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COUNT(LifeExpectancyData[[#This Row],[Life expectancy]:[Schooling]])=19</f>
        <v>0</v>
      </c>
    </row>
    <row r="563" spans="1:23" x14ac:dyDescent="0.25">
      <c r="A563" t="s">
        <v>405</v>
      </c>
      <c r="B563">
        <v>2014</v>
      </c>
      <c r="C563" t="s">
        <v>369</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COUNT(LifeExpectancyData[[#This Row],[Life expectancy]:[Schooling]])=19</f>
        <v>1</v>
      </c>
    </row>
    <row r="564" spans="1:23" x14ac:dyDescent="0.25">
      <c r="A564" t="s">
        <v>405</v>
      </c>
      <c r="B564">
        <v>2013</v>
      </c>
      <c r="C564" t="s">
        <v>369</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COUNT(LifeExpectancyData[[#This Row],[Life expectancy]:[Schooling]])=19</f>
        <v>1</v>
      </c>
    </row>
    <row r="565" spans="1:23" x14ac:dyDescent="0.25">
      <c r="A565" t="s">
        <v>405</v>
      </c>
      <c r="B565">
        <v>2012</v>
      </c>
      <c r="C565" t="s">
        <v>369</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COUNT(LifeExpectancyData[[#This Row],[Life expectancy]:[Schooling]])=19</f>
        <v>1</v>
      </c>
    </row>
    <row r="566" spans="1:23" x14ac:dyDescent="0.25">
      <c r="A566" t="s">
        <v>405</v>
      </c>
      <c r="B566">
        <v>2011</v>
      </c>
      <c r="C566" t="s">
        <v>369</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COUNT(LifeExpectancyData[[#This Row],[Life expectancy]:[Schooling]])=19</f>
        <v>1</v>
      </c>
    </row>
    <row r="567" spans="1:23" x14ac:dyDescent="0.25">
      <c r="A567" t="s">
        <v>405</v>
      </c>
      <c r="B567">
        <v>2010</v>
      </c>
      <c r="C567" t="s">
        <v>369</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COUNT(LifeExpectancyData[[#This Row],[Life expectancy]:[Schooling]])=19</f>
        <v>1</v>
      </c>
    </row>
    <row r="568" spans="1:23" x14ac:dyDescent="0.25">
      <c r="A568" t="s">
        <v>405</v>
      </c>
      <c r="B568">
        <v>2009</v>
      </c>
      <c r="C568" t="s">
        <v>369</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COUNT(LifeExpectancyData[[#This Row],[Life expectancy]:[Schooling]])=19</f>
        <v>1</v>
      </c>
    </row>
    <row r="569" spans="1:23" x14ac:dyDescent="0.25">
      <c r="A569" t="s">
        <v>405</v>
      </c>
      <c r="B569">
        <v>2008</v>
      </c>
      <c r="C569" t="s">
        <v>369</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COUNT(LifeExpectancyData[[#This Row],[Life expectancy]:[Schooling]])=19</f>
        <v>1</v>
      </c>
    </row>
    <row r="570" spans="1:23" x14ac:dyDescent="0.25">
      <c r="A570" t="s">
        <v>405</v>
      </c>
      <c r="B570">
        <v>2007</v>
      </c>
      <c r="C570" t="s">
        <v>369</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COUNT(LifeExpectancyData[[#This Row],[Life expectancy]:[Schooling]])=19</f>
        <v>1</v>
      </c>
    </row>
    <row r="571" spans="1:23" x14ac:dyDescent="0.25">
      <c r="A571" t="s">
        <v>405</v>
      </c>
      <c r="B571">
        <v>2006</v>
      </c>
      <c r="C571" t="s">
        <v>369</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COUNT(LifeExpectancyData[[#This Row],[Life expectancy]:[Schooling]])=19</f>
        <v>1</v>
      </c>
    </row>
    <row r="572" spans="1:23" x14ac:dyDescent="0.25">
      <c r="A572" t="s">
        <v>405</v>
      </c>
      <c r="B572">
        <v>2005</v>
      </c>
      <c r="C572" t="s">
        <v>369</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COUNT(LifeExpectancyData[[#This Row],[Life expectancy]:[Schooling]])=19</f>
        <v>1</v>
      </c>
    </row>
    <row r="573" spans="1:23" x14ac:dyDescent="0.25">
      <c r="A573" t="s">
        <v>405</v>
      </c>
      <c r="B573">
        <v>2004</v>
      </c>
      <c r="C573" t="s">
        <v>369</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COUNT(LifeExpectancyData[[#This Row],[Life expectancy]:[Schooling]])=19</f>
        <v>1</v>
      </c>
    </row>
    <row r="574" spans="1:23" x14ac:dyDescent="0.25">
      <c r="A574" t="s">
        <v>405</v>
      </c>
      <c r="B574">
        <v>2003</v>
      </c>
      <c r="C574" t="s">
        <v>369</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COUNT(LifeExpectancyData[[#This Row],[Life expectancy]:[Schooling]])=19</f>
        <v>1</v>
      </c>
    </row>
    <row r="575" spans="1:23" x14ac:dyDescent="0.25">
      <c r="A575" t="s">
        <v>405</v>
      </c>
      <c r="B575">
        <v>2002</v>
      </c>
      <c r="C575" t="s">
        <v>369</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COUNT(LifeExpectancyData[[#This Row],[Life expectancy]:[Schooling]])=19</f>
        <v>1</v>
      </c>
    </row>
    <row r="576" spans="1:23" x14ac:dyDescent="0.25">
      <c r="A576" t="s">
        <v>405</v>
      </c>
      <c r="B576">
        <v>2001</v>
      </c>
      <c r="C576" t="s">
        <v>369</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COUNT(LifeExpectancyData[[#This Row],[Life expectancy]:[Schooling]])=19</f>
        <v>1</v>
      </c>
    </row>
    <row r="577" spans="1:23" x14ac:dyDescent="0.25">
      <c r="A577" t="s">
        <v>405</v>
      </c>
      <c r="B577">
        <v>2000</v>
      </c>
      <c r="C577" t="s">
        <v>369</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COUNT(LifeExpectancyData[[#This Row],[Life expectancy]:[Schooling]])=19</f>
        <v>1</v>
      </c>
    </row>
    <row r="578" spans="1:23" x14ac:dyDescent="0.25">
      <c r="A578" t="s">
        <v>406</v>
      </c>
      <c r="B578">
        <v>2015</v>
      </c>
      <c r="C578" t="s">
        <v>369</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COUNT(LifeExpectancyData[[#This Row],[Life expectancy]:[Schooling]])=19</f>
        <v>0</v>
      </c>
    </row>
    <row r="579" spans="1:23" x14ac:dyDescent="0.25">
      <c r="A579" t="s">
        <v>406</v>
      </c>
      <c r="B579">
        <v>2014</v>
      </c>
      <c r="C579" t="s">
        <v>369</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COUNT(LifeExpectancyData[[#This Row],[Life expectancy]:[Schooling]])=19</f>
        <v>1</v>
      </c>
    </row>
    <row r="580" spans="1:23" x14ac:dyDescent="0.25">
      <c r="A580" t="s">
        <v>406</v>
      </c>
      <c r="B580">
        <v>2013</v>
      </c>
      <c r="C580" t="s">
        <v>369</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COUNT(LifeExpectancyData[[#This Row],[Life expectancy]:[Schooling]])=19</f>
        <v>1</v>
      </c>
    </row>
    <row r="581" spans="1:23" x14ac:dyDescent="0.25">
      <c r="A581" t="s">
        <v>406</v>
      </c>
      <c r="B581">
        <v>2012</v>
      </c>
      <c r="C581" t="s">
        <v>369</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COUNT(LifeExpectancyData[[#This Row],[Life expectancy]:[Schooling]])=19</f>
        <v>1</v>
      </c>
    </row>
    <row r="582" spans="1:23" x14ac:dyDescent="0.25">
      <c r="A582" t="s">
        <v>406</v>
      </c>
      <c r="B582">
        <v>2011</v>
      </c>
      <c r="C582" t="s">
        <v>369</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COUNT(LifeExpectancyData[[#This Row],[Life expectancy]:[Schooling]])=19</f>
        <v>1</v>
      </c>
    </row>
    <row r="583" spans="1:23" x14ac:dyDescent="0.25">
      <c r="A583" t="s">
        <v>406</v>
      </c>
      <c r="B583">
        <v>2010</v>
      </c>
      <c r="C583" t="s">
        <v>369</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COUNT(LifeExpectancyData[[#This Row],[Life expectancy]:[Schooling]])=19</f>
        <v>1</v>
      </c>
    </row>
    <row r="584" spans="1:23" x14ac:dyDescent="0.25">
      <c r="A584" t="s">
        <v>406</v>
      </c>
      <c r="B584">
        <v>2009</v>
      </c>
      <c r="C584" t="s">
        <v>369</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COUNT(LifeExpectancyData[[#This Row],[Life expectancy]:[Schooling]])=19</f>
        <v>1</v>
      </c>
    </row>
    <row r="585" spans="1:23" x14ac:dyDescent="0.25">
      <c r="A585" t="s">
        <v>406</v>
      </c>
      <c r="B585">
        <v>2008</v>
      </c>
      <c r="C585" t="s">
        <v>369</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COUNT(LifeExpectancyData[[#This Row],[Life expectancy]:[Schooling]])=19</f>
        <v>1</v>
      </c>
    </row>
    <row r="586" spans="1:23" x14ac:dyDescent="0.25">
      <c r="A586" t="s">
        <v>406</v>
      </c>
      <c r="B586">
        <v>2007</v>
      </c>
      <c r="C586" t="s">
        <v>369</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COUNT(LifeExpectancyData[[#This Row],[Life expectancy]:[Schooling]])=19</f>
        <v>1</v>
      </c>
    </row>
    <row r="587" spans="1:23" x14ac:dyDescent="0.25">
      <c r="A587" t="s">
        <v>406</v>
      </c>
      <c r="B587">
        <v>2006</v>
      </c>
      <c r="C587" t="s">
        <v>369</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COUNT(LifeExpectancyData[[#This Row],[Life expectancy]:[Schooling]])=19</f>
        <v>1</v>
      </c>
    </row>
    <row r="588" spans="1:23" x14ac:dyDescent="0.25">
      <c r="A588" t="s">
        <v>406</v>
      </c>
      <c r="B588">
        <v>2005</v>
      </c>
      <c r="C588" t="s">
        <v>369</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COUNT(LifeExpectancyData[[#This Row],[Life expectancy]:[Schooling]])=19</f>
        <v>1</v>
      </c>
    </row>
    <row r="589" spans="1:23" x14ac:dyDescent="0.25">
      <c r="A589" t="s">
        <v>406</v>
      </c>
      <c r="B589">
        <v>2004</v>
      </c>
      <c r="C589" t="s">
        <v>369</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COUNT(LifeExpectancyData[[#This Row],[Life expectancy]:[Schooling]])=19</f>
        <v>1</v>
      </c>
    </row>
    <row r="590" spans="1:23" x14ac:dyDescent="0.25">
      <c r="A590" t="s">
        <v>406</v>
      </c>
      <c r="B590">
        <v>2003</v>
      </c>
      <c r="C590" t="s">
        <v>369</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COUNT(LifeExpectancyData[[#This Row],[Life expectancy]:[Schooling]])=19</f>
        <v>1</v>
      </c>
    </row>
    <row r="591" spans="1:23" x14ac:dyDescent="0.25">
      <c r="A591" t="s">
        <v>406</v>
      </c>
      <c r="B591">
        <v>2002</v>
      </c>
      <c r="C591" t="s">
        <v>369</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COUNT(LifeExpectancyData[[#This Row],[Life expectancy]:[Schooling]])=19</f>
        <v>1</v>
      </c>
    </row>
    <row r="592" spans="1:23" x14ac:dyDescent="0.25">
      <c r="A592" t="s">
        <v>406</v>
      </c>
      <c r="B592">
        <v>2001</v>
      </c>
      <c r="C592" t="s">
        <v>369</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COUNT(LifeExpectancyData[[#This Row],[Life expectancy]:[Schooling]])=19</f>
        <v>1</v>
      </c>
    </row>
    <row r="593" spans="1:23" x14ac:dyDescent="0.25">
      <c r="A593" t="s">
        <v>406</v>
      </c>
      <c r="B593">
        <v>2000</v>
      </c>
      <c r="C593" t="s">
        <v>369</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COUNT(LifeExpectancyData[[#This Row],[Life expectancy]:[Schooling]])=19</f>
        <v>1</v>
      </c>
    </row>
    <row r="594" spans="1:23" x14ac:dyDescent="0.25">
      <c r="A594" t="s">
        <v>407</v>
      </c>
      <c r="B594">
        <v>2015</v>
      </c>
      <c r="C594" t="s">
        <v>369</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COUNT(LifeExpectancyData[[#This Row],[Life expectancy]:[Schooling]])=19</f>
        <v>0</v>
      </c>
    </row>
    <row r="595" spans="1:23" x14ac:dyDescent="0.25">
      <c r="A595" t="s">
        <v>407</v>
      </c>
      <c r="B595">
        <v>2014</v>
      </c>
      <c r="C595" t="s">
        <v>369</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COUNT(LifeExpectancyData[[#This Row],[Life expectancy]:[Schooling]])=19</f>
        <v>1</v>
      </c>
    </row>
    <row r="596" spans="1:23" x14ac:dyDescent="0.25">
      <c r="A596" t="s">
        <v>407</v>
      </c>
      <c r="B596">
        <v>2013</v>
      </c>
      <c r="C596" t="s">
        <v>369</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COUNT(LifeExpectancyData[[#This Row],[Life expectancy]:[Schooling]])=19</f>
        <v>1</v>
      </c>
    </row>
    <row r="597" spans="1:23" x14ac:dyDescent="0.25">
      <c r="A597" t="s">
        <v>407</v>
      </c>
      <c r="B597">
        <v>2012</v>
      </c>
      <c r="C597" t="s">
        <v>369</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COUNT(LifeExpectancyData[[#This Row],[Life expectancy]:[Schooling]])=19</f>
        <v>1</v>
      </c>
    </row>
    <row r="598" spans="1:23" x14ac:dyDescent="0.25">
      <c r="A598" t="s">
        <v>407</v>
      </c>
      <c r="B598">
        <v>2011</v>
      </c>
      <c r="C598" t="s">
        <v>369</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COUNT(LifeExpectancyData[[#This Row],[Life expectancy]:[Schooling]])=19</f>
        <v>1</v>
      </c>
    </row>
    <row r="599" spans="1:23" x14ac:dyDescent="0.25">
      <c r="A599" t="s">
        <v>407</v>
      </c>
      <c r="B599">
        <v>2010</v>
      </c>
      <c r="C599" t="s">
        <v>369</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COUNT(LifeExpectancyData[[#This Row],[Life expectancy]:[Schooling]])=19</f>
        <v>1</v>
      </c>
    </row>
    <row r="600" spans="1:23" x14ac:dyDescent="0.25">
      <c r="A600" t="s">
        <v>407</v>
      </c>
      <c r="B600">
        <v>2009</v>
      </c>
      <c r="C600" t="s">
        <v>369</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COUNT(LifeExpectancyData[[#This Row],[Life expectancy]:[Schooling]])=19</f>
        <v>1</v>
      </c>
    </row>
    <row r="601" spans="1:23" x14ac:dyDescent="0.25">
      <c r="A601" t="s">
        <v>407</v>
      </c>
      <c r="B601">
        <v>2008</v>
      </c>
      <c r="C601" t="s">
        <v>369</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COUNT(LifeExpectancyData[[#This Row],[Life expectancy]:[Schooling]])=19</f>
        <v>1</v>
      </c>
    </row>
    <row r="602" spans="1:23" x14ac:dyDescent="0.25">
      <c r="A602" t="s">
        <v>407</v>
      </c>
      <c r="B602">
        <v>2007</v>
      </c>
      <c r="C602" t="s">
        <v>369</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COUNT(LifeExpectancyData[[#This Row],[Life expectancy]:[Schooling]])=19</f>
        <v>1</v>
      </c>
    </row>
    <row r="603" spans="1:23" x14ac:dyDescent="0.25">
      <c r="A603" t="s">
        <v>407</v>
      </c>
      <c r="B603">
        <v>2006</v>
      </c>
      <c r="C603" t="s">
        <v>369</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COUNT(LifeExpectancyData[[#This Row],[Life expectancy]:[Schooling]])=19</f>
        <v>1</v>
      </c>
    </row>
    <row r="604" spans="1:23" x14ac:dyDescent="0.25">
      <c r="A604" t="s">
        <v>407</v>
      </c>
      <c r="B604">
        <v>2005</v>
      </c>
      <c r="C604" t="s">
        <v>369</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COUNT(LifeExpectancyData[[#This Row],[Life expectancy]:[Schooling]])=19</f>
        <v>1</v>
      </c>
    </row>
    <row r="605" spans="1:23" x14ac:dyDescent="0.25">
      <c r="A605" t="s">
        <v>407</v>
      </c>
      <c r="B605">
        <v>2004</v>
      </c>
      <c r="C605" t="s">
        <v>369</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COUNT(LifeExpectancyData[[#This Row],[Life expectancy]:[Schooling]])=19</f>
        <v>1</v>
      </c>
    </row>
    <row r="606" spans="1:23" x14ac:dyDescent="0.25">
      <c r="A606" t="s">
        <v>407</v>
      </c>
      <c r="B606">
        <v>2003</v>
      </c>
      <c r="C606" t="s">
        <v>369</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COUNT(LifeExpectancyData[[#This Row],[Life expectancy]:[Schooling]])=19</f>
        <v>1</v>
      </c>
    </row>
    <row r="607" spans="1:23" x14ac:dyDescent="0.25">
      <c r="A607" t="s">
        <v>407</v>
      </c>
      <c r="B607">
        <v>2002</v>
      </c>
      <c r="C607" t="s">
        <v>369</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COUNT(LifeExpectancyData[[#This Row],[Life expectancy]:[Schooling]])=19</f>
        <v>0</v>
      </c>
    </row>
    <row r="608" spans="1:23" x14ac:dyDescent="0.25">
      <c r="A608" t="s">
        <v>407</v>
      </c>
      <c r="B608">
        <v>2001</v>
      </c>
      <c r="C608" t="s">
        <v>369</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COUNT(LifeExpectancyData[[#This Row],[Life expectancy]:[Schooling]])=19</f>
        <v>0</v>
      </c>
    </row>
    <row r="609" spans="1:23" x14ac:dyDescent="0.25">
      <c r="A609" t="s">
        <v>407</v>
      </c>
      <c r="B609">
        <v>2000</v>
      </c>
      <c r="C609" t="s">
        <v>369</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COUNT(LifeExpectancyData[[#This Row],[Life expectancy]:[Schooling]])=19</f>
        <v>0</v>
      </c>
    </row>
    <row r="610" spans="1:23" x14ac:dyDescent="0.25">
      <c r="A610" t="s">
        <v>408</v>
      </c>
      <c r="B610">
        <v>2015</v>
      </c>
      <c r="C610" t="s">
        <v>369</v>
      </c>
      <c r="D610">
        <v>64.7</v>
      </c>
      <c r="E610">
        <v>267</v>
      </c>
      <c r="F610">
        <v>7</v>
      </c>
      <c r="H610">
        <v>0</v>
      </c>
      <c r="I610">
        <v>8</v>
      </c>
      <c r="J610">
        <v>1359</v>
      </c>
      <c r="K610">
        <v>27.4</v>
      </c>
      <c r="L610">
        <v>10</v>
      </c>
      <c r="M610">
        <v>8</v>
      </c>
      <c r="O610">
        <v>8</v>
      </c>
      <c r="P610">
        <v>2.8</v>
      </c>
      <c r="S610">
        <v>7.5</v>
      </c>
      <c r="T610">
        <v>7.1</v>
      </c>
      <c r="U610">
        <v>0.59</v>
      </c>
      <c r="V610">
        <v>11.1</v>
      </c>
      <c r="W610" t="b">
        <f>COUNT(LifeExpectancyData[[#This Row],[Life expectancy]:[Schooling]])=19</f>
        <v>0</v>
      </c>
    </row>
    <row r="611" spans="1:23" x14ac:dyDescent="0.25">
      <c r="A611" t="s">
        <v>408</v>
      </c>
      <c r="B611">
        <v>2014</v>
      </c>
      <c r="C611" t="s">
        <v>369</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COUNT(LifeExpectancyData[[#This Row],[Life expectancy]:[Schooling]])=19</f>
        <v>0</v>
      </c>
    </row>
    <row r="612" spans="1:23" x14ac:dyDescent="0.25">
      <c r="A612" t="s">
        <v>408</v>
      </c>
      <c r="B612">
        <v>2013</v>
      </c>
      <c r="C612" t="s">
        <v>369</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COUNT(LifeExpectancyData[[#This Row],[Life expectancy]:[Schooling]])=19</f>
        <v>0</v>
      </c>
    </row>
    <row r="613" spans="1:23" x14ac:dyDescent="0.25">
      <c r="A613" t="s">
        <v>408</v>
      </c>
      <c r="B613">
        <v>2012</v>
      </c>
      <c r="C613" t="s">
        <v>369</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COUNT(LifeExpectancyData[[#This Row],[Life expectancy]:[Schooling]])=19</f>
        <v>0</v>
      </c>
    </row>
    <row r="614" spans="1:23" x14ac:dyDescent="0.25">
      <c r="A614" t="s">
        <v>408</v>
      </c>
      <c r="B614">
        <v>2011</v>
      </c>
      <c r="C614" t="s">
        <v>369</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COUNT(LifeExpectancyData[[#This Row],[Life expectancy]:[Schooling]])=19</f>
        <v>0</v>
      </c>
    </row>
    <row r="615" spans="1:23" x14ac:dyDescent="0.25">
      <c r="A615" t="s">
        <v>408</v>
      </c>
      <c r="B615">
        <v>2010</v>
      </c>
      <c r="C615" t="s">
        <v>369</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COUNT(LifeExpectancyData[[#This Row],[Life expectancy]:[Schooling]])=19</f>
        <v>0</v>
      </c>
    </row>
    <row r="616" spans="1:23" x14ac:dyDescent="0.25">
      <c r="A616" t="s">
        <v>408</v>
      </c>
      <c r="B616">
        <v>2009</v>
      </c>
      <c r="C616" t="s">
        <v>369</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COUNT(LifeExpectancyData[[#This Row],[Life expectancy]:[Schooling]])=19</f>
        <v>0</v>
      </c>
    </row>
    <row r="617" spans="1:23" x14ac:dyDescent="0.25">
      <c r="A617" t="s">
        <v>408</v>
      </c>
      <c r="B617">
        <v>2008</v>
      </c>
      <c r="C617" t="s">
        <v>369</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COUNT(LifeExpectancyData[[#This Row],[Life expectancy]:[Schooling]])=19</f>
        <v>0</v>
      </c>
    </row>
    <row r="618" spans="1:23" x14ac:dyDescent="0.25">
      <c r="A618" t="s">
        <v>408</v>
      </c>
      <c r="B618">
        <v>2007</v>
      </c>
      <c r="C618" t="s">
        <v>369</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COUNT(LifeExpectancyData[[#This Row],[Life expectancy]:[Schooling]])=19</f>
        <v>0</v>
      </c>
    </row>
    <row r="619" spans="1:23" x14ac:dyDescent="0.25">
      <c r="A619" t="s">
        <v>408</v>
      </c>
      <c r="B619">
        <v>2006</v>
      </c>
      <c r="C619" t="s">
        <v>369</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COUNT(LifeExpectancyData[[#This Row],[Life expectancy]:[Schooling]])=19</f>
        <v>0</v>
      </c>
    </row>
    <row r="620" spans="1:23" x14ac:dyDescent="0.25">
      <c r="A620" t="s">
        <v>408</v>
      </c>
      <c r="B620">
        <v>2005</v>
      </c>
      <c r="C620" t="s">
        <v>369</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COUNT(LifeExpectancyData[[#This Row],[Life expectancy]:[Schooling]])=19</f>
        <v>0</v>
      </c>
    </row>
    <row r="621" spans="1:23" x14ac:dyDescent="0.25">
      <c r="A621" t="s">
        <v>408</v>
      </c>
      <c r="B621">
        <v>2004</v>
      </c>
      <c r="C621" t="s">
        <v>369</v>
      </c>
      <c r="D621">
        <v>54.1</v>
      </c>
      <c r="E621">
        <v>48</v>
      </c>
      <c r="F621">
        <v>9</v>
      </c>
      <c r="G621">
        <v>2.58</v>
      </c>
      <c r="H621">
        <v>0</v>
      </c>
      <c r="J621">
        <v>3524</v>
      </c>
      <c r="K621">
        <v>21.2</v>
      </c>
      <c r="L621">
        <v>13</v>
      </c>
      <c r="M621">
        <v>67</v>
      </c>
      <c r="N621">
        <v>2.56</v>
      </c>
      <c r="O621">
        <v>67</v>
      </c>
      <c r="P621">
        <v>6.3</v>
      </c>
      <c r="S621">
        <v>9</v>
      </c>
      <c r="T621">
        <v>8.6</v>
      </c>
      <c r="U621">
        <v>0.497</v>
      </c>
      <c r="V621">
        <v>9.1999999999999993</v>
      </c>
      <c r="W621" t="b">
        <f>COUNT(LifeExpectancyData[[#This Row],[Life expectancy]:[Schooling]])=19</f>
        <v>0</v>
      </c>
    </row>
    <row r="622" spans="1:23" x14ac:dyDescent="0.25">
      <c r="A622" t="s">
        <v>408</v>
      </c>
      <c r="B622">
        <v>2003</v>
      </c>
      <c r="C622" t="s">
        <v>369</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COUNT(LifeExpectancyData[[#This Row],[Life expectancy]:[Schooling]])=19</f>
        <v>0</v>
      </c>
    </row>
    <row r="623" spans="1:23" x14ac:dyDescent="0.25">
      <c r="A623" t="s">
        <v>408</v>
      </c>
      <c r="B623">
        <v>2002</v>
      </c>
      <c r="C623" t="s">
        <v>369</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COUNT(LifeExpectancyData[[#This Row],[Life expectancy]:[Schooling]])=19</f>
        <v>0</v>
      </c>
    </row>
    <row r="624" spans="1:23" x14ac:dyDescent="0.25">
      <c r="A624" t="s">
        <v>408</v>
      </c>
      <c r="B624">
        <v>2001</v>
      </c>
      <c r="C624" t="s">
        <v>369</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COUNT(LifeExpectancyData[[#This Row],[Life expectancy]:[Schooling]])=19</f>
        <v>0</v>
      </c>
    </row>
    <row r="625" spans="1:23" x14ac:dyDescent="0.25">
      <c r="A625" t="s">
        <v>408</v>
      </c>
      <c r="B625">
        <v>2000</v>
      </c>
      <c r="C625" t="s">
        <v>369</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COUNT(LifeExpectancyData[[#This Row],[Life expectancy]:[Schooling]])=19</f>
        <v>0</v>
      </c>
    </row>
    <row r="626" spans="1:23" x14ac:dyDescent="0.25">
      <c r="A626" t="s">
        <v>409</v>
      </c>
      <c r="B626">
        <v>2013</v>
      </c>
      <c r="C626" t="s">
        <v>369</v>
      </c>
      <c r="F626">
        <v>0</v>
      </c>
      <c r="G626">
        <v>0.01</v>
      </c>
      <c r="H626">
        <v>0</v>
      </c>
      <c r="I626">
        <v>98</v>
      </c>
      <c r="J626">
        <v>0</v>
      </c>
      <c r="K626">
        <v>82.8</v>
      </c>
      <c r="L626">
        <v>0</v>
      </c>
      <c r="M626">
        <v>98</v>
      </c>
      <c r="N626">
        <v>3.58</v>
      </c>
      <c r="O626">
        <v>98</v>
      </c>
      <c r="P626">
        <v>0.1</v>
      </c>
      <c r="S626">
        <v>0.1</v>
      </c>
      <c r="T626">
        <v>0.1</v>
      </c>
      <c r="W626" t="b">
        <f>COUNT(LifeExpectancyData[[#This Row],[Life expectancy]:[Schooling]])=19</f>
        <v>0</v>
      </c>
    </row>
    <row r="627" spans="1:23" x14ac:dyDescent="0.25">
      <c r="A627" t="s">
        <v>410</v>
      </c>
      <c r="B627">
        <v>2015</v>
      </c>
      <c r="C627" t="s">
        <v>369</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COUNT(LifeExpectancyData[[#This Row],[Life expectancy]:[Schooling]])=19</f>
        <v>0</v>
      </c>
    </row>
    <row r="628" spans="1:23" x14ac:dyDescent="0.25">
      <c r="A628" t="s">
        <v>410</v>
      </c>
      <c r="B628">
        <v>2014</v>
      </c>
      <c r="C628" t="s">
        <v>369</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COUNT(LifeExpectancyData[[#This Row],[Life expectancy]:[Schooling]])=19</f>
        <v>1</v>
      </c>
    </row>
    <row r="629" spans="1:23" x14ac:dyDescent="0.25">
      <c r="A629" t="s">
        <v>410</v>
      </c>
      <c r="B629">
        <v>2013</v>
      </c>
      <c r="C629" t="s">
        <v>369</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COUNT(LifeExpectancyData[[#This Row],[Life expectancy]:[Schooling]])=19</f>
        <v>1</v>
      </c>
    </row>
    <row r="630" spans="1:23" x14ac:dyDescent="0.25">
      <c r="A630" t="s">
        <v>410</v>
      </c>
      <c r="B630">
        <v>2012</v>
      </c>
      <c r="C630" t="s">
        <v>369</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COUNT(LifeExpectancyData[[#This Row],[Life expectancy]:[Schooling]])=19</f>
        <v>1</v>
      </c>
    </row>
    <row r="631" spans="1:23" x14ac:dyDescent="0.25">
      <c r="A631" t="s">
        <v>410</v>
      </c>
      <c r="B631">
        <v>2011</v>
      </c>
      <c r="C631" t="s">
        <v>369</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COUNT(LifeExpectancyData[[#This Row],[Life expectancy]:[Schooling]])=19</f>
        <v>1</v>
      </c>
    </row>
    <row r="632" spans="1:23" x14ac:dyDescent="0.25">
      <c r="A632" t="s">
        <v>410</v>
      </c>
      <c r="B632">
        <v>2010</v>
      </c>
      <c r="C632" t="s">
        <v>369</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COUNT(LifeExpectancyData[[#This Row],[Life expectancy]:[Schooling]])=19</f>
        <v>1</v>
      </c>
    </row>
    <row r="633" spans="1:23" x14ac:dyDescent="0.25">
      <c r="A633" t="s">
        <v>410</v>
      </c>
      <c r="B633">
        <v>2009</v>
      </c>
      <c r="C633" t="s">
        <v>369</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COUNT(LifeExpectancyData[[#This Row],[Life expectancy]:[Schooling]])=19</f>
        <v>1</v>
      </c>
    </row>
    <row r="634" spans="1:23" x14ac:dyDescent="0.25">
      <c r="A634" t="s">
        <v>410</v>
      </c>
      <c r="B634">
        <v>2008</v>
      </c>
      <c r="C634" t="s">
        <v>369</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COUNT(LifeExpectancyData[[#This Row],[Life expectancy]:[Schooling]])=19</f>
        <v>1</v>
      </c>
    </row>
    <row r="635" spans="1:23" x14ac:dyDescent="0.25">
      <c r="A635" t="s">
        <v>410</v>
      </c>
      <c r="B635">
        <v>2007</v>
      </c>
      <c r="C635" t="s">
        <v>369</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COUNT(LifeExpectancyData[[#This Row],[Life expectancy]:[Schooling]])=19</f>
        <v>1</v>
      </c>
    </row>
    <row r="636" spans="1:23" x14ac:dyDescent="0.25">
      <c r="A636" t="s">
        <v>410</v>
      </c>
      <c r="B636">
        <v>2006</v>
      </c>
      <c r="C636" t="s">
        <v>369</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COUNT(LifeExpectancyData[[#This Row],[Life expectancy]:[Schooling]])=19</f>
        <v>1</v>
      </c>
    </row>
    <row r="637" spans="1:23" x14ac:dyDescent="0.25">
      <c r="A637" t="s">
        <v>410</v>
      </c>
      <c r="B637">
        <v>2005</v>
      </c>
      <c r="C637" t="s">
        <v>369</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COUNT(LifeExpectancyData[[#This Row],[Life expectancy]:[Schooling]])=19</f>
        <v>1</v>
      </c>
    </row>
    <row r="638" spans="1:23" x14ac:dyDescent="0.25">
      <c r="A638" t="s">
        <v>410</v>
      </c>
      <c r="B638">
        <v>2004</v>
      </c>
      <c r="C638" t="s">
        <v>369</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COUNT(LifeExpectancyData[[#This Row],[Life expectancy]:[Schooling]])=19</f>
        <v>1</v>
      </c>
    </row>
    <row r="639" spans="1:23" x14ac:dyDescent="0.25">
      <c r="A639" t="s">
        <v>410</v>
      </c>
      <c r="B639">
        <v>2003</v>
      </c>
      <c r="C639" t="s">
        <v>369</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COUNT(LifeExpectancyData[[#This Row],[Life expectancy]:[Schooling]])=19</f>
        <v>1</v>
      </c>
    </row>
    <row r="640" spans="1:23" x14ac:dyDescent="0.25">
      <c r="A640" t="s">
        <v>410</v>
      </c>
      <c r="B640">
        <v>2002</v>
      </c>
      <c r="C640" t="s">
        <v>369</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COUNT(LifeExpectancyData[[#This Row],[Life expectancy]:[Schooling]])=19</f>
        <v>1</v>
      </c>
    </row>
    <row r="641" spans="1:23" x14ac:dyDescent="0.25">
      <c r="A641" t="s">
        <v>410</v>
      </c>
      <c r="B641">
        <v>2001</v>
      </c>
      <c r="C641" t="s">
        <v>369</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COUNT(LifeExpectancyData[[#This Row],[Life expectancy]:[Schooling]])=19</f>
        <v>1</v>
      </c>
    </row>
    <row r="642" spans="1:23" x14ac:dyDescent="0.25">
      <c r="A642" t="s">
        <v>410</v>
      </c>
      <c r="B642">
        <v>2000</v>
      </c>
      <c r="C642" t="s">
        <v>369</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COUNT(LifeExpectancyData[[#This Row],[Life expectancy]:[Schooling]])=19</f>
        <v>1</v>
      </c>
    </row>
    <row r="643" spans="1:23" x14ac:dyDescent="0.25">
      <c r="A643" t="s">
        <v>411</v>
      </c>
      <c r="B643">
        <v>2015</v>
      </c>
      <c r="C643" t="s">
        <v>377</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COUNT(LifeExpectancyData[[#This Row],[Life expectancy]:[Schooling]])=19</f>
        <v>0</v>
      </c>
    </row>
    <row r="644" spans="1:23" x14ac:dyDescent="0.25">
      <c r="A644" t="s">
        <v>411</v>
      </c>
      <c r="B644">
        <v>2014</v>
      </c>
      <c r="C644" t="s">
        <v>377</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COUNT(LifeExpectancyData[[#This Row],[Life expectancy]:[Schooling]])=19</f>
        <v>1</v>
      </c>
    </row>
    <row r="645" spans="1:23" x14ac:dyDescent="0.25">
      <c r="A645" t="s">
        <v>411</v>
      </c>
      <c r="B645">
        <v>2013</v>
      </c>
      <c r="C645" t="s">
        <v>377</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COUNT(LifeExpectancyData[[#This Row],[Life expectancy]:[Schooling]])=19</f>
        <v>1</v>
      </c>
    </row>
    <row r="646" spans="1:23" x14ac:dyDescent="0.25">
      <c r="A646" t="s">
        <v>411</v>
      </c>
      <c r="B646">
        <v>2012</v>
      </c>
      <c r="C646" t="s">
        <v>377</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COUNT(LifeExpectancyData[[#This Row],[Life expectancy]:[Schooling]])=19</f>
        <v>1</v>
      </c>
    </row>
    <row r="647" spans="1:23" x14ac:dyDescent="0.25">
      <c r="A647" t="s">
        <v>411</v>
      </c>
      <c r="B647">
        <v>2011</v>
      </c>
      <c r="C647" t="s">
        <v>377</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COUNT(LifeExpectancyData[[#This Row],[Life expectancy]:[Schooling]])=19</f>
        <v>1</v>
      </c>
    </row>
    <row r="648" spans="1:23" x14ac:dyDescent="0.25">
      <c r="A648" t="s">
        <v>411</v>
      </c>
      <c r="B648">
        <v>2010</v>
      </c>
      <c r="C648" t="s">
        <v>377</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COUNT(LifeExpectancyData[[#This Row],[Life expectancy]:[Schooling]])=19</f>
        <v>1</v>
      </c>
    </row>
    <row r="649" spans="1:23" x14ac:dyDescent="0.25">
      <c r="A649" t="s">
        <v>411</v>
      </c>
      <c r="B649">
        <v>2009</v>
      </c>
      <c r="C649" t="s">
        <v>377</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COUNT(LifeExpectancyData[[#This Row],[Life expectancy]:[Schooling]])=19</f>
        <v>1</v>
      </c>
    </row>
    <row r="650" spans="1:23" x14ac:dyDescent="0.25">
      <c r="A650" t="s">
        <v>411</v>
      </c>
      <c r="B650">
        <v>2008</v>
      </c>
      <c r="C650" t="s">
        <v>377</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COUNT(LifeExpectancyData[[#This Row],[Life expectancy]:[Schooling]])=19</f>
        <v>1</v>
      </c>
    </row>
    <row r="651" spans="1:23" x14ac:dyDescent="0.25">
      <c r="A651" t="s">
        <v>411</v>
      </c>
      <c r="B651">
        <v>2007</v>
      </c>
      <c r="C651" t="s">
        <v>377</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COUNT(LifeExpectancyData[[#This Row],[Life expectancy]:[Schooling]])=19</f>
        <v>1</v>
      </c>
    </row>
    <row r="652" spans="1:23" x14ac:dyDescent="0.25">
      <c r="A652" t="s">
        <v>411</v>
      </c>
      <c r="B652">
        <v>2006</v>
      </c>
      <c r="C652" t="s">
        <v>377</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COUNT(LifeExpectancyData[[#This Row],[Life expectancy]:[Schooling]])=19</f>
        <v>0</v>
      </c>
    </row>
    <row r="653" spans="1:23" x14ac:dyDescent="0.25">
      <c r="A653" t="s">
        <v>411</v>
      </c>
      <c r="B653">
        <v>2005</v>
      </c>
      <c r="C653" t="s">
        <v>377</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COUNT(LifeExpectancyData[[#This Row],[Life expectancy]:[Schooling]])=19</f>
        <v>0</v>
      </c>
    </row>
    <row r="654" spans="1:23" x14ac:dyDescent="0.25">
      <c r="A654" t="s">
        <v>411</v>
      </c>
      <c r="B654">
        <v>2004</v>
      </c>
      <c r="C654" t="s">
        <v>377</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COUNT(LifeExpectancyData[[#This Row],[Life expectancy]:[Schooling]])=19</f>
        <v>0</v>
      </c>
    </row>
    <row r="655" spans="1:23" x14ac:dyDescent="0.25">
      <c r="A655" t="s">
        <v>411</v>
      </c>
      <c r="B655">
        <v>2003</v>
      </c>
      <c r="C655" t="s">
        <v>377</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COUNT(LifeExpectancyData[[#This Row],[Life expectancy]:[Schooling]])=19</f>
        <v>0</v>
      </c>
    </row>
    <row r="656" spans="1:23" x14ac:dyDescent="0.25">
      <c r="A656" t="s">
        <v>411</v>
      </c>
      <c r="B656">
        <v>2002</v>
      </c>
      <c r="C656" t="s">
        <v>377</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COUNT(LifeExpectancyData[[#This Row],[Life expectancy]:[Schooling]])=19</f>
        <v>0</v>
      </c>
    </row>
    <row r="657" spans="1:23" x14ac:dyDescent="0.25">
      <c r="A657" t="s">
        <v>411</v>
      </c>
      <c r="B657">
        <v>2001</v>
      </c>
      <c r="C657" t="s">
        <v>377</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COUNT(LifeExpectancyData[[#This Row],[Life expectancy]:[Schooling]])=19</f>
        <v>0</v>
      </c>
    </row>
    <row r="658" spans="1:23" x14ac:dyDescent="0.25">
      <c r="A658" t="s">
        <v>411</v>
      </c>
      <c r="B658">
        <v>2000</v>
      </c>
      <c r="C658" t="s">
        <v>377</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COUNT(LifeExpectancyData[[#This Row],[Life expectancy]:[Schooling]])=19</f>
        <v>0</v>
      </c>
    </row>
    <row r="659" spans="1:23" x14ac:dyDescent="0.25">
      <c r="A659" t="s">
        <v>412</v>
      </c>
      <c r="B659">
        <v>2015</v>
      </c>
      <c r="C659" t="s">
        <v>369</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COUNT(LifeExpectancyData[[#This Row],[Life expectancy]:[Schooling]])=19</f>
        <v>0</v>
      </c>
    </row>
    <row r="660" spans="1:23" x14ac:dyDescent="0.25">
      <c r="A660" t="s">
        <v>412</v>
      </c>
      <c r="B660">
        <v>2014</v>
      </c>
      <c r="C660" t="s">
        <v>369</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COUNT(LifeExpectancyData[[#This Row],[Life expectancy]:[Schooling]])=19</f>
        <v>0</v>
      </c>
    </row>
    <row r="661" spans="1:23" x14ac:dyDescent="0.25">
      <c r="A661" t="s">
        <v>412</v>
      </c>
      <c r="B661">
        <v>2013</v>
      </c>
      <c r="C661" t="s">
        <v>369</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COUNT(LifeExpectancyData[[#This Row],[Life expectancy]:[Schooling]])=19</f>
        <v>0</v>
      </c>
    </row>
    <row r="662" spans="1:23" x14ac:dyDescent="0.25">
      <c r="A662" t="s">
        <v>412</v>
      </c>
      <c r="B662">
        <v>2012</v>
      </c>
      <c r="C662" t="s">
        <v>369</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COUNT(LifeExpectancyData[[#This Row],[Life expectancy]:[Schooling]])=19</f>
        <v>0</v>
      </c>
    </row>
    <row r="663" spans="1:23" x14ac:dyDescent="0.25">
      <c r="A663" t="s">
        <v>412</v>
      </c>
      <c r="B663">
        <v>2011</v>
      </c>
      <c r="C663" t="s">
        <v>369</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COUNT(LifeExpectancyData[[#This Row],[Life expectancy]:[Schooling]])=19</f>
        <v>0</v>
      </c>
    </row>
    <row r="664" spans="1:23" x14ac:dyDescent="0.25">
      <c r="A664" t="s">
        <v>412</v>
      </c>
      <c r="B664">
        <v>2010</v>
      </c>
      <c r="C664" t="s">
        <v>369</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COUNT(LifeExpectancyData[[#This Row],[Life expectancy]:[Schooling]])=19</f>
        <v>0</v>
      </c>
    </row>
    <row r="665" spans="1:23" x14ac:dyDescent="0.25">
      <c r="A665" t="s">
        <v>412</v>
      </c>
      <c r="B665">
        <v>2009</v>
      </c>
      <c r="C665" t="s">
        <v>369</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COUNT(LifeExpectancyData[[#This Row],[Life expectancy]:[Schooling]])=19</f>
        <v>0</v>
      </c>
    </row>
    <row r="666" spans="1:23" x14ac:dyDescent="0.25">
      <c r="A666" t="s">
        <v>412</v>
      </c>
      <c r="B666">
        <v>2008</v>
      </c>
      <c r="C666" t="s">
        <v>369</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COUNT(LifeExpectancyData[[#This Row],[Life expectancy]:[Schooling]])=19</f>
        <v>0</v>
      </c>
    </row>
    <row r="667" spans="1:23" x14ac:dyDescent="0.25">
      <c r="A667" t="s">
        <v>412</v>
      </c>
      <c r="B667">
        <v>2007</v>
      </c>
      <c r="C667" t="s">
        <v>369</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COUNT(LifeExpectancyData[[#This Row],[Life expectancy]:[Schooling]])=19</f>
        <v>0</v>
      </c>
    </row>
    <row r="668" spans="1:23" x14ac:dyDescent="0.25">
      <c r="A668" t="s">
        <v>412</v>
      </c>
      <c r="B668">
        <v>2006</v>
      </c>
      <c r="C668" t="s">
        <v>369</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COUNT(LifeExpectancyData[[#This Row],[Life expectancy]:[Schooling]])=19</f>
        <v>0</v>
      </c>
    </row>
    <row r="669" spans="1:23" x14ac:dyDescent="0.25">
      <c r="A669" t="s">
        <v>412</v>
      </c>
      <c r="B669">
        <v>2005</v>
      </c>
      <c r="C669" t="s">
        <v>369</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COUNT(LifeExpectancyData[[#This Row],[Life expectancy]:[Schooling]])=19</f>
        <v>0</v>
      </c>
    </row>
    <row r="670" spans="1:23" x14ac:dyDescent="0.25">
      <c r="A670" t="s">
        <v>412</v>
      </c>
      <c r="B670">
        <v>2004</v>
      </c>
      <c r="C670" t="s">
        <v>369</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COUNT(LifeExpectancyData[[#This Row],[Life expectancy]:[Schooling]])=19</f>
        <v>0</v>
      </c>
    </row>
    <row r="671" spans="1:23" x14ac:dyDescent="0.25">
      <c r="A671" t="s">
        <v>412</v>
      </c>
      <c r="B671">
        <v>2003</v>
      </c>
      <c r="C671" t="s">
        <v>369</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COUNT(LifeExpectancyData[[#This Row],[Life expectancy]:[Schooling]])=19</f>
        <v>0</v>
      </c>
    </row>
    <row r="672" spans="1:23" x14ac:dyDescent="0.25">
      <c r="A672" t="s">
        <v>412</v>
      </c>
      <c r="B672">
        <v>2002</v>
      </c>
      <c r="C672" t="s">
        <v>369</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COUNT(LifeExpectancyData[[#This Row],[Life expectancy]:[Schooling]])=19</f>
        <v>0</v>
      </c>
    </row>
    <row r="673" spans="1:23" x14ac:dyDescent="0.25">
      <c r="A673" t="s">
        <v>412</v>
      </c>
      <c r="B673">
        <v>2001</v>
      </c>
      <c r="C673" t="s">
        <v>369</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COUNT(LifeExpectancyData[[#This Row],[Life expectancy]:[Schooling]])=19</f>
        <v>0</v>
      </c>
    </row>
    <row r="674" spans="1:23" x14ac:dyDescent="0.25">
      <c r="A674" t="s">
        <v>412</v>
      </c>
      <c r="B674">
        <v>2000</v>
      </c>
      <c r="C674" t="s">
        <v>369</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COUNT(LifeExpectancyData[[#This Row],[Life expectancy]:[Schooling]])=19</f>
        <v>0</v>
      </c>
    </row>
    <row r="675" spans="1:23" x14ac:dyDescent="0.25">
      <c r="A675" t="s">
        <v>413</v>
      </c>
      <c r="B675">
        <v>2015</v>
      </c>
      <c r="C675" t="s">
        <v>377</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COUNT(LifeExpectancyData[[#This Row],[Life expectancy]:[Schooling]])=19</f>
        <v>0</v>
      </c>
    </row>
    <row r="676" spans="1:23" x14ac:dyDescent="0.25">
      <c r="A676" t="s">
        <v>413</v>
      </c>
      <c r="B676">
        <v>2014</v>
      </c>
      <c r="C676" t="s">
        <v>377</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COUNT(LifeExpectancyData[[#This Row],[Life expectancy]:[Schooling]])=19</f>
        <v>1</v>
      </c>
    </row>
    <row r="677" spans="1:23" x14ac:dyDescent="0.25">
      <c r="A677" t="s">
        <v>413</v>
      </c>
      <c r="B677">
        <v>2013</v>
      </c>
      <c r="C677" t="s">
        <v>377</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COUNT(LifeExpectancyData[[#This Row],[Life expectancy]:[Schooling]])=19</f>
        <v>1</v>
      </c>
    </row>
    <row r="678" spans="1:23" x14ac:dyDescent="0.25">
      <c r="A678" t="s">
        <v>413</v>
      </c>
      <c r="B678">
        <v>2012</v>
      </c>
      <c r="C678" t="s">
        <v>377</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COUNT(LifeExpectancyData[[#This Row],[Life expectancy]:[Schooling]])=19</f>
        <v>1</v>
      </c>
    </row>
    <row r="679" spans="1:23" x14ac:dyDescent="0.25">
      <c r="A679" t="s">
        <v>413</v>
      </c>
      <c r="B679">
        <v>2011</v>
      </c>
      <c r="C679" t="s">
        <v>377</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COUNT(LifeExpectancyData[[#This Row],[Life expectancy]:[Schooling]])=19</f>
        <v>1</v>
      </c>
    </row>
    <row r="680" spans="1:23" x14ac:dyDescent="0.25">
      <c r="A680" t="s">
        <v>413</v>
      </c>
      <c r="B680">
        <v>2010</v>
      </c>
      <c r="C680" t="s">
        <v>377</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COUNT(LifeExpectancyData[[#This Row],[Life expectancy]:[Schooling]])=19</f>
        <v>1</v>
      </c>
    </row>
    <row r="681" spans="1:23" x14ac:dyDescent="0.25">
      <c r="A681" t="s">
        <v>413</v>
      </c>
      <c r="B681">
        <v>2009</v>
      </c>
      <c r="C681" t="s">
        <v>377</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COUNT(LifeExpectancyData[[#This Row],[Life expectancy]:[Schooling]])=19</f>
        <v>1</v>
      </c>
    </row>
    <row r="682" spans="1:23" x14ac:dyDescent="0.25">
      <c r="A682" t="s">
        <v>413</v>
      </c>
      <c r="B682">
        <v>2008</v>
      </c>
      <c r="C682" t="s">
        <v>377</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COUNT(LifeExpectancyData[[#This Row],[Life expectancy]:[Schooling]])=19</f>
        <v>1</v>
      </c>
    </row>
    <row r="683" spans="1:23" x14ac:dyDescent="0.25">
      <c r="A683" t="s">
        <v>413</v>
      </c>
      <c r="B683">
        <v>2007</v>
      </c>
      <c r="C683" t="s">
        <v>377</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COUNT(LifeExpectancyData[[#This Row],[Life expectancy]:[Schooling]])=19</f>
        <v>1</v>
      </c>
    </row>
    <row r="684" spans="1:23" x14ac:dyDescent="0.25">
      <c r="A684" t="s">
        <v>413</v>
      </c>
      <c r="B684">
        <v>2006</v>
      </c>
      <c r="C684" t="s">
        <v>377</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COUNT(LifeExpectancyData[[#This Row],[Life expectancy]:[Schooling]])=19</f>
        <v>1</v>
      </c>
    </row>
    <row r="685" spans="1:23" x14ac:dyDescent="0.25">
      <c r="A685" t="s">
        <v>413</v>
      </c>
      <c r="B685">
        <v>2005</v>
      </c>
      <c r="C685" t="s">
        <v>377</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COUNT(LifeExpectancyData[[#This Row],[Life expectancy]:[Schooling]])=19</f>
        <v>1</v>
      </c>
    </row>
    <row r="686" spans="1:23" x14ac:dyDescent="0.25">
      <c r="A686" t="s">
        <v>413</v>
      </c>
      <c r="B686">
        <v>2004</v>
      </c>
      <c r="C686" t="s">
        <v>377</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COUNT(LifeExpectancyData[[#This Row],[Life expectancy]:[Schooling]])=19</f>
        <v>1</v>
      </c>
    </row>
    <row r="687" spans="1:23" x14ac:dyDescent="0.25">
      <c r="A687" t="s">
        <v>413</v>
      </c>
      <c r="B687">
        <v>2003</v>
      </c>
      <c r="C687" t="s">
        <v>377</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COUNT(LifeExpectancyData[[#This Row],[Life expectancy]:[Schooling]])=19</f>
        <v>1</v>
      </c>
    </row>
    <row r="688" spans="1:23" x14ac:dyDescent="0.25">
      <c r="A688" t="s">
        <v>413</v>
      </c>
      <c r="B688">
        <v>2002</v>
      </c>
      <c r="C688" t="s">
        <v>377</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COUNT(LifeExpectancyData[[#This Row],[Life expectancy]:[Schooling]])=19</f>
        <v>1</v>
      </c>
    </row>
    <row r="689" spans="1:23" x14ac:dyDescent="0.25">
      <c r="A689" t="s">
        <v>413</v>
      </c>
      <c r="B689">
        <v>2001</v>
      </c>
      <c r="C689" t="s">
        <v>377</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COUNT(LifeExpectancyData[[#This Row],[Life expectancy]:[Schooling]])=19</f>
        <v>1</v>
      </c>
    </row>
    <row r="690" spans="1:23" x14ac:dyDescent="0.25">
      <c r="A690" t="s">
        <v>413</v>
      </c>
      <c r="B690">
        <v>2000</v>
      </c>
      <c r="C690" t="s">
        <v>377</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COUNT(LifeExpectancyData[[#This Row],[Life expectancy]:[Schooling]])=19</f>
        <v>1</v>
      </c>
    </row>
    <row r="691" spans="1:23" x14ac:dyDescent="0.25">
      <c r="A691" t="s">
        <v>414</v>
      </c>
      <c r="B691">
        <v>2015</v>
      </c>
      <c r="C691" t="s">
        <v>377</v>
      </c>
      <c r="D691">
        <v>78.8</v>
      </c>
      <c r="E691">
        <v>86</v>
      </c>
      <c r="F691">
        <v>0</v>
      </c>
      <c r="H691">
        <v>0</v>
      </c>
      <c r="I691">
        <v>97</v>
      </c>
      <c r="J691">
        <v>9</v>
      </c>
      <c r="K691">
        <v>66.099999999999994</v>
      </c>
      <c r="L691">
        <v>0</v>
      </c>
      <c r="M691">
        <v>97</v>
      </c>
      <c r="O691">
        <v>97</v>
      </c>
      <c r="P691">
        <v>0.1</v>
      </c>
      <c r="S691">
        <v>1.8</v>
      </c>
      <c r="T691">
        <v>1.8</v>
      </c>
      <c r="W691" t="b">
        <f>COUNT(LifeExpectancyData[[#This Row],[Life expectancy]:[Schooling]])=19</f>
        <v>0</v>
      </c>
    </row>
    <row r="692" spans="1:23" x14ac:dyDescent="0.25">
      <c r="A692" t="s">
        <v>414</v>
      </c>
      <c r="B692">
        <v>2014</v>
      </c>
      <c r="C692" t="s">
        <v>377</v>
      </c>
      <c r="D692">
        <v>78.599999999999994</v>
      </c>
      <c r="E692">
        <v>88</v>
      </c>
      <c r="F692">
        <v>0</v>
      </c>
      <c r="G692">
        <v>12.68</v>
      </c>
      <c r="H692">
        <v>0</v>
      </c>
      <c r="I692">
        <v>99</v>
      </c>
      <c r="J692">
        <v>222</v>
      </c>
      <c r="K692">
        <v>65.599999999999994</v>
      </c>
      <c r="L692">
        <v>0</v>
      </c>
      <c r="M692">
        <v>99</v>
      </c>
      <c r="N692">
        <v>7.41</v>
      </c>
      <c r="O692">
        <v>97</v>
      </c>
      <c r="P692">
        <v>0.1</v>
      </c>
      <c r="S692">
        <v>1.8</v>
      </c>
      <c r="T692">
        <v>1.9</v>
      </c>
      <c r="W692" t="b">
        <f>COUNT(LifeExpectancyData[[#This Row],[Life expectancy]:[Schooling]])=19</f>
        <v>0</v>
      </c>
    </row>
    <row r="693" spans="1:23" x14ac:dyDescent="0.25">
      <c r="A693" t="s">
        <v>414</v>
      </c>
      <c r="B693">
        <v>2013</v>
      </c>
      <c r="C693" t="s">
        <v>377</v>
      </c>
      <c r="D693">
        <v>78.2</v>
      </c>
      <c r="E693">
        <v>9</v>
      </c>
      <c r="F693">
        <v>0</v>
      </c>
      <c r="G693">
        <v>12.45</v>
      </c>
      <c r="H693">
        <v>0</v>
      </c>
      <c r="I693">
        <v>99</v>
      </c>
      <c r="J693">
        <v>15</v>
      </c>
      <c r="K693">
        <v>65.099999999999994</v>
      </c>
      <c r="L693">
        <v>0</v>
      </c>
      <c r="M693">
        <v>99</v>
      </c>
      <c r="N693">
        <v>7.49</v>
      </c>
      <c r="O693">
        <v>98</v>
      </c>
      <c r="P693">
        <v>0.1</v>
      </c>
      <c r="S693">
        <v>1.8</v>
      </c>
      <c r="T693">
        <v>1.9</v>
      </c>
      <c r="W693" t="b">
        <f>COUNT(LifeExpectancyData[[#This Row],[Life expectancy]:[Schooling]])=19</f>
        <v>0</v>
      </c>
    </row>
    <row r="694" spans="1:23" x14ac:dyDescent="0.25">
      <c r="A694" t="s">
        <v>414</v>
      </c>
      <c r="B694">
        <v>2012</v>
      </c>
      <c r="C694" t="s">
        <v>377</v>
      </c>
      <c r="D694">
        <v>78</v>
      </c>
      <c r="E694">
        <v>93</v>
      </c>
      <c r="F694">
        <v>0</v>
      </c>
      <c r="G694">
        <v>12.71</v>
      </c>
      <c r="H694">
        <v>0</v>
      </c>
      <c r="I694">
        <v>99</v>
      </c>
      <c r="J694">
        <v>22</v>
      </c>
      <c r="K694">
        <v>64.5</v>
      </c>
      <c r="L694">
        <v>0</v>
      </c>
      <c r="M694">
        <v>99</v>
      </c>
      <c r="N694">
        <v>7.55</v>
      </c>
      <c r="O694">
        <v>99</v>
      </c>
      <c r="P694">
        <v>0.1</v>
      </c>
      <c r="S694">
        <v>1.8</v>
      </c>
      <c r="T694">
        <v>1.9</v>
      </c>
      <c r="W694" t="b">
        <f>COUNT(LifeExpectancyData[[#This Row],[Life expectancy]:[Schooling]])=19</f>
        <v>0</v>
      </c>
    </row>
    <row r="695" spans="1:23" x14ac:dyDescent="0.25">
      <c r="A695" t="s">
        <v>414</v>
      </c>
      <c r="B695">
        <v>2011</v>
      </c>
      <c r="C695" t="s">
        <v>377</v>
      </c>
      <c r="D695">
        <v>77.8</v>
      </c>
      <c r="E695">
        <v>97</v>
      </c>
      <c r="F695">
        <v>0</v>
      </c>
      <c r="G695">
        <v>12.43</v>
      </c>
      <c r="H695">
        <v>0</v>
      </c>
      <c r="I695">
        <v>99</v>
      </c>
      <c r="J695">
        <v>17</v>
      </c>
      <c r="K695">
        <v>64</v>
      </c>
      <c r="L695">
        <v>0</v>
      </c>
      <c r="M695">
        <v>99</v>
      </c>
      <c r="N695">
        <v>7.5</v>
      </c>
      <c r="O695">
        <v>99</v>
      </c>
      <c r="P695">
        <v>0.1</v>
      </c>
      <c r="S695">
        <v>1.9</v>
      </c>
      <c r="T695">
        <v>1.9</v>
      </c>
      <c r="W695" t="b">
        <f>COUNT(LifeExpectancyData[[#This Row],[Life expectancy]:[Schooling]])=19</f>
        <v>0</v>
      </c>
    </row>
    <row r="696" spans="1:23" x14ac:dyDescent="0.25">
      <c r="A696" t="s">
        <v>414</v>
      </c>
      <c r="B696">
        <v>2010</v>
      </c>
      <c r="C696" t="s">
        <v>377</v>
      </c>
      <c r="D696">
        <v>77.5</v>
      </c>
      <c r="E696">
        <v>99</v>
      </c>
      <c r="F696">
        <v>0</v>
      </c>
      <c r="G696">
        <v>12.69</v>
      </c>
      <c r="H696">
        <v>0</v>
      </c>
      <c r="I696">
        <v>99</v>
      </c>
      <c r="J696">
        <v>0</v>
      </c>
      <c r="K696">
        <v>63.6</v>
      </c>
      <c r="L696">
        <v>0</v>
      </c>
      <c r="M696">
        <v>99</v>
      </c>
      <c r="N696">
        <v>7.43</v>
      </c>
      <c r="O696">
        <v>99</v>
      </c>
      <c r="P696">
        <v>0.1</v>
      </c>
      <c r="S696">
        <v>1.9</v>
      </c>
      <c r="T696">
        <v>2</v>
      </c>
      <c r="W696" t="b">
        <f>COUNT(LifeExpectancyData[[#This Row],[Life expectancy]:[Schooling]])=19</f>
        <v>0</v>
      </c>
    </row>
    <row r="697" spans="1:23" x14ac:dyDescent="0.25">
      <c r="A697" t="s">
        <v>414</v>
      </c>
      <c r="B697">
        <v>2009</v>
      </c>
      <c r="C697" t="s">
        <v>377</v>
      </c>
      <c r="D697">
        <v>77.099999999999994</v>
      </c>
      <c r="E697">
        <v>12</v>
      </c>
      <c r="F697">
        <v>0</v>
      </c>
      <c r="G697">
        <v>13.23</v>
      </c>
      <c r="H697">
        <v>0</v>
      </c>
      <c r="I697">
        <v>99</v>
      </c>
      <c r="J697">
        <v>5</v>
      </c>
      <c r="K697">
        <v>63.1</v>
      </c>
      <c r="L697">
        <v>0</v>
      </c>
      <c r="M697">
        <v>99</v>
      </c>
      <c r="N697">
        <v>7.85</v>
      </c>
      <c r="O697">
        <v>99</v>
      </c>
      <c r="P697">
        <v>0.1</v>
      </c>
      <c r="S697">
        <v>1.9</v>
      </c>
      <c r="T697">
        <v>2</v>
      </c>
      <c r="W697" t="b">
        <f>COUNT(LifeExpectancyData[[#This Row],[Life expectancy]:[Schooling]])=19</f>
        <v>0</v>
      </c>
    </row>
    <row r="698" spans="1:23" x14ac:dyDescent="0.25">
      <c r="A698" t="s">
        <v>414</v>
      </c>
      <c r="B698">
        <v>2008</v>
      </c>
      <c r="C698" t="s">
        <v>377</v>
      </c>
      <c r="D698">
        <v>77</v>
      </c>
      <c r="E698">
        <v>16</v>
      </c>
      <c r="F698">
        <v>0</v>
      </c>
      <c r="G698">
        <v>13.25</v>
      </c>
      <c r="H698">
        <v>0</v>
      </c>
      <c r="I698">
        <v>99</v>
      </c>
      <c r="J698">
        <v>2</v>
      </c>
      <c r="K698">
        <v>62.6</v>
      </c>
      <c r="L698">
        <v>0</v>
      </c>
      <c r="M698">
        <v>99</v>
      </c>
      <c r="N698">
        <v>6.82</v>
      </c>
      <c r="O698">
        <v>99</v>
      </c>
      <c r="P698">
        <v>0.1</v>
      </c>
      <c r="S698">
        <v>1.9</v>
      </c>
      <c r="T698">
        <v>2</v>
      </c>
      <c r="W698" t="b">
        <f>COUNT(LifeExpectancyData[[#This Row],[Life expectancy]:[Schooling]])=19</f>
        <v>0</v>
      </c>
    </row>
    <row r="699" spans="1:23" x14ac:dyDescent="0.25">
      <c r="A699" t="s">
        <v>414</v>
      </c>
      <c r="B699">
        <v>2007</v>
      </c>
      <c r="C699" t="s">
        <v>377</v>
      </c>
      <c r="D699">
        <v>76.8</v>
      </c>
      <c r="E699">
        <v>17</v>
      </c>
      <c r="F699">
        <v>0</v>
      </c>
      <c r="G699">
        <v>13.43</v>
      </c>
      <c r="H699">
        <v>0</v>
      </c>
      <c r="I699">
        <v>99</v>
      </c>
      <c r="J699">
        <v>2</v>
      </c>
      <c r="K699">
        <v>62.2</v>
      </c>
      <c r="L699">
        <v>0</v>
      </c>
      <c r="M699">
        <v>99</v>
      </c>
      <c r="N699">
        <v>6.52</v>
      </c>
      <c r="O699">
        <v>99</v>
      </c>
      <c r="P699">
        <v>0.1</v>
      </c>
      <c r="S699">
        <v>2</v>
      </c>
      <c r="T699">
        <v>2.1</v>
      </c>
      <c r="W699" t="b">
        <f>COUNT(LifeExpectancyData[[#This Row],[Life expectancy]:[Schooling]])=19</f>
        <v>0</v>
      </c>
    </row>
    <row r="700" spans="1:23" x14ac:dyDescent="0.25">
      <c r="A700" t="s">
        <v>414</v>
      </c>
      <c r="B700">
        <v>2006</v>
      </c>
      <c r="C700" t="s">
        <v>377</v>
      </c>
      <c r="D700">
        <v>76.5</v>
      </c>
      <c r="E700">
        <v>19</v>
      </c>
      <c r="F700">
        <v>0</v>
      </c>
      <c r="G700">
        <v>13.03</v>
      </c>
      <c r="H700">
        <v>0</v>
      </c>
      <c r="I700">
        <v>98</v>
      </c>
      <c r="J700">
        <v>7</v>
      </c>
      <c r="K700">
        <v>61.8</v>
      </c>
      <c r="L700">
        <v>0</v>
      </c>
      <c r="M700">
        <v>98</v>
      </c>
      <c r="N700">
        <v>6.69</v>
      </c>
      <c r="O700">
        <v>98</v>
      </c>
      <c r="P700">
        <v>0.1</v>
      </c>
      <c r="S700">
        <v>2</v>
      </c>
      <c r="T700">
        <v>2.1</v>
      </c>
      <c r="W700" t="b">
        <f>COUNT(LifeExpectancyData[[#This Row],[Life expectancy]:[Schooling]])=19</f>
        <v>0</v>
      </c>
    </row>
    <row r="701" spans="1:23" x14ac:dyDescent="0.25">
      <c r="A701" t="s">
        <v>414</v>
      </c>
      <c r="B701">
        <v>2005</v>
      </c>
      <c r="C701" t="s">
        <v>377</v>
      </c>
      <c r="D701">
        <v>75.900000000000006</v>
      </c>
      <c r="E701">
        <v>114</v>
      </c>
      <c r="F701">
        <v>0</v>
      </c>
      <c r="G701">
        <v>13.19</v>
      </c>
      <c r="H701">
        <v>0</v>
      </c>
      <c r="I701">
        <v>99</v>
      </c>
      <c r="J701">
        <v>0</v>
      </c>
      <c r="K701">
        <v>61.3</v>
      </c>
      <c r="L701">
        <v>0</v>
      </c>
      <c r="M701">
        <v>96</v>
      </c>
      <c r="N701">
        <v>6.93</v>
      </c>
      <c r="O701">
        <v>97</v>
      </c>
      <c r="P701">
        <v>0.1</v>
      </c>
      <c r="S701">
        <v>2.1</v>
      </c>
      <c r="T701">
        <v>2.1</v>
      </c>
      <c r="W701" t="b">
        <f>COUNT(LifeExpectancyData[[#This Row],[Life expectancy]:[Schooling]])=19</f>
        <v>0</v>
      </c>
    </row>
    <row r="702" spans="1:23" x14ac:dyDescent="0.25">
      <c r="A702" t="s">
        <v>414</v>
      </c>
      <c r="B702">
        <v>2004</v>
      </c>
      <c r="C702" t="s">
        <v>377</v>
      </c>
      <c r="D702">
        <v>75.8</v>
      </c>
      <c r="E702">
        <v>116</v>
      </c>
      <c r="F702">
        <v>0</v>
      </c>
      <c r="G702">
        <v>13.24</v>
      </c>
      <c r="H702">
        <v>0</v>
      </c>
      <c r="I702">
        <v>98</v>
      </c>
      <c r="J702">
        <v>17</v>
      </c>
      <c r="K702">
        <v>6.8</v>
      </c>
      <c r="L702">
        <v>0</v>
      </c>
      <c r="M702">
        <v>96</v>
      </c>
      <c r="N702">
        <v>6.9</v>
      </c>
      <c r="O702">
        <v>98</v>
      </c>
      <c r="P702">
        <v>0.1</v>
      </c>
      <c r="S702">
        <v>2.1</v>
      </c>
      <c r="T702">
        <v>2.2000000000000002</v>
      </c>
      <c r="W702" t="b">
        <f>COUNT(LifeExpectancyData[[#This Row],[Life expectancy]:[Schooling]])=19</f>
        <v>0</v>
      </c>
    </row>
    <row r="703" spans="1:23" x14ac:dyDescent="0.25">
      <c r="A703" t="s">
        <v>414</v>
      </c>
      <c r="B703">
        <v>2003</v>
      </c>
      <c r="C703" t="s">
        <v>377</v>
      </c>
      <c r="D703">
        <v>75.2</v>
      </c>
      <c r="E703">
        <v>122</v>
      </c>
      <c r="F703">
        <v>0</v>
      </c>
      <c r="G703">
        <v>13.01</v>
      </c>
      <c r="H703">
        <v>0</v>
      </c>
      <c r="I703">
        <v>92</v>
      </c>
      <c r="J703">
        <v>30</v>
      </c>
      <c r="K703">
        <v>6.4</v>
      </c>
      <c r="L703">
        <v>0</v>
      </c>
      <c r="M703">
        <v>97</v>
      </c>
      <c r="N703">
        <v>7.13</v>
      </c>
      <c r="O703">
        <v>97</v>
      </c>
      <c r="P703">
        <v>0.1</v>
      </c>
      <c r="S703">
        <v>2.2000000000000002</v>
      </c>
      <c r="T703">
        <v>2.2000000000000002</v>
      </c>
      <c r="W703" t="b">
        <f>COUNT(LifeExpectancyData[[#This Row],[Life expectancy]:[Schooling]])=19</f>
        <v>0</v>
      </c>
    </row>
    <row r="704" spans="1:23" x14ac:dyDescent="0.25">
      <c r="A704" t="s">
        <v>414</v>
      </c>
      <c r="B704">
        <v>2002</v>
      </c>
      <c r="C704" t="s">
        <v>377</v>
      </c>
      <c r="D704">
        <v>75.3</v>
      </c>
      <c r="E704">
        <v>12</v>
      </c>
      <c r="F704">
        <v>0</v>
      </c>
      <c r="G704">
        <v>13.47</v>
      </c>
      <c r="H704">
        <v>0</v>
      </c>
      <c r="I704">
        <v>86</v>
      </c>
      <c r="J704">
        <v>4</v>
      </c>
      <c r="K704">
        <v>59.9</v>
      </c>
      <c r="L704">
        <v>0</v>
      </c>
      <c r="M704">
        <v>97</v>
      </c>
      <c r="N704">
        <v>6.8</v>
      </c>
      <c r="O704">
        <v>98</v>
      </c>
      <c r="P704">
        <v>0.1</v>
      </c>
      <c r="S704">
        <v>2.2000000000000002</v>
      </c>
      <c r="T704">
        <v>2.2999999999999998</v>
      </c>
      <c r="W704" t="b">
        <f>COUNT(LifeExpectancyData[[#This Row],[Life expectancy]:[Schooling]])=19</f>
        <v>0</v>
      </c>
    </row>
    <row r="705" spans="1:23" x14ac:dyDescent="0.25">
      <c r="A705" t="s">
        <v>414</v>
      </c>
      <c r="B705">
        <v>2001</v>
      </c>
      <c r="C705" t="s">
        <v>377</v>
      </c>
      <c r="D705">
        <v>75.099999999999994</v>
      </c>
      <c r="E705">
        <v>123</v>
      </c>
      <c r="F705">
        <v>0</v>
      </c>
      <c r="G705">
        <v>13.36</v>
      </c>
      <c r="H705">
        <v>0</v>
      </c>
      <c r="J705">
        <v>6</v>
      </c>
      <c r="K705">
        <v>59.4</v>
      </c>
      <c r="L705">
        <v>0</v>
      </c>
      <c r="M705">
        <v>97</v>
      </c>
      <c r="N705">
        <v>6.42</v>
      </c>
      <c r="O705">
        <v>98</v>
      </c>
      <c r="P705">
        <v>0.1</v>
      </c>
      <c r="S705">
        <v>2.2000000000000002</v>
      </c>
      <c r="T705">
        <v>2.2999999999999998</v>
      </c>
      <c r="W705" t="b">
        <f>COUNT(LifeExpectancyData[[#This Row],[Life expectancy]:[Schooling]])=19</f>
        <v>0</v>
      </c>
    </row>
    <row r="706" spans="1:23" x14ac:dyDescent="0.25">
      <c r="A706" t="s">
        <v>414</v>
      </c>
      <c r="B706">
        <v>2000</v>
      </c>
      <c r="C706" t="s">
        <v>377</v>
      </c>
      <c r="D706">
        <v>74.7</v>
      </c>
      <c r="E706">
        <v>126</v>
      </c>
      <c r="F706">
        <v>0</v>
      </c>
      <c r="G706">
        <v>13.22</v>
      </c>
      <c r="H706">
        <v>0</v>
      </c>
      <c r="J706">
        <v>9</v>
      </c>
      <c r="K706">
        <v>59</v>
      </c>
      <c r="L706">
        <v>0</v>
      </c>
      <c r="M706">
        <v>98</v>
      </c>
      <c r="N706">
        <v>6.31</v>
      </c>
      <c r="O706">
        <v>98</v>
      </c>
      <c r="P706">
        <v>0.1</v>
      </c>
      <c r="S706">
        <v>2.2999999999999998</v>
      </c>
      <c r="T706">
        <v>2.2999999999999998</v>
      </c>
      <c r="W706" t="b">
        <f>COUNT(LifeExpectancyData[[#This Row],[Life expectancy]:[Schooling]])=19</f>
        <v>0</v>
      </c>
    </row>
    <row r="707" spans="1:23" x14ac:dyDescent="0.25">
      <c r="A707" t="s">
        <v>415</v>
      </c>
      <c r="B707">
        <v>2015</v>
      </c>
      <c r="C707" t="s">
        <v>369</v>
      </c>
      <c r="D707">
        <v>76</v>
      </c>
      <c r="E707">
        <v>139</v>
      </c>
      <c r="F707">
        <v>6</v>
      </c>
      <c r="H707">
        <v>0</v>
      </c>
      <c r="I707">
        <v>96</v>
      </c>
      <c r="J707">
        <v>0</v>
      </c>
      <c r="K707">
        <v>32.9</v>
      </c>
      <c r="L707">
        <v>7</v>
      </c>
      <c r="M707">
        <v>99</v>
      </c>
      <c r="O707">
        <v>96</v>
      </c>
      <c r="P707">
        <v>0.1</v>
      </c>
      <c r="S707">
        <v>4.9000000000000004</v>
      </c>
      <c r="T707">
        <v>4.9000000000000004</v>
      </c>
      <c r="W707" t="b">
        <f>COUNT(LifeExpectancyData[[#This Row],[Life expectancy]:[Schooling]])=19</f>
        <v>0</v>
      </c>
    </row>
    <row r="708" spans="1:23" x14ac:dyDescent="0.25">
      <c r="A708" t="s">
        <v>415</v>
      </c>
      <c r="B708">
        <v>2014</v>
      </c>
      <c r="C708" t="s">
        <v>369</v>
      </c>
      <c r="D708">
        <v>73</v>
      </c>
      <c r="E708">
        <v>142</v>
      </c>
      <c r="F708">
        <v>6</v>
      </c>
      <c r="G708">
        <v>0.01</v>
      </c>
      <c r="H708">
        <v>0</v>
      </c>
      <c r="I708">
        <v>93</v>
      </c>
      <c r="J708">
        <v>3</v>
      </c>
      <c r="K708">
        <v>32.4</v>
      </c>
      <c r="L708">
        <v>8</v>
      </c>
      <c r="M708">
        <v>99</v>
      </c>
      <c r="O708">
        <v>93</v>
      </c>
      <c r="P708">
        <v>0.1</v>
      </c>
      <c r="S708">
        <v>4.9000000000000004</v>
      </c>
      <c r="T708">
        <v>4.9000000000000004</v>
      </c>
      <c r="W708" t="b">
        <f>COUNT(LifeExpectancyData[[#This Row],[Life expectancy]:[Schooling]])=19</f>
        <v>0</v>
      </c>
    </row>
    <row r="709" spans="1:23" x14ac:dyDescent="0.25">
      <c r="A709" t="s">
        <v>415</v>
      </c>
      <c r="B709">
        <v>2013</v>
      </c>
      <c r="C709" t="s">
        <v>369</v>
      </c>
      <c r="D709">
        <v>71</v>
      </c>
      <c r="E709">
        <v>146</v>
      </c>
      <c r="F709">
        <v>6</v>
      </c>
      <c r="G709">
        <v>3.35</v>
      </c>
      <c r="H709">
        <v>0</v>
      </c>
      <c r="I709">
        <v>93</v>
      </c>
      <c r="J709">
        <v>0</v>
      </c>
      <c r="K709">
        <v>31.8</v>
      </c>
      <c r="L709">
        <v>8</v>
      </c>
      <c r="M709">
        <v>99</v>
      </c>
      <c r="O709">
        <v>93</v>
      </c>
      <c r="P709">
        <v>0.1</v>
      </c>
      <c r="S709">
        <v>5</v>
      </c>
      <c r="T709">
        <v>5</v>
      </c>
      <c r="W709" t="b">
        <f>COUNT(LifeExpectancyData[[#This Row],[Life expectancy]:[Schooling]])=19</f>
        <v>0</v>
      </c>
    </row>
    <row r="710" spans="1:23" x14ac:dyDescent="0.25">
      <c r="A710" t="s">
        <v>415</v>
      </c>
      <c r="B710">
        <v>2012</v>
      </c>
      <c r="C710" t="s">
        <v>369</v>
      </c>
      <c r="D710">
        <v>69.8</v>
      </c>
      <c r="E710">
        <v>149</v>
      </c>
      <c r="F710">
        <v>7</v>
      </c>
      <c r="G710">
        <v>3.61</v>
      </c>
      <c r="H710">
        <v>0</v>
      </c>
      <c r="I710">
        <v>96</v>
      </c>
      <c r="J710">
        <v>0</v>
      </c>
      <c r="K710">
        <v>31.3</v>
      </c>
      <c r="L710">
        <v>9</v>
      </c>
      <c r="M710">
        <v>99</v>
      </c>
      <c r="O710">
        <v>96</v>
      </c>
      <c r="P710">
        <v>0.1</v>
      </c>
      <c r="S710">
        <v>5.0999999999999996</v>
      </c>
      <c r="T710">
        <v>5.0999999999999996</v>
      </c>
      <c r="W710" t="b">
        <f>COUNT(LifeExpectancyData[[#This Row],[Life expectancy]:[Schooling]])=19</f>
        <v>0</v>
      </c>
    </row>
    <row r="711" spans="1:23" x14ac:dyDescent="0.25">
      <c r="A711" t="s">
        <v>415</v>
      </c>
      <c r="B711">
        <v>2011</v>
      </c>
      <c r="C711" t="s">
        <v>369</v>
      </c>
      <c r="D711">
        <v>69.400000000000006</v>
      </c>
      <c r="E711">
        <v>153</v>
      </c>
      <c r="F711">
        <v>8</v>
      </c>
      <c r="G711">
        <v>3.39</v>
      </c>
      <c r="H711">
        <v>0</v>
      </c>
      <c r="I711">
        <v>94</v>
      </c>
      <c r="J711">
        <v>0</v>
      </c>
      <c r="K711">
        <v>3.8</v>
      </c>
      <c r="L711">
        <v>10</v>
      </c>
      <c r="M711">
        <v>99</v>
      </c>
      <c r="O711">
        <v>94</v>
      </c>
      <c r="P711">
        <v>0.1</v>
      </c>
      <c r="S711">
        <v>5.0999999999999996</v>
      </c>
      <c r="T711">
        <v>5.2</v>
      </c>
      <c r="W711" t="b">
        <f>COUNT(LifeExpectancyData[[#This Row],[Life expectancy]:[Schooling]])=19</f>
        <v>0</v>
      </c>
    </row>
    <row r="712" spans="1:23" x14ac:dyDescent="0.25">
      <c r="A712" t="s">
        <v>415</v>
      </c>
      <c r="B712">
        <v>2010</v>
      </c>
      <c r="C712" t="s">
        <v>369</v>
      </c>
      <c r="D712">
        <v>69</v>
      </c>
      <c r="E712">
        <v>157</v>
      </c>
      <c r="F712">
        <v>8</v>
      </c>
      <c r="G712">
        <v>3.12</v>
      </c>
      <c r="H712">
        <v>0</v>
      </c>
      <c r="I712">
        <v>93</v>
      </c>
      <c r="J712">
        <v>0</v>
      </c>
      <c r="K712">
        <v>3.3</v>
      </c>
      <c r="L712">
        <v>10</v>
      </c>
      <c r="M712">
        <v>99</v>
      </c>
      <c r="O712">
        <v>93</v>
      </c>
      <c r="P712">
        <v>0.1</v>
      </c>
      <c r="S712">
        <v>5.2</v>
      </c>
      <c r="T712">
        <v>5.2</v>
      </c>
      <c r="W712" t="b">
        <f>COUNT(LifeExpectancyData[[#This Row],[Life expectancy]:[Schooling]])=19</f>
        <v>0</v>
      </c>
    </row>
    <row r="713" spans="1:23" x14ac:dyDescent="0.25">
      <c r="A713" t="s">
        <v>415</v>
      </c>
      <c r="B713">
        <v>2009</v>
      </c>
      <c r="C713" t="s">
        <v>369</v>
      </c>
      <c r="D713">
        <v>68.7</v>
      </c>
      <c r="E713">
        <v>161</v>
      </c>
      <c r="F713">
        <v>9</v>
      </c>
      <c r="G713">
        <v>3.35</v>
      </c>
      <c r="H713">
        <v>0</v>
      </c>
      <c r="I713">
        <v>93</v>
      </c>
      <c r="J713">
        <v>0</v>
      </c>
      <c r="K713">
        <v>29.7</v>
      </c>
      <c r="L713">
        <v>11</v>
      </c>
      <c r="M713">
        <v>98</v>
      </c>
      <c r="O713">
        <v>93</v>
      </c>
      <c r="P713">
        <v>0.1</v>
      </c>
      <c r="S713">
        <v>5.3</v>
      </c>
      <c r="T713">
        <v>5.3</v>
      </c>
      <c r="W713" t="b">
        <f>COUNT(LifeExpectancyData[[#This Row],[Life expectancy]:[Schooling]])=19</f>
        <v>0</v>
      </c>
    </row>
    <row r="714" spans="1:23" x14ac:dyDescent="0.25">
      <c r="A714" t="s">
        <v>415</v>
      </c>
      <c r="B714">
        <v>2008</v>
      </c>
      <c r="C714" t="s">
        <v>369</v>
      </c>
      <c r="D714">
        <v>68.599999999999994</v>
      </c>
      <c r="E714">
        <v>164</v>
      </c>
      <c r="F714">
        <v>9</v>
      </c>
      <c r="G714">
        <v>3.16</v>
      </c>
      <c r="H714">
        <v>0</v>
      </c>
      <c r="I714">
        <v>92</v>
      </c>
      <c r="J714">
        <v>8</v>
      </c>
      <c r="K714">
        <v>29.2</v>
      </c>
      <c r="L714">
        <v>12</v>
      </c>
      <c r="M714">
        <v>98</v>
      </c>
      <c r="O714">
        <v>92</v>
      </c>
      <c r="P714">
        <v>0.1</v>
      </c>
      <c r="S714">
        <v>5.4</v>
      </c>
      <c r="T714">
        <v>5.4</v>
      </c>
      <c r="W714" t="b">
        <f>COUNT(LifeExpectancyData[[#This Row],[Life expectancy]:[Schooling]])=19</f>
        <v>0</v>
      </c>
    </row>
    <row r="715" spans="1:23" x14ac:dyDescent="0.25">
      <c r="A715" t="s">
        <v>415</v>
      </c>
      <c r="B715">
        <v>2007</v>
      </c>
      <c r="C715" t="s">
        <v>369</v>
      </c>
      <c r="D715">
        <v>68.5</v>
      </c>
      <c r="E715">
        <v>166</v>
      </c>
      <c r="F715">
        <v>9</v>
      </c>
      <c r="G715">
        <v>3.13</v>
      </c>
      <c r="H715">
        <v>0</v>
      </c>
      <c r="I715">
        <v>92</v>
      </c>
      <c r="J715">
        <v>3550</v>
      </c>
      <c r="K715">
        <v>28.7</v>
      </c>
      <c r="L715">
        <v>12</v>
      </c>
      <c r="M715">
        <v>99</v>
      </c>
      <c r="O715">
        <v>92</v>
      </c>
      <c r="P715">
        <v>0.1</v>
      </c>
      <c r="S715">
        <v>5.5</v>
      </c>
      <c r="T715">
        <v>5.5</v>
      </c>
      <c r="W715" t="b">
        <f>COUNT(LifeExpectancyData[[#This Row],[Life expectancy]:[Schooling]])=19</f>
        <v>0</v>
      </c>
    </row>
    <row r="716" spans="1:23" x14ac:dyDescent="0.25">
      <c r="A716" t="s">
        <v>415</v>
      </c>
      <c r="B716">
        <v>2006</v>
      </c>
      <c r="C716" t="s">
        <v>369</v>
      </c>
      <c r="D716">
        <v>68.5</v>
      </c>
      <c r="E716">
        <v>165</v>
      </c>
      <c r="F716">
        <v>10</v>
      </c>
      <c r="G716">
        <v>3.28</v>
      </c>
      <c r="H716">
        <v>0</v>
      </c>
      <c r="I716">
        <v>96</v>
      </c>
      <c r="J716">
        <v>0</v>
      </c>
      <c r="K716">
        <v>28.2</v>
      </c>
      <c r="L716">
        <v>12</v>
      </c>
      <c r="M716">
        <v>98</v>
      </c>
      <c r="O716">
        <v>89</v>
      </c>
      <c r="P716">
        <v>0.1</v>
      </c>
      <c r="S716">
        <v>5.6</v>
      </c>
      <c r="T716">
        <v>5.6</v>
      </c>
      <c r="W716" t="b">
        <f>COUNT(LifeExpectancyData[[#This Row],[Life expectancy]:[Schooling]])=19</f>
        <v>0</v>
      </c>
    </row>
    <row r="717" spans="1:23" x14ac:dyDescent="0.25">
      <c r="A717" t="s">
        <v>415</v>
      </c>
      <c r="B717">
        <v>2005</v>
      </c>
      <c r="C717" t="s">
        <v>369</v>
      </c>
      <c r="D717">
        <v>68.5</v>
      </c>
      <c r="E717">
        <v>165</v>
      </c>
      <c r="F717">
        <v>10</v>
      </c>
      <c r="G717">
        <v>3.21</v>
      </c>
      <c r="H717">
        <v>0</v>
      </c>
      <c r="I717">
        <v>92</v>
      </c>
      <c r="J717">
        <v>0</v>
      </c>
      <c r="K717">
        <v>27.7</v>
      </c>
      <c r="L717">
        <v>13</v>
      </c>
      <c r="M717">
        <v>97</v>
      </c>
      <c r="O717">
        <v>79</v>
      </c>
      <c r="P717">
        <v>0.1</v>
      </c>
      <c r="S717">
        <v>5.7</v>
      </c>
      <c r="T717">
        <v>5.7</v>
      </c>
      <c r="W717" t="b">
        <f>COUNT(LifeExpectancyData[[#This Row],[Life expectancy]:[Schooling]])=19</f>
        <v>0</v>
      </c>
    </row>
    <row r="718" spans="1:23" x14ac:dyDescent="0.25">
      <c r="A718" t="s">
        <v>415</v>
      </c>
      <c r="B718">
        <v>2004</v>
      </c>
      <c r="C718" t="s">
        <v>369</v>
      </c>
      <c r="D718">
        <v>68.400000000000006</v>
      </c>
      <c r="E718">
        <v>165</v>
      </c>
      <c r="F718">
        <v>11</v>
      </c>
      <c r="G718">
        <v>3.13</v>
      </c>
      <c r="H718">
        <v>0</v>
      </c>
      <c r="I718">
        <v>98</v>
      </c>
      <c r="J718">
        <v>0</v>
      </c>
      <c r="K718">
        <v>27.2</v>
      </c>
      <c r="L718">
        <v>14</v>
      </c>
      <c r="M718">
        <v>99</v>
      </c>
      <c r="O718">
        <v>72</v>
      </c>
      <c r="P718">
        <v>0.1</v>
      </c>
      <c r="S718">
        <v>5.7</v>
      </c>
      <c r="T718">
        <v>5.7</v>
      </c>
      <c r="W718" t="b">
        <f>COUNT(LifeExpectancyData[[#This Row],[Life expectancy]:[Schooling]])=19</f>
        <v>0</v>
      </c>
    </row>
    <row r="719" spans="1:23" x14ac:dyDescent="0.25">
      <c r="A719" t="s">
        <v>415</v>
      </c>
      <c r="B719">
        <v>2003</v>
      </c>
      <c r="C719" t="s">
        <v>369</v>
      </c>
      <c r="D719">
        <v>68.099999999999994</v>
      </c>
      <c r="E719">
        <v>165</v>
      </c>
      <c r="F719">
        <v>12</v>
      </c>
      <c r="G719">
        <v>3.13</v>
      </c>
      <c r="H719">
        <v>0</v>
      </c>
      <c r="I719">
        <v>27</v>
      </c>
      <c r="J719">
        <v>0</v>
      </c>
      <c r="K719">
        <v>26.7</v>
      </c>
      <c r="L719">
        <v>15</v>
      </c>
      <c r="M719">
        <v>99</v>
      </c>
      <c r="O719">
        <v>68</v>
      </c>
      <c r="P719">
        <v>0.1</v>
      </c>
      <c r="S719">
        <v>5.8</v>
      </c>
      <c r="T719">
        <v>5.8</v>
      </c>
      <c r="W719" t="b">
        <f>COUNT(LifeExpectancyData[[#This Row],[Life expectancy]:[Schooling]])=19</f>
        <v>0</v>
      </c>
    </row>
    <row r="720" spans="1:23" x14ac:dyDescent="0.25">
      <c r="A720" t="s">
        <v>415</v>
      </c>
      <c r="B720">
        <v>2002</v>
      </c>
      <c r="C720" t="s">
        <v>369</v>
      </c>
      <c r="D720">
        <v>67.599999999999994</v>
      </c>
      <c r="E720">
        <v>167</v>
      </c>
      <c r="F720">
        <v>14</v>
      </c>
      <c r="G720">
        <v>3.08</v>
      </c>
      <c r="H720">
        <v>0</v>
      </c>
      <c r="J720">
        <v>0</v>
      </c>
      <c r="K720">
        <v>26.2</v>
      </c>
      <c r="L720">
        <v>18</v>
      </c>
      <c r="M720">
        <v>99</v>
      </c>
      <c r="O720">
        <v>64</v>
      </c>
      <c r="P720">
        <v>0.1</v>
      </c>
      <c r="S720">
        <v>5.9</v>
      </c>
      <c r="T720">
        <v>5.9</v>
      </c>
      <c r="W720" t="b">
        <f>COUNT(LifeExpectancyData[[#This Row],[Life expectancy]:[Schooling]])=19</f>
        <v>0</v>
      </c>
    </row>
    <row r="721" spans="1:23" x14ac:dyDescent="0.25">
      <c r="A721" t="s">
        <v>415</v>
      </c>
      <c r="B721">
        <v>2001</v>
      </c>
      <c r="C721" t="s">
        <v>369</v>
      </c>
      <c r="D721">
        <v>66.599999999999994</v>
      </c>
      <c r="E721">
        <v>177</v>
      </c>
      <c r="F721">
        <v>16</v>
      </c>
      <c r="G721">
        <v>2.5299999999999998</v>
      </c>
      <c r="H721">
        <v>0</v>
      </c>
      <c r="J721">
        <v>0</v>
      </c>
      <c r="K721">
        <v>25.7</v>
      </c>
      <c r="L721">
        <v>21</v>
      </c>
      <c r="M721">
        <v>98</v>
      </c>
      <c r="O721">
        <v>62</v>
      </c>
      <c r="P721">
        <v>0.1</v>
      </c>
      <c r="S721">
        <v>5.9</v>
      </c>
      <c r="T721">
        <v>6</v>
      </c>
      <c r="W721" t="b">
        <f>COUNT(LifeExpectancyData[[#This Row],[Life expectancy]:[Schooling]])=19</f>
        <v>0</v>
      </c>
    </row>
    <row r="722" spans="1:23" x14ac:dyDescent="0.25">
      <c r="A722" t="s">
        <v>415</v>
      </c>
      <c r="B722">
        <v>2000</v>
      </c>
      <c r="C722" t="s">
        <v>369</v>
      </c>
      <c r="D722">
        <v>65.400000000000006</v>
      </c>
      <c r="E722">
        <v>192</v>
      </c>
      <c r="F722">
        <v>18</v>
      </c>
      <c r="G722">
        <v>3.52</v>
      </c>
      <c r="H722">
        <v>0</v>
      </c>
      <c r="J722">
        <v>0</v>
      </c>
      <c r="K722">
        <v>25.2</v>
      </c>
      <c r="L722">
        <v>25</v>
      </c>
      <c r="M722">
        <v>93</v>
      </c>
      <c r="O722">
        <v>56</v>
      </c>
      <c r="P722">
        <v>0.1</v>
      </c>
      <c r="S722">
        <v>6</v>
      </c>
      <c r="T722">
        <v>6</v>
      </c>
      <c r="W722" t="b">
        <f>COUNT(LifeExpectancyData[[#This Row],[Life expectancy]:[Schooling]])=19</f>
        <v>0</v>
      </c>
    </row>
    <row r="723" spans="1:23" x14ac:dyDescent="0.25">
      <c r="A723" t="s">
        <v>416</v>
      </c>
      <c r="B723">
        <v>2015</v>
      </c>
      <c r="C723" t="s">
        <v>369</v>
      </c>
      <c r="D723">
        <v>59.8</v>
      </c>
      <c r="E723">
        <v>258</v>
      </c>
      <c r="F723">
        <v>236</v>
      </c>
      <c r="H723">
        <v>0</v>
      </c>
      <c r="I723">
        <v>81</v>
      </c>
      <c r="J723">
        <v>5020</v>
      </c>
      <c r="K723">
        <v>21.6</v>
      </c>
      <c r="L723">
        <v>308</v>
      </c>
      <c r="M723">
        <v>78</v>
      </c>
      <c r="O723">
        <v>81</v>
      </c>
      <c r="P723">
        <v>1.1000000000000001</v>
      </c>
      <c r="S723">
        <v>9.5</v>
      </c>
      <c r="T723">
        <v>9.3000000000000007</v>
      </c>
      <c r="W723" t="b">
        <f>COUNT(LifeExpectancyData[[#This Row],[Life expectancy]:[Schooling]])=19</f>
        <v>0</v>
      </c>
    </row>
    <row r="724" spans="1:23" x14ac:dyDescent="0.25">
      <c r="A724" t="s">
        <v>416</v>
      </c>
      <c r="B724">
        <v>2014</v>
      </c>
      <c r="C724" t="s">
        <v>369</v>
      </c>
      <c r="D724">
        <v>59.3</v>
      </c>
      <c r="E724">
        <v>266</v>
      </c>
      <c r="F724">
        <v>237</v>
      </c>
      <c r="G724">
        <v>0.01</v>
      </c>
      <c r="H724">
        <v>0</v>
      </c>
      <c r="I724">
        <v>8</v>
      </c>
      <c r="J724">
        <v>33711</v>
      </c>
      <c r="K724">
        <v>21.1</v>
      </c>
      <c r="L724">
        <v>312</v>
      </c>
      <c r="M724">
        <v>79</v>
      </c>
      <c r="N724">
        <v>4.33</v>
      </c>
      <c r="O724">
        <v>8</v>
      </c>
      <c r="P724">
        <v>1.1000000000000001</v>
      </c>
      <c r="S724">
        <v>9.6999999999999993</v>
      </c>
      <c r="T724">
        <v>9.5</v>
      </c>
      <c r="W724" t="b">
        <f>COUNT(LifeExpectancyData[[#This Row],[Life expectancy]:[Schooling]])=19</f>
        <v>0</v>
      </c>
    </row>
    <row r="725" spans="1:23" x14ac:dyDescent="0.25">
      <c r="A725" t="s">
        <v>416</v>
      </c>
      <c r="B725">
        <v>2013</v>
      </c>
      <c r="C725" t="s">
        <v>369</v>
      </c>
      <c r="D725">
        <v>58.8</v>
      </c>
      <c r="E725">
        <v>272</v>
      </c>
      <c r="F725">
        <v>238</v>
      </c>
      <c r="G725">
        <v>0.01</v>
      </c>
      <c r="H725">
        <v>0</v>
      </c>
      <c r="I725">
        <v>74</v>
      </c>
      <c r="J725">
        <v>88381</v>
      </c>
      <c r="K725">
        <v>2.6</v>
      </c>
      <c r="L725">
        <v>314</v>
      </c>
      <c r="M725">
        <v>74</v>
      </c>
      <c r="N725">
        <v>3.89</v>
      </c>
      <c r="O725">
        <v>74</v>
      </c>
      <c r="P725">
        <v>1.2</v>
      </c>
      <c r="S725">
        <v>9.9</v>
      </c>
      <c r="T725">
        <v>9.6</v>
      </c>
      <c r="W725" t="b">
        <f>COUNT(LifeExpectancyData[[#This Row],[Life expectancy]:[Schooling]])=19</f>
        <v>0</v>
      </c>
    </row>
    <row r="726" spans="1:23" x14ac:dyDescent="0.25">
      <c r="A726" t="s">
        <v>416</v>
      </c>
      <c r="B726">
        <v>2012</v>
      </c>
      <c r="C726" t="s">
        <v>369</v>
      </c>
      <c r="D726">
        <v>58.3</v>
      </c>
      <c r="E726">
        <v>277</v>
      </c>
      <c r="F726">
        <v>239</v>
      </c>
      <c r="G726">
        <v>0.01</v>
      </c>
      <c r="H726">
        <v>0</v>
      </c>
      <c r="I726">
        <v>75</v>
      </c>
      <c r="J726">
        <v>72029</v>
      </c>
      <c r="K726">
        <v>2.1</v>
      </c>
      <c r="L726">
        <v>317</v>
      </c>
      <c r="M726">
        <v>76</v>
      </c>
      <c r="N726">
        <v>3.77</v>
      </c>
      <c r="O726">
        <v>75</v>
      </c>
      <c r="P726">
        <v>1.5</v>
      </c>
      <c r="S726">
        <v>1</v>
      </c>
      <c r="T726">
        <v>9.8000000000000007</v>
      </c>
      <c r="W726" t="b">
        <f>COUNT(LifeExpectancyData[[#This Row],[Life expectancy]:[Schooling]])=19</f>
        <v>0</v>
      </c>
    </row>
    <row r="727" spans="1:23" x14ac:dyDescent="0.25">
      <c r="A727" t="s">
        <v>416</v>
      </c>
      <c r="B727">
        <v>2011</v>
      </c>
      <c r="C727" t="s">
        <v>369</v>
      </c>
      <c r="D727">
        <v>57.9</v>
      </c>
      <c r="E727">
        <v>278</v>
      </c>
      <c r="F727">
        <v>239</v>
      </c>
      <c r="G727">
        <v>1.82</v>
      </c>
      <c r="H727">
        <v>0</v>
      </c>
      <c r="I727">
        <v>74</v>
      </c>
      <c r="J727">
        <v>133802</v>
      </c>
      <c r="K727">
        <v>19.600000000000001</v>
      </c>
      <c r="L727">
        <v>319</v>
      </c>
      <c r="M727">
        <v>77</v>
      </c>
      <c r="N727">
        <v>3.53</v>
      </c>
      <c r="O727">
        <v>74</v>
      </c>
      <c r="P727">
        <v>1.6</v>
      </c>
      <c r="S727">
        <v>1.2</v>
      </c>
      <c r="T727">
        <v>1</v>
      </c>
      <c r="W727" t="b">
        <f>COUNT(LifeExpectancyData[[#This Row],[Life expectancy]:[Schooling]])=19</f>
        <v>0</v>
      </c>
    </row>
    <row r="728" spans="1:23" x14ac:dyDescent="0.25">
      <c r="A728" t="s">
        <v>416</v>
      </c>
      <c r="B728">
        <v>2010</v>
      </c>
      <c r="C728" t="s">
        <v>369</v>
      </c>
      <c r="D728">
        <v>57.4</v>
      </c>
      <c r="E728">
        <v>283</v>
      </c>
      <c r="F728">
        <v>239</v>
      </c>
      <c r="G728">
        <v>1.81</v>
      </c>
      <c r="H728">
        <v>0</v>
      </c>
      <c r="I728">
        <v>6</v>
      </c>
      <c r="J728">
        <v>5407</v>
      </c>
      <c r="K728">
        <v>19.100000000000001</v>
      </c>
      <c r="L728">
        <v>321</v>
      </c>
      <c r="M728">
        <v>76</v>
      </c>
      <c r="N728">
        <v>4.4000000000000004</v>
      </c>
      <c r="O728">
        <v>6</v>
      </c>
      <c r="P728">
        <v>1.6</v>
      </c>
      <c r="S728">
        <v>1.4</v>
      </c>
      <c r="T728">
        <v>1.2</v>
      </c>
      <c r="W728" t="b">
        <f>COUNT(LifeExpectancyData[[#This Row],[Life expectancy]:[Schooling]])=19</f>
        <v>0</v>
      </c>
    </row>
    <row r="729" spans="1:23" x14ac:dyDescent="0.25">
      <c r="A729" t="s">
        <v>416</v>
      </c>
      <c r="B729">
        <v>2009</v>
      </c>
      <c r="C729" t="s">
        <v>369</v>
      </c>
      <c r="D729">
        <v>56.7</v>
      </c>
      <c r="E729">
        <v>292</v>
      </c>
      <c r="F729">
        <v>238</v>
      </c>
      <c r="G729">
        <v>2.13</v>
      </c>
      <c r="H729">
        <v>0</v>
      </c>
      <c r="I729">
        <v>72</v>
      </c>
      <c r="J729">
        <v>57</v>
      </c>
      <c r="K729">
        <v>18.600000000000001</v>
      </c>
      <c r="L729">
        <v>323</v>
      </c>
      <c r="M729">
        <v>78</v>
      </c>
      <c r="N729">
        <v>5.61</v>
      </c>
      <c r="O729">
        <v>72</v>
      </c>
      <c r="P729">
        <v>1.7</v>
      </c>
      <c r="S729">
        <v>1.6</v>
      </c>
      <c r="T729">
        <v>1.4</v>
      </c>
      <c r="W729" t="b">
        <f>COUNT(LifeExpectancyData[[#This Row],[Life expectancy]:[Schooling]])=19</f>
        <v>0</v>
      </c>
    </row>
    <row r="730" spans="1:23" x14ac:dyDescent="0.25">
      <c r="A730" t="s">
        <v>416</v>
      </c>
      <c r="B730">
        <v>2008</v>
      </c>
      <c r="C730" t="s">
        <v>369</v>
      </c>
      <c r="D730">
        <v>56.3</v>
      </c>
      <c r="E730">
        <v>295</v>
      </c>
      <c r="F730">
        <v>237</v>
      </c>
      <c r="G730">
        <v>2.09</v>
      </c>
      <c r="H730">
        <v>0</v>
      </c>
      <c r="I730">
        <v>65</v>
      </c>
      <c r="J730">
        <v>12461</v>
      </c>
      <c r="K730">
        <v>18.2</v>
      </c>
      <c r="L730">
        <v>324</v>
      </c>
      <c r="M730">
        <v>64</v>
      </c>
      <c r="N730">
        <v>4.46</v>
      </c>
      <c r="O730">
        <v>65</v>
      </c>
      <c r="P730">
        <v>1.8</v>
      </c>
      <c r="S730">
        <v>1.8</v>
      </c>
      <c r="T730">
        <v>1.7</v>
      </c>
      <c r="W730" t="b">
        <f>COUNT(LifeExpectancyData[[#This Row],[Life expectancy]:[Schooling]])=19</f>
        <v>0</v>
      </c>
    </row>
    <row r="731" spans="1:23" x14ac:dyDescent="0.25">
      <c r="A731" t="s">
        <v>416</v>
      </c>
      <c r="B731">
        <v>2007</v>
      </c>
      <c r="C731" t="s">
        <v>369</v>
      </c>
      <c r="D731">
        <v>55.7</v>
      </c>
      <c r="E731">
        <v>299</v>
      </c>
      <c r="F731">
        <v>236</v>
      </c>
      <c r="G731">
        <v>1.52</v>
      </c>
      <c r="H731">
        <v>0</v>
      </c>
      <c r="I731">
        <v>7</v>
      </c>
      <c r="J731">
        <v>55577</v>
      </c>
      <c r="K731">
        <v>17.8</v>
      </c>
      <c r="L731">
        <v>326</v>
      </c>
      <c r="M731">
        <v>72</v>
      </c>
      <c r="N731">
        <v>3.61</v>
      </c>
      <c r="O731">
        <v>7</v>
      </c>
      <c r="P731">
        <v>1.9</v>
      </c>
      <c r="S731">
        <v>11.1</v>
      </c>
      <c r="T731">
        <v>1.9</v>
      </c>
      <c r="W731" t="b">
        <f>COUNT(LifeExpectancyData[[#This Row],[Life expectancy]:[Schooling]])=19</f>
        <v>0</v>
      </c>
    </row>
    <row r="732" spans="1:23" x14ac:dyDescent="0.25">
      <c r="A732" t="s">
        <v>416</v>
      </c>
      <c r="B732">
        <v>2006</v>
      </c>
      <c r="C732" t="s">
        <v>369</v>
      </c>
      <c r="D732">
        <v>55</v>
      </c>
      <c r="E732">
        <v>36</v>
      </c>
      <c r="F732">
        <v>235</v>
      </c>
      <c r="G732">
        <v>1.53</v>
      </c>
      <c r="H732">
        <v>0</v>
      </c>
      <c r="J732">
        <v>80123</v>
      </c>
      <c r="K732">
        <v>17.3</v>
      </c>
      <c r="L732">
        <v>327</v>
      </c>
      <c r="M732">
        <v>62</v>
      </c>
      <c r="N732">
        <v>3.39</v>
      </c>
      <c r="O732">
        <v>62</v>
      </c>
      <c r="P732">
        <v>2</v>
      </c>
      <c r="S732">
        <v>11.3</v>
      </c>
      <c r="T732">
        <v>11.1</v>
      </c>
      <c r="W732" t="b">
        <f>COUNT(LifeExpectancyData[[#This Row],[Life expectancy]:[Schooling]])=19</f>
        <v>0</v>
      </c>
    </row>
    <row r="733" spans="1:23" x14ac:dyDescent="0.25">
      <c r="A733" t="s">
        <v>416</v>
      </c>
      <c r="B733">
        <v>2005</v>
      </c>
      <c r="C733" t="s">
        <v>369</v>
      </c>
      <c r="D733">
        <v>54.3</v>
      </c>
      <c r="E733">
        <v>314</v>
      </c>
      <c r="F733">
        <v>233</v>
      </c>
      <c r="G733">
        <v>1.43</v>
      </c>
      <c r="H733">
        <v>0</v>
      </c>
      <c r="J733">
        <v>182485</v>
      </c>
      <c r="K733">
        <v>16.899999999999999</v>
      </c>
      <c r="L733">
        <v>329</v>
      </c>
      <c r="M733">
        <v>6</v>
      </c>
      <c r="N733">
        <v>3.14</v>
      </c>
      <c r="O733">
        <v>6</v>
      </c>
      <c r="P733">
        <v>2</v>
      </c>
      <c r="S733">
        <v>11.5</v>
      </c>
      <c r="T733">
        <v>11.3</v>
      </c>
      <c r="W733" t="b">
        <f>COUNT(LifeExpectancyData[[#This Row],[Life expectancy]:[Schooling]])=19</f>
        <v>0</v>
      </c>
    </row>
    <row r="734" spans="1:23" x14ac:dyDescent="0.25">
      <c r="A734" t="s">
        <v>416</v>
      </c>
      <c r="B734">
        <v>2004</v>
      </c>
      <c r="C734" t="s">
        <v>369</v>
      </c>
      <c r="D734">
        <v>53.5</v>
      </c>
      <c r="E734">
        <v>323</v>
      </c>
      <c r="F734">
        <v>232</v>
      </c>
      <c r="G734">
        <v>1.44</v>
      </c>
      <c r="H734">
        <v>0</v>
      </c>
      <c r="J734">
        <v>44934</v>
      </c>
      <c r="K734">
        <v>16.5</v>
      </c>
      <c r="L734">
        <v>330</v>
      </c>
      <c r="M734">
        <v>52</v>
      </c>
      <c r="N734">
        <v>3.34</v>
      </c>
      <c r="O734">
        <v>54</v>
      </c>
      <c r="P734">
        <v>2.1</v>
      </c>
      <c r="S734">
        <v>11.7</v>
      </c>
      <c r="T734">
        <v>11.5</v>
      </c>
      <c r="W734" t="b">
        <f>COUNT(LifeExpectancyData[[#This Row],[Life expectancy]:[Schooling]])=19</f>
        <v>0</v>
      </c>
    </row>
    <row r="735" spans="1:23" x14ac:dyDescent="0.25">
      <c r="A735" t="s">
        <v>416</v>
      </c>
      <c r="B735">
        <v>2003</v>
      </c>
      <c r="C735" t="s">
        <v>369</v>
      </c>
      <c r="D735">
        <v>52.8</v>
      </c>
      <c r="E735">
        <v>332</v>
      </c>
      <c r="F735">
        <v>231</v>
      </c>
      <c r="G735">
        <v>1.83</v>
      </c>
      <c r="H735">
        <v>0</v>
      </c>
      <c r="J735">
        <v>21956</v>
      </c>
      <c r="K735">
        <v>16.100000000000001</v>
      </c>
      <c r="L735">
        <v>331</v>
      </c>
      <c r="M735">
        <v>47</v>
      </c>
      <c r="N735">
        <v>3.2</v>
      </c>
      <c r="O735">
        <v>41</v>
      </c>
      <c r="P735">
        <v>2.2000000000000002</v>
      </c>
      <c r="S735">
        <v>11.9</v>
      </c>
      <c r="T735">
        <v>11.7</v>
      </c>
      <c r="W735" t="b">
        <f>COUNT(LifeExpectancyData[[#This Row],[Life expectancy]:[Schooling]])=19</f>
        <v>0</v>
      </c>
    </row>
    <row r="736" spans="1:23" x14ac:dyDescent="0.25">
      <c r="A736" t="s">
        <v>416</v>
      </c>
      <c r="B736">
        <v>2002</v>
      </c>
      <c r="C736" t="s">
        <v>369</v>
      </c>
      <c r="D736">
        <v>52.1</v>
      </c>
      <c r="E736">
        <v>341</v>
      </c>
      <c r="F736">
        <v>229</v>
      </c>
      <c r="G736">
        <v>1.85</v>
      </c>
      <c r="H736">
        <v>0</v>
      </c>
      <c r="J736">
        <v>30466</v>
      </c>
      <c r="K736">
        <v>15.7</v>
      </c>
      <c r="L736">
        <v>331</v>
      </c>
      <c r="M736">
        <v>4</v>
      </c>
      <c r="N736">
        <v>2.59</v>
      </c>
      <c r="O736">
        <v>38</v>
      </c>
      <c r="P736">
        <v>2.4</v>
      </c>
      <c r="S736">
        <v>12.1</v>
      </c>
      <c r="T736">
        <v>11.9</v>
      </c>
      <c r="W736" t="b">
        <f>COUNT(LifeExpectancyData[[#This Row],[Life expectancy]:[Schooling]])=19</f>
        <v>0</v>
      </c>
    </row>
    <row r="737" spans="1:23" x14ac:dyDescent="0.25">
      <c r="A737" t="s">
        <v>416</v>
      </c>
      <c r="B737">
        <v>2001</v>
      </c>
      <c r="C737" t="s">
        <v>369</v>
      </c>
      <c r="D737">
        <v>51.8</v>
      </c>
      <c r="E737">
        <v>34</v>
      </c>
      <c r="F737">
        <v>227</v>
      </c>
      <c r="G737">
        <v>1.9</v>
      </c>
      <c r="H737">
        <v>0</v>
      </c>
      <c r="J737">
        <v>8072</v>
      </c>
      <c r="K737">
        <v>15.3</v>
      </c>
      <c r="L737">
        <v>332</v>
      </c>
      <c r="M737">
        <v>3</v>
      </c>
      <c r="N737">
        <v>2.67</v>
      </c>
      <c r="O737">
        <v>3</v>
      </c>
      <c r="P737">
        <v>2.4</v>
      </c>
      <c r="S737">
        <v>12.2</v>
      </c>
      <c r="T737">
        <v>12.1</v>
      </c>
      <c r="W737" t="b">
        <f>COUNT(LifeExpectancyData[[#This Row],[Life expectancy]:[Schooling]])=19</f>
        <v>0</v>
      </c>
    </row>
    <row r="738" spans="1:23" x14ac:dyDescent="0.25">
      <c r="A738" t="s">
        <v>416</v>
      </c>
      <c r="B738">
        <v>2000</v>
      </c>
      <c r="C738" t="s">
        <v>369</v>
      </c>
      <c r="D738">
        <v>51.3</v>
      </c>
      <c r="E738">
        <v>346</v>
      </c>
      <c r="F738">
        <v>226</v>
      </c>
      <c r="G738">
        <v>1.98</v>
      </c>
      <c r="H738">
        <v>0</v>
      </c>
      <c r="J738">
        <v>8282</v>
      </c>
      <c r="K738">
        <v>14.9</v>
      </c>
      <c r="L738">
        <v>332</v>
      </c>
      <c r="M738">
        <v>42</v>
      </c>
      <c r="N738">
        <v>1.45</v>
      </c>
      <c r="O738">
        <v>4</v>
      </c>
      <c r="P738">
        <v>2.5</v>
      </c>
      <c r="S738">
        <v>12.4</v>
      </c>
      <c r="T738">
        <v>12.3</v>
      </c>
      <c r="W738" t="b">
        <f>COUNT(LifeExpectancyData[[#This Row],[Life expectancy]:[Schooling]])=19</f>
        <v>0</v>
      </c>
    </row>
    <row r="739" spans="1:23" x14ac:dyDescent="0.25">
      <c r="A739" t="s">
        <v>417</v>
      </c>
      <c r="B739">
        <v>2015</v>
      </c>
      <c r="C739" t="s">
        <v>377</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COUNT(LifeExpectancyData[[#This Row],[Life expectancy]:[Schooling]])=19</f>
        <v>0</v>
      </c>
    </row>
    <row r="740" spans="1:23" x14ac:dyDescent="0.25">
      <c r="A740" t="s">
        <v>417</v>
      </c>
      <c r="B740">
        <v>2014</v>
      </c>
      <c r="C740" t="s">
        <v>377</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COUNT(LifeExpectancyData[[#This Row],[Life expectancy]:[Schooling]])=19</f>
        <v>0</v>
      </c>
    </row>
    <row r="741" spans="1:23" x14ac:dyDescent="0.25">
      <c r="A741" t="s">
        <v>417</v>
      </c>
      <c r="B741">
        <v>2013</v>
      </c>
      <c r="C741" t="s">
        <v>377</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COUNT(LifeExpectancyData[[#This Row],[Life expectancy]:[Schooling]])=19</f>
        <v>0</v>
      </c>
    </row>
    <row r="742" spans="1:23" x14ac:dyDescent="0.25">
      <c r="A742" t="s">
        <v>417</v>
      </c>
      <c r="B742">
        <v>2012</v>
      </c>
      <c r="C742" t="s">
        <v>377</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COUNT(LifeExpectancyData[[#This Row],[Life expectancy]:[Schooling]])=19</f>
        <v>0</v>
      </c>
    </row>
    <row r="743" spans="1:23" x14ac:dyDescent="0.25">
      <c r="A743" t="s">
        <v>417</v>
      </c>
      <c r="B743">
        <v>2011</v>
      </c>
      <c r="C743" t="s">
        <v>377</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COUNT(LifeExpectancyData[[#This Row],[Life expectancy]:[Schooling]])=19</f>
        <v>0</v>
      </c>
    </row>
    <row r="744" spans="1:23" x14ac:dyDescent="0.25">
      <c r="A744" t="s">
        <v>417</v>
      </c>
      <c r="B744">
        <v>2010</v>
      </c>
      <c r="C744" t="s">
        <v>377</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COUNT(LifeExpectancyData[[#This Row],[Life expectancy]:[Schooling]])=19</f>
        <v>0</v>
      </c>
    </row>
    <row r="745" spans="1:23" x14ac:dyDescent="0.25">
      <c r="A745" t="s">
        <v>417</v>
      </c>
      <c r="B745">
        <v>2009</v>
      </c>
      <c r="C745" t="s">
        <v>377</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COUNT(LifeExpectancyData[[#This Row],[Life expectancy]:[Schooling]])=19</f>
        <v>0</v>
      </c>
    </row>
    <row r="746" spans="1:23" x14ac:dyDescent="0.25">
      <c r="A746" t="s">
        <v>417</v>
      </c>
      <c r="B746">
        <v>2008</v>
      </c>
      <c r="C746" t="s">
        <v>377</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COUNT(LifeExpectancyData[[#This Row],[Life expectancy]:[Schooling]])=19</f>
        <v>0</v>
      </c>
    </row>
    <row r="747" spans="1:23" x14ac:dyDescent="0.25">
      <c r="A747" t="s">
        <v>417</v>
      </c>
      <c r="B747">
        <v>2007</v>
      </c>
      <c r="C747" t="s">
        <v>377</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COUNT(LifeExpectancyData[[#This Row],[Life expectancy]:[Schooling]])=19</f>
        <v>0</v>
      </c>
    </row>
    <row r="748" spans="1:23" x14ac:dyDescent="0.25">
      <c r="A748" t="s">
        <v>417</v>
      </c>
      <c r="B748">
        <v>2006</v>
      </c>
      <c r="C748" t="s">
        <v>377</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COUNT(LifeExpectancyData[[#This Row],[Life expectancy]:[Schooling]])=19</f>
        <v>0</v>
      </c>
    </row>
    <row r="749" spans="1:23" x14ac:dyDescent="0.25">
      <c r="A749" t="s">
        <v>417</v>
      </c>
      <c r="B749">
        <v>2005</v>
      </c>
      <c r="C749" t="s">
        <v>377</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COUNT(LifeExpectancyData[[#This Row],[Life expectancy]:[Schooling]])=19</f>
        <v>0</v>
      </c>
    </row>
    <row r="750" spans="1:23" x14ac:dyDescent="0.25">
      <c r="A750" t="s">
        <v>417</v>
      </c>
      <c r="B750">
        <v>2004</v>
      </c>
      <c r="C750" t="s">
        <v>377</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COUNT(LifeExpectancyData[[#This Row],[Life expectancy]:[Schooling]])=19</f>
        <v>0</v>
      </c>
    </row>
    <row r="751" spans="1:23" x14ac:dyDescent="0.25">
      <c r="A751" t="s">
        <v>417</v>
      </c>
      <c r="B751">
        <v>2003</v>
      </c>
      <c r="C751" t="s">
        <v>377</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COUNT(LifeExpectancyData[[#This Row],[Life expectancy]:[Schooling]])=19</f>
        <v>0</v>
      </c>
    </row>
    <row r="752" spans="1:23" x14ac:dyDescent="0.25">
      <c r="A752" t="s">
        <v>417</v>
      </c>
      <c r="B752">
        <v>2002</v>
      </c>
      <c r="C752" t="s">
        <v>377</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COUNT(LifeExpectancyData[[#This Row],[Life expectancy]:[Schooling]])=19</f>
        <v>0</v>
      </c>
    </row>
    <row r="753" spans="1:23" x14ac:dyDescent="0.25">
      <c r="A753" t="s">
        <v>417</v>
      </c>
      <c r="B753">
        <v>2001</v>
      </c>
      <c r="C753" t="s">
        <v>377</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COUNT(LifeExpectancyData[[#This Row],[Life expectancy]:[Schooling]])=19</f>
        <v>0</v>
      </c>
    </row>
    <row r="754" spans="1:23" x14ac:dyDescent="0.25">
      <c r="A754" t="s">
        <v>417</v>
      </c>
      <c r="B754">
        <v>2000</v>
      </c>
      <c r="C754" t="s">
        <v>377</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COUNT(LifeExpectancyData[[#This Row],[Life expectancy]:[Schooling]])=19</f>
        <v>0</v>
      </c>
    </row>
    <row r="755" spans="1:23" x14ac:dyDescent="0.25">
      <c r="A755" t="s">
        <v>418</v>
      </c>
      <c r="B755">
        <v>2015</v>
      </c>
      <c r="C755" t="s">
        <v>369</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COUNT(LifeExpectancyData[[#This Row],[Life expectancy]:[Schooling]])=19</f>
        <v>0</v>
      </c>
    </row>
    <row r="756" spans="1:23" x14ac:dyDescent="0.25">
      <c r="A756" t="s">
        <v>418</v>
      </c>
      <c r="B756">
        <v>2014</v>
      </c>
      <c r="C756" t="s">
        <v>369</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COUNT(LifeExpectancyData[[#This Row],[Life expectancy]:[Schooling]])=19</f>
        <v>1</v>
      </c>
    </row>
    <row r="757" spans="1:23" x14ac:dyDescent="0.25">
      <c r="A757" t="s">
        <v>418</v>
      </c>
      <c r="B757">
        <v>2013</v>
      </c>
      <c r="C757" t="s">
        <v>369</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COUNT(LifeExpectancyData[[#This Row],[Life expectancy]:[Schooling]])=19</f>
        <v>1</v>
      </c>
    </row>
    <row r="758" spans="1:23" x14ac:dyDescent="0.25">
      <c r="A758" t="s">
        <v>418</v>
      </c>
      <c r="B758">
        <v>2012</v>
      </c>
      <c r="C758" t="s">
        <v>369</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COUNT(LifeExpectancyData[[#This Row],[Life expectancy]:[Schooling]])=19</f>
        <v>1</v>
      </c>
    </row>
    <row r="759" spans="1:23" x14ac:dyDescent="0.25">
      <c r="A759" t="s">
        <v>418</v>
      </c>
      <c r="B759">
        <v>2011</v>
      </c>
      <c r="C759" t="s">
        <v>369</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COUNT(LifeExpectancyData[[#This Row],[Life expectancy]:[Schooling]])=19</f>
        <v>1</v>
      </c>
    </row>
    <row r="760" spans="1:23" x14ac:dyDescent="0.25">
      <c r="A760" t="s">
        <v>418</v>
      </c>
      <c r="B760">
        <v>2010</v>
      </c>
      <c r="C760" t="s">
        <v>369</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COUNT(LifeExpectancyData[[#This Row],[Life expectancy]:[Schooling]])=19</f>
        <v>1</v>
      </c>
    </row>
    <row r="761" spans="1:23" x14ac:dyDescent="0.25">
      <c r="A761" t="s">
        <v>418</v>
      </c>
      <c r="B761">
        <v>2009</v>
      </c>
      <c r="C761" t="s">
        <v>369</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COUNT(LifeExpectancyData[[#This Row],[Life expectancy]:[Schooling]])=19</f>
        <v>1</v>
      </c>
    </row>
    <row r="762" spans="1:23" x14ac:dyDescent="0.25">
      <c r="A762" t="s">
        <v>418</v>
      </c>
      <c r="B762">
        <v>2008</v>
      </c>
      <c r="C762" t="s">
        <v>369</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COUNT(LifeExpectancyData[[#This Row],[Life expectancy]:[Schooling]])=19</f>
        <v>1</v>
      </c>
    </row>
    <row r="763" spans="1:23" x14ac:dyDescent="0.25">
      <c r="A763" t="s">
        <v>418</v>
      </c>
      <c r="B763">
        <v>2007</v>
      </c>
      <c r="C763" t="s">
        <v>369</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COUNT(LifeExpectancyData[[#This Row],[Life expectancy]:[Schooling]])=19</f>
        <v>1</v>
      </c>
    </row>
    <row r="764" spans="1:23" x14ac:dyDescent="0.25">
      <c r="A764" t="s">
        <v>418</v>
      </c>
      <c r="B764">
        <v>2006</v>
      </c>
      <c r="C764" t="s">
        <v>369</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COUNT(LifeExpectancyData[[#This Row],[Life expectancy]:[Schooling]])=19</f>
        <v>0</v>
      </c>
    </row>
    <row r="765" spans="1:23" x14ac:dyDescent="0.25">
      <c r="A765" t="s">
        <v>418</v>
      </c>
      <c r="B765">
        <v>2005</v>
      </c>
      <c r="C765" t="s">
        <v>369</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COUNT(LifeExpectancyData[[#This Row],[Life expectancy]:[Schooling]])=19</f>
        <v>0</v>
      </c>
    </row>
    <row r="766" spans="1:23" x14ac:dyDescent="0.25">
      <c r="A766" t="s">
        <v>418</v>
      </c>
      <c r="B766">
        <v>2004</v>
      </c>
      <c r="C766" t="s">
        <v>369</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COUNT(LifeExpectancyData[[#This Row],[Life expectancy]:[Schooling]])=19</f>
        <v>0</v>
      </c>
    </row>
    <row r="767" spans="1:23" x14ac:dyDescent="0.25">
      <c r="A767" t="s">
        <v>418</v>
      </c>
      <c r="B767">
        <v>2003</v>
      </c>
      <c r="C767" t="s">
        <v>369</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COUNT(LifeExpectancyData[[#This Row],[Life expectancy]:[Schooling]])=19</f>
        <v>0</v>
      </c>
    </row>
    <row r="768" spans="1:23" x14ac:dyDescent="0.25">
      <c r="A768" t="s">
        <v>418</v>
      </c>
      <c r="B768">
        <v>2002</v>
      </c>
      <c r="C768" t="s">
        <v>369</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COUNT(LifeExpectancyData[[#This Row],[Life expectancy]:[Schooling]])=19</f>
        <v>0</v>
      </c>
    </row>
    <row r="769" spans="1:23" x14ac:dyDescent="0.25">
      <c r="A769" t="s">
        <v>418</v>
      </c>
      <c r="B769">
        <v>2001</v>
      </c>
      <c r="C769" t="s">
        <v>369</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COUNT(LifeExpectancyData[[#This Row],[Life expectancy]:[Schooling]])=19</f>
        <v>0</v>
      </c>
    </row>
    <row r="770" spans="1:23" x14ac:dyDescent="0.25">
      <c r="A770" t="s">
        <v>418</v>
      </c>
      <c r="B770">
        <v>2000</v>
      </c>
      <c r="C770" t="s">
        <v>369</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COUNT(LifeExpectancyData[[#This Row],[Life expectancy]:[Schooling]])=19</f>
        <v>0</v>
      </c>
    </row>
    <row r="771" spans="1:23" x14ac:dyDescent="0.25">
      <c r="A771" t="s">
        <v>419</v>
      </c>
      <c r="B771">
        <v>2013</v>
      </c>
      <c r="C771" t="s">
        <v>369</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COUNT(LifeExpectancyData[[#This Row],[Life expectancy]:[Schooling]])=19</f>
        <v>0</v>
      </c>
    </row>
    <row r="772" spans="1:23" x14ac:dyDescent="0.25">
      <c r="A772" t="s">
        <v>420</v>
      </c>
      <c r="B772">
        <v>2015</v>
      </c>
      <c r="C772" t="s">
        <v>369</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COUNT(LifeExpectancyData[[#This Row],[Life expectancy]:[Schooling]])=19</f>
        <v>0</v>
      </c>
    </row>
    <row r="773" spans="1:23" x14ac:dyDescent="0.25">
      <c r="A773" t="s">
        <v>420</v>
      </c>
      <c r="B773">
        <v>2014</v>
      </c>
      <c r="C773" t="s">
        <v>369</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COUNT(LifeExpectancyData[[#This Row],[Life expectancy]:[Schooling]])=19</f>
        <v>1</v>
      </c>
    </row>
    <row r="774" spans="1:23" x14ac:dyDescent="0.25">
      <c r="A774" t="s">
        <v>420</v>
      </c>
      <c r="B774">
        <v>2013</v>
      </c>
      <c r="C774" t="s">
        <v>369</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COUNT(LifeExpectancyData[[#This Row],[Life expectancy]:[Schooling]])=19</f>
        <v>1</v>
      </c>
    </row>
    <row r="775" spans="1:23" x14ac:dyDescent="0.25">
      <c r="A775" t="s">
        <v>420</v>
      </c>
      <c r="B775">
        <v>2012</v>
      </c>
      <c r="C775" t="s">
        <v>369</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COUNT(LifeExpectancyData[[#This Row],[Life expectancy]:[Schooling]])=19</f>
        <v>1</v>
      </c>
    </row>
    <row r="776" spans="1:23" x14ac:dyDescent="0.25">
      <c r="A776" t="s">
        <v>420</v>
      </c>
      <c r="B776">
        <v>2011</v>
      </c>
      <c r="C776" t="s">
        <v>369</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COUNT(LifeExpectancyData[[#This Row],[Life expectancy]:[Schooling]])=19</f>
        <v>1</v>
      </c>
    </row>
    <row r="777" spans="1:23" x14ac:dyDescent="0.25">
      <c r="A777" t="s">
        <v>420</v>
      </c>
      <c r="B777">
        <v>2010</v>
      </c>
      <c r="C777" t="s">
        <v>369</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COUNT(LifeExpectancyData[[#This Row],[Life expectancy]:[Schooling]])=19</f>
        <v>1</v>
      </c>
    </row>
    <row r="778" spans="1:23" x14ac:dyDescent="0.25">
      <c r="A778" t="s">
        <v>420</v>
      </c>
      <c r="B778">
        <v>2009</v>
      </c>
      <c r="C778" t="s">
        <v>369</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COUNT(LifeExpectancyData[[#This Row],[Life expectancy]:[Schooling]])=19</f>
        <v>1</v>
      </c>
    </row>
    <row r="779" spans="1:23" x14ac:dyDescent="0.25">
      <c r="A779" t="s">
        <v>420</v>
      </c>
      <c r="B779">
        <v>2008</v>
      </c>
      <c r="C779" t="s">
        <v>369</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COUNT(LifeExpectancyData[[#This Row],[Life expectancy]:[Schooling]])=19</f>
        <v>1</v>
      </c>
    </row>
    <row r="780" spans="1:23" x14ac:dyDescent="0.25">
      <c r="A780" t="s">
        <v>420</v>
      </c>
      <c r="B780">
        <v>2007</v>
      </c>
      <c r="C780" t="s">
        <v>369</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COUNT(LifeExpectancyData[[#This Row],[Life expectancy]:[Schooling]])=19</f>
        <v>1</v>
      </c>
    </row>
    <row r="781" spans="1:23" x14ac:dyDescent="0.25">
      <c r="A781" t="s">
        <v>420</v>
      </c>
      <c r="B781">
        <v>2006</v>
      </c>
      <c r="C781" t="s">
        <v>369</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COUNT(LifeExpectancyData[[#This Row],[Life expectancy]:[Schooling]])=19</f>
        <v>1</v>
      </c>
    </row>
    <row r="782" spans="1:23" x14ac:dyDescent="0.25">
      <c r="A782" t="s">
        <v>420</v>
      </c>
      <c r="B782">
        <v>2005</v>
      </c>
      <c r="C782" t="s">
        <v>369</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COUNT(LifeExpectancyData[[#This Row],[Life expectancy]:[Schooling]])=19</f>
        <v>1</v>
      </c>
    </row>
    <row r="783" spans="1:23" x14ac:dyDescent="0.25">
      <c r="A783" t="s">
        <v>420</v>
      </c>
      <c r="B783">
        <v>2004</v>
      </c>
      <c r="C783" t="s">
        <v>369</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COUNT(LifeExpectancyData[[#This Row],[Life expectancy]:[Schooling]])=19</f>
        <v>1</v>
      </c>
    </row>
    <row r="784" spans="1:23" x14ac:dyDescent="0.25">
      <c r="A784" t="s">
        <v>420</v>
      </c>
      <c r="B784">
        <v>2003</v>
      </c>
      <c r="C784" t="s">
        <v>369</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COUNT(LifeExpectancyData[[#This Row],[Life expectancy]:[Schooling]])=19</f>
        <v>1</v>
      </c>
    </row>
    <row r="785" spans="1:23" x14ac:dyDescent="0.25">
      <c r="A785" t="s">
        <v>420</v>
      </c>
      <c r="B785">
        <v>2002</v>
      </c>
      <c r="C785" t="s">
        <v>369</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COUNT(LifeExpectancyData[[#This Row],[Life expectancy]:[Schooling]])=19</f>
        <v>1</v>
      </c>
    </row>
    <row r="786" spans="1:23" x14ac:dyDescent="0.25">
      <c r="A786" t="s">
        <v>420</v>
      </c>
      <c r="B786">
        <v>2001</v>
      </c>
      <c r="C786" t="s">
        <v>369</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COUNT(LifeExpectancyData[[#This Row],[Life expectancy]:[Schooling]])=19</f>
        <v>1</v>
      </c>
    </row>
    <row r="787" spans="1:23" x14ac:dyDescent="0.25">
      <c r="A787" t="s">
        <v>420</v>
      </c>
      <c r="B787">
        <v>2000</v>
      </c>
      <c r="C787" t="s">
        <v>369</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COUNT(LifeExpectancyData[[#This Row],[Life expectancy]:[Schooling]])=19</f>
        <v>1</v>
      </c>
    </row>
    <row r="788" spans="1:23" x14ac:dyDescent="0.25">
      <c r="A788" t="s">
        <v>421</v>
      </c>
      <c r="B788">
        <v>2015</v>
      </c>
      <c r="C788" t="s">
        <v>369</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COUNT(LifeExpectancyData[[#This Row],[Life expectancy]:[Schooling]])=19</f>
        <v>0</v>
      </c>
    </row>
    <row r="789" spans="1:23" x14ac:dyDescent="0.25">
      <c r="A789" t="s">
        <v>421</v>
      </c>
      <c r="B789">
        <v>2014</v>
      </c>
      <c r="C789" t="s">
        <v>369</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COUNT(LifeExpectancyData[[#This Row],[Life expectancy]:[Schooling]])=19</f>
        <v>1</v>
      </c>
    </row>
    <row r="790" spans="1:23" x14ac:dyDescent="0.25">
      <c r="A790" t="s">
        <v>421</v>
      </c>
      <c r="B790">
        <v>2013</v>
      </c>
      <c r="C790" t="s">
        <v>369</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COUNT(LifeExpectancyData[[#This Row],[Life expectancy]:[Schooling]])=19</f>
        <v>1</v>
      </c>
    </row>
    <row r="791" spans="1:23" x14ac:dyDescent="0.25">
      <c r="A791" t="s">
        <v>421</v>
      </c>
      <c r="B791">
        <v>2012</v>
      </c>
      <c r="C791" t="s">
        <v>369</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COUNT(LifeExpectancyData[[#This Row],[Life expectancy]:[Schooling]])=19</f>
        <v>1</v>
      </c>
    </row>
    <row r="792" spans="1:23" x14ac:dyDescent="0.25">
      <c r="A792" t="s">
        <v>421</v>
      </c>
      <c r="B792">
        <v>2011</v>
      </c>
      <c r="C792" t="s">
        <v>369</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COUNT(LifeExpectancyData[[#This Row],[Life expectancy]:[Schooling]])=19</f>
        <v>1</v>
      </c>
    </row>
    <row r="793" spans="1:23" x14ac:dyDescent="0.25">
      <c r="A793" t="s">
        <v>421</v>
      </c>
      <c r="B793">
        <v>2010</v>
      </c>
      <c r="C793" t="s">
        <v>369</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COUNT(LifeExpectancyData[[#This Row],[Life expectancy]:[Schooling]])=19</f>
        <v>1</v>
      </c>
    </row>
    <row r="794" spans="1:23" x14ac:dyDescent="0.25">
      <c r="A794" t="s">
        <v>421</v>
      </c>
      <c r="B794">
        <v>2009</v>
      </c>
      <c r="C794" t="s">
        <v>369</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COUNT(LifeExpectancyData[[#This Row],[Life expectancy]:[Schooling]])=19</f>
        <v>1</v>
      </c>
    </row>
    <row r="795" spans="1:23" x14ac:dyDescent="0.25">
      <c r="A795" t="s">
        <v>421</v>
      </c>
      <c r="B795">
        <v>2008</v>
      </c>
      <c r="C795" t="s">
        <v>369</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COUNT(LifeExpectancyData[[#This Row],[Life expectancy]:[Schooling]])=19</f>
        <v>1</v>
      </c>
    </row>
    <row r="796" spans="1:23" x14ac:dyDescent="0.25">
      <c r="A796" t="s">
        <v>421</v>
      </c>
      <c r="B796">
        <v>2007</v>
      </c>
      <c r="C796" t="s">
        <v>369</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COUNT(LifeExpectancyData[[#This Row],[Life expectancy]:[Schooling]])=19</f>
        <v>1</v>
      </c>
    </row>
    <row r="797" spans="1:23" x14ac:dyDescent="0.25">
      <c r="A797" t="s">
        <v>421</v>
      </c>
      <c r="B797">
        <v>2006</v>
      </c>
      <c r="C797" t="s">
        <v>369</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COUNT(LifeExpectancyData[[#This Row],[Life expectancy]:[Schooling]])=19</f>
        <v>1</v>
      </c>
    </row>
    <row r="798" spans="1:23" x14ac:dyDescent="0.25">
      <c r="A798" t="s">
        <v>421</v>
      </c>
      <c r="B798">
        <v>2005</v>
      </c>
      <c r="C798" t="s">
        <v>369</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COUNT(LifeExpectancyData[[#This Row],[Life expectancy]:[Schooling]])=19</f>
        <v>1</v>
      </c>
    </row>
    <row r="799" spans="1:23" x14ac:dyDescent="0.25">
      <c r="A799" t="s">
        <v>421</v>
      </c>
      <c r="B799">
        <v>2004</v>
      </c>
      <c r="C799" t="s">
        <v>369</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COUNT(LifeExpectancyData[[#This Row],[Life expectancy]:[Schooling]])=19</f>
        <v>1</v>
      </c>
    </row>
    <row r="800" spans="1:23" x14ac:dyDescent="0.25">
      <c r="A800" t="s">
        <v>421</v>
      </c>
      <c r="B800">
        <v>2003</v>
      </c>
      <c r="C800" t="s">
        <v>369</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COUNT(LifeExpectancyData[[#This Row],[Life expectancy]:[Schooling]])=19</f>
        <v>1</v>
      </c>
    </row>
    <row r="801" spans="1:23" x14ac:dyDescent="0.25">
      <c r="A801" t="s">
        <v>421</v>
      </c>
      <c r="B801">
        <v>2002</v>
      </c>
      <c r="C801" t="s">
        <v>369</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COUNT(LifeExpectancyData[[#This Row],[Life expectancy]:[Schooling]])=19</f>
        <v>1</v>
      </c>
    </row>
    <row r="802" spans="1:23" x14ac:dyDescent="0.25">
      <c r="A802" t="s">
        <v>421</v>
      </c>
      <c r="B802">
        <v>2001</v>
      </c>
      <c r="C802" t="s">
        <v>369</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COUNT(LifeExpectancyData[[#This Row],[Life expectancy]:[Schooling]])=19</f>
        <v>1</v>
      </c>
    </row>
    <row r="803" spans="1:23" x14ac:dyDescent="0.25">
      <c r="A803" t="s">
        <v>421</v>
      </c>
      <c r="B803">
        <v>2000</v>
      </c>
      <c r="C803" t="s">
        <v>369</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COUNT(LifeExpectancyData[[#This Row],[Life expectancy]:[Schooling]])=19</f>
        <v>1</v>
      </c>
    </row>
    <row r="804" spans="1:23" x14ac:dyDescent="0.25">
      <c r="A804" t="s">
        <v>422</v>
      </c>
      <c r="B804">
        <v>2015</v>
      </c>
      <c r="C804" t="s">
        <v>369</v>
      </c>
      <c r="D804">
        <v>79</v>
      </c>
      <c r="E804">
        <v>159</v>
      </c>
      <c r="F804">
        <v>51</v>
      </c>
      <c r="H804">
        <v>0</v>
      </c>
      <c r="I804">
        <v>93</v>
      </c>
      <c r="J804">
        <v>5432</v>
      </c>
      <c r="K804">
        <v>61.1</v>
      </c>
      <c r="L804">
        <v>60</v>
      </c>
      <c r="M804">
        <v>93</v>
      </c>
      <c r="O804">
        <v>93</v>
      </c>
      <c r="P804">
        <v>0.1</v>
      </c>
      <c r="S804">
        <v>2.8</v>
      </c>
      <c r="T804">
        <v>2.8</v>
      </c>
      <c r="U804">
        <v>0.68799999999999994</v>
      </c>
      <c r="V804">
        <v>13.1</v>
      </c>
      <c r="W804" t="b">
        <f>COUNT(LifeExpectancyData[[#This Row],[Life expectancy]:[Schooling]])=19</f>
        <v>0</v>
      </c>
    </row>
    <row r="805" spans="1:23" x14ac:dyDescent="0.25">
      <c r="A805" t="s">
        <v>422</v>
      </c>
      <c r="B805">
        <v>2014</v>
      </c>
      <c r="C805" t="s">
        <v>369</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COUNT(LifeExpectancyData[[#This Row],[Life expectancy]:[Schooling]])=19</f>
        <v>0</v>
      </c>
    </row>
    <row r="806" spans="1:23" x14ac:dyDescent="0.25">
      <c r="A806" t="s">
        <v>422</v>
      </c>
      <c r="B806">
        <v>2013</v>
      </c>
      <c r="C806" t="s">
        <v>369</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COUNT(LifeExpectancyData[[#This Row],[Life expectancy]:[Schooling]])=19</f>
        <v>0</v>
      </c>
    </row>
    <row r="807" spans="1:23" x14ac:dyDescent="0.25">
      <c r="A807" t="s">
        <v>422</v>
      </c>
      <c r="B807">
        <v>2012</v>
      </c>
      <c r="C807" t="s">
        <v>369</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COUNT(LifeExpectancyData[[#This Row],[Life expectancy]:[Schooling]])=19</f>
        <v>0</v>
      </c>
    </row>
    <row r="808" spans="1:23" x14ac:dyDescent="0.25">
      <c r="A808" t="s">
        <v>422</v>
      </c>
      <c r="B808">
        <v>2011</v>
      </c>
      <c r="C808" t="s">
        <v>369</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COUNT(LifeExpectancyData[[#This Row],[Life expectancy]:[Schooling]])=19</f>
        <v>0</v>
      </c>
    </row>
    <row r="809" spans="1:23" x14ac:dyDescent="0.25">
      <c r="A809" t="s">
        <v>422</v>
      </c>
      <c r="B809">
        <v>2010</v>
      </c>
      <c r="C809" t="s">
        <v>369</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COUNT(LifeExpectancyData[[#This Row],[Life expectancy]:[Schooling]])=19</f>
        <v>0</v>
      </c>
    </row>
    <row r="810" spans="1:23" x14ac:dyDescent="0.25">
      <c r="A810" t="s">
        <v>422</v>
      </c>
      <c r="B810">
        <v>2009</v>
      </c>
      <c r="C810" t="s">
        <v>369</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COUNT(LifeExpectancyData[[#This Row],[Life expectancy]:[Schooling]])=19</f>
        <v>0</v>
      </c>
    </row>
    <row r="811" spans="1:23" x14ac:dyDescent="0.25">
      <c r="A811" t="s">
        <v>422</v>
      </c>
      <c r="B811">
        <v>2008</v>
      </c>
      <c r="C811" t="s">
        <v>369</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COUNT(LifeExpectancyData[[#This Row],[Life expectancy]:[Schooling]])=19</f>
        <v>0</v>
      </c>
    </row>
    <row r="812" spans="1:23" x14ac:dyDescent="0.25">
      <c r="A812" t="s">
        <v>422</v>
      </c>
      <c r="B812">
        <v>2007</v>
      </c>
      <c r="C812" t="s">
        <v>369</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COUNT(LifeExpectancyData[[#This Row],[Life expectancy]:[Schooling]])=19</f>
        <v>0</v>
      </c>
    </row>
    <row r="813" spans="1:23" x14ac:dyDescent="0.25">
      <c r="A813" t="s">
        <v>422</v>
      </c>
      <c r="B813">
        <v>2006</v>
      </c>
      <c r="C813" t="s">
        <v>369</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COUNT(LifeExpectancyData[[#This Row],[Life expectancy]:[Schooling]])=19</f>
        <v>0</v>
      </c>
    </row>
    <row r="814" spans="1:23" x14ac:dyDescent="0.25">
      <c r="A814" t="s">
        <v>422</v>
      </c>
      <c r="B814">
        <v>2005</v>
      </c>
      <c r="C814" t="s">
        <v>369</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COUNT(LifeExpectancyData[[#This Row],[Life expectancy]:[Schooling]])=19</f>
        <v>0</v>
      </c>
    </row>
    <row r="815" spans="1:23" x14ac:dyDescent="0.25">
      <c r="A815" t="s">
        <v>422</v>
      </c>
      <c r="B815">
        <v>2004</v>
      </c>
      <c r="C815" t="s">
        <v>369</v>
      </c>
      <c r="D815">
        <v>69</v>
      </c>
      <c r="E815">
        <v>176</v>
      </c>
      <c r="F815">
        <v>57</v>
      </c>
      <c r="G815">
        <v>0.16</v>
      </c>
      <c r="H815">
        <v>0</v>
      </c>
      <c r="I815">
        <v>97</v>
      </c>
      <c r="J815">
        <v>80</v>
      </c>
      <c r="K815">
        <v>52.9</v>
      </c>
      <c r="L815">
        <v>70</v>
      </c>
      <c r="M815">
        <v>97</v>
      </c>
      <c r="N815">
        <v>5.21</v>
      </c>
      <c r="O815">
        <v>97</v>
      </c>
      <c r="P815">
        <v>0.1</v>
      </c>
      <c r="S815">
        <v>3.3</v>
      </c>
      <c r="T815">
        <v>3.2</v>
      </c>
      <c r="U815">
        <v>0.623</v>
      </c>
      <c r="V815">
        <v>11.2</v>
      </c>
      <c r="W815" t="b">
        <f>COUNT(LifeExpectancyData[[#This Row],[Life expectancy]:[Schooling]])=19</f>
        <v>0</v>
      </c>
    </row>
    <row r="816" spans="1:23" x14ac:dyDescent="0.25">
      <c r="A816" t="s">
        <v>422</v>
      </c>
      <c r="B816">
        <v>2003</v>
      </c>
      <c r="C816" t="s">
        <v>369</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COUNT(LifeExpectancyData[[#This Row],[Life expectancy]:[Schooling]])=19</f>
        <v>0</v>
      </c>
    </row>
    <row r="817" spans="1:23" x14ac:dyDescent="0.25">
      <c r="A817" t="s">
        <v>422</v>
      </c>
      <c r="B817">
        <v>2002</v>
      </c>
      <c r="C817" t="s">
        <v>369</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COUNT(LifeExpectancyData[[#This Row],[Life expectancy]:[Schooling]])=19</f>
        <v>0</v>
      </c>
    </row>
    <row r="818" spans="1:23" x14ac:dyDescent="0.25">
      <c r="A818" t="s">
        <v>422</v>
      </c>
      <c r="B818">
        <v>2001</v>
      </c>
      <c r="C818" t="s">
        <v>369</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COUNT(LifeExpectancyData[[#This Row],[Life expectancy]:[Schooling]])=19</f>
        <v>0</v>
      </c>
    </row>
    <row r="819" spans="1:23" x14ac:dyDescent="0.25">
      <c r="A819" t="s">
        <v>422</v>
      </c>
      <c r="B819">
        <v>2000</v>
      </c>
      <c r="C819" t="s">
        <v>369</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COUNT(LifeExpectancyData[[#This Row],[Life expectancy]:[Schooling]])=19</f>
        <v>0</v>
      </c>
    </row>
    <row r="820" spans="1:23" x14ac:dyDescent="0.25">
      <c r="A820" t="s">
        <v>423</v>
      </c>
      <c r="B820">
        <v>2015</v>
      </c>
      <c r="C820" t="s">
        <v>369</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COUNT(LifeExpectancyData[[#This Row],[Life expectancy]:[Schooling]])=19</f>
        <v>0</v>
      </c>
    </row>
    <row r="821" spans="1:23" x14ac:dyDescent="0.25">
      <c r="A821" t="s">
        <v>423</v>
      </c>
      <c r="B821">
        <v>2014</v>
      </c>
      <c r="C821" t="s">
        <v>369</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COUNT(LifeExpectancyData[[#This Row],[Life expectancy]:[Schooling]])=19</f>
        <v>1</v>
      </c>
    </row>
    <row r="822" spans="1:23" x14ac:dyDescent="0.25">
      <c r="A822" t="s">
        <v>423</v>
      </c>
      <c r="B822">
        <v>2013</v>
      </c>
      <c r="C822" t="s">
        <v>369</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COUNT(LifeExpectancyData[[#This Row],[Life expectancy]:[Schooling]])=19</f>
        <v>1</v>
      </c>
    </row>
    <row r="823" spans="1:23" x14ac:dyDescent="0.25">
      <c r="A823" t="s">
        <v>423</v>
      </c>
      <c r="B823">
        <v>2012</v>
      </c>
      <c r="C823" t="s">
        <v>369</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COUNT(LifeExpectancyData[[#This Row],[Life expectancy]:[Schooling]])=19</f>
        <v>1</v>
      </c>
    </row>
    <row r="824" spans="1:23" x14ac:dyDescent="0.25">
      <c r="A824" t="s">
        <v>423</v>
      </c>
      <c r="B824">
        <v>2011</v>
      </c>
      <c r="C824" t="s">
        <v>369</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COUNT(LifeExpectancyData[[#This Row],[Life expectancy]:[Schooling]])=19</f>
        <v>1</v>
      </c>
    </row>
    <row r="825" spans="1:23" x14ac:dyDescent="0.25">
      <c r="A825" t="s">
        <v>423</v>
      </c>
      <c r="B825">
        <v>2010</v>
      </c>
      <c r="C825" t="s">
        <v>369</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COUNT(LifeExpectancyData[[#This Row],[Life expectancy]:[Schooling]])=19</f>
        <v>1</v>
      </c>
    </row>
    <row r="826" spans="1:23" x14ac:dyDescent="0.25">
      <c r="A826" t="s">
        <v>423</v>
      </c>
      <c r="B826">
        <v>2009</v>
      </c>
      <c r="C826" t="s">
        <v>369</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COUNT(LifeExpectancyData[[#This Row],[Life expectancy]:[Schooling]])=19</f>
        <v>1</v>
      </c>
    </row>
    <row r="827" spans="1:23" x14ac:dyDescent="0.25">
      <c r="A827" t="s">
        <v>423</v>
      </c>
      <c r="B827">
        <v>2008</v>
      </c>
      <c r="C827" t="s">
        <v>369</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COUNT(LifeExpectancyData[[#This Row],[Life expectancy]:[Schooling]])=19</f>
        <v>1</v>
      </c>
    </row>
    <row r="828" spans="1:23" x14ac:dyDescent="0.25">
      <c r="A828" t="s">
        <v>423</v>
      </c>
      <c r="B828">
        <v>2007</v>
      </c>
      <c r="C828" t="s">
        <v>369</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COUNT(LifeExpectancyData[[#This Row],[Life expectancy]:[Schooling]])=19</f>
        <v>1</v>
      </c>
    </row>
    <row r="829" spans="1:23" x14ac:dyDescent="0.25">
      <c r="A829" t="s">
        <v>423</v>
      </c>
      <c r="B829">
        <v>2006</v>
      </c>
      <c r="C829" t="s">
        <v>369</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COUNT(LifeExpectancyData[[#This Row],[Life expectancy]:[Schooling]])=19</f>
        <v>1</v>
      </c>
    </row>
    <row r="830" spans="1:23" x14ac:dyDescent="0.25">
      <c r="A830" t="s">
        <v>423</v>
      </c>
      <c r="B830">
        <v>2005</v>
      </c>
      <c r="C830" t="s">
        <v>369</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COUNT(LifeExpectancyData[[#This Row],[Life expectancy]:[Schooling]])=19</f>
        <v>1</v>
      </c>
    </row>
    <row r="831" spans="1:23" x14ac:dyDescent="0.25">
      <c r="A831" t="s">
        <v>423</v>
      </c>
      <c r="B831">
        <v>2004</v>
      </c>
      <c r="C831" t="s">
        <v>369</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COUNT(LifeExpectancyData[[#This Row],[Life expectancy]:[Schooling]])=19</f>
        <v>1</v>
      </c>
    </row>
    <row r="832" spans="1:23" x14ac:dyDescent="0.25">
      <c r="A832" t="s">
        <v>423</v>
      </c>
      <c r="B832">
        <v>2003</v>
      </c>
      <c r="C832" t="s">
        <v>369</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COUNT(LifeExpectancyData[[#This Row],[Life expectancy]:[Schooling]])=19</f>
        <v>1</v>
      </c>
    </row>
    <row r="833" spans="1:23" x14ac:dyDescent="0.25">
      <c r="A833" t="s">
        <v>423</v>
      </c>
      <c r="B833">
        <v>2002</v>
      </c>
      <c r="C833" t="s">
        <v>369</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COUNT(LifeExpectancyData[[#This Row],[Life expectancy]:[Schooling]])=19</f>
        <v>1</v>
      </c>
    </row>
    <row r="834" spans="1:23" x14ac:dyDescent="0.25">
      <c r="A834" t="s">
        <v>423</v>
      </c>
      <c r="B834">
        <v>2001</v>
      </c>
      <c r="C834" t="s">
        <v>369</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COUNT(LifeExpectancyData[[#This Row],[Life expectancy]:[Schooling]])=19</f>
        <v>1</v>
      </c>
    </row>
    <row r="835" spans="1:23" x14ac:dyDescent="0.25">
      <c r="A835" t="s">
        <v>423</v>
      </c>
      <c r="B835">
        <v>2000</v>
      </c>
      <c r="C835" t="s">
        <v>369</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COUNT(LifeExpectancyData[[#This Row],[Life expectancy]:[Schooling]])=19</f>
        <v>1</v>
      </c>
    </row>
    <row r="836" spans="1:23" x14ac:dyDescent="0.25">
      <c r="A836" t="s">
        <v>424</v>
      </c>
      <c r="B836">
        <v>2015</v>
      </c>
      <c r="C836" t="s">
        <v>369</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COUNT(LifeExpectancyData[[#This Row],[Life expectancy]:[Schooling]])=19</f>
        <v>0</v>
      </c>
    </row>
    <row r="837" spans="1:23" x14ac:dyDescent="0.25">
      <c r="A837" t="s">
        <v>424</v>
      </c>
      <c r="B837">
        <v>2014</v>
      </c>
      <c r="C837" t="s">
        <v>369</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COUNT(LifeExpectancyData[[#This Row],[Life expectancy]:[Schooling]])=19</f>
        <v>1</v>
      </c>
    </row>
    <row r="838" spans="1:23" x14ac:dyDescent="0.25">
      <c r="A838" t="s">
        <v>424</v>
      </c>
      <c r="B838">
        <v>2013</v>
      </c>
      <c r="C838" t="s">
        <v>369</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COUNT(LifeExpectancyData[[#This Row],[Life expectancy]:[Schooling]])=19</f>
        <v>0</v>
      </c>
    </row>
    <row r="839" spans="1:23" x14ac:dyDescent="0.25">
      <c r="A839" t="s">
        <v>424</v>
      </c>
      <c r="B839">
        <v>2012</v>
      </c>
      <c r="C839" t="s">
        <v>369</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COUNT(LifeExpectancyData[[#This Row],[Life expectancy]:[Schooling]])=19</f>
        <v>0</v>
      </c>
    </row>
    <row r="840" spans="1:23" x14ac:dyDescent="0.25">
      <c r="A840" t="s">
        <v>424</v>
      </c>
      <c r="B840">
        <v>2011</v>
      </c>
      <c r="C840" t="s">
        <v>369</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COUNT(LifeExpectancyData[[#This Row],[Life expectancy]:[Schooling]])=19</f>
        <v>0</v>
      </c>
    </row>
    <row r="841" spans="1:23" x14ac:dyDescent="0.25">
      <c r="A841" t="s">
        <v>424</v>
      </c>
      <c r="B841">
        <v>2010</v>
      </c>
      <c r="C841" t="s">
        <v>369</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COUNT(LifeExpectancyData[[#This Row],[Life expectancy]:[Schooling]])=19</f>
        <v>0</v>
      </c>
    </row>
    <row r="842" spans="1:23" x14ac:dyDescent="0.25">
      <c r="A842" t="s">
        <v>424</v>
      </c>
      <c r="B842">
        <v>2009</v>
      </c>
      <c r="C842" t="s">
        <v>369</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COUNT(LifeExpectancyData[[#This Row],[Life expectancy]:[Schooling]])=19</f>
        <v>0</v>
      </c>
    </row>
    <row r="843" spans="1:23" x14ac:dyDescent="0.25">
      <c r="A843" t="s">
        <v>424</v>
      </c>
      <c r="B843">
        <v>2008</v>
      </c>
      <c r="C843" t="s">
        <v>369</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COUNT(LifeExpectancyData[[#This Row],[Life expectancy]:[Schooling]])=19</f>
        <v>0</v>
      </c>
    </row>
    <row r="844" spans="1:23" x14ac:dyDescent="0.25">
      <c r="A844" t="s">
        <v>424</v>
      </c>
      <c r="B844">
        <v>2007</v>
      </c>
      <c r="C844" t="s">
        <v>369</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COUNT(LifeExpectancyData[[#This Row],[Life expectancy]:[Schooling]])=19</f>
        <v>0</v>
      </c>
    </row>
    <row r="845" spans="1:23" x14ac:dyDescent="0.25">
      <c r="A845" t="s">
        <v>424</v>
      </c>
      <c r="B845">
        <v>2006</v>
      </c>
      <c r="C845" t="s">
        <v>369</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COUNT(LifeExpectancyData[[#This Row],[Life expectancy]:[Schooling]])=19</f>
        <v>0</v>
      </c>
    </row>
    <row r="846" spans="1:23" x14ac:dyDescent="0.25">
      <c r="A846" t="s">
        <v>424</v>
      </c>
      <c r="B846">
        <v>2005</v>
      </c>
      <c r="C846" t="s">
        <v>369</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COUNT(LifeExpectancyData[[#This Row],[Life expectancy]:[Schooling]])=19</f>
        <v>0</v>
      </c>
    </row>
    <row r="847" spans="1:23" x14ac:dyDescent="0.25">
      <c r="A847" t="s">
        <v>424</v>
      </c>
      <c r="B847">
        <v>2004</v>
      </c>
      <c r="C847" t="s">
        <v>369</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COUNT(LifeExpectancyData[[#This Row],[Life expectancy]:[Schooling]])=19</f>
        <v>0</v>
      </c>
    </row>
    <row r="848" spans="1:23" x14ac:dyDescent="0.25">
      <c r="A848" t="s">
        <v>424</v>
      </c>
      <c r="B848">
        <v>2003</v>
      </c>
      <c r="C848" t="s">
        <v>369</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COUNT(LifeExpectancyData[[#This Row],[Life expectancy]:[Schooling]])=19</f>
        <v>0</v>
      </c>
    </row>
    <row r="849" spans="1:23" x14ac:dyDescent="0.25">
      <c r="A849" t="s">
        <v>424</v>
      </c>
      <c r="B849">
        <v>2002</v>
      </c>
      <c r="C849" t="s">
        <v>369</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COUNT(LifeExpectancyData[[#This Row],[Life expectancy]:[Schooling]])=19</f>
        <v>0</v>
      </c>
    </row>
    <row r="850" spans="1:23" x14ac:dyDescent="0.25">
      <c r="A850" t="s">
        <v>424</v>
      </c>
      <c r="B850">
        <v>2001</v>
      </c>
      <c r="C850" t="s">
        <v>369</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COUNT(LifeExpectancyData[[#This Row],[Life expectancy]:[Schooling]])=19</f>
        <v>0</v>
      </c>
    </row>
    <row r="851" spans="1:23" x14ac:dyDescent="0.25">
      <c r="A851" t="s">
        <v>424</v>
      </c>
      <c r="B851">
        <v>2000</v>
      </c>
      <c r="C851" t="s">
        <v>369</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COUNT(LifeExpectancyData[[#This Row],[Life expectancy]:[Schooling]])=19</f>
        <v>0</v>
      </c>
    </row>
    <row r="852" spans="1:23" x14ac:dyDescent="0.25">
      <c r="A852" t="s">
        <v>425</v>
      </c>
      <c r="B852">
        <v>2015</v>
      </c>
      <c r="C852" t="s">
        <v>369</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COUNT(LifeExpectancyData[[#This Row],[Life expectancy]:[Schooling]])=19</f>
        <v>0</v>
      </c>
    </row>
    <row r="853" spans="1:23" x14ac:dyDescent="0.25">
      <c r="A853" t="s">
        <v>425</v>
      </c>
      <c r="B853">
        <v>2014</v>
      </c>
      <c r="C853" t="s">
        <v>369</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COUNT(LifeExpectancyData[[#This Row],[Life expectancy]:[Schooling]])=19</f>
        <v>0</v>
      </c>
    </row>
    <row r="854" spans="1:23" x14ac:dyDescent="0.25">
      <c r="A854" t="s">
        <v>425</v>
      </c>
      <c r="B854">
        <v>2013</v>
      </c>
      <c r="C854" t="s">
        <v>369</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COUNT(LifeExpectancyData[[#This Row],[Life expectancy]:[Schooling]])=19</f>
        <v>0</v>
      </c>
    </row>
    <row r="855" spans="1:23" x14ac:dyDescent="0.25">
      <c r="A855" t="s">
        <v>425</v>
      </c>
      <c r="B855">
        <v>2012</v>
      </c>
      <c r="C855" t="s">
        <v>369</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COUNT(LifeExpectancyData[[#This Row],[Life expectancy]:[Schooling]])=19</f>
        <v>0</v>
      </c>
    </row>
    <row r="856" spans="1:23" x14ac:dyDescent="0.25">
      <c r="A856" t="s">
        <v>425</v>
      </c>
      <c r="B856">
        <v>2011</v>
      </c>
      <c r="C856" t="s">
        <v>369</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COUNT(LifeExpectancyData[[#This Row],[Life expectancy]:[Schooling]])=19</f>
        <v>1</v>
      </c>
    </row>
    <row r="857" spans="1:23" x14ac:dyDescent="0.25">
      <c r="A857" t="s">
        <v>425</v>
      </c>
      <c r="B857">
        <v>2010</v>
      </c>
      <c r="C857" t="s">
        <v>369</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COUNT(LifeExpectancyData[[#This Row],[Life expectancy]:[Schooling]])=19</f>
        <v>1</v>
      </c>
    </row>
    <row r="858" spans="1:23" x14ac:dyDescent="0.25">
      <c r="A858" t="s">
        <v>425</v>
      </c>
      <c r="B858">
        <v>2009</v>
      </c>
      <c r="C858" t="s">
        <v>369</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COUNT(LifeExpectancyData[[#This Row],[Life expectancy]:[Schooling]])=19</f>
        <v>1</v>
      </c>
    </row>
    <row r="859" spans="1:23" x14ac:dyDescent="0.25">
      <c r="A859" t="s">
        <v>425</v>
      </c>
      <c r="B859">
        <v>2008</v>
      </c>
      <c r="C859" t="s">
        <v>369</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COUNT(LifeExpectancyData[[#This Row],[Life expectancy]:[Schooling]])=19</f>
        <v>1</v>
      </c>
    </row>
    <row r="860" spans="1:23" x14ac:dyDescent="0.25">
      <c r="A860" t="s">
        <v>425</v>
      </c>
      <c r="B860">
        <v>2007</v>
      </c>
      <c r="C860" t="s">
        <v>369</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COUNT(LifeExpectancyData[[#This Row],[Life expectancy]:[Schooling]])=19</f>
        <v>1</v>
      </c>
    </row>
    <row r="861" spans="1:23" x14ac:dyDescent="0.25">
      <c r="A861" t="s">
        <v>425</v>
      </c>
      <c r="B861">
        <v>2006</v>
      </c>
      <c r="C861" t="s">
        <v>369</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COUNT(LifeExpectancyData[[#This Row],[Life expectancy]:[Schooling]])=19</f>
        <v>1</v>
      </c>
    </row>
    <row r="862" spans="1:23" x14ac:dyDescent="0.25">
      <c r="A862" t="s">
        <v>425</v>
      </c>
      <c r="B862">
        <v>2005</v>
      </c>
      <c r="C862" t="s">
        <v>369</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COUNT(LifeExpectancyData[[#This Row],[Life expectancy]:[Schooling]])=19</f>
        <v>1</v>
      </c>
    </row>
    <row r="863" spans="1:23" x14ac:dyDescent="0.25">
      <c r="A863" t="s">
        <v>425</v>
      </c>
      <c r="B863">
        <v>2004</v>
      </c>
      <c r="C863" t="s">
        <v>369</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COUNT(LifeExpectancyData[[#This Row],[Life expectancy]:[Schooling]])=19</f>
        <v>1</v>
      </c>
    </row>
    <row r="864" spans="1:23" x14ac:dyDescent="0.25">
      <c r="A864" t="s">
        <v>425</v>
      </c>
      <c r="B864">
        <v>2003</v>
      </c>
      <c r="C864" t="s">
        <v>369</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COUNT(LifeExpectancyData[[#This Row],[Life expectancy]:[Schooling]])=19</f>
        <v>1</v>
      </c>
    </row>
    <row r="865" spans="1:23" x14ac:dyDescent="0.25">
      <c r="A865" t="s">
        <v>425</v>
      </c>
      <c r="B865">
        <v>2002</v>
      </c>
      <c r="C865" t="s">
        <v>369</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COUNT(LifeExpectancyData[[#This Row],[Life expectancy]:[Schooling]])=19</f>
        <v>1</v>
      </c>
    </row>
    <row r="866" spans="1:23" x14ac:dyDescent="0.25">
      <c r="A866" t="s">
        <v>425</v>
      </c>
      <c r="B866">
        <v>2001</v>
      </c>
      <c r="C866" t="s">
        <v>369</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COUNT(LifeExpectancyData[[#This Row],[Life expectancy]:[Schooling]])=19</f>
        <v>0</v>
      </c>
    </row>
    <row r="867" spans="1:23" x14ac:dyDescent="0.25">
      <c r="A867" t="s">
        <v>425</v>
      </c>
      <c r="B867">
        <v>2000</v>
      </c>
      <c r="C867" t="s">
        <v>369</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COUNT(LifeExpectancyData[[#This Row],[Life expectancy]:[Schooling]])=19</f>
        <v>0</v>
      </c>
    </row>
    <row r="868" spans="1:23" x14ac:dyDescent="0.25">
      <c r="A868" t="s">
        <v>426</v>
      </c>
      <c r="B868">
        <v>2015</v>
      </c>
      <c r="C868" t="s">
        <v>369</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COUNT(LifeExpectancyData[[#This Row],[Life expectancy]:[Schooling]])=19</f>
        <v>0</v>
      </c>
    </row>
    <row r="869" spans="1:23" x14ac:dyDescent="0.25">
      <c r="A869" t="s">
        <v>426</v>
      </c>
      <c r="B869">
        <v>2014</v>
      </c>
      <c r="C869" t="s">
        <v>369</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COUNT(LifeExpectancyData[[#This Row],[Life expectancy]:[Schooling]])=19</f>
        <v>1</v>
      </c>
    </row>
    <row r="870" spans="1:23" x14ac:dyDescent="0.25">
      <c r="A870" t="s">
        <v>426</v>
      </c>
      <c r="B870">
        <v>2013</v>
      </c>
      <c r="C870" t="s">
        <v>369</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COUNT(LifeExpectancyData[[#This Row],[Life expectancy]:[Schooling]])=19</f>
        <v>1</v>
      </c>
    </row>
    <row r="871" spans="1:23" x14ac:dyDescent="0.25">
      <c r="A871" t="s">
        <v>426</v>
      </c>
      <c r="B871">
        <v>2012</v>
      </c>
      <c r="C871" t="s">
        <v>369</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COUNT(LifeExpectancyData[[#This Row],[Life expectancy]:[Schooling]])=19</f>
        <v>1</v>
      </c>
    </row>
    <row r="872" spans="1:23" x14ac:dyDescent="0.25">
      <c r="A872" t="s">
        <v>426</v>
      </c>
      <c r="B872">
        <v>2011</v>
      </c>
      <c r="C872" t="s">
        <v>369</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COUNT(LifeExpectancyData[[#This Row],[Life expectancy]:[Schooling]])=19</f>
        <v>1</v>
      </c>
    </row>
    <row r="873" spans="1:23" x14ac:dyDescent="0.25">
      <c r="A873" t="s">
        <v>426</v>
      </c>
      <c r="B873">
        <v>2010</v>
      </c>
      <c r="C873" t="s">
        <v>369</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COUNT(LifeExpectancyData[[#This Row],[Life expectancy]:[Schooling]])=19</f>
        <v>1</v>
      </c>
    </row>
    <row r="874" spans="1:23" x14ac:dyDescent="0.25">
      <c r="A874" t="s">
        <v>426</v>
      </c>
      <c r="B874">
        <v>2009</v>
      </c>
      <c r="C874" t="s">
        <v>369</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COUNT(LifeExpectancyData[[#This Row],[Life expectancy]:[Schooling]])=19</f>
        <v>1</v>
      </c>
    </row>
    <row r="875" spans="1:23" x14ac:dyDescent="0.25">
      <c r="A875" t="s">
        <v>426</v>
      </c>
      <c r="B875">
        <v>2008</v>
      </c>
      <c r="C875" t="s">
        <v>369</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COUNT(LifeExpectancyData[[#This Row],[Life expectancy]:[Schooling]])=19</f>
        <v>1</v>
      </c>
    </row>
    <row r="876" spans="1:23" x14ac:dyDescent="0.25">
      <c r="A876" t="s">
        <v>426</v>
      </c>
      <c r="B876">
        <v>2007</v>
      </c>
      <c r="C876" t="s">
        <v>369</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COUNT(LifeExpectancyData[[#This Row],[Life expectancy]:[Schooling]])=19</f>
        <v>1</v>
      </c>
    </row>
    <row r="877" spans="1:23" x14ac:dyDescent="0.25">
      <c r="A877" t="s">
        <v>426</v>
      </c>
      <c r="B877">
        <v>2006</v>
      </c>
      <c r="C877" t="s">
        <v>369</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COUNT(LifeExpectancyData[[#This Row],[Life expectancy]:[Schooling]])=19</f>
        <v>1</v>
      </c>
    </row>
    <row r="878" spans="1:23" x14ac:dyDescent="0.25">
      <c r="A878" t="s">
        <v>426</v>
      </c>
      <c r="B878">
        <v>2005</v>
      </c>
      <c r="C878" t="s">
        <v>369</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COUNT(LifeExpectancyData[[#This Row],[Life expectancy]:[Schooling]])=19</f>
        <v>1</v>
      </c>
    </row>
    <row r="879" spans="1:23" x14ac:dyDescent="0.25">
      <c r="A879" t="s">
        <v>426</v>
      </c>
      <c r="B879">
        <v>2004</v>
      </c>
      <c r="C879" t="s">
        <v>369</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COUNT(LifeExpectancyData[[#This Row],[Life expectancy]:[Schooling]])=19</f>
        <v>1</v>
      </c>
    </row>
    <row r="880" spans="1:23" x14ac:dyDescent="0.25">
      <c r="A880" t="s">
        <v>426</v>
      </c>
      <c r="B880">
        <v>2003</v>
      </c>
      <c r="C880" t="s">
        <v>369</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COUNT(LifeExpectancyData[[#This Row],[Life expectancy]:[Schooling]])=19</f>
        <v>0</v>
      </c>
    </row>
    <row r="881" spans="1:23" x14ac:dyDescent="0.25">
      <c r="A881" t="s">
        <v>426</v>
      </c>
      <c r="B881">
        <v>2002</v>
      </c>
      <c r="C881" t="s">
        <v>369</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COUNT(LifeExpectancyData[[#This Row],[Life expectancy]:[Schooling]])=19</f>
        <v>0</v>
      </c>
    </row>
    <row r="882" spans="1:23" x14ac:dyDescent="0.25">
      <c r="A882" t="s">
        <v>426</v>
      </c>
      <c r="B882">
        <v>2001</v>
      </c>
      <c r="C882" t="s">
        <v>369</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COUNT(LifeExpectancyData[[#This Row],[Life expectancy]:[Schooling]])=19</f>
        <v>0</v>
      </c>
    </row>
    <row r="883" spans="1:23" x14ac:dyDescent="0.25">
      <c r="A883" t="s">
        <v>426</v>
      </c>
      <c r="B883">
        <v>2000</v>
      </c>
      <c r="C883" t="s">
        <v>369</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COUNT(LifeExpectancyData[[#This Row],[Life expectancy]:[Schooling]])=19</f>
        <v>0</v>
      </c>
    </row>
    <row r="884" spans="1:23" x14ac:dyDescent="0.25">
      <c r="A884" t="s">
        <v>427</v>
      </c>
      <c r="B884">
        <v>2015</v>
      </c>
      <c r="C884" t="s">
        <v>369</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COUNT(LifeExpectancyData[[#This Row],[Life expectancy]:[Schooling]])=19</f>
        <v>0</v>
      </c>
    </row>
    <row r="885" spans="1:23" x14ac:dyDescent="0.25">
      <c r="A885" t="s">
        <v>427</v>
      </c>
      <c r="B885">
        <v>2014</v>
      </c>
      <c r="C885" t="s">
        <v>369</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COUNT(LifeExpectancyData[[#This Row],[Life expectancy]:[Schooling]])=19</f>
        <v>1</v>
      </c>
    </row>
    <row r="886" spans="1:23" x14ac:dyDescent="0.25">
      <c r="A886" t="s">
        <v>427</v>
      </c>
      <c r="B886">
        <v>2013</v>
      </c>
      <c r="C886" t="s">
        <v>369</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COUNT(LifeExpectancyData[[#This Row],[Life expectancy]:[Schooling]])=19</f>
        <v>1</v>
      </c>
    </row>
    <row r="887" spans="1:23" x14ac:dyDescent="0.25">
      <c r="A887" t="s">
        <v>427</v>
      </c>
      <c r="B887">
        <v>2012</v>
      </c>
      <c r="C887" t="s">
        <v>369</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COUNT(LifeExpectancyData[[#This Row],[Life expectancy]:[Schooling]])=19</f>
        <v>1</v>
      </c>
    </row>
    <row r="888" spans="1:23" x14ac:dyDescent="0.25">
      <c r="A888" t="s">
        <v>427</v>
      </c>
      <c r="B888">
        <v>2011</v>
      </c>
      <c r="C888" t="s">
        <v>369</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COUNT(LifeExpectancyData[[#This Row],[Life expectancy]:[Schooling]])=19</f>
        <v>1</v>
      </c>
    </row>
    <row r="889" spans="1:23" x14ac:dyDescent="0.25">
      <c r="A889" t="s">
        <v>427</v>
      </c>
      <c r="B889">
        <v>2010</v>
      </c>
      <c r="C889" t="s">
        <v>369</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COUNT(LifeExpectancyData[[#This Row],[Life expectancy]:[Schooling]])=19</f>
        <v>1</v>
      </c>
    </row>
    <row r="890" spans="1:23" x14ac:dyDescent="0.25">
      <c r="A890" t="s">
        <v>427</v>
      </c>
      <c r="B890">
        <v>2009</v>
      </c>
      <c r="C890" t="s">
        <v>369</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COUNT(LifeExpectancyData[[#This Row],[Life expectancy]:[Schooling]])=19</f>
        <v>1</v>
      </c>
    </row>
    <row r="891" spans="1:23" x14ac:dyDescent="0.25">
      <c r="A891" t="s">
        <v>427</v>
      </c>
      <c r="B891">
        <v>2008</v>
      </c>
      <c r="C891" t="s">
        <v>369</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COUNT(LifeExpectancyData[[#This Row],[Life expectancy]:[Schooling]])=19</f>
        <v>1</v>
      </c>
    </row>
    <row r="892" spans="1:23" x14ac:dyDescent="0.25">
      <c r="A892" t="s">
        <v>427</v>
      </c>
      <c r="B892">
        <v>2007</v>
      </c>
      <c r="C892" t="s">
        <v>369</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COUNT(LifeExpectancyData[[#This Row],[Life expectancy]:[Schooling]])=19</f>
        <v>1</v>
      </c>
    </row>
    <row r="893" spans="1:23" x14ac:dyDescent="0.25">
      <c r="A893" t="s">
        <v>427</v>
      </c>
      <c r="B893">
        <v>2006</v>
      </c>
      <c r="C893" t="s">
        <v>369</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COUNT(LifeExpectancyData[[#This Row],[Life expectancy]:[Schooling]])=19</f>
        <v>0</v>
      </c>
    </row>
    <row r="894" spans="1:23" x14ac:dyDescent="0.25">
      <c r="A894" t="s">
        <v>427</v>
      </c>
      <c r="B894">
        <v>2005</v>
      </c>
      <c r="C894" t="s">
        <v>369</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COUNT(LifeExpectancyData[[#This Row],[Life expectancy]:[Schooling]])=19</f>
        <v>0</v>
      </c>
    </row>
    <row r="895" spans="1:23" x14ac:dyDescent="0.25">
      <c r="A895" t="s">
        <v>427</v>
      </c>
      <c r="B895">
        <v>2004</v>
      </c>
      <c r="C895" t="s">
        <v>369</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COUNT(LifeExpectancyData[[#This Row],[Life expectancy]:[Schooling]])=19</f>
        <v>0</v>
      </c>
    </row>
    <row r="896" spans="1:23" x14ac:dyDescent="0.25">
      <c r="A896" t="s">
        <v>427</v>
      </c>
      <c r="B896">
        <v>2003</v>
      </c>
      <c r="C896" t="s">
        <v>369</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COUNT(LifeExpectancyData[[#This Row],[Life expectancy]:[Schooling]])=19</f>
        <v>0</v>
      </c>
    </row>
    <row r="897" spans="1:23" x14ac:dyDescent="0.25">
      <c r="A897" t="s">
        <v>427</v>
      </c>
      <c r="B897">
        <v>2002</v>
      </c>
      <c r="C897" t="s">
        <v>369</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COUNT(LifeExpectancyData[[#This Row],[Life expectancy]:[Schooling]])=19</f>
        <v>0</v>
      </c>
    </row>
    <row r="898" spans="1:23" x14ac:dyDescent="0.25">
      <c r="A898" t="s">
        <v>427</v>
      </c>
      <c r="B898">
        <v>2001</v>
      </c>
      <c r="C898" t="s">
        <v>369</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COUNT(LifeExpectancyData[[#This Row],[Life expectancy]:[Schooling]])=19</f>
        <v>0</v>
      </c>
    </row>
    <row r="899" spans="1:23" x14ac:dyDescent="0.25">
      <c r="A899" t="s">
        <v>427</v>
      </c>
      <c r="B899">
        <v>2000</v>
      </c>
      <c r="C899" t="s">
        <v>369</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COUNT(LifeExpectancyData[[#This Row],[Life expectancy]:[Schooling]])=19</f>
        <v>0</v>
      </c>
    </row>
    <row r="900" spans="1:23" x14ac:dyDescent="0.25">
      <c r="A900" t="s">
        <v>428</v>
      </c>
      <c r="B900">
        <v>2015</v>
      </c>
      <c r="C900" t="s">
        <v>369</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COUNT(LifeExpectancyData[[#This Row],[Life expectancy]:[Schooling]])=19</f>
        <v>0</v>
      </c>
    </row>
    <row r="901" spans="1:23" x14ac:dyDescent="0.25">
      <c r="A901" t="s">
        <v>428</v>
      </c>
      <c r="B901">
        <v>2014</v>
      </c>
      <c r="C901" t="s">
        <v>369</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COUNT(LifeExpectancyData[[#This Row],[Life expectancy]:[Schooling]])=19</f>
        <v>1</v>
      </c>
    </row>
    <row r="902" spans="1:23" x14ac:dyDescent="0.25">
      <c r="A902" t="s">
        <v>428</v>
      </c>
      <c r="B902">
        <v>2013</v>
      </c>
      <c r="C902" t="s">
        <v>369</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COUNT(LifeExpectancyData[[#This Row],[Life expectancy]:[Schooling]])=19</f>
        <v>1</v>
      </c>
    </row>
    <row r="903" spans="1:23" x14ac:dyDescent="0.25">
      <c r="A903" t="s">
        <v>428</v>
      </c>
      <c r="B903">
        <v>2012</v>
      </c>
      <c r="C903" t="s">
        <v>369</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COUNT(LifeExpectancyData[[#This Row],[Life expectancy]:[Schooling]])=19</f>
        <v>1</v>
      </c>
    </row>
    <row r="904" spans="1:23" x14ac:dyDescent="0.25">
      <c r="A904" t="s">
        <v>428</v>
      </c>
      <c r="B904">
        <v>2011</v>
      </c>
      <c r="C904" t="s">
        <v>369</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COUNT(LifeExpectancyData[[#This Row],[Life expectancy]:[Schooling]])=19</f>
        <v>1</v>
      </c>
    </row>
    <row r="905" spans="1:23" x14ac:dyDescent="0.25">
      <c r="A905" t="s">
        <v>428</v>
      </c>
      <c r="B905">
        <v>2010</v>
      </c>
      <c r="C905" t="s">
        <v>369</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COUNT(LifeExpectancyData[[#This Row],[Life expectancy]:[Schooling]])=19</f>
        <v>1</v>
      </c>
    </row>
    <row r="906" spans="1:23" x14ac:dyDescent="0.25">
      <c r="A906" t="s">
        <v>428</v>
      </c>
      <c r="B906">
        <v>2009</v>
      </c>
      <c r="C906" t="s">
        <v>369</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COUNT(LifeExpectancyData[[#This Row],[Life expectancy]:[Schooling]])=19</f>
        <v>1</v>
      </c>
    </row>
    <row r="907" spans="1:23" x14ac:dyDescent="0.25">
      <c r="A907" t="s">
        <v>428</v>
      </c>
      <c r="B907">
        <v>2008</v>
      </c>
      <c r="C907" t="s">
        <v>369</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COUNT(LifeExpectancyData[[#This Row],[Life expectancy]:[Schooling]])=19</f>
        <v>1</v>
      </c>
    </row>
    <row r="908" spans="1:23" x14ac:dyDescent="0.25">
      <c r="A908" t="s">
        <v>428</v>
      </c>
      <c r="B908">
        <v>2007</v>
      </c>
      <c r="C908" t="s">
        <v>369</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COUNT(LifeExpectancyData[[#This Row],[Life expectancy]:[Schooling]])=19</f>
        <v>1</v>
      </c>
    </row>
    <row r="909" spans="1:23" x14ac:dyDescent="0.25">
      <c r="A909" t="s">
        <v>428</v>
      </c>
      <c r="B909">
        <v>2006</v>
      </c>
      <c r="C909" t="s">
        <v>369</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COUNT(LifeExpectancyData[[#This Row],[Life expectancy]:[Schooling]])=19</f>
        <v>1</v>
      </c>
    </row>
    <row r="910" spans="1:23" x14ac:dyDescent="0.25">
      <c r="A910" t="s">
        <v>428</v>
      </c>
      <c r="B910">
        <v>2005</v>
      </c>
      <c r="C910" t="s">
        <v>369</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COUNT(LifeExpectancyData[[#This Row],[Life expectancy]:[Schooling]])=19</f>
        <v>1</v>
      </c>
    </row>
    <row r="911" spans="1:23" x14ac:dyDescent="0.25">
      <c r="A911" t="s">
        <v>428</v>
      </c>
      <c r="B911">
        <v>2004</v>
      </c>
      <c r="C911" t="s">
        <v>369</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COUNT(LifeExpectancyData[[#This Row],[Life expectancy]:[Schooling]])=19</f>
        <v>1</v>
      </c>
    </row>
    <row r="912" spans="1:23" x14ac:dyDescent="0.25">
      <c r="A912" t="s">
        <v>428</v>
      </c>
      <c r="B912">
        <v>2003</v>
      </c>
      <c r="C912" t="s">
        <v>369</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COUNT(LifeExpectancyData[[#This Row],[Life expectancy]:[Schooling]])=19</f>
        <v>1</v>
      </c>
    </row>
    <row r="913" spans="1:23" x14ac:dyDescent="0.25">
      <c r="A913" t="s">
        <v>428</v>
      </c>
      <c r="B913">
        <v>2002</v>
      </c>
      <c r="C913" t="s">
        <v>369</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COUNT(LifeExpectancyData[[#This Row],[Life expectancy]:[Schooling]])=19</f>
        <v>1</v>
      </c>
    </row>
    <row r="914" spans="1:23" x14ac:dyDescent="0.25">
      <c r="A914" t="s">
        <v>428</v>
      </c>
      <c r="B914">
        <v>2001</v>
      </c>
      <c r="C914" t="s">
        <v>369</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COUNT(LifeExpectancyData[[#This Row],[Life expectancy]:[Schooling]])=19</f>
        <v>1</v>
      </c>
    </row>
    <row r="915" spans="1:23" x14ac:dyDescent="0.25">
      <c r="A915" t="s">
        <v>428</v>
      </c>
      <c r="B915">
        <v>2000</v>
      </c>
      <c r="C915" t="s">
        <v>369</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COUNT(LifeExpectancyData[[#This Row],[Life expectancy]:[Schooling]])=19</f>
        <v>1</v>
      </c>
    </row>
    <row r="916" spans="1:23" x14ac:dyDescent="0.25">
      <c r="A916" t="s">
        <v>429</v>
      </c>
      <c r="B916">
        <v>2015</v>
      </c>
      <c r="C916" t="s">
        <v>369</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COUNT(LifeExpectancyData[[#This Row],[Life expectancy]:[Schooling]])=19</f>
        <v>0</v>
      </c>
    </row>
    <row r="917" spans="1:23" x14ac:dyDescent="0.25">
      <c r="A917" t="s">
        <v>429</v>
      </c>
      <c r="B917">
        <v>2014</v>
      </c>
      <c r="C917" t="s">
        <v>369</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COUNT(LifeExpectancyData[[#This Row],[Life expectancy]:[Schooling]])=19</f>
        <v>0</v>
      </c>
    </row>
    <row r="918" spans="1:23" x14ac:dyDescent="0.25">
      <c r="A918" t="s">
        <v>429</v>
      </c>
      <c r="B918">
        <v>2013</v>
      </c>
      <c r="C918" t="s">
        <v>369</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COUNT(LifeExpectancyData[[#This Row],[Life expectancy]:[Schooling]])=19</f>
        <v>0</v>
      </c>
    </row>
    <row r="919" spans="1:23" x14ac:dyDescent="0.25">
      <c r="A919" t="s">
        <v>429</v>
      </c>
      <c r="B919">
        <v>2012</v>
      </c>
      <c r="C919" t="s">
        <v>369</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COUNT(LifeExpectancyData[[#This Row],[Life expectancy]:[Schooling]])=19</f>
        <v>0</v>
      </c>
    </row>
    <row r="920" spans="1:23" x14ac:dyDescent="0.25">
      <c r="A920" t="s">
        <v>429</v>
      </c>
      <c r="B920">
        <v>2011</v>
      </c>
      <c r="C920" t="s">
        <v>369</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COUNT(LifeExpectancyData[[#This Row],[Life expectancy]:[Schooling]])=19</f>
        <v>0</v>
      </c>
    </row>
    <row r="921" spans="1:23" x14ac:dyDescent="0.25">
      <c r="A921" t="s">
        <v>429</v>
      </c>
      <c r="B921">
        <v>2010</v>
      </c>
      <c r="C921" t="s">
        <v>369</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COUNT(LifeExpectancyData[[#This Row],[Life expectancy]:[Schooling]])=19</f>
        <v>0</v>
      </c>
    </row>
    <row r="922" spans="1:23" x14ac:dyDescent="0.25">
      <c r="A922" t="s">
        <v>429</v>
      </c>
      <c r="B922">
        <v>2009</v>
      </c>
      <c r="C922" t="s">
        <v>369</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COUNT(LifeExpectancyData[[#This Row],[Life expectancy]:[Schooling]])=19</f>
        <v>0</v>
      </c>
    </row>
    <row r="923" spans="1:23" x14ac:dyDescent="0.25">
      <c r="A923" t="s">
        <v>429</v>
      </c>
      <c r="B923">
        <v>2008</v>
      </c>
      <c r="C923" t="s">
        <v>369</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COUNT(LifeExpectancyData[[#This Row],[Life expectancy]:[Schooling]])=19</f>
        <v>0</v>
      </c>
    </row>
    <row r="924" spans="1:23" x14ac:dyDescent="0.25">
      <c r="A924" t="s">
        <v>429</v>
      </c>
      <c r="B924">
        <v>2007</v>
      </c>
      <c r="C924" t="s">
        <v>369</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COUNT(LifeExpectancyData[[#This Row],[Life expectancy]:[Schooling]])=19</f>
        <v>0</v>
      </c>
    </row>
    <row r="925" spans="1:23" x14ac:dyDescent="0.25">
      <c r="A925" t="s">
        <v>429</v>
      </c>
      <c r="B925">
        <v>2006</v>
      </c>
      <c r="C925" t="s">
        <v>369</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COUNT(LifeExpectancyData[[#This Row],[Life expectancy]:[Schooling]])=19</f>
        <v>0</v>
      </c>
    </row>
    <row r="926" spans="1:23" x14ac:dyDescent="0.25">
      <c r="A926" t="s">
        <v>429</v>
      </c>
      <c r="B926">
        <v>2005</v>
      </c>
      <c r="C926" t="s">
        <v>369</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COUNT(LifeExpectancyData[[#This Row],[Life expectancy]:[Schooling]])=19</f>
        <v>0</v>
      </c>
    </row>
    <row r="927" spans="1:23" x14ac:dyDescent="0.25">
      <c r="A927" t="s">
        <v>429</v>
      </c>
      <c r="B927">
        <v>2004</v>
      </c>
      <c r="C927" t="s">
        <v>369</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COUNT(LifeExpectancyData[[#This Row],[Life expectancy]:[Schooling]])=19</f>
        <v>0</v>
      </c>
    </row>
    <row r="928" spans="1:23" x14ac:dyDescent="0.25">
      <c r="A928" t="s">
        <v>429</v>
      </c>
      <c r="B928">
        <v>2003</v>
      </c>
      <c r="C928" t="s">
        <v>369</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COUNT(LifeExpectancyData[[#This Row],[Life expectancy]:[Schooling]])=19</f>
        <v>0</v>
      </c>
    </row>
    <row r="929" spans="1:23" x14ac:dyDescent="0.25">
      <c r="A929" t="s">
        <v>429</v>
      </c>
      <c r="B929">
        <v>2002</v>
      </c>
      <c r="C929" t="s">
        <v>369</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COUNT(LifeExpectancyData[[#This Row],[Life expectancy]:[Schooling]])=19</f>
        <v>0</v>
      </c>
    </row>
    <row r="930" spans="1:23" x14ac:dyDescent="0.25">
      <c r="A930" t="s">
        <v>429</v>
      </c>
      <c r="B930">
        <v>2001</v>
      </c>
      <c r="C930" t="s">
        <v>369</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COUNT(LifeExpectancyData[[#This Row],[Life expectancy]:[Schooling]])=19</f>
        <v>0</v>
      </c>
    </row>
    <row r="931" spans="1:23" x14ac:dyDescent="0.25">
      <c r="A931" t="s">
        <v>429</v>
      </c>
      <c r="B931">
        <v>2000</v>
      </c>
      <c r="C931" t="s">
        <v>369</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COUNT(LifeExpectancyData[[#This Row],[Life expectancy]:[Schooling]])=19</f>
        <v>0</v>
      </c>
    </row>
    <row r="932" spans="1:23" x14ac:dyDescent="0.25">
      <c r="A932" t="s">
        <v>430</v>
      </c>
      <c r="B932">
        <v>2015</v>
      </c>
      <c r="C932" t="s">
        <v>369</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COUNT(LifeExpectancyData[[#This Row],[Life expectancy]:[Schooling]])=19</f>
        <v>0</v>
      </c>
    </row>
    <row r="933" spans="1:23" x14ac:dyDescent="0.25">
      <c r="A933" t="s">
        <v>430</v>
      </c>
      <c r="B933">
        <v>2014</v>
      </c>
      <c r="C933" t="s">
        <v>369</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COUNT(LifeExpectancyData[[#This Row],[Life expectancy]:[Schooling]])=19</f>
        <v>1</v>
      </c>
    </row>
    <row r="934" spans="1:23" x14ac:dyDescent="0.25">
      <c r="A934" t="s">
        <v>430</v>
      </c>
      <c r="B934">
        <v>2013</v>
      </c>
      <c r="C934" t="s">
        <v>369</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COUNT(LifeExpectancyData[[#This Row],[Life expectancy]:[Schooling]])=19</f>
        <v>1</v>
      </c>
    </row>
    <row r="935" spans="1:23" x14ac:dyDescent="0.25">
      <c r="A935" t="s">
        <v>430</v>
      </c>
      <c r="B935">
        <v>2012</v>
      </c>
      <c r="C935" t="s">
        <v>369</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COUNT(LifeExpectancyData[[#This Row],[Life expectancy]:[Schooling]])=19</f>
        <v>1</v>
      </c>
    </row>
    <row r="936" spans="1:23" x14ac:dyDescent="0.25">
      <c r="A936" t="s">
        <v>430</v>
      </c>
      <c r="B936">
        <v>2011</v>
      </c>
      <c r="C936" t="s">
        <v>369</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COUNT(LifeExpectancyData[[#This Row],[Life expectancy]:[Schooling]])=19</f>
        <v>1</v>
      </c>
    </row>
    <row r="937" spans="1:23" x14ac:dyDescent="0.25">
      <c r="A937" t="s">
        <v>430</v>
      </c>
      <c r="B937">
        <v>2010</v>
      </c>
      <c r="C937" t="s">
        <v>369</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COUNT(LifeExpectancyData[[#This Row],[Life expectancy]:[Schooling]])=19</f>
        <v>1</v>
      </c>
    </row>
    <row r="938" spans="1:23" x14ac:dyDescent="0.25">
      <c r="A938" t="s">
        <v>430</v>
      </c>
      <c r="B938">
        <v>2009</v>
      </c>
      <c r="C938" t="s">
        <v>369</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COUNT(LifeExpectancyData[[#This Row],[Life expectancy]:[Schooling]])=19</f>
        <v>1</v>
      </c>
    </row>
    <row r="939" spans="1:23" x14ac:dyDescent="0.25">
      <c r="A939" t="s">
        <v>430</v>
      </c>
      <c r="B939">
        <v>2008</v>
      </c>
      <c r="C939" t="s">
        <v>369</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COUNT(LifeExpectancyData[[#This Row],[Life expectancy]:[Schooling]])=19</f>
        <v>1</v>
      </c>
    </row>
    <row r="940" spans="1:23" x14ac:dyDescent="0.25">
      <c r="A940" t="s">
        <v>430</v>
      </c>
      <c r="B940">
        <v>2007</v>
      </c>
      <c r="C940" t="s">
        <v>369</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COUNT(LifeExpectancyData[[#This Row],[Life expectancy]:[Schooling]])=19</f>
        <v>1</v>
      </c>
    </row>
    <row r="941" spans="1:23" x14ac:dyDescent="0.25">
      <c r="A941" t="s">
        <v>430</v>
      </c>
      <c r="B941">
        <v>2006</v>
      </c>
      <c r="C941" t="s">
        <v>369</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COUNT(LifeExpectancyData[[#This Row],[Life expectancy]:[Schooling]])=19</f>
        <v>1</v>
      </c>
    </row>
    <row r="942" spans="1:23" x14ac:dyDescent="0.25">
      <c r="A942" t="s">
        <v>430</v>
      </c>
      <c r="B942">
        <v>2005</v>
      </c>
      <c r="C942" t="s">
        <v>369</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COUNT(LifeExpectancyData[[#This Row],[Life expectancy]:[Schooling]])=19</f>
        <v>1</v>
      </c>
    </row>
    <row r="943" spans="1:23" x14ac:dyDescent="0.25">
      <c r="A943" t="s">
        <v>430</v>
      </c>
      <c r="B943">
        <v>2004</v>
      </c>
      <c r="C943" t="s">
        <v>369</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COUNT(LifeExpectancyData[[#This Row],[Life expectancy]:[Schooling]])=19</f>
        <v>1</v>
      </c>
    </row>
    <row r="944" spans="1:23" x14ac:dyDescent="0.25">
      <c r="A944" t="s">
        <v>430</v>
      </c>
      <c r="B944">
        <v>2003</v>
      </c>
      <c r="C944" t="s">
        <v>369</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COUNT(LifeExpectancyData[[#This Row],[Life expectancy]:[Schooling]])=19</f>
        <v>1</v>
      </c>
    </row>
    <row r="945" spans="1:23" x14ac:dyDescent="0.25">
      <c r="A945" t="s">
        <v>430</v>
      </c>
      <c r="B945">
        <v>2002</v>
      </c>
      <c r="C945" t="s">
        <v>369</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COUNT(LifeExpectancyData[[#This Row],[Life expectancy]:[Schooling]])=19</f>
        <v>1</v>
      </c>
    </row>
    <row r="946" spans="1:23" x14ac:dyDescent="0.25">
      <c r="A946" t="s">
        <v>430</v>
      </c>
      <c r="B946">
        <v>2001</v>
      </c>
      <c r="C946" t="s">
        <v>369</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COUNT(LifeExpectancyData[[#This Row],[Life expectancy]:[Schooling]])=19</f>
        <v>1</v>
      </c>
    </row>
    <row r="947" spans="1:23" x14ac:dyDescent="0.25">
      <c r="A947" t="s">
        <v>430</v>
      </c>
      <c r="B947">
        <v>2000</v>
      </c>
      <c r="C947" t="s">
        <v>369</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COUNT(LifeExpectancyData[[#This Row],[Life expectancy]:[Schooling]])=19</f>
        <v>1</v>
      </c>
    </row>
    <row r="948" spans="1:23" x14ac:dyDescent="0.25">
      <c r="A948" t="s">
        <v>431</v>
      </c>
      <c r="B948">
        <v>2015</v>
      </c>
      <c r="C948" t="s">
        <v>369</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COUNT(LifeExpectancyData[[#This Row],[Life expectancy]:[Schooling]])=19</f>
        <v>0</v>
      </c>
    </row>
    <row r="949" spans="1:23" x14ac:dyDescent="0.25">
      <c r="A949" t="s">
        <v>431</v>
      </c>
      <c r="B949">
        <v>2014</v>
      </c>
      <c r="C949" t="s">
        <v>369</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COUNT(LifeExpectancyData[[#This Row],[Life expectancy]:[Schooling]])=19</f>
        <v>1</v>
      </c>
    </row>
    <row r="950" spans="1:23" x14ac:dyDescent="0.25">
      <c r="A950" t="s">
        <v>431</v>
      </c>
      <c r="B950">
        <v>2013</v>
      </c>
      <c r="C950" t="s">
        <v>369</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COUNT(LifeExpectancyData[[#This Row],[Life expectancy]:[Schooling]])=19</f>
        <v>1</v>
      </c>
    </row>
    <row r="951" spans="1:23" x14ac:dyDescent="0.25">
      <c r="A951" t="s">
        <v>431</v>
      </c>
      <c r="B951">
        <v>2012</v>
      </c>
      <c r="C951" t="s">
        <v>369</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COUNT(LifeExpectancyData[[#This Row],[Life expectancy]:[Schooling]])=19</f>
        <v>1</v>
      </c>
    </row>
    <row r="952" spans="1:23" x14ac:dyDescent="0.25">
      <c r="A952" t="s">
        <v>431</v>
      </c>
      <c r="B952">
        <v>2011</v>
      </c>
      <c r="C952" t="s">
        <v>369</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COUNT(LifeExpectancyData[[#This Row],[Life expectancy]:[Schooling]])=19</f>
        <v>1</v>
      </c>
    </row>
    <row r="953" spans="1:23" x14ac:dyDescent="0.25">
      <c r="A953" t="s">
        <v>431</v>
      </c>
      <c r="B953">
        <v>2010</v>
      </c>
      <c r="C953" t="s">
        <v>369</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COUNT(LifeExpectancyData[[#This Row],[Life expectancy]:[Schooling]])=19</f>
        <v>1</v>
      </c>
    </row>
    <row r="954" spans="1:23" x14ac:dyDescent="0.25">
      <c r="A954" t="s">
        <v>431</v>
      </c>
      <c r="B954">
        <v>2009</v>
      </c>
      <c r="C954" t="s">
        <v>369</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COUNT(LifeExpectancyData[[#This Row],[Life expectancy]:[Schooling]])=19</f>
        <v>1</v>
      </c>
    </row>
    <row r="955" spans="1:23" x14ac:dyDescent="0.25">
      <c r="A955" t="s">
        <v>431</v>
      </c>
      <c r="B955">
        <v>2008</v>
      </c>
      <c r="C955" t="s">
        <v>369</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COUNT(LifeExpectancyData[[#This Row],[Life expectancy]:[Schooling]])=19</f>
        <v>1</v>
      </c>
    </row>
    <row r="956" spans="1:23" x14ac:dyDescent="0.25">
      <c r="A956" t="s">
        <v>431</v>
      </c>
      <c r="B956">
        <v>2007</v>
      </c>
      <c r="C956" t="s">
        <v>369</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COUNT(LifeExpectancyData[[#This Row],[Life expectancy]:[Schooling]])=19</f>
        <v>1</v>
      </c>
    </row>
    <row r="957" spans="1:23" x14ac:dyDescent="0.25">
      <c r="A957" t="s">
        <v>431</v>
      </c>
      <c r="B957">
        <v>2006</v>
      </c>
      <c r="C957" t="s">
        <v>369</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COUNT(LifeExpectancyData[[#This Row],[Life expectancy]:[Schooling]])=19</f>
        <v>1</v>
      </c>
    </row>
    <row r="958" spans="1:23" x14ac:dyDescent="0.25">
      <c r="A958" t="s">
        <v>431</v>
      </c>
      <c r="B958">
        <v>2005</v>
      </c>
      <c r="C958" t="s">
        <v>369</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COUNT(LifeExpectancyData[[#This Row],[Life expectancy]:[Schooling]])=19</f>
        <v>1</v>
      </c>
    </row>
    <row r="959" spans="1:23" x14ac:dyDescent="0.25">
      <c r="A959" t="s">
        <v>431</v>
      </c>
      <c r="B959">
        <v>2004</v>
      </c>
      <c r="C959" t="s">
        <v>369</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COUNT(LifeExpectancyData[[#This Row],[Life expectancy]:[Schooling]])=19</f>
        <v>0</v>
      </c>
    </row>
    <row r="960" spans="1:23" x14ac:dyDescent="0.25">
      <c r="A960" t="s">
        <v>431</v>
      </c>
      <c r="B960">
        <v>2003</v>
      </c>
      <c r="C960" t="s">
        <v>369</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COUNT(LifeExpectancyData[[#This Row],[Life expectancy]:[Schooling]])=19</f>
        <v>0</v>
      </c>
    </row>
    <row r="961" spans="1:23" x14ac:dyDescent="0.25">
      <c r="A961" t="s">
        <v>431</v>
      </c>
      <c r="B961">
        <v>2002</v>
      </c>
      <c r="C961" t="s">
        <v>369</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COUNT(LifeExpectancyData[[#This Row],[Life expectancy]:[Schooling]])=19</f>
        <v>0</v>
      </c>
    </row>
    <row r="962" spans="1:23" x14ac:dyDescent="0.25">
      <c r="A962" t="s">
        <v>431</v>
      </c>
      <c r="B962">
        <v>2001</v>
      </c>
      <c r="C962" t="s">
        <v>369</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COUNT(LifeExpectancyData[[#This Row],[Life expectancy]:[Schooling]])=19</f>
        <v>0</v>
      </c>
    </row>
    <row r="963" spans="1:23" x14ac:dyDescent="0.25">
      <c r="A963" t="s">
        <v>431</v>
      </c>
      <c r="B963">
        <v>2000</v>
      </c>
      <c r="C963" t="s">
        <v>369</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COUNT(LifeExpectancyData[[#This Row],[Life expectancy]:[Schooling]])=19</f>
        <v>0</v>
      </c>
    </row>
    <row r="964" spans="1:23" x14ac:dyDescent="0.25">
      <c r="A964" t="s">
        <v>432</v>
      </c>
      <c r="B964">
        <v>2015</v>
      </c>
      <c r="C964" t="s">
        <v>369</v>
      </c>
      <c r="D964">
        <v>61.1</v>
      </c>
      <c r="E964">
        <v>262</v>
      </c>
      <c r="F964">
        <v>3</v>
      </c>
      <c r="H964">
        <v>0</v>
      </c>
      <c r="I964">
        <v>97</v>
      </c>
      <c r="J964">
        <v>71</v>
      </c>
      <c r="K964">
        <v>27.3</v>
      </c>
      <c r="L964">
        <v>5</v>
      </c>
      <c r="M964">
        <v>96</v>
      </c>
      <c r="O964">
        <v>97</v>
      </c>
      <c r="P964">
        <v>1.7</v>
      </c>
      <c r="S964">
        <v>7.3</v>
      </c>
      <c r="T964">
        <v>7.2</v>
      </c>
      <c r="U964">
        <v>0.45</v>
      </c>
      <c r="V964">
        <v>8.9</v>
      </c>
      <c r="W964" t="b">
        <f>COUNT(LifeExpectancyData[[#This Row],[Life expectancy]:[Schooling]])=19</f>
        <v>0</v>
      </c>
    </row>
    <row r="965" spans="1:23" x14ac:dyDescent="0.25">
      <c r="A965" t="s">
        <v>432</v>
      </c>
      <c r="B965">
        <v>2014</v>
      </c>
      <c r="C965" t="s">
        <v>369</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COUNT(LifeExpectancyData[[#This Row],[Life expectancy]:[Schooling]])=19</f>
        <v>0</v>
      </c>
    </row>
    <row r="966" spans="1:23" x14ac:dyDescent="0.25">
      <c r="A966" t="s">
        <v>432</v>
      </c>
      <c r="B966">
        <v>2013</v>
      </c>
      <c r="C966" t="s">
        <v>369</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COUNT(LifeExpectancyData[[#This Row],[Life expectancy]:[Schooling]])=19</f>
        <v>0</v>
      </c>
    </row>
    <row r="967" spans="1:23" x14ac:dyDescent="0.25">
      <c r="A967" t="s">
        <v>432</v>
      </c>
      <c r="B967">
        <v>2012</v>
      </c>
      <c r="C967" t="s">
        <v>369</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COUNT(LifeExpectancyData[[#This Row],[Life expectancy]:[Schooling]])=19</f>
        <v>0</v>
      </c>
    </row>
    <row r="968" spans="1:23" x14ac:dyDescent="0.25">
      <c r="A968" t="s">
        <v>432</v>
      </c>
      <c r="B968">
        <v>2011</v>
      </c>
      <c r="C968" t="s">
        <v>369</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COUNT(LifeExpectancyData[[#This Row],[Life expectancy]:[Schooling]])=19</f>
        <v>0</v>
      </c>
    </row>
    <row r="969" spans="1:23" x14ac:dyDescent="0.25">
      <c r="A969" t="s">
        <v>432</v>
      </c>
      <c r="B969">
        <v>2010</v>
      </c>
      <c r="C969" t="s">
        <v>369</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COUNT(LifeExpectancyData[[#This Row],[Life expectancy]:[Schooling]])=19</f>
        <v>0</v>
      </c>
    </row>
    <row r="970" spans="1:23" x14ac:dyDescent="0.25">
      <c r="A970" t="s">
        <v>432</v>
      </c>
      <c r="B970">
        <v>2009</v>
      </c>
      <c r="C970" t="s">
        <v>369</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COUNT(LifeExpectancyData[[#This Row],[Life expectancy]:[Schooling]])=19</f>
        <v>0</v>
      </c>
    </row>
    <row r="971" spans="1:23" x14ac:dyDescent="0.25">
      <c r="A971" t="s">
        <v>432</v>
      </c>
      <c r="B971">
        <v>2008</v>
      </c>
      <c r="C971" t="s">
        <v>369</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COUNT(LifeExpectancyData[[#This Row],[Life expectancy]:[Schooling]])=19</f>
        <v>0</v>
      </c>
    </row>
    <row r="972" spans="1:23" x14ac:dyDescent="0.25">
      <c r="A972" t="s">
        <v>432</v>
      </c>
      <c r="B972">
        <v>2007</v>
      </c>
      <c r="C972" t="s">
        <v>369</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COUNT(LifeExpectancyData[[#This Row],[Life expectancy]:[Schooling]])=19</f>
        <v>0</v>
      </c>
    </row>
    <row r="973" spans="1:23" x14ac:dyDescent="0.25">
      <c r="A973" t="s">
        <v>432</v>
      </c>
      <c r="B973">
        <v>2006</v>
      </c>
      <c r="C973" t="s">
        <v>369</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COUNT(LifeExpectancyData[[#This Row],[Life expectancy]:[Schooling]])=19</f>
        <v>0</v>
      </c>
    </row>
    <row r="974" spans="1:23" x14ac:dyDescent="0.25">
      <c r="A974" t="s">
        <v>432</v>
      </c>
      <c r="B974">
        <v>2005</v>
      </c>
      <c r="C974" t="s">
        <v>369</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COUNT(LifeExpectancyData[[#This Row],[Life expectancy]:[Schooling]])=19</f>
        <v>0</v>
      </c>
    </row>
    <row r="975" spans="1:23" x14ac:dyDescent="0.25">
      <c r="A975" t="s">
        <v>432</v>
      </c>
      <c r="B975">
        <v>2004</v>
      </c>
      <c r="C975" t="s">
        <v>369</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COUNT(LifeExpectancyData[[#This Row],[Life expectancy]:[Schooling]])=19</f>
        <v>0</v>
      </c>
    </row>
    <row r="976" spans="1:23" x14ac:dyDescent="0.25">
      <c r="A976" t="s">
        <v>432</v>
      </c>
      <c r="B976">
        <v>2003</v>
      </c>
      <c r="C976" t="s">
        <v>369</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COUNT(LifeExpectancyData[[#This Row],[Life expectancy]:[Schooling]])=19</f>
        <v>0</v>
      </c>
    </row>
    <row r="977" spans="1:23" x14ac:dyDescent="0.25">
      <c r="A977" t="s">
        <v>432</v>
      </c>
      <c r="B977">
        <v>2002</v>
      </c>
      <c r="C977" t="s">
        <v>369</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COUNT(LifeExpectancyData[[#This Row],[Life expectancy]:[Schooling]])=19</f>
        <v>0</v>
      </c>
    </row>
    <row r="978" spans="1:23" x14ac:dyDescent="0.25">
      <c r="A978" t="s">
        <v>432</v>
      </c>
      <c r="B978">
        <v>2001</v>
      </c>
      <c r="C978" t="s">
        <v>369</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COUNT(LifeExpectancyData[[#This Row],[Life expectancy]:[Schooling]])=19</f>
        <v>0</v>
      </c>
    </row>
    <row r="979" spans="1:23" x14ac:dyDescent="0.25">
      <c r="A979" t="s">
        <v>432</v>
      </c>
      <c r="B979">
        <v>2000</v>
      </c>
      <c r="C979" t="s">
        <v>369</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COUNT(LifeExpectancyData[[#This Row],[Life expectancy]:[Schooling]])=19</f>
        <v>0</v>
      </c>
    </row>
    <row r="980" spans="1:23" x14ac:dyDescent="0.25">
      <c r="A980" t="s">
        <v>433</v>
      </c>
      <c r="B980">
        <v>2015</v>
      </c>
      <c r="C980" t="s">
        <v>369</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COUNT(LifeExpectancyData[[#This Row],[Life expectancy]:[Schooling]])=19</f>
        <v>0</v>
      </c>
    </row>
    <row r="981" spans="1:23" x14ac:dyDescent="0.25">
      <c r="A981" t="s">
        <v>433</v>
      </c>
      <c r="B981">
        <v>2014</v>
      </c>
      <c r="C981" t="s">
        <v>369</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COUNT(LifeExpectancyData[[#This Row],[Life expectancy]:[Schooling]])=19</f>
        <v>1</v>
      </c>
    </row>
    <row r="982" spans="1:23" x14ac:dyDescent="0.25">
      <c r="A982" t="s">
        <v>433</v>
      </c>
      <c r="B982">
        <v>2013</v>
      </c>
      <c r="C982" t="s">
        <v>369</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COUNT(LifeExpectancyData[[#This Row],[Life expectancy]:[Schooling]])=19</f>
        <v>1</v>
      </c>
    </row>
    <row r="983" spans="1:23" x14ac:dyDescent="0.25">
      <c r="A983" t="s">
        <v>433</v>
      </c>
      <c r="B983">
        <v>2012</v>
      </c>
      <c r="C983" t="s">
        <v>369</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COUNT(LifeExpectancyData[[#This Row],[Life expectancy]:[Schooling]])=19</f>
        <v>1</v>
      </c>
    </row>
    <row r="984" spans="1:23" x14ac:dyDescent="0.25">
      <c r="A984" t="s">
        <v>433</v>
      </c>
      <c r="B984">
        <v>2011</v>
      </c>
      <c r="C984" t="s">
        <v>369</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COUNT(LifeExpectancyData[[#This Row],[Life expectancy]:[Schooling]])=19</f>
        <v>1</v>
      </c>
    </row>
    <row r="985" spans="1:23" x14ac:dyDescent="0.25">
      <c r="A985" t="s">
        <v>433</v>
      </c>
      <c r="B985">
        <v>2010</v>
      </c>
      <c r="C985" t="s">
        <v>369</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COUNT(LifeExpectancyData[[#This Row],[Life expectancy]:[Schooling]])=19</f>
        <v>1</v>
      </c>
    </row>
    <row r="986" spans="1:23" x14ac:dyDescent="0.25">
      <c r="A986" t="s">
        <v>433</v>
      </c>
      <c r="B986">
        <v>2009</v>
      </c>
      <c r="C986" t="s">
        <v>369</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COUNT(LifeExpectancyData[[#This Row],[Life expectancy]:[Schooling]])=19</f>
        <v>1</v>
      </c>
    </row>
    <row r="987" spans="1:23" x14ac:dyDescent="0.25">
      <c r="A987" t="s">
        <v>433</v>
      </c>
      <c r="B987">
        <v>2008</v>
      </c>
      <c r="C987" t="s">
        <v>369</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COUNT(LifeExpectancyData[[#This Row],[Life expectancy]:[Schooling]])=19</f>
        <v>1</v>
      </c>
    </row>
    <row r="988" spans="1:23" x14ac:dyDescent="0.25">
      <c r="A988" t="s">
        <v>433</v>
      </c>
      <c r="B988">
        <v>2007</v>
      </c>
      <c r="C988" t="s">
        <v>369</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COUNT(LifeExpectancyData[[#This Row],[Life expectancy]:[Schooling]])=19</f>
        <v>1</v>
      </c>
    </row>
    <row r="989" spans="1:23" x14ac:dyDescent="0.25">
      <c r="A989" t="s">
        <v>433</v>
      </c>
      <c r="B989">
        <v>2006</v>
      </c>
      <c r="C989" t="s">
        <v>369</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COUNT(LifeExpectancyData[[#This Row],[Life expectancy]:[Schooling]])=19</f>
        <v>1</v>
      </c>
    </row>
    <row r="990" spans="1:23" x14ac:dyDescent="0.25">
      <c r="A990" t="s">
        <v>433</v>
      </c>
      <c r="B990">
        <v>2005</v>
      </c>
      <c r="C990" t="s">
        <v>369</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COUNT(LifeExpectancyData[[#This Row],[Life expectancy]:[Schooling]])=19</f>
        <v>1</v>
      </c>
    </row>
    <row r="991" spans="1:23" x14ac:dyDescent="0.25">
      <c r="A991" t="s">
        <v>433</v>
      </c>
      <c r="B991">
        <v>2004</v>
      </c>
      <c r="C991" t="s">
        <v>369</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COUNT(LifeExpectancyData[[#This Row],[Life expectancy]:[Schooling]])=19</f>
        <v>1</v>
      </c>
    </row>
    <row r="992" spans="1:23" x14ac:dyDescent="0.25">
      <c r="A992" t="s">
        <v>433</v>
      </c>
      <c r="B992">
        <v>2003</v>
      </c>
      <c r="C992" t="s">
        <v>369</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COUNT(LifeExpectancyData[[#This Row],[Life expectancy]:[Schooling]])=19</f>
        <v>1</v>
      </c>
    </row>
    <row r="993" spans="1:23" x14ac:dyDescent="0.25">
      <c r="A993" t="s">
        <v>433</v>
      </c>
      <c r="B993">
        <v>2002</v>
      </c>
      <c r="C993" t="s">
        <v>369</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COUNT(LifeExpectancyData[[#This Row],[Life expectancy]:[Schooling]])=19</f>
        <v>1</v>
      </c>
    </row>
    <row r="994" spans="1:23" x14ac:dyDescent="0.25">
      <c r="A994" t="s">
        <v>433</v>
      </c>
      <c r="B994">
        <v>2001</v>
      </c>
      <c r="C994" t="s">
        <v>369</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COUNT(LifeExpectancyData[[#This Row],[Life expectancy]:[Schooling]])=19</f>
        <v>1</v>
      </c>
    </row>
    <row r="995" spans="1:23" x14ac:dyDescent="0.25">
      <c r="A995" t="s">
        <v>433</v>
      </c>
      <c r="B995">
        <v>2000</v>
      </c>
      <c r="C995" t="s">
        <v>369</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COUNT(LifeExpectancyData[[#This Row],[Life expectancy]:[Schooling]])=19</f>
        <v>1</v>
      </c>
    </row>
    <row r="996" spans="1:23" x14ac:dyDescent="0.25">
      <c r="A996" t="s">
        <v>434</v>
      </c>
      <c r="B996">
        <v>2015</v>
      </c>
      <c r="C996" t="s">
        <v>377</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COUNT(LifeExpectancyData[[#This Row],[Life expectancy]:[Schooling]])=19</f>
        <v>0</v>
      </c>
    </row>
    <row r="997" spans="1:23" x14ac:dyDescent="0.25">
      <c r="A997" t="s">
        <v>434</v>
      </c>
      <c r="B997">
        <v>2014</v>
      </c>
      <c r="C997" t="s">
        <v>377</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COUNT(LifeExpectancyData[[#This Row],[Life expectancy]:[Schooling]])=19</f>
        <v>1</v>
      </c>
    </row>
    <row r="998" spans="1:23" x14ac:dyDescent="0.25">
      <c r="A998" t="s">
        <v>434</v>
      </c>
      <c r="B998">
        <v>2013</v>
      </c>
      <c r="C998" t="s">
        <v>377</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COUNT(LifeExpectancyData[[#This Row],[Life expectancy]:[Schooling]])=19</f>
        <v>1</v>
      </c>
    </row>
    <row r="999" spans="1:23" x14ac:dyDescent="0.25">
      <c r="A999" t="s">
        <v>434</v>
      </c>
      <c r="B999">
        <v>2012</v>
      </c>
      <c r="C999" t="s">
        <v>377</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COUNT(LifeExpectancyData[[#This Row],[Life expectancy]:[Schooling]])=19</f>
        <v>1</v>
      </c>
    </row>
    <row r="1000" spans="1:23" x14ac:dyDescent="0.25">
      <c r="A1000" t="s">
        <v>434</v>
      </c>
      <c r="B1000">
        <v>2011</v>
      </c>
      <c r="C1000" t="s">
        <v>377</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COUNT(LifeExpectancyData[[#This Row],[Life expectancy]:[Schooling]])=19</f>
        <v>1</v>
      </c>
    </row>
    <row r="1001" spans="1:23" x14ac:dyDescent="0.25">
      <c r="A1001" t="s">
        <v>434</v>
      </c>
      <c r="B1001">
        <v>2010</v>
      </c>
      <c r="C1001" t="s">
        <v>377</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COUNT(LifeExpectancyData[[#This Row],[Life expectancy]:[Schooling]])=19</f>
        <v>1</v>
      </c>
    </row>
    <row r="1002" spans="1:23" x14ac:dyDescent="0.25">
      <c r="A1002" t="s">
        <v>434</v>
      </c>
      <c r="B1002">
        <v>2009</v>
      </c>
      <c r="C1002" t="s">
        <v>377</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COUNT(LifeExpectancyData[[#This Row],[Life expectancy]:[Schooling]])=19</f>
        <v>1</v>
      </c>
    </row>
    <row r="1003" spans="1:23" x14ac:dyDescent="0.25">
      <c r="A1003" t="s">
        <v>434</v>
      </c>
      <c r="B1003">
        <v>2008</v>
      </c>
      <c r="C1003" t="s">
        <v>377</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COUNT(LifeExpectancyData[[#This Row],[Life expectancy]:[Schooling]])=19</f>
        <v>1</v>
      </c>
    </row>
    <row r="1004" spans="1:23" x14ac:dyDescent="0.25">
      <c r="A1004" t="s">
        <v>434</v>
      </c>
      <c r="B1004">
        <v>2007</v>
      </c>
      <c r="C1004" t="s">
        <v>377</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COUNT(LifeExpectancyData[[#This Row],[Life expectancy]:[Schooling]])=19</f>
        <v>1</v>
      </c>
    </row>
    <row r="1005" spans="1:23" x14ac:dyDescent="0.25">
      <c r="A1005" t="s">
        <v>434</v>
      </c>
      <c r="B1005">
        <v>2006</v>
      </c>
      <c r="C1005" t="s">
        <v>377</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COUNT(LifeExpectancyData[[#This Row],[Life expectancy]:[Schooling]])=19</f>
        <v>1</v>
      </c>
    </row>
    <row r="1006" spans="1:23" x14ac:dyDescent="0.25">
      <c r="A1006" t="s">
        <v>434</v>
      </c>
      <c r="B1006">
        <v>2005</v>
      </c>
      <c r="C1006" t="s">
        <v>377</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COUNT(LifeExpectancyData[[#This Row],[Life expectancy]:[Schooling]])=19</f>
        <v>1</v>
      </c>
    </row>
    <row r="1007" spans="1:23" x14ac:dyDescent="0.25">
      <c r="A1007" t="s">
        <v>434</v>
      </c>
      <c r="B1007">
        <v>2004</v>
      </c>
      <c r="C1007" t="s">
        <v>377</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COUNT(LifeExpectancyData[[#This Row],[Life expectancy]:[Schooling]])=19</f>
        <v>1</v>
      </c>
    </row>
    <row r="1008" spans="1:23" x14ac:dyDescent="0.25">
      <c r="A1008" t="s">
        <v>434</v>
      </c>
      <c r="B1008">
        <v>2003</v>
      </c>
      <c r="C1008" t="s">
        <v>377</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COUNT(LifeExpectancyData[[#This Row],[Life expectancy]:[Schooling]])=19</f>
        <v>1</v>
      </c>
    </row>
    <row r="1009" spans="1:23" x14ac:dyDescent="0.25">
      <c r="A1009" t="s">
        <v>434</v>
      </c>
      <c r="B1009">
        <v>2002</v>
      </c>
      <c r="C1009" t="s">
        <v>377</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COUNT(LifeExpectancyData[[#This Row],[Life expectancy]:[Schooling]])=19</f>
        <v>1</v>
      </c>
    </row>
    <row r="1010" spans="1:23" x14ac:dyDescent="0.25">
      <c r="A1010" t="s">
        <v>434</v>
      </c>
      <c r="B1010">
        <v>2001</v>
      </c>
      <c r="C1010" t="s">
        <v>377</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COUNT(LifeExpectancyData[[#This Row],[Life expectancy]:[Schooling]])=19</f>
        <v>1</v>
      </c>
    </row>
    <row r="1011" spans="1:23" x14ac:dyDescent="0.25">
      <c r="A1011" t="s">
        <v>434</v>
      </c>
      <c r="B1011">
        <v>2000</v>
      </c>
      <c r="C1011" t="s">
        <v>377</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COUNT(LifeExpectancyData[[#This Row],[Life expectancy]:[Schooling]])=19</f>
        <v>1</v>
      </c>
    </row>
    <row r="1012" spans="1:23" x14ac:dyDescent="0.25">
      <c r="A1012" t="s">
        <v>435</v>
      </c>
      <c r="B1012">
        <v>2015</v>
      </c>
      <c r="C1012" t="s">
        <v>369</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COUNT(LifeExpectancyData[[#This Row],[Life expectancy]:[Schooling]])=19</f>
        <v>0</v>
      </c>
    </row>
    <row r="1013" spans="1:23" x14ac:dyDescent="0.25">
      <c r="A1013" t="s">
        <v>435</v>
      </c>
      <c r="B1013">
        <v>2014</v>
      </c>
      <c r="C1013" t="s">
        <v>369</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COUNT(LifeExpectancyData[[#This Row],[Life expectancy]:[Schooling]])=19</f>
        <v>1</v>
      </c>
    </row>
    <row r="1014" spans="1:23" x14ac:dyDescent="0.25">
      <c r="A1014" t="s">
        <v>435</v>
      </c>
      <c r="B1014">
        <v>2013</v>
      </c>
      <c r="C1014" t="s">
        <v>369</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COUNT(LifeExpectancyData[[#This Row],[Life expectancy]:[Schooling]])=19</f>
        <v>1</v>
      </c>
    </row>
    <row r="1015" spans="1:23" x14ac:dyDescent="0.25">
      <c r="A1015" t="s">
        <v>435</v>
      </c>
      <c r="B1015">
        <v>2012</v>
      </c>
      <c r="C1015" t="s">
        <v>369</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COUNT(LifeExpectancyData[[#This Row],[Life expectancy]:[Schooling]])=19</f>
        <v>1</v>
      </c>
    </row>
    <row r="1016" spans="1:23" x14ac:dyDescent="0.25">
      <c r="A1016" t="s">
        <v>435</v>
      </c>
      <c r="B1016">
        <v>2011</v>
      </c>
      <c r="C1016" t="s">
        <v>369</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COUNT(LifeExpectancyData[[#This Row],[Life expectancy]:[Schooling]])=19</f>
        <v>1</v>
      </c>
    </row>
    <row r="1017" spans="1:23" x14ac:dyDescent="0.25">
      <c r="A1017" t="s">
        <v>435</v>
      </c>
      <c r="B1017">
        <v>2010</v>
      </c>
      <c r="C1017" t="s">
        <v>369</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COUNT(LifeExpectancyData[[#This Row],[Life expectancy]:[Schooling]])=19</f>
        <v>1</v>
      </c>
    </row>
    <row r="1018" spans="1:23" x14ac:dyDescent="0.25">
      <c r="A1018" t="s">
        <v>435</v>
      </c>
      <c r="B1018">
        <v>2009</v>
      </c>
      <c r="C1018" t="s">
        <v>369</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COUNT(LifeExpectancyData[[#This Row],[Life expectancy]:[Schooling]])=19</f>
        <v>1</v>
      </c>
    </row>
    <row r="1019" spans="1:23" x14ac:dyDescent="0.25">
      <c r="A1019" t="s">
        <v>435</v>
      </c>
      <c r="B1019">
        <v>2008</v>
      </c>
      <c r="C1019" t="s">
        <v>369</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COUNT(LifeExpectancyData[[#This Row],[Life expectancy]:[Schooling]])=19</f>
        <v>1</v>
      </c>
    </row>
    <row r="1020" spans="1:23" x14ac:dyDescent="0.25">
      <c r="A1020" t="s">
        <v>435</v>
      </c>
      <c r="B1020">
        <v>2007</v>
      </c>
      <c r="C1020" t="s">
        <v>369</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COUNT(LifeExpectancyData[[#This Row],[Life expectancy]:[Schooling]])=19</f>
        <v>1</v>
      </c>
    </row>
    <row r="1021" spans="1:23" x14ac:dyDescent="0.25">
      <c r="A1021" t="s">
        <v>435</v>
      </c>
      <c r="B1021">
        <v>2006</v>
      </c>
      <c r="C1021" t="s">
        <v>369</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COUNT(LifeExpectancyData[[#This Row],[Life expectancy]:[Schooling]])=19</f>
        <v>1</v>
      </c>
    </row>
    <row r="1022" spans="1:23" x14ac:dyDescent="0.25">
      <c r="A1022" t="s">
        <v>435</v>
      </c>
      <c r="B1022">
        <v>2005</v>
      </c>
      <c r="C1022" t="s">
        <v>369</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COUNT(LifeExpectancyData[[#This Row],[Life expectancy]:[Schooling]])=19</f>
        <v>1</v>
      </c>
    </row>
    <row r="1023" spans="1:23" x14ac:dyDescent="0.25">
      <c r="A1023" t="s">
        <v>435</v>
      </c>
      <c r="B1023">
        <v>2004</v>
      </c>
      <c r="C1023" t="s">
        <v>369</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COUNT(LifeExpectancyData[[#This Row],[Life expectancy]:[Schooling]])=19</f>
        <v>1</v>
      </c>
    </row>
    <row r="1024" spans="1:23" x14ac:dyDescent="0.25">
      <c r="A1024" t="s">
        <v>435</v>
      </c>
      <c r="B1024">
        <v>2003</v>
      </c>
      <c r="C1024" t="s">
        <v>369</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COUNT(LifeExpectancyData[[#This Row],[Life expectancy]:[Schooling]])=19</f>
        <v>1</v>
      </c>
    </row>
    <row r="1025" spans="1:23" x14ac:dyDescent="0.25">
      <c r="A1025" t="s">
        <v>435</v>
      </c>
      <c r="B1025">
        <v>2002</v>
      </c>
      <c r="C1025" t="s">
        <v>369</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COUNT(LifeExpectancyData[[#This Row],[Life expectancy]:[Schooling]])=19</f>
        <v>1</v>
      </c>
    </row>
    <row r="1026" spans="1:23" x14ac:dyDescent="0.25">
      <c r="A1026" t="s">
        <v>435</v>
      </c>
      <c r="B1026">
        <v>2001</v>
      </c>
      <c r="C1026" t="s">
        <v>369</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COUNT(LifeExpectancyData[[#This Row],[Life expectancy]:[Schooling]])=19</f>
        <v>0</v>
      </c>
    </row>
    <row r="1027" spans="1:23" x14ac:dyDescent="0.25">
      <c r="A1027" t="s">
        <v>435</v>
      </c>
      <c r="B1027">
        <v>2000</v>
      </c>
      <c r="C1027" t="s">
        <v>369</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COUNT(LifeExpectancyData[[#This Row],[Life expectancy]:[Schooling]])=19</f>
        <v>0</v>
      </c>
    </row>
    <row r="1028" spans="1:23" x14ac:dyDescent="0.25">
      <c r="A1028" t="s">
        <v>436</v>
      </c>
      <c r="B1028">
        <v>2015</v>
      </c>
      <c r="C1028" t="s">
        <v>369</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COUNT(LifeExpectancyData[[#This Row],[Life expectancy]:[Schooling]])=19</f>
        <v>0</v>
      </c>
    </row>
    <row r="1029" spans="1:23" x14ac:dyDescent="0.25">
      <c r="A1029" t="s">
        <v>436</v>
      </c>
      <c r="B1029">
        <v>2014</v>
      </c>
      <c r="C1029" t="s">
        <v>369</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COUNT(LifeExpectancyData[[#This Row],[Life expectancy]:[Schooling]])=19</f>
        <v>1</v>
      </c>
    </row>
    <row r="1030" spans="1:23" x14ac:dyDescent="0.25">
      <c r="A1030" t="s">
        <v>436</v>
      </c>
      <c r="B1030">
        <v>2013</v>
      </c>
      <c r="C1030" t="s">
        <v>369</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COUNT(LifeExpectancyData[[#This Row],[Life expectancy]:[Schooling]])=19</f>
        <v>1</v>
      </c>
    </row>
    <row r="1031" spans="1:23" x14ac:dyDescent="0.25">
      <c r="A1031" t="s">
        <v>436</v>
      </c>
      <c r="B1031">
        <v>2012</v>
      </c>
      <c r="C1031" t="s">
        <v>369</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COUNT(LifeExpectancyData[[#This Row],[Life expectancy]:[Schooling]])=19</f>
        <v>1</v>
      </c>
    </row>
    <row r="1032" spans="1:23" x14ac:dyDescent="0.25">
      <c r="A1032" t="s">
        <v>436</v>
      </c>
      <c r="B1032">
        <v>2011</v>
      </c>
      <c r="C1032" t="s">
        <v>369</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COUNT(LifeExpectancyData[[#This Row],[Life expectancy]:[Schooling]])=19</f>
        <v>1</v>
      </c>
    </row>
    <row r="1033" spans="1:23" x14ac:dyDescent="0.25">
      <c r="A1033" t="s">
        <v>436</v>
      </c>
      <c r="B1033">
        <v>2010</v>
      </c>
      <c r="C1033" t="s">
        <v>369</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COUNT(LifeExpectancyData[[#This Row],[Life expectancy]:[Schooling]])=19</f>
        <v>1</v>
      </c>
    </row>
    <row r="1034" spans="1:23" x14ac:dyDescent="0.25">
      <c r="A1034" t="s">
        <v>436</v>
      </c>
      <c r="B1034">
        <v>2009</v>
      </c>
      <c r="C1034" t="s">
        <v>369</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COUNT(LifeExpectancyData[[#This Row],[Life expectancy]:[Schooling]])=19</f>
        <v>1</v>
      </c>
    </row>
    <row r="1035" spans="1:23" x14ac:dyDescent="0.25">
      <c r="A1035" t="s">
        <v>436</v>
      </c>
      <c r="B1035">
        <v>2008</v>
      </c>
      <c r="C1035" t="s">
        <v>369</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COUNT(LifeExpectancyData[[#This Row],[Life expectancy]:[Schooling]])=19</f>
        <v>1</v>
      </c>
    </row>
    <row r="1036" spans="1:23" x14ac:dyDescent="0.25">
      <c r="A1036" t="s">
        <v>436</v>
      </c>
      <c r="B1036">
        <v>2007</v>
      </c>
      <c r="C1036" t="s">
        <v>369</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COUNT(LifeExpectancyData[[#This Row],[Life expectancy]:[Schooling]])=19</f>
        <v>1</v>
      </c>
    </row>
    <row r="1037" spans="1:23" x14ac:dyDescent="0.25">
      <c r="A1037" t="s">
        <v>436</v>
      </c>
      <c r="B1037">
        <v>2006</v>
      </c>
      <c r="C1037" t="s">
        <v>369</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COUNT(LifeExpectancyData[[#This Row],[Life expectancy]:[Schooling]])=19</f>
        <v>1</v>
      </c>
    </row>
    <row r="1038" spans="1:23" x14ac:dyDescent="0.25">
      <c r="A1038" t="s">
        <v>436</v>
      </c>
      <c r="B1038">
        <v>2005</v>
      </c>
      <c r="C1038" t="s">
        <v>369</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COUNT(LifeExpectancyData[[#This Row],[Life expectancy]:[Schooling]])=19</f>
        <v>1</v>
      </c>
    </row>
    <row r="1039" spans="1:23" x14ac:dyDescent="0.25">
      <c r="A1039" t="s">
        <v>436</v>
      </c>
      <c r="B1039">
        <v>2004</v>
      </c>
      <c r="C1039" t="s">
        <v>369</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COUNT(LifeExpectancyData[[#This Row],[Life expectancy]:[Schooling]])=19</f>
        <v>1</v>
      </c>
    </row>
    <row r="1040" spans="1:23" x14ac:dyDescent="0.25">
      <c r="A1040" t="s">
        <v>436</v>
      </c>
      <c r="B1040">
        <v>2003</v>
      </c>
      <c r="C1040" t="s">
        <v>369</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COUNT(LifeExpectancyData[[#This Row],[Life expectancy]:[Schooling]])=19</f>
        <v>1</v>
      </c>
    </row>
    <row r="1041" spans="1:23" x14ac:dyDescent="0.25">
      <c r="A1041" t="s">
        <v>436</v>
      </c>
      <c r="B1041">
        <v>2002</v>
      </c>
      <c r="C1041" t="s">
        <v>369</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COUNT(LifeExpectancyData[[#This Row],[Life expectancy]:[Schooling]])=19</f>
        <v>1</v>
      </c>
    </row>
    <row r="1042" spans="1:23" x14ac:dyDescent="0.25">
      <c r="A1042" t="s">
        <v>436</v>
      </c>
      <c r="B1042">
        <v>2001</v>
      </c>
      <c r="C1042" t="s">
        <v>369</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COUNT(LifeExpectancyData[[#This Row],[Life expectancy]:[Schooling]])=19</f>
        <v>1</v>
      </c>
    </row>
    <row r="1043" spans="1:23" x14ac:dyDescent="0.25">
      <c r="A1043" t="s">
        <v>436</v>
      </c>
      <c r="B1043">
        <v>2000</v>
      </c>
      <c r="C1043" t="s">
        <v>369</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COUNT(LifeExpectancyData[[#This Row],[Life expectancy]:[Schooling]])=19</f>
        <v>1</v>
      </c>
    </row>
    <row r="1044" spans="1:23" x14ac:dyDescent="0.25">
      <c r="A1044" t="s">
        <v>437</v>
      </c>
      <c r="B1044">
        <v>2015</v>
      </c>
      <c r="C1044" t="s">
        <v>369</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COUNT(LifeExpectancyData[[#This Row],[Life expectancy]:[Schooling]])=19</f>
        <v>0</v>
      </c>
    </row>
    <row r="1045" spans="1:23" x14ac:dyDescent="0.25">
      <c r="A1045" t="s">
        <v>437</v>
      </c>
      <c r="B1045">
        <v>2014</v>
      </c>
      <c r="C1045" t="s">
        <v>369</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COUNT(LifeExpectancyData[[#This Row],[Life expectancy]:[Schooling]])=19</f>
        <v>0</v>
      </c>
    </row>
    <row r="1046" spans="1:23" x14ac:dyDescent="0.25">
      <c r="A1046" t="s">
        <v>437</v>
      </c>
      <c r="B1046">
        <v>2013</v>
      </c>
      <c r="C1046" t="s">
        <v>369</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COUNT(LifeExpectancyData[[#This Row],[Life expectancy]:[Schooling]])=19</f>
        <v>0</v>
      </c>
    </row>
    <row r="1047" spans="1:23" x14ac:dyDescent="0.25">
      <c r="A1047" t="s">
        <v>437</v>
      </c>
      <c r="B1047">
        <v>2012</v>
      </c>
      <c r="C1047" t="s">
        <v>369</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COUNT(LifeExpectancyData[[#This Row],[Life expectancy]:[Schooling]])=19</f>
        <v>0</v>
      </c>
    </row>
    <row r="1048" spans="1:23" x14ac:dyDescent="0.25">
      <c r="A1048" t="s">
        <v>437</v>
      </c>
      <c r="B1048">
        <v>2011</v>
      </c>
      <c r="C1048" t="s">
        <v>369</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COUNT(LifeExpectancyData[[#This Row],[Life expectancy]:[Schooling]])=19</f>
        <v>0</v>
      </c>
    </row>
    <row r="1049" spans="1:23" x14ac:dyDescent="0.25">
      <c r="A1049" t="s">
        <v>437</v>
      </c>
      <c r="B1049">
        <v>2010</v>
      </c>
      <c r="C1049" t="s">
        <v>369</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COUNT(LifeExpectancyData[[#This Row],[Life expectancy]:[Schooling]])=19</f>
        <v>0</v>
      </c>
    </row>
    <row r="1050" spans="1:23" x14ac:dyDescent="0.25">
      <c r="A1050" t="s">
        <v>437</v>
      </c>
      <c r="B1050">
        <v>2009</v>
      </c>
      <c r="C1050" t="s">
        <v>369</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COUNT(LifeExpectancyData[[#This Row],[Life expectancy]:[Schooling]])=19</f>
        <v>0</v>
      </c>
    </row>
    <row r="1051" spans="1:23" x14ac:dyDescent="0.25">
      <c r="A1051" t="s">
        <v>437</v>
      </c>
      <c r="B1051">
        <v>2008</v>
      </c>
      <c r="C1051" t="s">
        <v>369</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COUNT(LifeExpectancyData[[#This Row],[Life expectancy]:[Schooling]])=19</f>
        <v>0</v>
      </c>
    </row>
    <row r="1052" spans="1:23" x14ac:dyDescent="0.25">
      <c r="A1052" t="s">
        <v>437</v>
      </c>
      <c r="B1052">
        <v>2007</v>
      </c>
      <c r="C1052" t="s">
        <v>369</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COUNT(LifeExpectancyData[[#This Row],[Life expectancy]:[Schooling]])=19</f>
        <v>0</v>
      </c>
    </row>
    <row r="1053" spans="1:23" x14ac:dyDescent="0.25">
      <c r="A1053" t="s">
        <v>437</v>
      </c>
      <c r="B1053">
        <v>2006</v>
      </c>
      <c r="C1053" t="s">
        <v>369</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COUNT(LifeExpectancyData[[#This Row],[Life expectancy]:[Schooling]])=19</f>
        <v>0</v>
      </c>
    </row>
    <row r="1054" spans="1:23" x14ac:dyDescent="0.25">
      <c r="A1054" t="s">
        <v>437</v>
      </c>
      <c r="B1054">
        <v>2005</v>
      </c>
      <c r="C1054" t="s">
        <v>369</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COUNT(LifeExpectancyData[[#This Row],[Life expectancy]:[Schooling]])=19</f>
        <v>0</v>
      </c>
    </row>
    <row r="1055" spans="1:23" x14ac:dyDescent="0.25">
      <c r="A1055" t="s">
        <v>437</v>
      </c>
      <c r="B1055">
        <v>2004</v>
      </c>
      <c r="C1055" t="s">
        <v>369</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COUNT(LifeExpectancyData[[#This Row],[Life expectancy]:[Schooling]])=19</f>
        <v>0</v>
      </c>
    </row>
    <row r="1056" spans="1:23" x14ac:dyDescent="0.25">
      <c r="A1056" t="s">
        <v>437</v>
      </c>
      <c r="B1056">
        <v>2003</v>
      </c>
      <c r="C1056" t="s">
        <v>369</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COUNT(LifeExpectancyData[[#This Row],[Life expectancy]:[Schooling]])=19</f>
        <v>0</v>
      </c>
    </row>
    <row r="1057" spans="1:23" x14ac:dyDescent="0.25">
      <c r="A1057" t="s">
        <v>437</v>
      </c>
      <c r="B1057">
        <v>2002</v>
      </c>
      <c r="C1057" t="s">
        <v>369</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COUNT(LifeExpectancyData[[#This Row],[Life expectancy]:[Schooling]])=19</f>
        <v>0</v>
      </c>
    </row>
    <row r="1058" spans="1:23" x14ac:dyDescent="0.25">
      <c r="A1058" t="s">
        <v>437</v>
      </c>
      <c r="B1058">
        <v>2001</v>
      </c>
      <c r="C1058" t="s">
        <v>369</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COUNT(LifeExpectancyData[[#This Row],[Life expectancy]:[Schooling]])=19</f>
        <v>0</v>
      </c>
    </row>
    <row r="1059" spans="1:23" x14ac:dyDescent="0.25">
      <c r="A1059" t="s">
        <v>437</v>
      </c>
      <c r="B1059">
        <v>2000</v>
      </c>
      <c r="C1059" t="s">
        <v>369</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COUNT(LifeExpectancyData[[#This Row],[Life expectancy]:[Schooling]])=19</f>
        <v>0</v>
      </c>
    </row>
    <row r="1060" spans="1:23" x14ac:dyDescent="0.25">
      <c r="A1060" t="s">
        <v>438</v>
      </c>
      <c r="B1060">
        <v>2015</v>
      </c>
      <c r="C1060" t="s">
        <v>369</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COUNT(LifeExpectancyData[[#This Row],[Life expectancy]:[Schooling]])=19</f>
        <v>0</v>
      </c>
    </row>
    <row r="1061" spans="1:23" x14ac:dyDescent="0.25">
      <c r="A1061" t="s">
        <v>438</v>
      </c>
      <c r="B1061">
        <v>2014</v>
      </c>
      <c r="C1061" t="s">
        <v>369</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COUNT(LifeExpectancyData[[#This Row],[Life expectancy]:[Schooling]])=19</f>
        <v>1</v>
      </c>
    </row>
    <row r="1062" spans="1:23" x14ac:dyDescent="0.25">
      <c r="A1062" t="s">
        <v>438</v>
      </c>
      <c r="B1062">
        <v>2013</v>
      </c>
      <c r="C1062" t="s">
        <v>369</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COUNT(LifeExpectancyData[[#This Row],[Life expectancy]:[Schooling]])=19</f>
        <v>1</v>
      </c>
    </row>
    <row r="1063" spans="1:23" x14ac:dyDescent="0.25">
      <c r="A1063" t="s">
        <v>438</v>
      </c>
      <c r="B1063">
        <v>2012</v>
      </c>
      <c r="C1063" t="s">
        <v>369</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COUNT(LifeExpectancyData[[#This Row],[Life expectancy]:[Schooling]])=19</f>
        <v>1</v>
      </c>
    </row>
    <row r="1064" spans="1:23" x14ac:dyDescent="0.25">
      <c r="A1064" t="s">
        <v>438</v>
      </c>
      <c r="B1064">
        <v>2011</v>
      </c>
      <c r="C1064" t="s">
        <v>369</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COUNT(LifeExpectancyData[[#This Row],[Life expectancy]:[Schooling]])=19</f>
        <v>1</v>
      </c>
    </row>
    <row r="1065" spans="1:23" x14ac:dyDescent="0.25">
      <c r="A1065" t="s">
        <v>438</v>
      </c>
      <c r="B1065">
        <v>2010</v>
      </c>
      <c r="C1065" t="s">
        <v>369</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COUNT(LifeExpectancyData[[#This Row],[Life expectancy]:[Schooling]])=19</f>
        <v>1</v>
      </c>
    </row>
    <row r="1066" spans="1:23" x14ac:dyDescent="0.25">
      <c r="A1066" t="s">
        <v>438</v>
      </c>
      <c r="B1066">
        <v>2009</v>
      </c>
      <c r="C1066" t="s">
        <v>369</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COUNT(LifeExpectancyData[[#This Row],[Life expectancy]:[Schooling]])=19</f>
        <v>1</v>
      </c>
    </row>
    <row r="1067" spans="1:23" x14ac:dyDescent="0.25">
      <c r="A1067" t="s">
        <v>438</v>
      </c>
      <c r="B1067">
        <v>2008</v>
      </c>
      <c r="C1067" t="s">
        <v>369</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COUNT(LifeExpectancyData[[#This Row],[Life expectancy]:[Schooling]])=19</f>
        <v>1</v>
      </c>
    </row>
    <row r="1068" spans="1:23" x14ac:dyDescent="0.25">
      <c r="A1068" t="s">
        <v>438</v>
      </c>
      <c r="B1068">
        <v>2007</v>
      </c>
      <c r="C1068" t="s">
        <v>369</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COUNT(LifeExpectancyData[[#This Row],[Life expectancy]:[Schooling]])=19</f>
        <v>1</v>
      </c>
    </row>
    <row r="1069" spans="1:23" x14ac:dyDescent="0.25">
      <c r="A1069" t="s">
        <v>438</v>
      </c>
      <c r="B1069">
        <v>2006</v>
      </c>
      <c r="C1069" t="s">
        <v>369</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COUNT(LifeExpectancyData[[#This Row],[Life expectancy]:[Schooling]])=19</f>
        <v>1</v>
      </c>
    </row>
    <row r="1070" spans="1:23" x14ac:dyDescent="0.25">
      <c r="A1070" t="s">
        <v>438</v>
      </c>
      <c r="B1070">
        <v>2005</v>
      </c>
      <c r="C1070" t="s">
        <v>369</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COUNT(LifeExpectancyData[[#This Row],[Life expectancy]:[Schooling]])=19</f>
        <v>1</v>
      </c>
    </row>
    <row r="1071" spans="1:23" x14ac:dyDescent="0.25">
      <c r="A1071" t="s">
        <v>438</v>
      </c>
      <c r="B1071">
        <v>2004</v>
      </c>
      <c r="C1071" t="s">
        <v>369</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COUNT(LifeExpectancyData[[#This Row],[Life expectancy]:[Schooling]])=19</f>
        <v>0</v>
      </c>
    </row>
    <row r="1072" spans="1:23" x14ac:dyDescent="0.25">
      <c r="A1072" t="s">
        <v>438</v>
      </c>
      <c r="B1072">
        <v>2003</v>
      </c>
      <c r="C1072" t="s">
        <v>369</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COUNT(LifeExpectancyData[[#This Row],[Life expectancy]:[Schooling]])=19</f>
        <v>0</v>
      </c>
    </row>
    <row r="1073" spans="1:23" x14ac:dyDescent="0.25">
      <c r="A1073" t="s">
        <v>438</v>
      </c>
      <c r="B1073">
        <v>2002</v>
      </c>
      <c r="C1073" t="s">
        <v>369</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COUNT(LifeExpectancyData[[#This Row],[Life expectancy]:[Schooling]])=19</f>
        <v>0</v>
      </c>
    </row>
    <row r="1074" spans="1:23" x14ac:dyDescent="0.25">
      <c r="A1074" t="s">
        <v>438</v>
      </c>
      <c r="B1074">
        <v>2001</v>
      </c>
      <c r="C1074" t="s">
        <v>369</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COUNT(LifeExpectancyData[[#This Row],[Life expectancy]:[Schooling]])=19</f>
        <v>0</v>
      </c>
    </row>
    <row r="1075" spans="1:23" x14ac:dyDescent="0.25">
      <c r="A1075" t="s">
        <v>438</v>
      </c>
      <c r="B1075">
        <v>2000</v>
      </c>
      <c r="C1075" t="s">
        <v>369</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COUNT(LifeExpectancyData[[#This Row],[Life expectancy]:[Schooling]])=19</f>
        <v>0</v>
      </c>
    </row>
    <row r="1076" spans="1:23" x14ac:dyDescent="0.25">
      <c r="A1076" t="s">
        <v>439</v>
      </c>
      <c r="B1076">
        <v>2015</v>
      </c>
      <c r="C1076" t="s">
        <v>369</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COUNT(LifeExpectancyData[[#This Row],[Life expectancy]:[Schooling]])=19</f>
        <v>0</v>
      </c>
    </row>
    <row r="1077" spans="1:23" x14ac:dyDescent="0.25">
      <c r="A1077" t="s">
        <v>439</v>
      </c>
      <c r="B1077">
        <v>2014</v>
      </c>
      <c r="C1077" t="s">
        <v>369</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COUNT(LifeExpectancyData[[#This Row],[Life expectancy]:[Schooling]])=19</f>
        <v>1</v>
      </c>
    </row>
    <row r="1078" spans="1:23" x14ac:dyDescent="0.25">
      <c r="A1078" t="s">
        <v>439</v>
      </c>
      <c r="B1078">
        <v>2013</v>
      </c>
      <c r="C1078" t="s">
        <v>369</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COUNT(LifeExpectancyData[[#This Row],[Life expectancy]:[Schooling]])=19</f>
        <v>1</v>
      </c>
    </row>
    <row r="1079" spans="1:23" x14ac:dyDescent="0.25">
      <c r="A1079" t="s">
        <v>439</v>
      </c>
      <c r="B1079">
        <v>2012</v>
      </c>
      <c r="C1079" t="s">
        <v>369</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COUNT(LifeExpectancyData[[#This Row],[Life expectancy]:[Schooling]])=19</f>
        <v>1</v>
      </c>
    </row>
    <row r="1080" spans="1:23" x14ac:dyDescent="0.25">
      <c r="A1080" t="s">
        <v>439</v>
      </c>
      <c r="B1080">
        <v>2011</v>
      </c>
      <c r="C1080" t="s">
        <v>369</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COUNT(LifeExpectancyData[[#This Row],[Life expectancy]:[Schooling]])=19</f>
        <v>1</v>
      </c>
    </row>
    <row r="1081" spans="1:23" x14ac:dyDescent="0.25">
      <c r="A1081" t="s">
        <v>439</v>
      </c>
      <c r="B1081">
        <v>2010</v>
      </c>
      <c r="C1081" t="s">
        <v>369</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COUNT(LifeExpectancyData[[#This Row],[Life expectancy]:[Schooling]])=19</f>
        <v>1</v>
      </c>
    </row>
    <row r="1082" spans="1:23" x14ac:dyDescent="0.25">
      <c r="A1082" t="s">
        <v>439</v>
      </c>
      <c r="B1082">
        <v>2009</v>
      </c>
      <c r="C1082" t="s">
        <v>369</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COUNT(LifeExpectancyData[[#This Row],[Life expectancy]:[Schooling]])=19</f>
        <v>1</v>
      </c>
    </row>
    <row r="1083" spans="1:23" x14ac:dyDescent="0.25">
      <c r="A1083" t="s">
        <v>439</v>
      </c>
      <c r="B1083">
        <v>2008</v>
      </c>
      <c r="C1083" t="s">
        <v>369</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COUNT(LifeExpectancyData[[#This Row],[Life expectancy]:[Schooling]])=19</f>
        <v>1</v>
      </c>
    </row>
    <row r="1084" spans="1:23" x14ac:dyDescent="0.25">
      <c r="A1084" t="s">
        <v>439</v>
      </c>
      <c r="B1084">
        <v>2007</v>
      </c>
      <c r="C1084" t="s">
        <v>369</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COUNT(LifeExpectancyData[[#This Row],[Life expectancy]:[Schooling]])=19</f>
        <v>1</v>
      </c>
    </row>
    <row r="1085" spans="1:23" x14ac:dyDescent="0.25">
      <c r="A1085" t="s">
        <v>439</v>
      </c>
      <c r="B1085">
        <v>2006</v>
      </c>
      <c r="C1085" t="s">
        <v>369</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COUNT(LifeExpectancyData[[#This Row],[Life expectancy]:[Schooling]])=19</f>
        <v>0</v>
      </c>
    </row>
    <row r="1086" spans="1:23" x14ac:dyDescent="0.25">
      <c r="A1086" t="s">
        <v>439</v>
      </c>
      <c r="B1086">
        <v>2005</v>
      </c>
      <c r="C1086" t="s">
        <v>369</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COUNT(LifeExpectancyData[[#This Row],[Life expectancy]:[Schooling]])=19</f>
        <v>0</v>
      </c>
    </row>
    <row r="1087" spans="1:23" x14ac:dyDescent="0.25">
      <c r="A1087" t="s">
        <v>439</v>
      </c>
      <c r="B1087">
        <v>2004</v>
      </c>
      <c r="C1087" t="s">
        <v>369</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COUNT(LifeExpectancyData[[#This Row],[Life expectancy]:[Schooling]])=19</f>
        <v>0</v>
      </c>
    </row>
    <row r="1088" spans="1:23" x14ac:dyDescent="0.25">
      <c r="A1088" t="s">
        <v>439</v>
      </c>
      <c r="B1088">
        <v>2003</v>
      </c>
      <c r="C1088" t="s">
        <v>369</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COUNT(LifeExpectancyData[[#This Row],[Life expectancy]:[Schooling]])=19</f>
        <v>0</v>
      </c>
    </row>
    <row r="1089" spans="1:23" x14ac:dyDescent="0.25">
      <c r="A1089" t="s">
        <v>439</v>
      </c>
      <c r="B1089">
        <v>2002</v>
      </c>
      <c r="C1089" t="s">
        <v>369</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COUNT(LifeExpectancyData[[#This Row],[Life expectancy]:[Schooling]])=19</f>
        <v>0</v>
      </c>
    </row>
    <row r="1090" spans="1:23" x14ac:dyDescent="0.25">
      <c r="A1090" t="s">
        <v>439</v>
      </c>
      <c r="B1090">
        <v>2001</v>
      </c>
      <c r="C1090" t="s">
        <v>369</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COUNT(LifeExpectancyData[[#This Row],[Life expectancy]:[Schooling]])=19</f>
        <v>0</v>
      </c>
    </row>
    <row r="1091" spans="1:23" x14ac:dyDescent="0.25">
      <c r="A1091" t="s">
        <v>439</v>
      </c>
      <c r="B1091">
        <v>2000</v>
      </c>
      <c r="C1091" t="s">
        <v>369</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COUNT(LifeExpectancyData[[#This Row],[Life expectancy]:[Schooling]])=19</f>
        <v>0</v>
      </c>
    </row>
    <row r="1092" spans="1:23" x14ac:dyDescent="0.25">
      <c r="A1092" t="s">
        <v>440</v>
      </c>
      <c r="B1092">
        <v>2015</v>
      </c>
      <c r="C1092" t="s">
        <v>369</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COUNT(LifeExpectancyData[[#This Row],[Life expectancy]:[Schooling]])=19</f>
        <v>0</v>
      </c>
    </row>
    <row r="1093" spans="1:23" x14ac:dyDescent="0.25">
      <c r="A1093" t="s">
        <v>440</v>
      </c>
      <c r="B1093">
        <v>2014</v>
      </c>
      <c r="C1093" t="s">
        <v>369</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COUNT(LifeExpectancyData[[#This Row],[Life expectancy]:[Schooling]])=19</f>
        <v>1</v>
      </c>
    </row>
    <row r="1094" spans="1:23" x14ac:dyDescent="0.25">
      <c r="A1094" t="s">
        <v>440</v>
      </c>
      <c r="B1094">
        <v>2013</v>
      </c>
      <c r="C1094" t="s">
        <v>369</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COUNT(LifeExpectancyData[[#This Row],[Life expectancy]:[Schooling]])=19</f>
        <v>1</v>
      </c>
    </row>
    <row r="1095" spans="1:23" x14ac:dyDescent="0.25">
      <c r="A1095" t="s">
        <v>440</v>
      </c>
      <c r="B1095">
        <v>2012</v>
      </c>
      <c r="C1095" t="s">
        <v>369</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COUNT(LifeExpectancyData[[#This Row],[Life expectancy]:[Schooling]])=19</f>
        <v>1</v>
      </c>
    </row>
    <row r="1096" spans="1:23" x14ac:dyDescent="0.25">
      <c r="A1096" t="s">
        <v>440</v>
      </c>
      <c r="B1096">
        <v>2011</v>
      </c>
      <c r="C1096" t="s">
        <v>369</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COUNT(LifeExpectancyData[[#This Row],[Life expectancy]:[Schooling]])=19</f>
        <v>1</v>
      </c>
    </row>
    <row r="1097" spans="1:23" x14ac:dyDescent="0.25">
      <c r="A1097" t="s">
        <v>440</v>
      </c>
      <c r="B1097">
        <v>2010</v>
      </c>
      <c r="C1097" t="s">
        <v>369</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COUNT(LifeExpectancyData[[#This Row],[Life expectancy]:[Schooling]])=19</f>
        <v>1</v>
      </c>
    </row>
    <row r="1098" spans="1:23" x14ac:dyDescent="0.25">
      <c r="A1098" t="s">
        <v>440</v>
      </c>
      <c r="B1098">
        <v>2009</v>
      </c>
      <c r="C1098" t="s">
        <v>369</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COUNT(LifeExpectancyData[[#This Row],[Life expectancy]:[Schooling]])=19</f>
        <v>1</v>
      </c>
    </row>
    <row r="1099" spans="1:23" x14ac:dyDescent="0.25">
      <c r="A1099" t="s">
        <v>440</v>
      </c>
      <c r="B1099">
        <v>2008</v>
      </c>
      <c r="C1099" t="s">
        <v>369</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COUNT(LifeExpectancyData[[#This Row],[Life expectancy]:[Schooling]])=19</f>
        <v>0</v>
      </c>
    </row>
    <row r="1100" spans="1:23" x14ac:dyDescent="0.25">
      <c r="A1100" t="s">
        <v>440</v>
      </c>
      <c r="B1100">
        <v>2007</v>
      </c>
      <c r="C1100" t="s">
        <v>369</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COUNT(LifeExpectancyData[[#This Row],[Life expectancy]:[Schooling]])=19</f>
        <v>0</v>
      </c>
    </row>
    <row r="1101" spans="1:23" x14ac:dyDescent="0.25">
      <c r="A1101" t="s">
        <v>440</v>
      </c>
      <c r="B1101">
        <v>2006</v>
      </c>
      <c r="C1101" t="s">
        <v>369</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COUNT(LifeExpectancyData[[#This Row],[Life expectancy]:[Schooling]])=19</f>
        <v>0</v>
      </c>
    </row>
    <row r="1102" spans="1:23" x14ac:dyDescent="0.25">
      <c r="A1102" t="s">
        <v>440</v>
      </c>
      <c r="B1102">
        <v>2005</v>
      </c>
      <c r="C1102" t="s">
        <v>369</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COUNT(LifeExpectancyData[[#This Row],[Life expectancy]:[Schooling]])=19</f>
        <v>0</v>
      </c>
    </row>
    <row r="1103" spans="1:23" x14ac:dyDescent="0.25">
      <c r="A1103" t="s">
        <v>440</v>
      </c>
      <c r="B1103">
        <v>2004</v>
      </c>
      <c r="C1103" t="s">
        <v>369</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COUNT(LifeExpectancyData[[#This Row],[Life expectancy]:[Schooling]])=19</f>
        <v>0</v>
      </c>
    </row>
    <row r="1104" spans="1:23" x14ac:dyDescent="0.25">
      <c r="A1104" t="s">
        <v>440</v>
      </c>
      <c r="B1104">
        <v>2003</v>
      </c>
      <c r="C1104" t="s">
        <v>369</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COUNT(LifeExpectancyData[[#This Row],[Life expectancy]:[Schooling]])=19</f>
        <v>0</v>
      </c>
    </row>
    <row r="1105" spans="1:23" x14ac:dyDescent="0.25">
      <c r="A1105" t="s">
        <v>440</v>
      </c>
      <c r="B1105">
        <v>2002</v>
      </c>
      <c r="C1105" t="s">
        <v>369</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COUNT(LifeExpectancyData[[#This Row],[Life expectancy]:[Schooling]])=19</f>
        <v>0</v>
      </c>
    </row>
    <row r="1106" spans="1:23" x14ac:dyDescent="0.25">
      <c r="A1106" t="s">
        <v>440</v>
      </c>
      <c r="B1106">
        <v>2001</v>
      </c>
      <c r="C1106" t="s">
        <v>369</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COUNT(LifeExpectancyData[[#This Row],[Life expectancy]:[Schooling]])=19</f>
        <v>0</v>
      </c>
    </row>
    <row r="1107" spans="1:23" x14ac:dyDescent="0.25">
      <c r="A1107" t="s">
        <v>440</v>
      </c>
      <c r="B1107">
        <v>2000</v>
      </c>
      <c r="C1107" t="s">
        <v>369</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COUNT(LifeExpectancyData[[#This Row],[Life expectancy]:[Schooling]])=19</f>
        <v>0</v>
      </c>
    </row>
    <row r="1108" spans="1:23" x14ac:dyDescent="0.25">
      <c r="A1108" t="s">
        <v>441</v>
      </c>
      <c r="B1108">
        <v>2015</v>
      </c>
      <c r="C1108" t="s">
        <v>369</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COUNT(LifeExpectancyData[[#This Row],[Life expectancy]:[Schooling]])=19</f>
        <v>0</v>
      </c>
    </row>
    <row r="1109" spans="1:23" x14ac:dyDescent="0.25">
      <c r="A1109" t="s">
        <v>441</v>
      </c>
      <c r="B1109">
        <v>2014</v>
      </c>
      <c r="C1109" t="s">
        <v>369</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COUNT(LifeExpectancyData[[#This Row],[Life expectancy]:[Schooling]])=19</f>
        <v>1</v>
      </c>
    </row>
    <row r="1110" spans="1:23" x14ac:dyDescent="0.25">
      <c r="A1110" t="s">
        <v>441</v>
      </c>
      <c r="B1110">
        <v>2013</v>
      </c>
      <c r="C1110" t="s">
        <v>369</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COUNT(LifeExpectancyData[[#This Row],[Life expectancy]:[Schooling]])=19</f>
        <v>1</v>
      </c>
    </row>
    <row r="1111" spans="1:23" x14ac:dyDescent="0.25">
      <c r="A1111" t="s">
        <v>441</v>
      </c>
      <c r="B1111">
        <v>2012</v>
      </c>
      <c r="C1111" t="s">
        <v>369</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COUNT(LifeExpectancyData[[#This Row],[Life expectancy]:[Schooling]])=19</f>
        <v>1</v>
      </c>
    </row>
    <row r="1112" spans="1:23" x14ac:dyDescent="0.25">
      <c r="A1112" t="s">
        <v>441</v>
      </c>
      <c r="B1112">
        <v>2011</v>
      </c>
      <c r="C1112" t="s">
        <v>369</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COUNT(LifeExpectancyData[[#This Row],[Life expectancy]:[Schooling]])=19</f>
        <v>1</v>
      </c>
    </row>
    <row r="1113" spans="1:23" x14ac:dyDescent="0.25">
      <c r="A1113" t="s">
        <v>441</v>
      </c>
      <c r="B1113">
        <v>2010</v>
      </c>
      <c r="C1113" t="s">
        <v>369</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COUNT(LifeExpectancyData[[#This Row],[Life expectancy]:[Schooling]])=19</f>
        <v>1</v>
      </c>
    </row>
    <row r="1114" spans="1:23" x14ac:dyDescent="0.25">
      <c r="A1114" t="s">
        <v>441</v>
      </c>
      <c r="B1114">
        <v>2009</v>
      </c>
      <c r="C1114" t="s">
        <v>369</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COUNT(LifeExpectancyData[[#This Row],[Life expectancy]:[Schooling]])=19</f>
        <v>1</v>
      </c>
    </row>
    <row r="1115" spans="1:23" x14ac:dyDescent="0.25">
      <c r="A1115" t="s">
        <v>441</v>
      </c>
      <c r="B1115">
        <v>2008</v>
      </c>
      <c r="C1115" t="s">
        <v>369</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COUNT(LifeExpectancyData[[#This Row],[Life expectancy]:[Schooling]])=19</f>
        <v>1</v>
      </c>
    </row>
    <row r="1116" spans="1:23" x14ac:dyDescent="0.25">
      <c r="A1116" t="s">
        <v>441</v>
      </c>
      <c r="B1116">
        <v>2007</v>
      </c>
      <c r="C1116" t="s">
        <v>369</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COUNT(LifeExpectancyData[[#This Row],[Life expectancy]:[Schooling]])=19</f>
        <v>1</v>
      </c>
    </row>
    <row r="1117" spans="1:23" x14ac:dyDescent="0.25">
      <c r="A1117" t="s">
        <v>441</v>
      </c>
      <c r="B1117">
        <v>2006</v>
      </c>
      <c r="C1117" t="s">
        <v>369</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COUNT(LifeExpectancyData[[#This Row],[Life expectancy]:[Schooling]])=19</f>
        <v>1</v>
      </c>
    </row>
    <row r="1118" spans="1:23" x14ac:dyDescent="0.25">
      <c r="A1118" t="s">
        <v>441</v>
      </c>
      <c r="B1118">
        <v>2005</v>
      </c>
      <c r="C1118" t="s">
        <v>369</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COUNT(LifeExpectancyData[[#This Row],[Life expectancy]:[Schooling]])=19</f>
        <v>1</v>
      </c>
    </row>
    <row r="1119" spans="1:23" x14ac:dyDescent="0.25">
      <c r="A1119" t="s">
        <v>441</v>
      </c>
      <c r="B1119">
        <v>2004</v>
      </c>
      <c r="C1119" t="s">
        <v>369</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COUNT(LifeExpectancyData[[#This Row],[Life expectancy]:[Schooling]])=19</f>
        <v>1</v>
      </c>
    </row>
    <row r="1120" spans="1:23" x14ac:dyDescent="0.25">
      <c r="A1120" t="s">
        <v>441</v>
      </c>
      <c r="B1120">
        <v>2003</v>
      </c>
      <c r="C1120" t="s">
        <v>369</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COUNT(LifeExpectancyData[[#This Row],[Life expectancy]:[Schooling]])=19</f>
        <v>1</v>
      </c>
    </row>
    <row r="1121" spans="1:23" x14ac:dyDescent="0.25">
      <c r="A1121" t="s">
        <v>441</v>
      </c>
      <c r="B1121">
        <v>2002</v>
      </c>
      <c r="C1121" t="s">
        <v>369</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COUNT(LifeExpectancyData[[#This Row],[Life expectancy]:[Schooling]])=19</f>
        <v>1</v>
      </c>
    </row>
    <row r="1122" spans="1:23" x14ac:dyDescent="0.25">
      <c r="A1122" t="s">
        <v>441</v>
      </c>
      <c r="B1122">
        <v>2001</v>
      </c>
      <c r="C1122" t="s">
        <v>369</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COUNT(LifeExpectancyData[[#This Row],[Life expectancy]:[Schooling]])=19</f>
        <v>1</v>
      </c>
    </row>
    <row r="1123" spans="1:23" x14ac:dyDescent="0.25">
      <c r="A1123" t="s">
        <v>441</v>
      </c>
      <c r="B1123">
        <v>2000</v>
      </c>
      <c r="C1123" t="s">
        <v>369</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COUNT(LifeExpectancyData[[#This Row],[Life expectancy]:[Schooling]])=19</f>
        <v>0</v>
      </c>
    </row>
    <row r="1124" spans="1:23" x14ac:dyDescent="0.25">
      <c r="A1124" t="s">
        <v>442</v>
      </c>
      <c r="B1124">
        <v>2015</v>
      </c>
      <c r="C1124" t="s">
        <v>369</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COUNT(LifeExpectancyData[[#This Row],[Life expectancy]:[Schooling]])=19</f>
        <v>0</v>
      </c>
    </row>
    <row r="1125" spans="1:23" x14ac:dyDescent="0.25">
      <c r="A1125" t="s">
        <v>442</v>
      </c>
      <c r="B1125">
        <v>2014</v>
      </c>
      <c r="C1125" t="s">
        <v>369</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COUNT(LifeExpectancyData[[#This Row],[Life expectancy]:[Schooling]])=19</f>
        <v>1</v>
      </c>
    </row>
    <row r="1126" spans="1:23" x14ac:dyDescent="0.25">
      <c r="A1126" t="s">
        <v>442</v>
      </c>
      <c r="B1126">
        <v>2013</v>
      </c>
      <c r="C1126" t="s">
        <v>369</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COUNT(LifeExpectancyData[[#This Row],[Life expectancy]:[Schooling]])=19</f>
        <v>1</v>
      </c>
    </row>
    <row r="1127" spans="1:23" x14ac:dyDescent="0.25">
      <c r="A1127" t="s">
        <v>442</v>
      </c>
      <c r="B1127">
        <v>2012</v>
      </c>
      <c r="C1127" t="s">
        <v>369</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COUNT(LifeExpectancyData[[#This Row],[Life expectancy]:[Schooling]])=19</f>
        <v>0</v>
      </c>
    </row>
    <row r="1128" spans="1:23" x14ac:dyDescent="0.25">
      <c r="A1128" t="s">
        <v>442</v>
      </c>
      <c r="B1128">
        <v>2011</v>
      </c>
      <c r="C1128" t="s">
        <v>369</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COUNT(LifeExpectancyData[[#This Row],[Life expectancy]:[Schooling]])=19</f>
        <v>0</v>
      </c>
    </row>
    <row r="1129" spans="1:23" x14ac:dyDescent="0.25">
      <c r="A1129" t="s">
        <v>442</v>
      </c>
      <c r="B1129">
        <v>2010</v>
      </c>
      <c r="C1129" t="s">
        <v>369</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COUNT(LifeExpectancyData[[#This Row],[Life expectancy]:[Schooling]])=19</f>
        <v>0</v>
      </c>
    </row>
    <row r="1130" spans="1:23" x14ac:dyDescent="0.25">
      <c r="A1130" t="s">
        <v>442</v>
      </c>
      <c r="B1130">
        <v>2009</v>
      </c>
      <c r="C1130" t="s">
        <v>369</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COUNT(LifeExpectancyData[[#This Row],[Life expectancy]:[Schooling]])=19</f>
        <v>0</v>
      </c>
    </row>
    <row r="1131" spans="1:23" x14ac:dyDescent="0.25">
      <c r="A1131" t="s">
        <v>442</v>
      </c>
      <c r="B1131">
        <v>2008</v>
      </c>
      <c r="C1131" t="s">
        <v>369</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COUNT(LifeExpectancyData[[#This Row],[Life expectancy]:[Schooling]])=19</f>
        <v>0</v>
      </c>
    </row>
    <row r="1132" spans="1:23" x14ac:dyDescent="0.25">
      <c r="A1132" t="s">
        <v>442</v>
      </c>
      <c r="B1132">
        <v>2007</v>
      </c>
      <c r="C1132" t="s">
        <v>369</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COUNT(LifeExpectancyData[[#This Row],[Life expectancy]:[Schooling]])=19</f>
        <v>0</v>
      </c>
    </row>
    <row r="1133" spans="1:23" x14ac:dyDescent="0.25">
      <c r="A1133" t="s">
        <v>442</v>
      </c>
      <c r="B1133">
        <v>2006</v>
      </c>
      <c r="C1133" t="s">
        <v>369</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COUNT(LifeExpectancyData[[#This Row],[Life expectancy]:[Schooling]])=19</f>
        <v>0</v>
      </c>
    </row>
    <row r="1134" spans="1:23" x14ac:dyDescent="0.25">
      <c r="A1134" t="s">
        <v>442</v>
      </c>
      <c r="B1134">
        <v>2005</v>
      </c>
      <c r="C1134" t="s">
        <v>369</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COUNT(LifeExpectancyData[[#This Row],[Life expectancy]:[Schooling]])=19</f>
        <v>0</v>
      </c>
    </row>
    <row r="1135" spans="1:23" x14ac:dyDescent="0.25">
      <c r="A1135" t="s">
        <v>442</v>
      </c>
      <c r="B1135">
        <v>2004</v>
      </c>
      <c r="C1135" t="s">
        <v>369</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COUNT(LifeExpectancyData[[#This Row],[Life expectancy]:[Schooling]])=19</f>
        <v>0</v>
      </c>
    </row>
    <row r="1136" spans="1:23" x14ac:dyDescent="0.25">
      <c r="A1136" t="s">
        <v>442</v>
      </c>
      <c r="B1136">
        <v>2003</v>
      </c>
      <c r="C1136" t="s">
        <v>369</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COUNT(LifeExpectancyData[[#This Row],[Life expectancy]:[Schooling]])=19</f>
        <v>0</v>
      </c>
    </row>
    <row r="1137" spans="1:23" x14ac:dyDescent="0.25">
      <c r="A1137" t="s">
        <v>442</v>
      </c>
      <c r="B1137">
        <v>2002</v>
      </c>
      <c r="C1137" t="s">
        <v>369</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COUNT(LifeExpectancyData[[#This Row],[Life expectancy]:[Schooling]])=19</f>
        <v>0</v>
      </c>
    </row>
    <row r="1138" spans="1:23" x14ac:dyDescent="0.25">
      <c r="A1138" t="s">
        <v>442</v>
      </c>
      <c r="B1138">
        <v>2001</v>
      </c>
      <c r="C1138" t="s">
        <v>369</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COUNT(LifeExpectancyData[[#This Row],[Life expectancy]:[Schooling]])=19</f>
        <v>0</v>
      </c>
    </row>
    <row r="1139" spans="1:23" x14ac:dyDescent="0.25">
      <c r="A1139" t="s">
        <v>442</v>
      </c>
      <c r="B1139">
        <v>2000</v>
      </c>
      <c r="C1139" t="s">
        <v>369</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COUNT(LifeExpectancyData[[#This Row],[Life expectancy]:[Schooling]])=19</f>
        <v>0</v>
      </c>
    </row>
    <row r="1140" spans="1:23" x14ac:dyDescent="0.25">
      <c r="A1140" t="s">
        <v>443</v>
      </c>
      <c r="B1140">
        <v>2015</v>
      </c>
      <c r="C1140" t="s">
        <v>369</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COUNT(LifeExpectancyData[[#This Row],[Life expectancy]:[Schooling]])=19</f>
        <v>0</v>
      </c>
    </row>
    <row r="1141" spans="1:23" x14ac:dyDescent="0.25">
      <c r="A1141" t="s">
        <v>443</v>
      </c>
      <c r="B1141">
        <v>2014</v>
      </c>
      <c r="C1141" t="s">
        <v>369</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COUNT(LifeExpectancyData[[#This Row],[Life expectancy]:[Schooling]])=19</f>
        <v>1</v>
      </c>
    </row>
    <row r="1142" spans="1:23" x14ac:dyDescent="0.25">
      <c r="A1142" t="s">
        <v>443</v>
      </c>
      <c r="B1142">
        <v>2013</v>
      </c>
      <c r="C1142" t="s">
        <v>369</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COUNT(LifeExpectancyData[[#This Row],[Life expectancy]:[Schooling]])=19</f>
        <v>1</v>
      </c>
    </row>
    <row r="1143" spans="1:23" x14ac:dyDescent="0.25">
      <c r="A1143" t="s">
        <v>443</v>
      </c>
      <c r="B1143">
        <v>2012</v>
      </c>
      <c r="C1143" t="s">
        <v>369</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COUNT(LifeExpectancyData[[#This Row],[Life expectancy]:[Schooling]])=19</f>
        <v>1</v>
      </c>
    </row>
    <row r="1144" spans="1:23" x14ac:dyDescent="0.25">
      <c r="A1144" t="s">
        <v>443</v>
      </c>
      <c r="B1144">
        <v>2011</v>
      </c>
      <c r="C1144" t="s">
        <v>369</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COUNT(LifeExpectancyData[[#This Row],[Life expectancy]:[Schooling]])=19</f>
        <v>1</v>
      </c>
    </row>
    <row r="1145" spans="1:23" x14ac:dyDescent="0.25">
      <c r="A1145" t="s">
        <v>443</v>
      </c>
      <c r="B1145">
        <v>2010</v>
      </c>
      <c r="C1145" t="s">
        <v>369</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COUNT(LifeExpectancyData[[#This Row],[Life expectancy]:[Schooling]])=19</f>
        <v>1</v>
      </c>
    </row>
    <row r="1146" spans="1:23" x14ac:dyDescent="0.25">
      <c r="A1146" t="s">
        <v>443</v>
      </c>
      <c r="B1146">
        <v>2009</v>
      </c>
      <c r="C1146" t="s">
        <v>369</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COUNT(LifeExpectancyData[[#This Row],[Life expectancy]:[Schooling]])=19</f>
        <v>1</v>
      </c>
    </row>
    <row r="1147" spans="1:23" x14ac:dyDescent="0.25">
      <c r="A1147" t="s">
        <v>443</v>
      </c>
      <c r="B1147">
        <v>2008</v>
      </c>
      <c r="C1147" t="s">
        <v>369</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COUNT(LifeExpectancyData[[#This Row],[Life expectancy]:[Schooling]])=19</f>
        <v>1</v>
      </c>
    </row>
    <row r="1148" spans="1:23" x14ac:dyDescent="0.25">
      <c r="A1148" t="s">
        <v>443</v>
      </c>
      <c r="B1148">
        <v>2007</v>
      </c>
      <c r="C1148" t="s">
        <v>369</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COUNT(LifeExpectancyData[[#This Row],[Life expectancy]:[Schooling]])=19</f>
        <v>1</v>
      </c>
    </row>
    <row r="1149" spans="1:23" x14ac:dyDescent="0.25">
      <c r="A1149" t="s">
        <v>443</v>
      </c>
      <c r="B1149">
        <v>2006</v>
      </c>
      <c r="C1149" t="s">
        <v>369</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COUNT(LifeExpectancyData[[#This Row],[Life expectancy]:[Schooling]])=19</f>
        <v>1</v>
      </c>
    </row>
    <row r="1150" spans="1:23" x14ac:dyDescent="0.25">
      <c r="A1150" t="s">
        <v>443</v>
      </c>
      <c r="B1150">
        <v>2005</v>
      </c>
      <c r="C1150" t="s">
        <v>369</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COUNT(LifeExpectancyData[[#This Row],[Life expectancy]:[Schooling]])=19</f>
        <v>1</v>
      </c>
    </row>
    <row r="1151" spans="1:23" x14ac:dyDescent="0.25">
      <c r="A1151" t="s">
        <v>443</v>
      </c>
      <c r="B1151">
        <v>2004</v>
      </c>
      <c r="C1151" t="s">
        <v>369</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COUNT(LifeExpectancyData[[#This Row],[Life expectancy]:[Schooling]])=19</f>
        <v>1</v>
      </c>
    </row>
    <row r="1152" spans="1:23" x14ac:dyDescent="0.25">
      <c r="A1152" t="s">
        <v>443</v>
      </c>
      <c r="B1152">
        <v>2003</v>
      </c>
      <c r="C1152" t="s">
        <v>369</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COUNT(LifeExpectancyData[[#This Row],[Life expectancy]:[Schooling]])=19</f>
        <v>1</v>
      </c>
    </row>
    <row r="1153" spans="1:23" x14ac:dyDescent="0.25">
      <c r="A1153" t="s">
        <v>443</v>
      </c>
      <c r="B1153">
        <v>2002</v>
      </c>
      <c r="C1153" t="s">
        <v>369</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COUNT(LifeExpectancyData[[#This Row],[Life expectancy]:[Schooling]])=19</f>
        <v>1</v>
      </c>
    </row>
    <row r="1154" spans="1:23" x14ac:dyDescent="0.25">
      <c r="A1154" t="s">
        <v>443</v>
      </c>
      <c r="B1154">
        <v>2001</v>
      </c>
      <c r="C1154" t="s">
        <v>369</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COUNT(LifeExpectancyData[[#This Row],[Life expectancy]:[Schooling]])=19</f>
        <v>1</v>
      </c>
    </row>
    <row r="1155" spans="1:23" x14ac:dyDescent="0.25">
      <c r="A1155" t="s">
        <v>443</v>
      </c>
      <c r="B1155">
        <v>2000</v>
      </c>
      <c r="C1155" t="s">
        <v>369</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COUNT(LifeExpectancyData[[#This Row],[Life expectancy]:[Schooling]])=19</f>
        <v>1</v>
      </c>
    </row>
    <row r="1156" spans="1:23" x14ac:dyDescent="0.25">
      <c r="A1156" t="s">
        <v>444</v>
      </c>
      <c r="B1156">
        <v>2015</v>
      </c>
      <c r="C1156" t="s">
        <v>377</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COUNT(LifeExpectancyData[[#This Row],[Life expectancy]:[Schooling]])=19</f>
        <v>0</v>
      </c>
    </row>
    <row r="1157" spans="1:23" x14ac:dyDescent="0.25">
      <c r="A1157" t="s">
        <v>444</v>
      </c>
      <c r="B1157">
        <v>2014</v>
      </c>
      <c r="C1157" t="s">
        <v>377</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COUNT(LifeExpectancyData[[#This Row],[Life expectancy]:[Schooling]])=19</f>
        <v>0</v>
      </c>
    </row>
    <row r="1158" spans="1:23" x14ac:dyDescent="0.25">
      <c r="A1158" t="s">
        <v>444</v>
      </c>
      <c r="B1158">
        <v>2013</v>
      </c>
      <c r="C1158" t="s">
        <v>377</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COUNT(LifeExpectancyData[[#This Row],[Life expectancy]:[Schooling]])=19</f>
        <v>0</v>
      </c>
    </row>
    <row r="1159" spans="1:23" x14ac:dyDescent="0.25">
      <c r="A1159" t="s">
        <v>444</v>
      </c>
      <c r="B1159">
        <v>2012</v>
      </c>
      <c r="C1159" t="s">
        <v>377</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COUNT(LifeExpectancyData[[#This Row],[Life expectancy]:[Schooling]])=19</f>
        <v>0</v>
      </c>
    </row>
    <row r="1160" spans="1:23" x14ac:dyDescent="0.25">
      <c r="A1160" t="s">
        <v>444</v>
      </c>
      <c r="B1160">
        <v>2011</v>
      </c>
      <c r="C1160" t="s">
        <v>377</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COUNT(LifeExpectancyData[[#This Row],[Life expectancy]:[Schooling]])=19</f>
        <v>0</v>
      </c>
    </row>
    <row r="1161" spans="1:23" x14ac:dyDescent="0.25">
      <c r="A1161" t="s">
        <v>444</v>
      </c>
      <c r="B1161">
        <v>2010</v>
      </c>
      <c r="C1161" t="s">
        <v>377</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COUNT(LifeExpectancyData[[#This Row],[Life expectancy]:[Schooling]])=19</f>
        <v>0</v>
      </c>
    </row>
    <row r="1162" spans="1:23" x14ac:dyDescent="0.25">
      <c r="A1162" t="s">
        <v>444</v>
      </c>
      <c r="B1162">
        <v>2009</v>
      </c>
      <c r="C1162" t="s">
        <v>377</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COUNT(LifeExpectancyData[[#This Row],[Life expectancy]:[Schooling]])=19</f>
        <v>0</v>
      </c>
    </row>
    <row r="1163" spans="1:23" x14ac:dyDescent="0.25">
      <c r="A1163" t="s">
        <v>444</v>
      </c>
      <c r="B1163">
        <v>2008</v>
      </c>
      <c r="C1163" t="s">
        <v>377</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COUNT(LifeExpectancyData[[#This Row],[Life expectancy]:[Schooling]])=19</f>
        <v>0</v>
      </c>
    </row>
    <row r="1164" spans="1:23" x14ac:dyDescent="0.25">
      <c r="A1164" t="s">
        <v>444</v>
      </c>
      <c r="B1164">
        <v>2007</v>
      </c>
      <c r="C1164" t="s">
        <v>377</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COUNT(LifeExpectancyData[[#This Row],[Life expectancy]:[Schooling]])=19</f>
        <v>0</v>
      </c>
    </row>
    <row r="1165" spans="1:23" x14ac:dyDescent="0.25">
      <c r="A1165" t="s">
        <v>444</v>
      </c>
      <c r="B1165">
        <v>2006</v>
      </c>
      <c r="C1165" t="s">
        <v>377</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COUNT(LifeExpectancyData[[#This Row],[Life expectancy]:[Schooling]])=19</f>
        <v>0</v>
      </c>
    </row>
    <row r="1166" spans="1:23" x14ac:dyDescent="0.25">
      <c r="A1166" t="s">
        <v>444</v>
      </c>
      <c r="B1166">
        <v>2005</v>
      </c>
      <c r="C1166" t="s">
        <v>377</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COUNT(LifeExpectancyData[[#This Row],[Life expectancy]:[Schooling]])=19</f>
        <v>0</v>
      </c>
    </row>
    <row r="1167" spans="1:23" x14ac:dyDescent="0.25">
      <c r="A1167" t="s">
        <v>444</v>
      </c>
      <c r="B1167">
        <v>2004</v>
      </c>
      <c r="C1167" t="s">
        <v>377</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COUNT(LifeExpectancyData[[#This Row],[Life expectancy]:[Schooling]])=19</f>
        <v>0</v>
      </c>
    </row>
    <row r="1168" spans="1:23" x14ac:dyDescent="0.25">
      <c r="A1168" t="s">
        <v>444</v>
      </c>
      <c r="B1168">
        <v>2003</v>
      </c>
      <c r="C1168" t="s">
        <v>377</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COUNT(LifeExpectancyData[[#This Row],[Life expectancy]:[Schooling]])=19</f>
        <v>0</v>
      </c>
    </row>
    <row r="1169" spans="1:23" x14ac:dyDescent="0.25">
      <c r="A1169" t="s">
        <v>444</v>
      </c>
      <c r="B1169">
        <v>2002</v>
      </c>
      <c r="C1169" t="s">
        <v>377</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COUNT(LifeExpectancyData[[#This Row],[Life expectancy]:[Schooling]])=19</f>
        <v>0</v>
      </c>
    </row>
    <row r="1170" spans="1:23" x14ac:dyDescent="0.25">
      <c r="A1170" t="s">
        <v>444</v>
      </c>
      <c r="B1170">
        <v>2001</v>
      </c>
      <c r="C1170" t="s">
        <v>377</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COUNT(LifeExpectancyData[[#This Row],[Life expectancy]:[Schooling]])=19</f>
        <v>0</v>
      </c>
    </row>
    <row r="1171" spans="1:23" x14ac:dyDescent="0.25">
      <c r="A1171" t="s">
        <v>444</v>
      </c>
      <c r="B1171">
        <v>2000</v>
      </c>
      <c r="C1171" t="s">
        <v>377</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COUNT(LifeExpectancyData[[#This Row],[Life expectancy]:[Schooling]])=19</f>
        <v>0</v>
      </c>
    </row>
    <row r="1172" spans="1:23" x14ac:dyDescent="0.25">
      <c r="A1172" t="s">
        <v>445</v>
      </c>
      <c r="B1172">
        <v>2015</v>
      </c>
      <c r="C1172" t="s">
        <v>377</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COUNT(LifeExpectancyData[[#This Row],[Life expectancy]:[Schooling]])=19</f>
        <v>0</v>
      </c>
    </row>
    <row r="1173" spans="1:23" x14ac:dyDescent="0.25">
      <c r="A1173" t="s">
        <v>445</v>
      </c>
      <c r="B1173">
        <v>2014</v>
      </c>
      <c r="C1173" t="s">
        <v>377</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COUNT(LifeExpectancyData[[#This Row],[Life expectancy]:[Schooling]])=19</f>
        <v>0</v>
      </c>
    </row>
    <row r="1174" spans="1:23" x14ac:dyDescent="0.25">
      <c r="A1174" t="s">
        <v>445</v>
      </c>
      <c r="B1174">
        <v>2013</v>
      </c>
      <c r="C1174" t="s">
        <v>377</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COUNT(LifeExpectancyData[[#This Row],[Life expectancy]:[Schooling]])=19</f>
        <v>0</v>
      </c>
    </row>
    <row r="1175" spans="1:23" x14ac:dyDescent="0.25">
      <c r="A1175" t="s">
        <v>445</v>
      </c>
      <c r="B1175">
        <v>2012</v>
      </c>
      <c r="C1175" t="s">
        <v>377</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COUNT(LifeExpectancyData[[#This Row],[Life expectancy]:[Schooling]])=19</f>
        <v>0</v>
      </c>
    </row>
    <row r="1176" spans="1:23" x14ac:dyDescent="0.25">
      <c r="A1176" t="s">
        <v>445</v>
      </c>
      <c r="B1176">
        <v>2011</v>
      </c>
      <c r="C1176" t="s">
        <v>377</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COUNT(LifeExpectancyData[[#This Row],[Life expectancy]:[Schooling]])=19</f>
        <v>0</v>
      </c>
    </row>
    <row r="1177" spans="1:23" x14ac:dyDescent="0.25">
      <c r="A1177" t="s">
        <v>445</v>
      </c>
      <c r="B1177">
        <v>2010</v>
      </c>
      <c r="C1177" t="s">
        <v>377</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COUNT(LifeExpectancyData[[#This Row],[Life expectancy]:[Schooling]])=19</f>
        <v>0</v>
      </c>
    </row>
    <row r="1178" spans="1:23" x14ac:dyDescent="0.25">
      <c r="A1178" t="s">
        <v>445</v>
      </c>
      <c r="B1178">
        <v>2009</v>
      </c>
      <c r="C1178" t="s">
        <v>377</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COUNT(LifeExpectancyData[[#This Row],[Life expectancy]:[Schooling]])=19</f>
        <v>0</v>
      </c>
    </row>
    <row r="1179" spans="1:23" x14ac:dyDescent="0.25">
      <c r="A1179" t="s">
        <v>445</v>
      </c>
      <c r="B1179">
        <v>2008</v>
      </c>
      <c r="C1179" t="s">
        <v>377</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COUNT(LifeExpectancyData[[#This Row],[Life expectancy]:[Schooling]])=19</f>
        <v>0</v>
      </c>
    </row>
    <row r="1180" spans="1:23" x14ac:dyDescent="0.25">
      <c r="A1180" t="s">
        <v>445</v>
      </c>
      <c r="B1180">
        <v>2007</v>
      </c>
      <c r="C1180" t="s">
        <v>377</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COUNT(LifeExpectancyData[[#This Row],[Life expectancy]:[Schooling]])=19</f>
        <v>0</v>
      </c>
    </row>
    <row r="1181" spans="1:23" x14ac:dyDescent="0.25">
      <c r="A1181" t="s">
        <v>445</v>
      </c>
      <c r="B1181">
        <v>2006</v>
      </c>
      <c r="C1181" t="s">
        <v>377</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COUNT(LifeExpectancyData[[#This Row],[Life expectancy]:[Schooling]])=19</f>
        <v>0</v>
      </c>
    </row>
    <row r="1182" spans="1:23" x14ac:dyDescent="0.25">
      <c r="A1182" t="s">
        <v>445</v>
      </c>
      <c r="B1182">
        <v>2005</v>
      </c>
      <c r="C1182" t="s">
        <v>377</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COUNT(LifeExpectancyData[[#This Row],[Life expectancy]:[Schooling]])=19</f>
        <v>0</v>
      </c>
    </row>
    <row r="1183" spans="1:23" x14ac:dyDescent="0.25">
      <c r="A1183" t="s">
        <v>445</v>
      </c>
      <c r="B1183">
        <v>2004</v>
      </c>
      <c r="C1183" t="s">
        <v>377</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COUNT(LifeExpectancyData[[#This Row],[Life expectancy]:[Schooling]])=19</f>
        <v>0</v>
      </c>
    </row>
    <row r="1184" spans="1:23" x14ac:dyDescent="0.25">
      <c r="A1184" t="s">
        <v>445</v>
      </c>
      <c r="B1184">
        <v>2003</v>
      </c>
      <c r="C1184" t="s">
        <v>377</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COUNT(LifeExpectancyData[[#This Row],[Life expectancy]:[Schooling]])=19</f>
        <v>0</v>
      </c>
    </row>
    <row r="1185" spans="1:23" x14ac:dyDescent="0.25">
      <c r="A1185" t="s">
        <v>445</v>
      </c>
      <c r="B1185">
        <v>2002</v>
      </c>
      <c r="C1185" t="s">
        <v>377</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COUNT(LifeExpectancyData[[#This Row],[Life expectancy]:[Schooling]])=19</f>
        <v>0</v>
      </c>
    </row>
    <row r="1186" spans="1:23" x14ac:dyDescent="0.25">
      <c r="A1186" t="s">
        <v>445</v>
      </c>
      <c r="B1186">
        <v>2001</v>
      </c>
      <c r="C1186" t="s">
        <v>377</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COUNT(LifeExpectancyData[[#This Row],[Life expectancy]:[Schooling]])=19</f>
        <v>0</v>
      </c>
    </row>
    <row r="1187" spans="1:23" x14ac:dyDescent="0.25">
      <c r="A1187" t="s">
        <v>445</v>
      </c>
      <c r="B1187">
        <v>2000</v>
      </c>
      <c r="C1187" t="s">
        <v>377</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COUNT(LifeExpectancyData[[#This Row],[Life expectancy]:[Schooling]])=19</f>
        <v>0</v>
      </c>
    </row>
    <row r="1188" spans="1:23" x14ac:dyDescent="0.25">
      <c r="A1188" t="s">
        <v>446</v>
      </c>
      <c r="B1188">
        <v>2015</v>
      </c>
      <c r="C1188" t="s">
        <v>369</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COUNT(LifeExpectancyData[[#This Row],[Life expectancy]:[Schooling]])=19</f>
        <v>0</v>
      </c>
    </row>
    <row r="1189" spans="1:23" x14ac:dyDescent="0.25">
      <c r="A1189" t="s">
        <v>446</v>
      </c>
      <c r="B1189">
        <v>2014</v>
      </c>
      <c r="C1189" t="s">
        <v>369</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COUNT(LifeExpectancyData[[#This Row],[Life expectancy]:[Schooling]])=19</f>
        <v>1</v>
      </c>
    </row>
    <row r="1190" spans="1:23" x14ac:dyDescent="0.25">
      <c r="A1190" t="s">
        <v>446</v>
      </c>
      <c r="B1190">
        <v>2013</v>
      </c>
      <c r="C1190" t="s">
        <v>369</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COUNT(LifeExpectancyData[[#This Row],[Life expectancy]:[Schooling]])=19</f>
        <v>1</v>
      </c>
    </row>
    <row r="1191" spans="1:23" x14ac:dyDescent="0.25">
      <c r="A1191" t="s">
        <v>446</v>
      </c>
      <c r="B1191">
        <v>2012</v>
      </c>
      <c r="C1191" t="s">
        <v>369</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COUNT(LifeExpectancyData[[#This Row],[Life expectancy]:[Schooling]])=19</f>
        <v>1</v>
      </c>
    </row>
    <row r="1192" spans="1:23" x14ac:dyDescent="0.25">
      <c r="A1192" t="s">
        <v>446</v>
      </c>
      <c r="B1192">
        <v>2011</v>
      </c>
      <c r="C1192" t="s">
        <v>369</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COUNT(LifeExpectancyData[[#This Row],[Life expectancy]:[Schooling]])=19</f>
        <v>1</v>
      </c>
    </row>
    <row r="1193" spans="1:23" x14ac:dyDescent="0.25">
      <c r="A1193" t="s">
        <v>446</v>
      </c>
      <c r="B1193">
        <v>2010</v>
      </c>
      <c r="C1193" t="s">
        <v>369</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COUNT(LifeExpectancyData[[#This Row],[Life expectancy]:[Schooling]])=19</f>
        <v>1</v>
      </c>
    </row>
    <row r="1194" spans="1:23" x14ac:dyDescent="0.25">
      <c r="A1194" t="s">
        <v>446</v>
      </c>
      <c r="B1194">
        <v>2009</v>
      </c>
      <c r="C1194" t="s">
        <v>369</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COUNT(LifeExpectancyData[[#This Row],[Life expectancy]:[Schooling]])=19</f>
        <v>1</v>
      </c>
    </row>
    <row r="1195" spans="1:23" x14ac:dyDescent="0.25">
      <c r="A1195" t="s">
        <v>446</v>
      </c>
      <c r="B1195">
        <v>2008</v>
      </c>
      <c r="C1195" t="s">
        <v>369</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COUNT(LifeExpectancyData[[#This Row],[Life expectancy]:[Schooling]])=19</f>
        <v>1</v>
      </c>
    </row>
    <row r="1196" spans="1:23" x14ac:dyDescent="0.25">
      <c r="A1196" t="s">
        <v>446</v>
      </c>
      <c r="B1196">
        <v>2007</v>
      </c>
      <c r="C1196" t="s">
        <v>369</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COUNT(LifeExpectancyData[[#This Row],[Life expectancy]:[Schooling]])=19</f>
        <v>1</v>
      </c>
    </row>
    <row r="1197" spans="1:23" x14ac:dyDescent="0.25">
      <c r="A1197" t="s">
        <v>446</v>
      </c>
      <c r="B1197">
        <v>2006</v>
      </c>
      <c r="C1197" t="s">
        <v>369</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COUNT(LifeExpectancyData[[#This Row],[Life expectancy]:[Schooling]])=19</f>
        <v>1</v>
      </c>
    </row>
    <row r="1198" spans="1:23" x14ac:dyDescent="0.25">
      <c r="A1198" t="s">
        <v>446</v>
      </c>
      <c r="B1198">
        <v>2005</v>
      </c>
      <c r="C1198" t="s">
        <v>369</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COUNT(LifeExpectancyData[[#This Row],[Life expectancy]:[Schooling]])=19</f>
        <v>1</v>
      </c>
    </row>
    <row r="1199" spans="1:23" x14ac:dyDescent="0.25">
      <c r="A1199" t="s">
        <v>446</v>
      </c>
      <c r="B1199">
        <v>2004</v>
      </c>
      <c r="C1199" t="s">
        <v>369</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COUNT(LifeExpectancyData[[#This Row],[Life expectancy]:[Schooling]])=19</f>
        <v>1</v>
      </c>
    </row>
    <row r="1200" spans="1:23" x14ac:dyDescent="0.25">
      <c r="A1200" t="s">
        <v>446</v>
      </c>
      <c r="B1200">
        <v>2003</v>
      </c>
      <c r="C1200" t="s">
        <v>369</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COUNT(LifeExpectancyData[[#This Row],[Life expectancy]:[Schooling]])=19</f>
        <v>0</v>
      </c>
    </row>
    <row r="1201" spans="1:23" x14ac:dyDescent="0.25">
      <c r="A1201" t="s">
        <v>446</v>
      </c>
      <c r="B1201">
        <v>2002</v>
      </c>
      <c r="C1201" t="s">
        <v>369</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COUNT(LifeExpectancyData[[#This Row],[Life expectancy]:[Schooling]])=19</f>
        <v>0</v>
      </c>
    </row>
    <row r="1202" spans="1:23" x14ac:dyDescent="0.25">
      <c r="A1202" t="s">
        <v>446</v>
      </c>
      <c r="B1202">
        <v>2001</v>
      </c>
      <c r="C1202" t="s">
        <v>369</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COUNT(LifeExpectancyData[[#This Row],[Life expectancy]:[Schooling]])=19</f>
        <v>0</v>
      </c>
    </row>
    <row r="1203" spans="1:23" x14ac:dyDescent="0.25">
      <c r="A1203" t="s">
        <v>446</v>
      </c>
      <c r="B1203">
        <v>2000</v>
      </c>
      <c r="C1203" t="s">
        <v>369</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COUNT(LifeExpectancyData[[#This Row],[Life expectancy]:[Schooling]])=19</f>
        <v>0</v>
      </c>
    </row>
    <row r="1204" spans="1:23" x14ac:dyDescent="0.25">
      <c r="A1204" t="s">
        <v>447</v>
      </c>
      <c r="B1204">
        <v>2015</v>
      </c>
      <c r="C1204" t="s">
        <v>369</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COUNT(LifeExpectancyData[[#This Row],[Life expectancy]:[Schooling]])=19</f>
        <v>0</v>
      </c>
    </row>
    <row r="1205" spans="1:23" x14ac:dyDescent="0.25">
      <c r="A1205" t="s">
        <v>447</v>
      </c>
      <c r="B1205">
        <v>2014</v>
      </c>
      <c r="C1205" t="s">
        <v>369</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COUNT(LifeExpectancyData[[#This Row],[Life expectancy]:[Schooling]])=19</f>
        <v>1</v>
      </c>
    </row>
    <row r="1206" spans="1:23" x14ac:dyDescent="0.25">
      <c r="A1206" t="s">
        <v>447</v>
      </c>
      <c r="B1206">
        <v>2013</v>
      </c>
      <c r="C1206" t="s">
        <v>369</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COUNT(LifeExpectancyData[[#This Row],[Life expectancy]:[Schooling]])=19</f>
        <v>1</v>
      </c>
    </row>
    <row r="1207" spans="1:23" x14ac:dyDescent="0.25">
      <c r="A1207" t="s">
        <v>447</v>
      </c>
      <c r="B1207">
        <v>2012</v>
      </c>
      <c r="C1207" t="s">
        <v>369</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COUNT(LifeExpectancyData[[#This Row],[Life expectancy]:[Schooling]])=19</f>
        <v>1</v>
      </c>
    </row>
    <row r="1208" spans="1:23" x14ac:dyDescent="0.25">
      <c r="A1208" t="s">
        <v>447</v>
      </c>
      <c r="B1208">
        <v>2011</v>
      </c>
      <c r="C1208" t="s">
        <v>369</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COUNT(LifeExpectancyData[[#This Row],[Life expectancy]:[Schooling]])=19</f>
        <v>1</v>
      </c>
    </row>
    <row r="1209" spans="1:23" x14ac:dyDescent="0.25">
      <c r="A1209" t="s">
        <v>447</v>
      </c>
      <c r="B1209">
        <v>2010</v>
      </c>
      <c r="C1209" t="s">
        <v>369</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COUNT(LifeExpectancyData[[#This Row],[Life expectancy]:[Schooling]])=19</f>
        <v>1</v>
      </c>
    </row>
    <row r="1210" spans="1:23" x14ac:dyDescent="0.25">
      <c r="A1210" t="s">
        <v>447</v>
      </c>
      <c r="B1210">
        <v>2009</v>
      </c>
      <c r="C1210" t="s">
        <v>369</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COUNT(LifeExpectancyData[[#This Row],[Life expectancy]:[Schooling]])=19</f>
        <v>1</v>
      </c>
    </row>
    <row r="1211" spans="1:23" x14ac:dyDescent="0.25">
      <c r="A1211" t="s">
        <v>447</v>
      </c>
      <c r="B1211">
        <v>2008</v>
      </c>
      <c r="C1211" t="s">
        <v>369</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COUNT(LifeExpectancyData[[#This Row],[Life expectancy]:[Schooling]])=19</f>
        <v>1</v>
      </c>
    </row>
    <row r="1212" spans="1:23" x14ac:dyDescent="0.25">
      <c r="A1212" t="s">
        <v>447</v>
      </c>
      <c r="B1212">
        <v>2007</v>
      </c>
      <c r="C1212" t="s">
        <v>369</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COUNT(LifeExpectancyData[[#This Row],[Life expectancy]:[Schooling]])=19</f>
        <v>1</v>
      </c>
    </row>
    <row r="1213" spans="1:23" x14ac:dyDescent="0.25">
      <c r="A1213" t="s">
        <v>447</v>
      </c>
      <c r="B1213">
        <v>2006</v>
      </c>
      <c r="C1213" t="s">
        <v>369</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COUNT(LifeExpectancyData[[#This Row],[Life expectancy]:[Schooling]])=19</f>
        <v>1</v>
      </c>
    </row>
    <row r="1214" spans="1:23" x14ac:dyDescent="0.25">
      <c r="A1214" t="s">
        <v>447</v>
      </c>
      <c r="B1214">
        <v>2005</v>
      </c>
      <c r="C1214" t="s">
        <v>369</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COUNT(LifeExpectancyData[[#This Row],[Life expectancy]:[Schooling]])=19</f>
        <v>1</v>
      </c>
    </row>
    <row r="1215" spans="1:23" x14ac:dyDescent="0.25">
      <c r="A1215" t="s">
        <v>447</v>
      </c>
      <c r="B1215">
        <v>2004</v>
      </c>
      <c r="C1215" t="s">
        <v>369</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COUNT(LifeExpectancyData[[#This Row],[Life expectancy]:[Schooling]])=19</f>
        <v>1</v>
      </c>
    </row>
    <row r="1216" spans="1:23" x14ac:dyDescent="0.25">
      <c r="A1216" t="s">
        <v>447</v>
      </c>
      <c r="B1216">
        <v>2003</v>
      </c>
      <c r="C1216" t="s">
        <v>369</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COUNT(LifeExpectancyData[[#This Row],[Life expectancy]:[Schooling]])=19</f>
        <v>1</v>
      </c>
    </row>
    <row r="1217" spans="1:23" x14ac:dyDescent="0.25">
      <c r="A1217" t="s">
        <v>447</v>
      </c>
      <c r="B1217">
        <v>2002</v>
      </c>
      <c r="C1217" t="s">
        <v>369</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COUNT(LifeExpectancyData[[#This Row],[Life expectancy]:[Schooling]])=19</f>
        <v>1</v>
      </c>
    </row>
    <row r="1218" spans="1:23" x14ac:dyDescent="0.25">
      <c r="A1218" t="s">
        <v>447</v>
      </c>
      <c r="B1218">
        <v>2001</v>
      </c>
      <c r="C1218" t="s">
        <v>369</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COUNT(LifeExpectancyData[[#This Row],[Life expectancy]:[Schooling]])=19</f>
        <v>1</v>
      </c>
    </row>
    <row r="1219" spans="1:23" x14ac:dyDescent="0.25">
      <c r="A1219" t="s">
        <v>447</v>
      </c>
      <c r="B1219">
        <v>2000</v>
      </c>
      <c r="C1219" t="s">
        <v>369</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COUNT(LifeExpectancyData[[#This Row],[Life expectancy]:[Schooling]])=19</f>
        <v>1</v>
      </c>
    </row>
    <row r="1220" spans="1:23" x14ac:dyDescent="0.25">
      <c r="A1220" t="s">
        <v>448</v>
      </c>
      <c r="B1220">
        <v>2015</v>
      </c>
      <c r="C1220" t="s">
        <v>369</v>
      </c>
      <c r="D1220">
        <v>75.5</v>
      </c>
      <c r="E1220">
        <v>83</v>
      </c>
      <c r="F1220">
        <v>18</v>
      </c>
      <c r="H1220">
        <v>0</v>
      </c>
      <c r="I1220">
        <v>98</v>
      </c>
      <c r="J1220">
        <v>615</v>
      </c>
      <c r="K1220">
        <v>59.7</v>
      </c>
      <c r="L1220">
        <v>21</v>
      </c>
      <c r="M1220">
        <v>98</v>
      </c>
      <c r="O1220">
        <v>98</v>
      </c>
      <c r="P1220">
        <v>0.1</v>
      </c>
      <c r="S1220">
        <v>8.5</v>
      </c>
      <c r="T1220">
        <v>8.6</v>
      </c>
      <c r="U1220">
        <v>0.77400000000000002</v>
      </c>
      <c r="V1220">
        <v>14.8</v>
      </c>
      <c r="W1220" t="b">
        <f>COUNT(LifeExpectancyData[[#This Row],[Life expectancy]:[Schooling]])=19</f>
        <v>0</v>
      </c>
    </row>
    <row r="1221" spans="1:23" x14ac:dyDescent="0.25">
      <c r="A1221" t="s">
        <v>448</v>
      </c>
      <c r="B1221">
        <v>2014</v>
      </c>
      <c r="C1221" t="s">
        <v>369</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COUNT(LifeExpectancyData[[#This Row],[Life expectancy]:[Schooling]])=19</f>
        <v>0</v>
      </c>
    </row>
    <row r="1222" spans="1:23" x14ac:dyDescent="0.25">
      <c r="A1222" t="s">
        <v>448</v>
      </c>
      <c r="B1222">
        <v>2013</v>
      </c>
      <c r="C1222" t="s">
        <v>369</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COUNT(LifeExpectancyData[[#This Row],[Life expectancy]:[Schooling]])=19</f>
        <v>0</v>
      </c>
    </row>
    <row r="1223" spans="1:23" x14ac:dyDescent="0.25">
      <c r="A1223" t="s">
        <v>448</v>
      </c>
      <c r="B1223">
        <v>2012</v>
      </c>
      <c r="C1223" t="s">
        <v>369</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COUNT(LifeExpectancyData[[#This Row],[Life expectancy]:[Schooling]])=19</f>
        <v>0</v>
      </c>
    </row>
    <row r="1224" spans="1:23" x14ac:dyDescent="0.25">
      <c r="A1224" t="s">
        <v>448</v>
      </c>
      <c r="B1224">
        <v>2011</v>
      </c>
      <c r="C1224" t="s">
        <v>369</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COUNT(LifeExpectancyData[[#This Row],[Life expectancy]:[Schooling]])=19</f>
        <v>0</v>
      </c>
    </row>
    <row r="1225" spans="1:23" x14ac:dyDescent="0.25">
      <c r="A1225" t="s">
        <v>448</v>
      </c>
      <c r="B1225">
        <v>2010</v>
      </c>
      <c r="C1225" t="s">
        <v>369</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COUNT(LifeExpectancyData[[#This Row],[Life expectancy]:[Schooling]])=19</f>
        <v>0</v>
      </c>
    </row>
    <row r="1226" spans="1:23" x14ac:dyDescent="0.25">
      <c r="A1226" t="s">
        <v>448</v>
      </c>
      <c r="B1226">
        <v>2009</v>
      </c>
      <c r="C1226" t="s">
        <v>369</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COUNT(LifeExpectancyData[[#This Row],[Life expectancy]:[Schooling]])=19</f>
        <v>0</v>
      </c>
    </row>
    <row r="1227" spans="1:23" x14ac:dyDescent="0.25">
      <c r="A1227" t="s">
        <v>448</v>
      </c>
      <c r="B1227">
        <v>2008</v>
      </c>
      <c r="C1227" t="s">
        <v>369</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COUNT(LifeExpectancyData[[#This Row],[Life expectancy]:[Schooling]])=19</f>
        <v>0</v>
      </c>
    </row>
    <row r="1228" spans="1:23" x14ac:dyDescent="0.25">
      <c r="A1228" t="s">
        <v>448</v>
      </c>
      <c r="B1228">
        <v>2007</v>
      </c>
      <c r="C1228" t="s">
        <v>369</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COUNT(LifeExpectancyData[[#This Row],[Life expectancy]:[Schooling]])=19</f>
        <v>0</v>
      </c>
    </row>
    <row r="1229" spans="1:23" x14ac:dyDescent="0.25">
      <c r="A1229" t="s">
        <v>448</v>
      </c>
      <c r="B1229">
        <v>2006</v>
      </c>
      <c r="C1229" t="s">
        <v>369</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COUNT(LifeExpectancyData[[#This Row],[Life expectancy]:[Schooling]])=19</f>
        <v>0</v>
      </c>
    </row>
    <row r="1230" spans="1:23" x14ac:dyDescent="0.25">
      <c r="A1230" t="s">
        <v>448</v>
      </c>
      <c r="B1230">
        <v>2005</v>
      </c>
      <c r="C1230" t="s">
        <v>369</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COUNT(LifeExpectancyData[[#This Row],[Life expectancy]:[Schooling]])=19</f>
        <v>0</v>
      </c>
    </row>
    <row r="1231" spans="1:23" x14ac:dyDescent="0.25">
      <c r="A1231" t="s">
        <v>448</v>
      </c>
      <c r="B1231">
        <v>2004</v>
      </c>
      <c r="C1231" t="s">
        <v>369</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COUNT(LifeExpectancyData[[#This Row],[Life expectancy]:[Schooling]])=19</f>
        <v>0</v>
      </c>
    </row>
    <row r="1232" spans="1:23" x14ac:dyDescent="0.25">
      <c r="A1232" t="s">
        <v>448</v>
      </c>
      <c r="B1232">
        <v>2003</v>
      </c>
      <c r="C1232" t="s">
        <v>369</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COUNT(LifeExpectancyData[[#This Row],[Life expectancy]:[Schooling]])=19</f>
        <v>0</v>
      </c>
    </row>
    <row r="1233" spans="1:23" x14ac:dyDescent="0.25">
      <c r="A1233" t="s">
        <v>448</v>
      </c>
      <c r="B1233">
        <v>2002</v>
      </c>
      <c r="C1233" t="s">
        <v>369</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COUNT(LifeExpectancyData[[#This Row],[Life expectancy]:[Schooling]])=19</f>
        <v>0</v>
      </c>
    </row>
    <row r="1234" spans="1:23" x14ac:dyDescent="0.25">
      <c r="A1234" t="s">
        <v>448</v>
      </c>
      <c r="B1234">
        <v>2001</v>
      </c>
      <c r="C1234" t="s">
        <v>369</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COUNT(LifeExpectancyData[[#This Row],[Life expectancy]:[Schooling]])=19</f>
        <v>0</v>
      </c>
    </row>
    <row r="1235" spans="1:23" x14ac:dyDescent="0.25">
      <c r="A1235" t="s">
        <v>448</v>
      </c>
      <c r="B1235">
        <v>2000</v>
      </c>
      <c r="C1235" t="s">
        <v>369</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COUNT(LifeExpectancyData[[#This Row],[Life expectancy]:[Schooling]])=19</f>
        <v>0</v>
      </c>
    </row>
    <row r="1236" spans="1:23" x14ac:dyDescent="0.25">
      <c r="A1236" t="s">
        <v>449</v>
      </c>
      <c r="B1236">
        <v>2015</v>
      </c>
      <c r="C1236" t="s">
        <v>369</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COUNT(LifeExpectancyData[[#This Row],[Life expectancy]:[Schooling]])=19</f>
        <v>0</v>
      </c>
    </row>
    <row r="1237" spans="1:23" x14ac:dyDescent="0.25">
      <c r="A1237" t="s">
        <v>449</v>
      </c>
      <c r="B1237">
        <v>2014</v>
      </c>
      <c r="C1237" t="s">
        <v>369</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COUNT(LifeExpectancyData[[#This Row],[Life expectancy]:[Schooling]])=19</f>
        <v>1</v>
      </c>
    </row>
    <row r="1238" spans="1:23" x14ac:dyDescent="0.25">
      <c r="A1238" t="s">
        <v>449</v>
      </c>
      <c r="B1238">
        <v>2013</v>
      </c>
      <c r="C1238" t="s">
        <v>369</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COUNT(LifeExpectancyData[[#This Row],[Life expectancy]:[Schooling]])=19</f>
        <v>1</v>
      </c>
    </row>
    <row r="1239" spans="1:23" x14ac:dyDescent="0.25">
      <c r="A1239" t="s">
        <v>449</v>
      </c>
      <c r="B1239">
        <v>2012</v>
      </c>
      <c r="C1239" t="s">
        <v>369</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COUNT(LifeExpectancyData[[#This Row],[Life expectancy]:[Schooling]])=19</f>
        <v>1</v>
      </c>
    </row>
    <row r="1240" spans="1:23" x14ac:dyDescent="0.25">
      <c r="A1240" t="s">
        <v>449</v>
      </c>
      <c r="B1240">
        <v>2011</v>
      </c>
      <c r="C1240" t="s">
        <v>369</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COUNT(LifeExpectancyData[[#This Row],[Life expectancy]:[Schooling]])=19</f>
        <v>1</v>
      </c>
    </row>
    <row r="1241" spans="1:23" x14ac:dyDescent="0.25">
      <c r="A1241" t="s">
        <v>449</v>
      </c>
      <c r="B1241">
        <v>2010</v>
      </c>
      <c r="C1241" t="s">
        <v>369</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COUNT(LifeExpectancyData[[#This Row],[Life expectancy]:[Schooling]])=19</f>
        <v>1</v>
      </c>
    </row>
    <row r="1242" spans="1:23" x14ac:dyDescent="0.25">
      <c r="A1242" t="s">
        <v>449</v>
      </c>
      <c r="B1242">
        <v>2009</v>
      </c>
      <c r="C1242" t="s">
        <v>369</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COUNT(LifeExpectancyData[[#This Row],[Life expectancy]:[Schooling]])=19</f>
        <v>1</v>
      </c>
    </row>
    <row r="1243" spans="1:23" x14ac:dyDescent="0.25">
      <c r="A1243" t="s">
        <v>449</v>
      </c>
      <c r="B1243">
        <v>2008</v>
      </c>
      <c r="C1243" t="s">
        <v>369</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COUNT(LifeExpectancyData[[#This Row],[Life expectancy]:[Schooling]])=19</f>
        <v>1</v>
      </c>
    </row>
    <row r="1244" spans="1:23" x14ac:dyDescent="0.25">
      <c r="A1244" t="s">
        <v>449</v>
      </c>
      <c r="B1244">
        <v>2007</v>
      </c>
      <c r="C1244" t="s">
        <v>369</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COUNT(LifeExpectancyData[[#This Row],[Life expectancy]:[Schooling]])=19</f>
        <v>1</v>
      </c>
    </row>
    <row r="1245" spans="1:23" x14ac:dyDescent="0.25">
      <c r="A1245" t="s">
        <v>449</v>
      </c>
      <c r="B1245">
        <v>2006</v>
      </c>
      <c r="C1245" t="s">
        <v>369</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COUNT(LifeExpectancyData[[#This Row],[Life expectancy]:[Schooling]])=19</f>
        <v>1</v>
      </c>
    </row>
    <row r="1246" spans="1:23" x14ac:dyDescent="0.25">
      <c r="A1246" t="s">
        <v>449</v>
      </c>
      <c r="B1246">
        <v>2005</v>
      </c>
      <c r="C1246" t="s">
        <v>369</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COUNT(LifeExpectancyData[[#This Row],[Life expectancy]:[Schooling]])=19</f>
        <v>1</v>
      </c>
    </row>
    <row r="1247" spans="1:23" x14ac:dyDescent="0.25">
      <c r="A1247" t="s">
        <v>449</v>
      </c>
      <c r="B1247">
        <v>2004</v>
      </c>
      <c r="C1247" t="s">
        <v>369</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COUNT(LifeExpectancyData[[#This Row],[Life expectancy]:[Schooling]])=19</f>
        <v>1</v>
      </c>
    </row>
    <row r="1248" spans="1:23" x14ac:dyDescent="0.25">
      <c r="A1248" t="s">
        <v>449</v>
      </c>
      <c r="B1248">
        <v>2003</v>
      </c>
      <c r="C1248" t="s">
        <v>369</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COUNT(LifeExpectancyData[[#This Row],[Life expectancy]:[Schooling]])=19</f>
        <v>0</v>
      </c>
    </row>
    <row r="1249" spans="1:23" x14ac:dyDescent="0.25">
      <c r="A1249" t="s">
        <v>449</v>
      </c>
      <c r="B1249">
        <v>2002</v>
      </c>
      <c r="C1249" t="s">
        <v>369</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COUNT(LifeExpectancyData[[#This Row],[Life expectancy]:[Schooling]])=19</f>
        <v>0</v>
      </c>
    </row>
    <row r="1250" spans="1:23" x14ac:dyDescent="0.25">
      <c r="A1250" t="s">
        <v>449</v>
      </c>
      <c r="B1250">
        <v>2001</v>
      </c>
      <c r="C1250" t="s">
        <v>369</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COUNT(LifeExpectancyData[[#This Row],[Life expectancy]:[Schooling]])=19</f>
        <v>0</v>
      </c>
    </row>
    <row r="1251" spans="1:23" x14ac:dyDescent="0.25">
      <c r="A1251" t="s">
        <v>449</v>
      </c>
      <c r="B1251">
        <v>2000</v>
      </c>
      <c r="C1251" t="s">
        <v>369</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COUNT(LifeExpectancyData[[#This Row],[Life expectancy]:[Schooling]])=19</f>
        <v>0</v>
      </c>
    </row>
    <row r="1252" spans="1:23" x14ac:dyDescent="0.25">
      <c r="A1252" t="s">
        <v>450</v>
      </c>
      <c r="B1252">
        <v>2015</v>
      </c>
      <c r="C1252" t="s">
        <v>377</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COUNT(LifeExpectancyData[[#This Row],[Life expectancy]:[Schooling]])=19</f>
        <v>0</v>
      </c>
    </row>
    <row r="1253" spans="1:23" x14ac:dyDescent="0.25">
      <c r="A1253" t="s">
        <v>450</v>
      </c>
      <c r="B1253">
        <v>2014</v>
      </c>
      <c r="C1253" t="s">
        <v>377</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COUNT(LifeExpectancyData[[#This Row],[Life expectancy]:[Schooling]])=19</f>
        <v>1</v>
      </c>
    </row>
    <row r="1254" spans="1:23" x14ac:dyDescent="0.25">
      <c r="A1254" t="s">
        <v>450</v>
      </c>
      <c r="B1254">
        <v>2013</v>
      </c>
      <c r="C1254" t="s">
        <v>377</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COUNT(LifeExpectancyData[[#This Row],[Life expectancy]:[Schooling]])=19</f>
        <v>1</v>
      </c>
    </row>
    <row r="1255" spans="1:23" x14ac:dyDescent="0.25">
      <c r="A1255" t="s">
        <v>450</v>
      </c>
      <c r="B1255">
        <v>2012</v>
      </c>
      <c r="C1255" t="s">
        <v>377</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COUNT(LifeExpectancyData[[#This Row],[Life expectancy]:[Schooling]])=19</f>
        <v>1</v>
      </c>
    </row>
    <row r="1256" spans="1:23" x14ac:dyDescent="0.25">
      <c r="A1256" t="s">
        <v>450</v>
      </c>
      <c r="B1256">
        <v>2011</v>
      </c>
      <c r="C1256" t="s">
        <v>377</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COUNT(LifeExpectancyData[[#This Row],[Life expectancy]:[Schooling]])=19</f>
        <v>1</v>
      </c>
    </row>
    <row r="1257" spans="1:23" x14ac:dyDescent="0.25">
      <c r="A1257" t="s">
        <v>450</v>
      </c>
      <c r="B1257">
        <v>2010</v>
      </c>
      <c r="C1257" t="s">
        <v>377</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COUNT(LifeExpectancyData[[#This Row],[Life expectancy]:[Schooling]])=19</f>
        <v>1</v>
      </c>
    </row>
    <row r="1258" spans="1:23" x14ac:dyDescent="0.25">
      <c r="A1258" t="s">
        <v>450</v>
      </c>
      <c r="B1258">
        <v>2009</v>
      </c>
      <c r="C1258" t="s">
        <v>377</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COUNT(LifeExpectancyData[[#This Row],[Life expectancy]:[Schooling]])=19</f>
        <v>0</v>
      </c>
    </row>
    <row r="1259" spans="1:23" x14ac:dyDescent="0.25">
      <c r="A1259" t="s">
        <v>450</v>
      </c>
      <c r="B1259">
        <v>2008</v>
      </c>
      <c r="C1259" t="s">
        <v>377</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COUNT(LifeExpectancyData[[#This Row],[Life expectancy]:[Schooling]])=19</f>
        <v>0</v>
      </c>
    </row>
    <row r="1260" spans="1:23" x14ac:dyDescent="0.25">
      <c r="A1260" t="s">
        <v>450</v>
      </c>
      <c r="B1260">
        <v>2007</v>
      </c>
      <c r="C1260" t="s">
        <v>377</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COUNT(LifeExpectancyData[[#This Row],[Life expectancy]:[Schooling]])=19</f>
        <v>0</v>
      </c>
    </row>
    <row r="1261" spans="1:23" x14ac:dyDescent="0.25">
      <c r="A1261" t="s">
        <v>450</v>
      </c>
      <c r="B1261">
        <v>2006</v>
      </c>
      <c r="C1261" t="s">
        <v>377</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COUNT(LifeExpectancyData[[#This Row],[Life expectancy]:[Schooling]])=19</f>
        <v>0</v>
      </c>
    </row>
    <row r="1262" spans="1:23" x14ac:dyDescent="0.25">
      <c r="A1262" t="s">
        <v>450</v>
      </c>
      <c r="B1262">
        <v>2005</v>
      </c>
      <c r="C1262" t="s">
        <v>377</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COUNT(LifeExpectancyData[[#This Row],[Life expectancy]:[Schooling]])=19</f>
        <v>0</v>
      </c>
    </row>
    <row r="1263" spans="1:23" x14ac:dyDescent="0.25">
      <c r="A1263" t="s">
        <v>450</v>
      </c>
      <c r="B1263">
        <v>2004</v>
      </c>
      <c r="C1263" t="s">
        <v>377</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COUNT(LifeExpectancyData[[#This Row],[Life expectancy]:[Schooling]])=19</f>
        <v>0</v>
      </c>
    </row>
    <row r="1264" spans="1:23" x14ac:dyDescent="0.25">
      <c r="A1264" t="s">
        <v>450</v>
      </c>
      <c r="B1264">
        <v>2003</v>
      </c>
      <c r="C1264" t="s">
        <v>377</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COUNT(LifeExpectancyData[[#This Row],[Life expectancy]:[Schooling]])=19</f>
        <v>0</v>
      </c>
    </row>
    <row r="1265" spans="1:23" x14ac:dyDescent="0.25">
      <c r="A1265" t="s">
        <v>450</v>
      </c>
      <c r="B1265">
        <v>2002</v>
      </c>
      <c r="C1265" t="s">
        <v>377</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COUNT(LifeExpectancyData[[#This Row],[Life expectancy]:[Schooling]])=19</f>
        <v>0</v>
      </c>
    </row>
    <row r="1266" spans="1:23" x14ac:dyDescent="0.25">
      <c r="A1266" t="s">
        <v>450</v>
      </c>
      <c r="B1266">
        <v>2001</v>
      </c>
      <c r="C1266" t="s">
        <v>377</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COUNT(LifeExpectancyData[[#This Row],[Life expectancy]:[Schooling]])=19</f>
        <v>0</v>
      </c>
    </row>
    <row r="1267" spans="1:23" x14ac:dyDescent="0.25">
      <c r="A1267" t="s">
        <v>450</v>
      </c>
      <c r="B1267">
        <v>2000</v>
      </c>
      <c r="C1267" t="s">
        <v>377</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COUNT(LifeExpectancyData[[#This Row],[Life expectancy]:[Schooling]])=19</f>
        <v>0</v>
      </c>
    </row>
    <row r="1268" spans="1:23" x14ac:dyDescent="0.25">
      <c r="A1268" t="s">
        <v>451</v>
      </c>
      <c r="B1268">
        <v>2015</v>
      </c>
      <c r="C1268" t="s">
        <v>369</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COUNT(LifeExpectancyData[[#This Row],[Life expectancy]:[Schooling]])=19</f>
        <v>0</v>
      </c>
    </row>
    <row r="1269" spans="1:23" x14ac:dyDescent="0.25">
      <c r="A1269" t="s">
        <v>451</v>
      </c>
      <c r="B1269">
        <v>2014</v>
      </c>
      <c r="C1269" t="s">
        <v>369</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COUNT(LifeExpectancyData[[#This Row],[Life expectancy]:[Schooling]])=19</f>
        <v>1</v>
      </c>
    </row>
    <row r="1270" spans="1:23" x14ac:dyDescent="0.25">
      <c r="A1270" t="s">
        <v>451</v>
      </c>
      <c r="B1270">
        <v>2013</v>
      </c>
      <c r="C1270" t="s">
        <v>369</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COUNT(LifeExpectancyData[[#This Row],[Life expectancy]:[Schooling]])=19</f>
        <v>1</v>
      </c>
    </row>
    <row r="1271" spans="1:23" x14ac:dyDescent="0.25">
      <c r="A1271" t="s">
        <v>451</v>
      </c>
      <c r="B1271">
        <v>2012</v>
      </c>
      <c r="C1271" t="s">
        <v>369</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COUNT(LifeExpectancyData[[#This Row],[Life expectancy]:[Schooling]])=19</f>
        <v>1</v>
      </c>
    </row>
    <row r="1272" spans="1:23" x14ac:dyDescent="0.25">
      <c r="A1272" t="s">
        <v>451</v>
      </c>
      <c r="B1272">
        <v>2011</v>
      </c>
      <c r="C1272" t="s">
        <v>369</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COUNT(LifeExpectancyData[[#This Row],[Life expectancy]:[Schooling]])=19</f>
        <v>1</v>
      </c>
    </row>
    <row r="1273" spans="1:23" x14ac:dyDescent="0.25">
      <c r="A1273" t="s">
        <v>451</v>
      </c>
      <c r="B1273">
        <v>2010</v>
      </c>
      <c r="C1273" t="s">
        <v>369</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COUNT(LifeExpectancyData[[#This Row],[Life expectancy]:[Schooling]])=19</f>
        <v>1</v>
      </c>
    </row>
    <row r="1274" spans="1:23" x14ac:dyDescent="0.25">
      <c r="A1274" t="s">
        <v>451</v>
      </c>
      <c r="B1274">
        <v>2009</v>
      </c>
      <c r="C1274" t="s">
        <v>369</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COUNT(LifeExpectancyData[[#This Row],[Life expectancy]:[Schooling]])=19</f>
        <v>1</v>
      </c>
    </row>
    <row r="1275" spans="1:23" x14ac:dyDescent="0.25">
      <c r="A1275" t="s">
        <v>451</v>
      </c>
      <c r="B1275">
        <v>2008</v>
      </c>
      <c r="C1275" t="s">
        <v>369</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COUNT(LifeExpectancyData[[#This Row],[Life expectancy]:[Schooling]])=19</f>
        <v>1</v>
      </c>
    </row>
    <row r="1276" spans="1:23" x14ac:dyDescent="0.25">
      <c r="A1276" t="s">
        <v>451</v>
      </c>
      <c r="B1276">
        <v>2007</v>
      </c>
      <c r="C1276" t="s">
        <v>369</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COUNT(LifeExpectancyData[[#This Row],[Life expectancy]:[Schooling]])=19</f>
        <v>1</v>
      </c>
    </row>
    <row r="1277" spans="1:23" x14ac:dyDescent="0.25">
      <c r="A1277" t="s">
        <v>451</v>
      </c>
      <c r="B1277">
        <v>2006</v>
      </c>
      <c r="C1277" t="s">
        <v>369</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COUNT(LifeExpectancyData[[#This Row],[Life expectancy]:[Schooling]])=19</f>
        <v>1</v>
      </c>
    </row>
    <row r="1278" spans="1:23" x14ac:dyDescent="0.25">
      <c r="A1278" t="s">
        <v>451</v>
      </c>
      <c r="B1278">
        <v>2005</v>
      </c>
      <c r="C1278" t="s">
        <v>369</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COUNT(LifeExpectancyData[[#This Row],[Life expectancy]:[Schooling]])=19</f>
        <v>1</v>
      </c>
    </row>
    <row r="1279" spans="1:23" x14ac:dyDescent="0.25">
      <c r="A1279" t="s">
        <v>451</v>
      </c>
      <c r="B1279">
        <v>2004</v>
      </c>
      <c r="C1279" t="s">
        <v>369</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COUNT(LifeExpectancyData[[#This Row],[Life expectancy]:[Schooling]])=19</f>
        <v>1</v>
      </c>
    </row>
    <row r="1280" spans="1:23" x14ac:dyDescent="0.25">
      <c r="A1280" t="s">
        <v>451</v>
      </c>
      <c r="B1280">
        <v>2003</v>
      </c>
      <c r="C1280" t="s">
        <v>369</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COUNT(LifeExpectancyData[[#This Row],[Life expectancy]:[Schooling]])=19</f>
        <v>1</v>
      </c>
    </row>
    <row r="1281" spans="1:23" x14ac:dyDescent="0.25">
      <c r="A1281" t="s">
        <v>451</v>
      </c>
      <c r="B1281">
        <v>2002</v>
      </c>
      <c r="C1281" t="s">
        <v>369</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COUNT(LifeExpectancyData[[#This Row],[Life expectancy]:[Schooling]])=19</f>
        <v>1</v>
      </c>
    </row>
    <row r="1282" spans="1:23" x14ac:dyDescent="0.25">
      <c r="A1282" t="s">
        <v>451</v>
      </c>
      <c r="B1282">
        <v>2001</v>
      </c>
      <c r="C1282" t="s">
        <v>369</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COUNT(LifeExpectancyData[[#This Row],[Life expectancy]:[Schooling]])=19</f>
        <v>1</v>
      </c>
    </row>
    <row r="1283" spans="1:23" x14ac:dyDescent="0.25">
      <c r="A1283" t="s">
        <v>451</v>
      </c>
      <c r="B1283">
        <v>2000</v>
      </c>
      <c r="C1283" t="s">
        <v>369</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COUNT(LifeExpectancyData[[#This Row],[Life expectancy]:[Schooling]])=19</f>
        <v>1</v>
      </c>
    </row>
    <row r="1284" spans="1:23" x14ac:dyDescent="0.25">
      <c r="A1284" t="s">
        <v>452</v>
      </c>
      <c r="B1284">
        <v>2015</v>
      </c>
      <c r="C1284" t="s">
        <v>377</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COUNT(LifeExpectancyData[[#This Row],[Life expectancy]:[Schooling]])=19</f>
        <v>0</v>
      </c>
    </row>
    <row r="1285" spans="1:23" x14ac:dyDescent="0.25">
      <c r="A1285" t="s">
        <v>452</v>
      </c>
      <c r="B1285">
        <v>2014</v>
      </c>
      <c r="C1285" t="s">
        <v>377</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COUNT(LifeExpectancyData[[#This Row],[Life expectancy]:[Schooling]])=19</f>
        <v>1</v>
      </c>
    </row>
    <row r="1286" spans="1:23" x14ac:dyDescent="0.25">
      <c r="A1286" t="s">
        <v>452</v>
      </c>
      <c r="B1286">
        <v>2013</v>
      </c>
      <c r="C1286" t="s">
        <v>377</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COUNT(LifeExpectancyData[[#This Row],[Life expectancy]:[Schooling]])=19</f>
        <v>1</v>
      </c>
    </row>
    <row r="1287" spans="1:23" x14ac:dyDescent="0.25">
      <c r="A1287" t="s">
        <v>452</v>
      </c>
      <c r="B1287">
        <v>2012</v>
      </c>
      <c r="C1287" t="s">
        <v>377</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COUNT(LifeExpectancyData[[#This Row],[Life expectancy]:[Schooling]])=19</f>
        <v>1</v>
      </c>
    </row>
    <row r="1288" spans="1:23" x14ac:dyDescent="0.25">
      <c r="A1288" t="s">
        <v>452</v>
      </c>
      <c r="B1288">
        <v>2011</v>
      </c>
      <c r="C1288" t="s">
        <v>377</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COUNT(LifeExpectancyData[[#This Row],[Life expectancy]:[Schooling]])=19</f>
        <v>1</v>
      </c>
    </row>
    <row r="1289" spans="1:23" x14ac:dyDescent="0.25">
      <c r="A1289" t="s">
        <v>452</v>
      </c>
      <c r="B1289">
        <v>2010</v>
      </c>
      <c r="C1289" t="s">
        <v>377</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COUNT(LifeExpectancyData[[#This Row],[Life expectancy]:[Schooling]])=19</f>
        <v>1</v>
      </c>
    </row>
    <row r="1290" spans="1:23" x14ac:dyDescent="0.25">
      <c r="A1290" t="s">
        <v>452</v>
      </c>
      <c r="B1290">
        <v>2009</v>
      </c>
      <c r="C1290" t="s">
        <v>377</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COUNT(LifeExpectancyData[[#This Row],[Life expectancy]:[Schooling]])=19</f>
        <v>1</v>
      </c>
    </row>
    <row r="1291" spans="1:23" x14ac:dyDescent="0.25">
      <c r="A1291" t="s">
        <v>452</v>
      </c>
      <c r="B1291">
        <v>2008</v>
      </c>
      <c r="C1291" t="s">
        <v>377</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COUNT(LifeExpectancyData[[#This Row],[Life expectancy]:[Schooling]])=19</f>
        <v>1</v>
      </c>
    </row>
    <row r="1292" spans="1:23" x14ac:dyDescent="0.25">
      <c r="A1292" t="s">
        <v>452</v>
      </c>
      <c r="B1292">
        <v>2007</v>
      </c>
      <c r="C1292" t="s">
        <v>377</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COUNT(LifeExpectancyData[[#This Row],[Life expectancy]:[Schooling]])=19</f>
        <v>1</v>
      </c>
    </row>
    <row r="1293" spans="1:23" x14ac:dyDescent="0.25">
      <c r="A1293" t="s">
        <v>452</v>
      </c>
      <c r="B1293">
        <v>2006</v>
      </c>
      <c r="C1293" t="s">
        <v>377</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COUNT(LifeExpectancyData[[#This Row],[Life expectancy]:[Schooling]])=19</f>
        <v>1</v>
      </c>
    </row>
    <row r="1294" spans="1:23" x14ac:dyDescent="0.25">
      <c r="A1294" t="s">
        <v>452</v>
      </c>
      <c r="B1294">
        <v>2005</v>
      </c>
      <c r="C1294" t="s">
        <v>377</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COUNT(LifeExpectancyData[[#This Row],[Life expectancy]:[Schooling]])=19</f>
        <v>1</v>
      </c>
    </row>
    <row r="1295" spans="1:23" x14ac:dyDescent="0.25">
      <c r="A1295" t="s">
        <v>452</v>
      </c>
      <c r="B1295">
        <v>2004</v>
      </c>
      <c r="C1295" t="s">
        <v>377</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COUNT(LifeExpectancyData[[#This Row],[Life expectancy]:[Schooling]])=19</f>
        <v>1</v>
      </c>
    </row>
    <row r="1296" spans="1:23" x14ac:dyDescent="0.25">
      <c r="A1296" t="s">
        <v>452</v>
      </c>
      <c r="B1296">
        <v>2003</v>
      </c>
      <c r="C1296" t="s">
        <v>377</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COUNT(LifeExpectancyData[[#This Row],[Life expectancy]:[Schooling]])=19</f>
        <v>1</v>
      </c>
    </row>
    <row r="1297" spans="1:23" x14ac:dyDescent="0.25">
      <c r="A1297" t="s">
        <v>452</v>
      </c>
      <c r="B1297">
        <v>2002</v>
      </c>
      <c r="C1297" t="s">
        <v>377</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COUNT(LifeExpectancyData[[#This Row],[Life expectancy]:[Schooling]])=19</f>
        <v>1</v>
      </c>
    </row>
    <row r="1298" spans="1:23" x14ac:dyDescent="0.25">
      <c r="A1298" t="s">
        <v>452</v>
      </c>
      <c r="B1298">
        <v>2001</v>
      </c>
      <c r="C1298" t="s">
        <v>377</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COUNT(LifeExpectancyData[[#This Row],[Life expectancy]:[Schooling]])=19</f>
        <v>1</v>
      </c>
    </row>
    <row r="1299" spans="1:23" x14ac:dyDescent="0.25">
      <c r="A1299" t="s">
        <v>452</v>
      </c>
      <c r="B1299">
        <v>2000</v>
      </c>
      <c r="C1299" t="s">
        <v>377</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COUNT(LifeExpectancyData[[#This Row],[Life expectancy]:[Schooling]])=19</f>
        <v>1</v>
      </c>
    </row>
    <row r="1300" spans="1:23" x14ac:dyDescent="0.25">
      <c r="A1300" t="s">
        <v>453</v>
      </c>
      <c r="B1300">
        <v>2015</v>
      </c>
      <c r="C1300" t="s">
        <v>369</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COUNT(LifeExpectancyData[[#This Row],[Life expectancy]:[Schooling]])=19</f>
        <v>0</v>
      </c>
    </row>
    <row r="1301" spans="1:23" x14ac:dyDescent="0.25">
      <c r="A1301" t="s">
        <v>453</v>
      </c>
      <c r="B1301">
        <v>2014</v>
      </c>
      <c r="C1301" t="s">
        <v>369</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COUNT(LifeExpectancyData[[#This Row],[Life expectancy]:[Schooling]])=19</f>
        <v>1</v>
      </c>
    </row>
    <row r="1302" spans="1:23" x14ac:dyDescent="0.25">
      <c r="A1302" t="s">
        <v>453</v>
      </c>
      <c r="B1302">
        <v>2013</v>
      </c>
      <c r="C1302" t="s">
        <v>369</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COUNT(LifeExpectancyData[[#This Row],[Life expectancy]:[Schooling]])=19</f>
        <v>1</v>
      </c>
    </row>
    <row r="1303" spans="1:23" x14ac:dyDescent="0.25">
      <c r="A1303" t="s">
        <v>453</v>
      </c>
      <c r="B1303">
        <v>2012</v>
      </c>
      <c r="C1303" t="s">
        <v>369</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COUNT(LifeExpectancyData[[#This Row],[Life expectancy]:[Schooling]])=19</f>
        <v>1</v>
      </c>
    </row>
    <row r="1304" spans="1:23" x14ac:dyDescent="0.25">
      <c r="A1304" t="s">
        <v>453</v>
      </c>
      <c r="B1304">
        <v>2011</v>
      </c>
      <c r="C1304" t="s">
        <v>369</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COUNT(LifeExpectancyData[[#This Row],[Life expectancy]:[Schooling]])=19</f>
        <v>1</v>
      </c>
    </row>
    <row r="1305" spans="1:23" x14ac:dyDescent="0.25">
      <c r="A1305" t="s">
        <v>453</v>
      </c>
      <c r="B1305">
        <v>2010</v>
      </c>
      <c r="C1305" t="s">
        <v>369</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COUNT(LifeExpectancyData[[#This Row],[Life expectancy]:[Schooling]])=19</f>
        <v>1</v>
      </c>
    </row>
    <row r="1306" spans="1:23" x14ac:dyDescent="0.25">
      <c r="A1306" t="s">
        <v>453</v>
      </c>
      <c r="B1306">
        <v>2009</v>
      </c>
      <c r="C1306" t="s">
        <v>369</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COUNT(LifeExpectancyData[[#This Row],[Life expectancy]:[Schooling]])=19</f>
        <v>1</v>
      </c>
    </row>
    <row r="1307" spans="1:23" x14ac:dyDescent="0.25">
      <c r="A1307" t="s">
        <v>453</v>
      </c>
      <c r="B1307">
        <v>2008</v>
      </c>
      <c r="C1307" t="s">
        <v>369</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COUNT(LifeExpectancyData[[#This Row],[Life expectancy]:[Schooling]])=19</f>
        <v>1</v>
      </c>
    </row>
    <row r="1308" spans="1:23" x14ac:dyDescent="0.25">
      <c r="A1308" t="s">
        <v>453</v>
      </c>
      <c r="B1308">
        <v>2007</v>
      </c>
      <c r="C1308" t="s">
        <v>369</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COUNT(LifeExpectancyData[[#This Row],[Life expectancy]:[Schooling]])=19</f>
        <v>1</v>
      </c>
    </row>
    <row r="1309" spans="1:23" x14ac:dyDescent="0.25">
      <c r="A1309" t="s">
        <v>453</v>
      </c>
      <c r="B1309">
        <v>2006</v>
      </c>
      <c r="C1309" t="s">
        <v>369</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COUNT(LifeExpectancyData[[#This Row],[Life expectancy]:[Schooling]])=19</f>
        <v>1</v>
      </c>
    </row>
    <row r="1310" spans="1:23" x14ac:dyDescent="0.25">
      <c r="A1310" t="s">
        <v>453</v>
      </c>
      <c r="B1310">
        <v>2005</v>
      </c>
      <c r="C1310" t="s">
        <v>369</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COUNT(LifeExpectancyData[[#This Row],[Life expectancy]:[Schooling]])=19</f>
        <v>1</v>
      </c>
    </row>
    <row r="1311" spans="1:23" x14ac:dyDescent="0.25">
      <c r="A1311" t="s">
        <v>453</v>
      </c>
      <c r="B1311">
        <v>2004</v>
      </c>
      <c r="C1311" t="s">
        <v>369</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COUNT(LifeExpectancyData[[#This Row],[Life expectancy]:[Schooling]])=19</f>
        <v>1</v>
      </c>
    </row>
    <row r="1312" spans="1:23" x14ac:dyDescent="0.25">
      <c r="A1312" t="s">
        <v>453</v>
      </c>
      <c r="B1312">
        <v>2003</v>
      </c>
      <c r="C1312" t="s">
        <v>369</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COUNT(LifeExpectancyData[[#This Row],[Life expectancy]:[Schooling]])=19</f>
        <v>1</v>
      </c>
    </row>
    <row r="1313" spans="1:23" x14ac:dyDescent="0.25">
      <c r="A1313" t="s">
        <v>453</v>
      </c>
      <c r="B1313">
        <v>2002</v>
      </c>
      <c r="C1313" t="s">
        <v>369</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COUNT(LifeExpectancyData[[#This Row],[Life expectancy]:[Schooling]])=19</f>
        <v>0</v>
      </c>
    </row>
    <row r="1314" spans="1:23" x14ac:dyDescent="0.25">
      <c r="A1314" t="s">
        <v>453</v>
      </c>
      <c r="B1314">
        <v>2001</v>
      </c>
      <c r="C1314" t="s">
        <v>369</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COUNT(LifeExpectancyData[[#This Row],[Life expectancy]:[Schooling]])=19</f>
        <v>0</v>
      </c>
    </row>
    <row r="1315" spans="1:23" x14ac:dyDescent="0.25">
      <c r="A1315" t="s">
        <v>453</v>
      </c>
      <c r="B1315">
        <v>2000</v>
      </c>
      <c r="C1315" t="s">
        <v>369</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COUNT(LifeExpectancyData[[#This Row],[Life expectancy]:[Schooling]])=19</f>
        <v>0</v>
      </c>
    </row>
    <row r="1316" spans="1:23" x14ac:dyDescent="0.25">
      <c r="A1316" t="s">
        <v>454</v>
      </c>
      <c r="B1316">
        <v>2015</v>
      </c>
      <c r="C1316" t="s">
        <v>377</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COUNT(LifeExpectancyData[[#This Row],[Life expectancy]:[Schooling]])=19</f>
        <v>0</v>
      </c>
    </row>
    <row r="1317" spans="1:23" x14ac:dyDescent="0.25">
      <c r="A1317" t="s">
        <v>454</v>
      </c>
      <c r="B1317">
        <v>2014</v>
      </c>
      <c r="C1317" t="s">
        <v>377</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COUNT(LifeExpectancyData[[#This Row],[Life expectancy]:[Schooling]])=19</f>
        <v>0</v>
      </c>
    </row>
    <row r="1318" spans="1:23" x14ac:dyDescent="0.25">
      <c r="A1318" t="s">
        <v>454</v>
      </c>
      <c r="B1318">
        <v>2013</v>
      </c>
      <c r="C1318" t="s">
        <v>377</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COUNT(LifeExpectancyData[[#This Row],[Life expectancy]:[Schooling]])=19</f>
        <v>0</v>
      </c>
    </row>
    <row r="1319" spans="1:23" x14ac:dyDescent="0.25">
      <c r="A1319" t="s">
        <v>454</v>
      </c>
      <c r="B1319">
        <v>2012</v>
      </c>
      <c r="C1319" t="s">
        <v>377</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COUNT(LifeExpectancyData[[#This Row],[Life expectancy]:[Schooling]])=19</f>
        <v>0</v>
      </c>
    </row>
    <row r="1320" spans="1:23" x14ac:dyDescent="0.25">
      <c r="A1320" t="s">
        <v>454</v>
      </c>
      <c r="B1320">
        <v>2011</v>
      </c>
      <c r="C1320" t="s">
        <v>377</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COUNT(LifeExpectancyData[[#This Row],[Life expectancy]:[Schooling]])=19</f>
        <v>0</v>
      </c>
    </row>
    <row r="1321" spans="1:23" x14ac:dyDescent="0.25">
      <c r="A1321" t="s">
        <v>454</v>
      </c>
      <c r="B1321">
        <v>2010</v>
      </c>
      <c r="C1321" t="s">
        <v>377</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COUNT(LifeExpectancyData[[#This Row],[Life expectancy]:[Schooling]])=19</f>
        <v>0</v>
      </c>
    </row>
    <row r="1322" spans="1:23" x14ac:dyDescent="0.25">
      <c r="A1322" t="s">
        <v>454</v>
      </c>
      <c r="B1322">
        <v>2009</v>
      </c>
      <c r="C1322" t="s">
        <v>377</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COUNT(LifeExpectancyData[[#This Row],[Life expectancy]:[Schooling]])=19</f>
        <v>0</v>
      </c>
    </row>
    <row r="1323" spans="1:23" x14ac:dyDescent="0.25">
      <c r="A1323" t="s">
        <v>454</v>
      </c>
      <c r="B1323">
        <v>2008</v>
      </c>
      <c r="C1323" t="s">
        <v>377</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COUNT(LifeExpectancyData[[#This Row],[Life expectancy]:[Schooling]])=19</f>
        <v>0</v>
      </c>
    </row>
    <row r="1324" spans="1:23" x14ac:dyDescent="0.25">
      <c r="A1324" t="s">
        <v>454</v>
      </c>
      <c r="B1324">
        <v>2007</v>
      </c>
      <c r="C1324" t="s">
        <v>377</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COUNT(LifeExpectancyData[[#This Row],[Life expectancy]:[Schooling]])=19</f>
        <v>0</v>
      </c>
    </row>
    <row r="1325" spans="1:23" x14ac:dyDescent="0.25">
      <c r="A1325" t="s">
        <v>454</v>
      </c>
      <c r="B1325">
        <v>2006</v>
      </c>
      <c r="C1325" t="s">
        <v>377</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COUNT(LifeExpectancyData[[#This Row],[Life expectancy]:[Schooling]])=19</f>
        <v>0</v>
      </c>
    </row>
    <row r="1326" spans="1:23" x14ac:dyDescent="0.25">
      <c r="A1326" t="s">
        <v>454</v>
      </c>
      <c r="B1326">
        <v>2005</v>
      </c>
      <c r="C1326" t="s">
        <v>377</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COUNT(LifeExpectancyData[[#This Row],[Life expectancy]:[Schooling]])=19</f>
        <v>0</v>
      </c>
    </row>
    <row r="1327" spans="1:23" x14ac:dyDescent="0.25">
      <c r="A1327" t="s">
        <v>454</v>
      </c>
      <c r="B1327">
        <v>2004</v>
      </c>
      <c r="C1327" t="s">
        <v>377</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COUNT(LifeExpectancyData[[#This Row],[Life expectancy]:[Schooling]])=19</f>
        <v>0</v>
      </c>
    </row>
    <row r="1328" spans="1:23" x14ac:dyDescent="0.25">
      <c r="A1328" t="s">
        <v>454</v>
      </c>
      <c r="B1328">
        <v>2003</v>
      </c>
      <c r="C1328" t="s">
        <v>377</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COUNT(LifeExpectancyData[[#This Row],[Life expectancy]:[Schooling]])=19</f>
        <v>0</v>
      </c>
    </row>
    <row r="1329" spans="1:23" x14ac:dyDescent="0.25">
      <c r="A1329" t="s">
        <v>454</v>
      </c>
      <c r="B1329">
        <v>2002</v>
      </c>
      <c r="C1329" t="s">
        <v>377</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COUNT(LifeExpectancyData[[#This Row],[Life expectancy]:[Schooling]])=19</f>
        <v>0</v>
      </c>
    </row>
    <row r="1330" spans="1:23" x14ac:dyDescent="0.25">
      <c r="A1330" t="s">
        <v>454</v>
      </c>
      <c r="B1330">
        <v>2001</v>
      </c>
      <c r="C1330" t="s">
        <v>377</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COUNT(LifeExpectancyData[[#This Row],[Life expectancy]:[Schooling]])=19</f>
        <v>0</v>
      </c>
    </row>
    <row r="1331" spans="1:23" x14ac:dyDescent="0.25">
      <c r="A1331" t="s">
        <v>454</v>
      </c>
      <c r="B1331">
        <v>2000</v>
      </c>
      <c r="C1331" t="s">
        <v>377</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COUNT(LifeExpectancyData[[#This Row],[Life expectancy]:[Schooling]])=19</f>
        <v>0</v>
      </c>
    </row>
    <row r="1332" spans="1:23" x14ac:dyDescent="0.25">
      <c r="A1332" t="s">
        <v>455</v>
      </c>
      <c r="B1332">
        <v>2015</v>
      </c>
      <c r="C1332" t="s">
        <v>369</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COUNT(LifeExpectancyData[[#This Row],[Life expectancy]:[Schooling]])=19</f>
        <v>0</v>
      </c>
    </row>
    <row r="1333" spans="1:23" x14ac:dyDescent="0.25">
      <c r="A1333" t="s">
        <v>455</v>
      </c>
      <c r="B1333">
        <v>2014</v>
      </c>
      <c r="C1333" t="s">
        <v>369</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COUNT(LifeExpectancyData[[#This Row],[Life expectancy]:[Schooling]])=19</f>
        <v>1</v>
      </c>
    </row>
    <row r="1334" spans="1:23" x14ac:dyDescent="0.25">
      <c r="A1334" t="s">
        <v>455</v>
      </c>
      <c r="B1334">
        <v>2013</v>
      </c>
      <c r="C1334" t="s">
        <v>369</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COUNT(LifeExpectancyData[[#This Row],[Life expectancy]:[Schooling]])=19</f>
        <v>1</v>
      </c>
    </row>
    <row r="1335" spans="1:23" x14ac:dyDescent="0.25">
      <c r="A1335" t="s">
        <v>455</v>
      </c>
      <c r="B1335">
        <v>2012</v>
      </c>
      <c r="C1335" t="s">
        <v>369</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COUNT(LifeExpectancyData[[#This Row],[Life expectancy]:[Schooling]])=19</f>
        <v>1</v>
      </c>
    </row>
    <row r="1336" spans="1:23" x14ac:dyDescent="0.25">
      <c r="A1336" t="s">
        <v>455</v>
      </c>
      <c r="B1336">
        <v>2011</v>
      </c>
      <c r="C1336" t="s">
        <v>369</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COUNT(LifeExpectancyData[[#This Row],[Life expectancy]:[Schooling]])=19</f>
        <v>1</v>
      </c>
    </row>
    <row r="1337" spans="1:23" x14ac:dyDescent="0.25">
      <c r="A1337" t="s">
        <v>455</v>
      </c>
      <c r="B1337">
        <v>2010</v>
      </c>
      <c r="C1337" t="s">
        <v>369</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COUNT(LifeExpectancyData[[#This Row],[Life expectancy]:[Schooling]])=19</f>
        <v>1</v>
      </c>
    </row>
    <row r="1338" spans="1:23" x14ac:dyDescent="0.25">
      <c r="A1338" t="s">
        <v>455</v>
      </c>
      <c r="B1338">
        <v>2009</v>
      </c>
      <c r="C1338" t="s">
        <v>369</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COUNT(LifeExpectancyData[[#This Row],[Life expectancy]:[Schooling]])=19</f>
        <v>1</v>
      </c>
    </row>
    <row r="1339" spans="1:23" x14ac:dyDescent="0.25">
      <c r="A1339" t="s">
        <v>455</v>
      </c>
      <c r="B1339">
        <v>2008</v>
      </c>
      <c r="C1339" t="s">
        <v>369</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COUNT(LifeExpectancyData[[#This Row],[Life expectancy]:[Schooling]])=19</f>
        <v>1</v>
      </c>
    </row>
    <row r="1340" spans="1:23" x14ac:dyDescent="0.25">
      <c r="A1340" t="s">
        <v>455</v>
      </c>
      <c r="B1340">
        <v>2007</v>
      </c>
      <c r="C1340" t="s">
        <v>369</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COUNT(LifeExpectancyData[[#This Row],[Life expectancy]:[Schooling]])=19</f>
        <v>1</v>
      </c>
    </row>
    <row r="1341" spans="1:23" x14ac:dyDescent="0.25">
      <c r="A1341" t="s">
        <v>455</v>
      </c>
      <c r="B1341">
        <v>2006</v>
      </c>
      <c r="C1341" t="s">
        <v>369</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COUNT(LifeExpectancyData[[#This Row],[Life expectancy]:[Schooling]])=19</f>
        <v>1</v>
      </c>
    </row>
    <row r="1342" spans="1:23" x14ac:dyDescent="0.25">
      <c r="A1342" t="s">
        <v>455</v>
      </c>
      <c r="B1342">
        <v>2005</v>
      </c>
      <c r="C1342" t="s">
        <v>369</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COUNT(LifeExpectancyData[[#This Row],[Life expectancy]:[Schooling]])=19</f>
        <v>1</v>
      </c>
    </row>
    <row r="1343" spans="1:23" x14ac:dyDescent="0.25">
      <c r="A1343" t="s">
        <v>455</v>
      </c>
      <c r="B1343">
        <v>2004</v>
      </c>
      <c r="C1343" t="s">
        <v>369</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COUNT(LifeExpectancyData[[#This Row],[Life expectancy]:[Schooling]])=19</f>
        <v>1</v>
      </c>
    </row>
    <row r="1344" spans="1:23" x14ac:dyDescent="0.25">
      <c r="A1344" t="s">
        <v>455</v>
      </c>
      <c r="B1344">
        <v>2003</v>
      </c>
      <c r="C1344" t="s">
        <v>369</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COUNT(LifeExpectancyData[[#This Row],[Life expectancy]:[Schooling]])=19</f>
        <v>1</v>
      </c>
    </row>
    <row r="1345" spans="1:23" x14ac:dyDescent="0.25">
      <c r="A1345" t="s">
        <v>455</v>
      </c>
      <c r="B1345">
        <v>2002</v>
      </c>
      <c r="C1345" t="s">
        <v>369</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COUNT(LifeExpectancyData[[#This Row],[Life expectancy]:[Schooling]])=19</f>
        <v>1</v>
      </c>
    </row>
    <row r="1346" spans="1:23" x14ac:dyDescent="0.25">
      <c r="A1346" t="s">
        <v>455</v>
      </c>
      <c r="B1346">
        <v>2001</v>
      </c>
      <c r="C1346" t="s">
        <v>369</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COUNT(LifeExpectancyData[[#This Row],[Life expectancy]:[Schooling]])=19</f>
        <v>1</v>
      </c>
    </row>
    <row r="1347" spans="1:23" x14ac:dyDescent="0.25">
      <c r="A1347" t="s">
        <v>455</v>
      </c>
      <c r="B1347">
        <v>2000</v>
      </c>
      <c r="C1347" t="s">
        <v>369</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COUNT(LifeExpectancyData[[#This Row],[Life expectancy]:[Schooling]])=19</f>
        <v>1</v>
      </c>
    </row>
    <row r="1348" spans="1:23" x14ac:dyDescent="0.25">
      <c r="A1348" t="s">
        <v>456</v>
      </c>
      <c r="B1348">
        <v>2015</v>
      </c>
      <c r="C1348" t="s">
        <v>369</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COUNT(LifeExpectancyData[[#This Row],[Life expectancy]:[Schooling]])=19</f>
        <v>0</v>
      </c>
    </row>
    <row r="1349" spans="1:23" x14ac:dyDescent="0.25">
      <c r="A1349" t="s">
        <v>456</v>
      </c>
      <c r="B1349">
        <v>2014</v>
      </c>
      <c r="C1349" t="s">
        <v>369</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COUNT(LifeExpectancyData[[#This Row],[Life expectancy]:[Schooling]])=19</f>
        <v>1</v>
      </c>
    </row>
    <row r="1350" spans="1:23" x14ac:dyDescent="0.25">
      <c r="A1350" t="s">
        <v>456</v>
      </c>
      <c r="B1350">
        <v>2013</v>
      </c>
      <c r="C1350" t="s">
        <v>369</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COUNT(LifeExpectancyData[[#This Row],[Life expectancy]:[Schooling]])=19</f>
        <v>1</v>
      </c>
    </row>
    <row r="1351" spans="1:23" x14ac:dyDescent="0.25">
      <c r="A1351" t="s">
        <v>456</v>
      </c>
      <c r="B1351">
        <v>2012</v>
      </c>
      <c r="C1351" t="s">
        <v>369</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COUNT(LifeExpectancyData[[#This Row],[Life expectancy]:[Schooling]])=19</f>
        <v>1</v>
      </c>
    </row>
    <row r="1352" spans="1:23" x14ac:dyDescent="0.25">
      <c r="A1352" t="s">
        <v>456</v>
      </c>
      <c r="B1352">
        <v>2011</v>
      </c>
      <c r="C1352" t="s">
        <v>369</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COUNT(LifeExpectancyData[[#This Row],[Life expectancy]:[Schooling]])=19</f>
        <v>1</v>
      </c>
    </row>
    <row r="1353" spans="1:23" x14ac:dyDescent="0.25">
      <c r="A1353" t="s">
        <v>456</v>
      </c>
      <c r="B1353">
        <v>2010</v>
      </c>
      <c r="C1353" t="s">
        <v>369</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COUNT(LifeExpectancyData[[#This Row],[Life expectancy]:[Schooling]])=19</f>
        <v>1</v>
      </c>
    </row>
    <row r="1354" spans="1:23" x14ac:dyDescent="0.25">
      <c r="A1354" t="s">
        <v>456</v>
      </c>
      <c r="B1354">
        <v>2009</v>
      </c>
      <c r="C1354" t="s">
        <v>369</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COUNT(LifeExpectancyData[[#This Row],[Life expectancy]:[Schooling]])=19</f>
        <v>1</v>
      </c>
    </row>
    <row r="1355" spans="1:23" x14ac:dyDescent="0.25">
      <c r="A1355" t="s">
        <v>456</v>
      </c>
      <c r="B1355">
        <v>2008</v>
      </c>
      <c r="C1355" t="s">
        <v>369</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COUNT(LifeExpectancyData[[#This Row],[Life expectancy]:[Schooling]])=19</f>
        <v>1</v>
      </c>
    </row>
    <row r="1356" spans="1:23" x14ac:dyDescent="0.25">
      <c r="A1356" t="s">
        <v>456</v>
      </c>
      <c r="B1356">
        <v>2007</v>
      </c>
      <c r="C1356" t="s">
        <v>369</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COUNT(LifeExpectancyData[[#This Row],[Life expectancy]:[Schooling]])=19</f>
        <v>1</v>
      </c>
    </row>
    <row r="1357" spans="1:23" x14ac:dyDescent="0.25">
      <c r="A1357" t="s">
        <v>456</v>
      </c>
      <c r="B1357">
        <v>2006</v>
      </c>
      <c r="C1357" t="s">
        <v>369</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COUNT(LifeExpectancyData[[#This Row],[Life expectancy]:[Schooling]])=19</f>
        <v>1</v>
      </c>
    </row>
    <row r="1358" spans="1:23" x14ac:dyDescent="0.25">
      <c r="A1358" t="s">
        <v>456</v>
      </c>
      <c r="B1358">
        <v>2005</v>
      </c>
      <c r="C1358" t="s">
        <v>369</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COUNT(LifeExpectancyData[[#This Row],[Life expectancy]:[Schooling]])=19</f>
        <v>1</v>
      </c>
    </row>
    <row r="1359" spans="1:23" x14ac:dyDescent="0.25">
      <c r="A1359" t="s">
        <v>456</v>
      </c>
      <c r="B1359">
        <v>2004</v>
      </c>
      <c r="C1359" t="s">
        <v>369</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COUNT(LifeExpectancyData[[#This Row],[Life expectancy]:[Schooling]])=19</f>
        <v>1</v>
      </c>
    </row>
    <row r="1360" spans="1:23" x14ac:dyDescent="0.25">
      <c r="A1360" t="s">
        <v>456</v>
      </c>
      <c r="B1360">
        <v>2003</v>
      </c>
      <c r="C1360" t="s">
        <v>369</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COUNT(LifeExpectancyData[[#This Row],[Life expectancy]:[Schooling]])=19</f>
        <v>1</v>
      </c>
    </row>
    <row r="1361" spans="1:23" x14ac:dyDescent="0.25">
      <c r="A1361" t="s">
        <v>456</v>
      </c>
      <c r="B1361">
        <v>2002</v>
      </c>
      <c r="C1361" t="s">
        <v>369</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COUNT(LifeExpectancyData[[#This Row],[Life expectancy]:[Schooling]])=19</f>
        <v>1</v>
      </c>
    </row>
    <row r="1362" spans="1:23" x14ac:dyDescent="0.25">
      <c r="A1362" t="s">
        <v>456</v>
      </c>
      <c r="B1362">
        <v>2001</v>
      </c>
      <c r="C1362" t="s">
        <v>369</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COUNT(LifeExpectancyData[[#This Row],[Life expectancy]:[Schooling]])=19</f>
        <v>1</v>
      </c>
    </row>
    <row r="1363" spans="1:23" x14ac:dyDescent="0.25">
      <c r="A1363" t="s">
        <v>456</v>
      </c>
      <c r="B1363">
        <v>2000</v>
      </c>
      <c r="C1363" t="s">
        <v>369</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COUNT(LifeExpectancyData[[#This Row],[Life expectancy]:[Schooling]])=19</f>
        <v>1</v>
      </c>
    </row>
    <row r="1364" spans="1:23" x14ac:dyDescent="0.25">
      <c r="A1364" t="s">
        <v>457</v>
      </c>
      <c r="B1364">
        <v>2015</v>
      </c>
      <c r="C1364" t="s">
        <v>369</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COUNT(LifeExpectancyData[[#This Row],[Life expectancy]:[Schooling]])=19</f>
        <v>0</v>
      </c>
    </row>
    <row r="1365" spans="1:23" x14ac:dyDescent="0.25">
      <c r="A1365" t="s">
        <v>457</v>
      </c>
      <c r="B1365">
        <v>2014</v>
      </c>
      <c r="C1365" t="s">
        <v>369</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COUNT(LifeExpectancyData[[#This Row],[Life expectancy]:[Schooling]])=19</f>
        <v>1</v>
      </c>
    </row>
    <row r="1366" spans="1:23" x14ac:dyDescent="0.25">
      <c r="A1366" t="s">
        <v>457</v>
      </c>
      <c r="B1366">
        <v>2013</v>
      </c>
      <c r="C1366" t="s">
        <v>369</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COUNT(LifeExpectancyData[[#This Row],[Life expectancy]:[Schooling]])=19</f>
        <v>1</v>
      </c>
    </row>
    <row r="1367" spans="1:23" x14ac:dyDescent="0.25">
      <c r="A1367" t="s">
        <v>457</v>
      </c>
      <c r="B1367">
        <v>2012</v>
      </c>
      <c r="C1367" t="s">
        <v>369</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COUNT(LifeExpectancyData[[#This Row],[Life expectancy]:[Schooling]])=19</f>
        <v>1</v>
      </c>
    </row>
    <row r="1368" spans="1:23" x14ac:dyDescent="0.25">
      <c r="A1368" t="s">
        <v>457</v>
      </c>
      <c r="B1368">
        <v>2011</v>
      </c>
      <c r="C1368" t="s">
        <v>369</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COUNT(LifeExpectancyData[[#This Row],[Life expectancy]:[Schooling]])=19</f>
        <v>1</v>
      </c>
    </row>
    <row r="1369" spans="1:23" x14ac:dyDescent="0.25">
      <c r="A1369" t="s">
        <v>457</v>
      </c>
      <c r="B1369">
        <v>2010</v>
      </c>
      <c r="C1369" t="s">
        <v>369</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COUNT(LifeExpectancyData[[#This Row],[Life expectancy]:[Schooling]])=19</f>
        <v>1</v>
      </c>
    </row>
    <row r="1370" spans="1:23" x14ac:dyDescent="0.25">
      <c r="A1370" t="s">
        <v>457</v>
      </c>
      <c r="B1370">
        <v>2009</v>
      </c>
      <c r="C1370" t="s">
        <v>369</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COUNT(LifeExpectancyData[[#This Row],[Life expectancy]:[Schooling]])=19</f>
        <v>1</v>
      </c>
    </row>
    <row r="1371" spans="1:23" x14ac:dyDescent="0.25">
      <c r="A1371" t="s">
        <v>457</v>
      </c>
      <c r="B1371">
        <v>2008</v>
      </c>
      <c r="C1371" t="s">
        <v>369</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COUNT(LifeExpectancyData[[#This Row],[Life expectancy]:[Schooling]])=19</f>
        <v>1</v>
      </c>
    </row>
    <row r="1372" spans="1:23" x14ac:dyDescent="0.25">
      <c r="A1372" t="s">
        <v>457</v>
      </c>
      <c r="B1372">
        <v>2007</v>
      </c>
      <c r="C1372" t="s">
        <v>369</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COUNT(LifeExpectancyData[[#This Row],[Life expectancy]:[Schooling]])=19</f>
        <v>1</v>
      </c>
    </row>
    <row r="1373" spans="1:23" x14ac:dyDescent="0.25">
      <c r="A1373" t="s">
        <v>457</v>
      </c>
      <c r="B1373">
        <v>2006</v>
      </c>
      <c r="C1373" t="s">
        <v>369</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COUNT(LifeExpectancyData[[#This Row],[Life expectancy]:[Schooling]])=19</f>
        <v>1</v>
      </c>
    </row>
    <row r="1374" spans="1:23" x14ac:dyDescent="0.25">
      <c r="A1374" t="s">
        <v>457</v>
      </c>
      <c r="B1374">
        <v>2005</v>
      </c>
      <c r="C1374" t="s">
        <v>369</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COUNT(LifeExpectancyData[[#This Row],[Life expectancy]:[Schooling]])=19</f>
        <v>1</v>
      </c>
    </row>
    <row r="1375" spans="1:23" x14ac:dyDescent="0.25">
      <c r="A1375" t="s">
        <v>457</v>
      </c>
      <c r="B1375">
        <v>2004</v>
      </c>
      <c r="C1375" t="s">
        <v>369</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COUNT(LifeExpectancyData[[#This Row],[Life expectancy]:[Schooling]])=19</f>
        <v>1</v>
      </c>
    </row>
    <row r="1376" spans="1:23" x14ac:dyDescent="0.25">
      <c r="A1376" t="s">
        <v>457</v>
      </c>
      <c r="B1376">
        <v>2003</v>
      </c>
      <c r="C1376" t="s">
        <v>369</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COUNT(LifeExpectancyData[[#This Row],[Life expectancy]:[Schooling]])=19</f>
        <v>1</v>
      </c>
    </row>
    <row r="1377" spans="1:23" x14ac:dyDescent="0.25">
      <c r="A1377" t="s">
        <v>457</v>
      </c>
      <c r="B1377">
        <v>2002</v>
      </c>
      <c r="C1377" t="s">
        <v>369</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COUNT(LifeExpectancyData[[#This Row],[Life expectancy]:[Schooling]])=19</f>
        <v>1</v>
      </c>
    </row>
    <row r="1378" spans="1:23" x14ac:dyDescent="0.25">
      <c r="A1378" t="s">
        <v>457</v>
      </c>
      <c r="B1378">
        <v>2001</v>
      </c>
      <c r="C1378" t="s">
        <v>369</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COUNT(LifeExpectancyData[[#This Row],[Life expectancy]:[Schooling]])=19</f>
        <v>0</v>
      </c>
    </row>
    <row r="1379" spans="1:23" x14ac:dyDescent="0.25">
      <c r="A1379" t="s">
        <v>457</v>
      </c>
      <c r="B1379">
        <v>2000</v>
      </c>
      <c r="C1379" t="s">
        <v>369</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COUNT(LifeExpectancyData[[#This Row],[Life expectancy]:[Schooling]])=19</f>
        <v>0</v>
      </c>
    </row>
    <row r="1380" spans="1:23" x14ac:dyDescent="0.25">
      <c r="A1380" t="s">
        <v>458</v>
      </c>
      <c r="B1380">
        <v>2015</v>
      </c>
      <c r="C1380" t="s">
        <v>369</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COUNT(LifeExpectancyData[[#This Row],[Life expectancy]:[Schooling]])=19</f>
        <v>0</v>
      </c>
    </row>
    <row r="1381" spans="1:23" x14ac:dyDescent="0.25">
      <c r="A1381" t="s">
        <v>458</v>
      </c>
      <c r="B1381">
        <v>2014</v>
      </c>
      <c r="C1381" t="s">
        <v>369</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COUNT(LifeExpectancyData[[#This Row],[Life expectancy]:[Schooling]])=19</f>
        <v>1</v>
      </c>
    </row>
    <row r="1382" spans="1:23" x14ac:dyDescent="0.25">
      <c r="A1382" t="s">
        <v>458</v>
      </c>
      <c r="B1382">
        <v>2013</v>
      </c>
      <c r="C1382" t="s">
        <v>369</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COUNT(LifeExpectancyData[[#This Row],[Life expectancy]:[Schooling]])=19</f>
        <v>1</v>
      </c>
    </row>
    <row r="1383" spans="1:23" x14ac:dyDescent="0.25">
      <c r="A1383" t="s">
        <v>458</v>
      </c>
      <c r="B1383">
        <v>2012</v>
      </c>
      <c r="C1383" t="s">
        <v>369</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COUNT(LifeExpectancyData[[#This Row],[Life expectancy]:[Schooling]])=19</f>
        <v>1</v>
      </c>
    </row>
    <row r="1384" spans="1:23" x14ac:dyDescent="0.25">
      <c r="A1384" t="s">
        <v>458</v>
      </c>
      <c r="B1384">
        <v>2011</v>
      </c>
      <c r="C1384" t="s">
        <v>369</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COUNT(LifeExpectancyData[[#This Row],[Life expectancy]:[Schooling]])=19</f>
        <v>1</v>
      </c>
    </row>
    <row r="1385" spans="1:23" x14ac:dyDescent="0.25">
      <c r="A1385" t="s">
        <v>458</v>
      </c>
      <c r="B1385">
        <v>2010</v>
      </c>
      <c r="C1385" t="s">
        <v>369</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COUNT(LifeExpectancyData[[#This Row],[Life expectancy]:[Schooling]])=19</f>
        <v>1</v>
      </c>
    </row>
    <row r="1386" spans="1:23" x14ac:dyDescent="0.25">
      <c r="A1386" t="s">
        <v>458</v>
      </c>
      <c r="B1386">
        <v>2009</v>
      </c>
      <c r="C1386" t="s">
        <v>369</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COUNT(LifeExpectancyData[[#This Row],[Life expectancy]:[Schooling]])=19</f>
        <v>1</v>
      </c>
    </row>
    <row r="1387" spans="1:23" x14ac:dyDescent="0.25">
      <c r="A1387" t="s">
        <v>458</v>
      </c>
      <c r="B1387">
        <v>2008</v>
      </c>
      <c r="C1387" t="s">
        <v>369</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COUNT(LifeExpectancyData[[#This Row],[Life expectancy]:[Schooling]])=19</f>
        <v>1</v>
      </c>
    </row>
    <row r="1388" spans="1:23" x14ac:dyDescent="0.25">
      <c r="A1388" t="s">
        <v>458</v>
      </c>
      <c r="B1388">
        <v>2007</v>
      </c>
      <c r="C1388" t="s">
        <v>369</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COUNT(LifeExpectancyData[[#This Row],[Life expectancy]:[Schooling]])=19</f>
        <v>1</v>
      </c>
    </row>
    <row r="1389" spans="1:23" x14ac:dyDescent="0.25">
      <c r="A1389" t="s">
        <v>458</v>
      </c>
      <c r="B1389">
        <v>2006</v>
      </c>
      <c r="C1389" t="s">
        <v>369</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COUNT(LifeExpectancyData[[#This Row],[Life expectancy]:[Schooling]])=19</f>
        <v>1</v>
      </c>
    </row>
    <row r="1390" spans="1:23" x14ac:dyDescent="0.25">
      <c r="A1390" t="s">
        <v>458</v>
      </c>
      <c r="B1390">
        <v>2005</v>
      </c>
      <c r="C1390" t="s">
        <v>369</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COUNT(LifeExpectancyData[[#This Row],[Life expectancy]:[Schooling]])=19</f>
        <v>1</v>
      </c>
    </row>
    <row r="1391" spans="1:23" x14ac:dyDescent="0.25">
      <c r="A1391" t="s">
        <v>458</v>
      </c>
      <c r="B1391">
        <v>2004</v>
      </c>
      <c r="C1391" t="s">
        <v>369</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COUNT(LifeExpectancyData[[#This Row],[Life expectancy]:[Schooling]])=19</f>
        <v>1</v>
      </c>
    </row>
    <row r="1392" spans="1:23" x14ac:dyDescent="0.25">
      <c r="A1392" t="s">
        <v>458</v>
      </c>
      <c r="B1392">
        <v>2003</v>
      </c>
      <c r="C1392" t="s">
        <v>369</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COUNT(LifeExpectancyData[[#This Row],[Life expectancy]:[Schooling]])=19</f>
        <v>1</v>
      </c>
    </row>
    <row r="1393" spans="1:23" x14ac:dyDescent="0.25">
      <c r="A1393" t="s">
        <v>458</v>
      </c>
      <c r="B1393">
        <v>2002</v>
      </c>
      <c r="C1393" t="s">
        <v>369</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COUNT(LifeExpectancyData[[#This Row],[Life expectancy]:[Schooling]])=19</f>
        <v>1</v>
      </c>
    </row>
    <row r="1394" spans="1:23" x14ac:dyDescent="0.25">
      <c r="A1394" t="s">
        <v>458</v>
      </c>
      <c r="B1394">
        <v>2001</v>
      </c>
      <c r="C1394" t="s">
        <v>369</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COUNT(LifeExpectancyData[[#This Row],[Life expectancy]:[Schooling]])=19</f>
        <v>1</v>
      </c>
    </row>
    <row r="1395" spans="1:23" x14ac:dyDescent="0.25">
      <c r="A1395" t="s">
        <v>458</v>
      </c>
      <c r="B1395">
        <v>2000</v>
      </c>
      <c r="C1395" t="s">
        <v>369</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COUNT(LifeExpectancyData[[#This Row],[Life expectancy]:[Schooling]])=19</f>
        <v>1</v>
      </c>
    </row>
    <row r="1396" spans="1:23" x14ac:dyDescent="0.25">
      <c r="A1396" t="s">
        <v>459</v>
      </c>
      <c r="B1396">
        <v>2015</v>
      </c>
      <c r="C1396" t="s">
        <v>369</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COUNT(LifeExpectancyData[[#This Row],[Life expectancy]:[Schooling]])=19</f>
        <v>0</v>
      </c>
    </row>
    <row r="1397" spans="1:23" x14ac:dyDescent="0.25">
      <c r="A1397" t="s">
        <v>459</v>
      </c>
      <c r="B1397">
        <v>2014</v>
      </c>
      <c r="C1397" t="s">
        <v>369</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COUNT(LifeExpectancyData[[#This Row],[Life expectancy]:[Schooling]])=19</f>
        <v>0</v>
      </c>
    </row>
    <row r="1398" spans="1:23" x14ac:dyDescent="0.25">
      <c r="A1398" t="s">
        <v>459</v>
      </c>
      <c r="B1398">
        <v>2013</v>
      </c>
      <c r="C1398" t="s">
        <v>369</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COUNT(LifeExpectancyData[[#This Row],[Life expectancy]:[Schooling]])=19</f>
        <v>0</v>
      </c>
    </row>
    <row r="1399" spans="1:23" x14ac:dyDescent="0.25">
      <c r="A1399" t="s">
        <v>459</v>
      </c>
      <c r="B1399">
        <v>2012</v>
      </c>
      <c r="C1399" t="s">
        <v>369</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COUNT(LifeExpectancyData[[#This Row],[Life expectancy]:[Schooling]])=19</f>
        <v>0</v>
      </c>
    </row>
    <row r="1400" spans="1:23" x14ac:dyDescent="0.25">
      <c r="A1400" t="s">
        <v>459</v>
      </c>
      <c r="B1400">
        <v>2011</v>
      </c>
      <c r="C1400" t="s">
        <v>369</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COUNT(LifeExpectancyData[[#This Row],[Life expectancy]:[Schooling]])=19</f>
        <v>0</v>
      </c>
    </row>
    <row r="1401" spans="1:23" x14ac:dyDescent="0.25">
      <c r="A1401" t="s">
        <v>459</v>
      </c>
      <c r="B1401">
        <v>2010</v>
      </c>
      <c r="C1401" t="s">
        <v>369</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COUNT(LifeExpectancyData[[#This Row],[Life expectancy]:[Schooling]])=19</f>
        <v>0</v>
      </c>
    </row>
    <row r="1402" spans="1:23" x14ac:dyDescent="0.25">
      <c r="A1402" t="s">
        <v>459</v>
      </c>
      <c r="B1402">
        <v>2009</v>
      </c>
      <c r="C1402" t="s">
        <v>369</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COUNT(LifeExpectancyData[[#This Row],[Life expectancy]:[Schooling]])=19</f>
        <v>0</v>
      </c>
    </row>
    <row r="1403" spans="1:23" x14ac:dyDescent="0.25">
      <c r="A1403" t="s">
        <v>459</v>
      </c>
      <c r="B1403">
        <v>2008</v>
      </c>
      <c r="C1403" t="s">
        <v>369</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COUNT(LifeExpectancyData[[#This Row],[Life expectancy]:[Schooling]])=19</f>
        <v>0</v>
      </c>
    </row>
    <row r="1404" spans="1:23" x14ac:dyDescent="0.25">
      <c r="A1404" t="s">
        <v>459</v>
      </c>
      <c r="B1404">
        <v>2007</v>
      </c>
      <c r="C1404" t="s">
        <v>369</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COUNT(LifeExpectancyData[[#This Row],[Life expectancy]:[Schooling]])=19</f>
        <v>0</v>
      </c>
    </row>
    <row r="1405" spans="1:23" x14ac:dyDescent="0.25">
      <c r="A1405" t="s">
        <v>459</v>
      </c>
      <c r="B1405">
        <v>2006</v>
      </c>
      <c r="C1405" t="s">
        <v>369</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COUNT(LifeExpectancyData[[#This Row],[Life expectancy]:[Schooling]])=19</f>
        <v>0</v>
      </c>
    </row>
    <row r="1406" spans="1:23" x14ac:dyDescent="0.25">
      <c r="A1406" t="s">
        <v>459</v>
      </c>
      <c r="B1406">
        <v>2005</v>
      </c>
      <c r="C1406" t="s">
        <v>369</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COUNT(LifeExpectancyData[[#This Row],[Life expectancy]:[Schooling]])=19</f>
        <v>0</v>
      </c>
    </row>
    <row r="1407" spans="1:23" x14ac:dyDescent="0.25">
      <c r="A1407" t="s">
        <v>459</v>
      </c>
      <c r="B1407">
        <v>2004</v>
      </c>
      <c r="C1407" t="s">
        <v>369</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COUNT(LifeExpectancyData[[#This Row],[Life expectancy]:[Schooling]])=19</f>
        <v>0</v>
      </c>
    </row>
    <row r="1408" spans="1:23" x14ac:dyDescent="0.25">
      <c r="A1408" t="s">
        <v>459</v>
      </c>
      <c r="B1408">
        <v>2003</v>
      </c>
      <c r="C1408" t="s">
        <v>369</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COUNT(LifeExpectancyData[[#This Row],[Life expectancy]:[Schooling]])=19</f>
        <v>0</v>
      </c>
    </row>
    <row r="1409" spans="1:23" x14ac:dyDescent="0.25">
      <c r="A1409" t="s">
        <v>459</v>
      </c>
      <c r="B1409">
        <v>2002</v>
      </c>
      <c r="C1409" t="s">
        <v>369</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COUNT(LifeExpectancyData[[#This Row],[Life expectancy]:[Schooling]])=19</f>
        <v>0</v>
      </c>
    </row>
    <row r="1410" spans="1:23" x14ac:dyDescent="0.25">
      <c r="A1410" t="s">
        <v>459</v>
      </c>
      <c r="B1410">
        <v>2001</v>
      </c>
      <c r="C1410" t="s">
        <v>369</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COUNT(LifeExpectancyData[[#This Row],[Life expectancy]:[Schooling]])=19</f>
        <v>0</v>
      </c>
    </row>
    <row r="1411" spans="1:23" x14ac:dyDescent="0.25">
      <c r="A1411" t="s">
        <v>459</v>
      </c>
      <c r="B1411">
        <v>2000</v>
      </c>
      <c r="C1411" t="s">
        <v>369</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COUNT(LifeExpectancyData[[#This Row],[Life expectancy]:[Schooling]])=19</f>
        <v>0</v>
      </c>
    </row>
    <row r="1412" spans="1:23" x14ac:dyDescent="0.25">
      <c r="A1412" t="s">
        <v>460</v>
      </c>
      <c r="B1412">
        <v>2015</v>
      </c>
      <c r="C1412" t="s">
        <v>369</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COUNT(LifeExpectancyData[[#This Row],[Life expectancy]:[Schooling]])=19</f>
        <v>0</v>
      </c>
    </row>
    <row r="1413" spans="1:23" x14ac:dyDescent="0.25">
      <c r="A1413" t="s">
        <v>460</v>
      </c>
      <c r="B1413">
        <v>2014</v>
      </c>
      <c r="C1413" t="s">
        <v>369</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COUNT(LifeExpectancyData[[#This Row],[Life expectancy]:[Schooling]])=19</f>
        <v>0</v>
      </c>
    </row>
    <row r="1414" spans="1:23" x14ac:dyDescent="0.25">
      <c r="A1414" t="s">
        <v>460</v>
      </c>
      <c r="B1414">
        <v>2013</v>
      </c>
      <c r="C1414" t="s">
        <v>369</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COUNT(LifeExpectancyData[[#This Row],[Life expectancy]:[Schooling]])=19</f>
        <v>0</v>
      </c>
    </row>
    <row r="1415" spans="1:23" x14ac:dyDescent="0.25">
      <c r="A1415" t="s">
        <v>460</v>
      </c>
      <c r="B1415">
        <v>2012</v>
      </c>
      <c r="C1415" t="s">
        <v>369</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COUNT(LifeExpectancyData[[#This Row],[Life expectancy]:[Schooling]])=19</f>
        <v>0</v>
      </c>
    </row>
    <row r="1416" spans="1:23" x14ac:dyDescent="0.25">
      <c r="A1416" t="s">
        <v>460</v>
      </c>
      <c r="B1416">
        <v>2011</v>
      </c>
      <c r="C1416" t="s">
        <v>369</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COUNT(LifeExpectancyData[[#This Row],[Life expectancy]:[Schooling]])=19</f>
        <v>0</v>
      </c>
    </row>
    <row r="1417" spans="1:23" x14ac:dyDescent="0.25">
      <c r="A1417" t="s">
        <v>460</v>
      </c>
      <c r="B1417">
        <v>2010</v>
      </c>
      <c r="C1417" t="s">
        <v>369</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COUNT(LifeExpectancyData[[#This Row],[Life expectancy]:[Schooling]])=19</f>
        <v>0</v>
      </c>
    </row>
    <row r="1418" spans="1:23" x14ac:dyDescent="0.25">
      <c r="A1418" t="s">
        <v>460</v>
      </c>
      <c r="B1418">
        <v>2009</v>
      </c>
      <c r="C1418" t="s">
        <v>369</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COUNT(LifeExpectancyData[[#This Row],[Life expectancy]:[Schooling]])=19</f>
        <v>0</v>
      </c>
    </row>
    <row r="1419" spans="1:23" x14ac:dyDescent="0.25">
      <c r="A1419" t="s">
        <v>460</v>
      </c>
      <c r="B1419">
        <v>2008</v>
      </c>
      <c r="C1419" t="s">
        <v>369</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COUNT(LifeExpectancyData[[#This Row],[Life expectancy]:[Schooling]])=19</f>
        <v>0</v>
      </c>
    </row>
    <row r="1420" spans="1:23" x14ac:dyDescent="0.25">
      <c r="A1420" t="s">
        <v>460</v>
      </c>
      <c r="B1420">
        <v>2007</v>
      </c>
      <c r="C1420" t="s">
        <v>369</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COUNT(LifeExpectancyData[[#This Row],[Life expectancy]:[Schooling]])=19</f>
        <v>0</v>
      </c>
    </row>
    <row r="1421" spans="1:23" x14ac:dyDescent="0.25">
      <c r="A1421" t="s">
        <v>460</v>
      </c>
      <c r="B1421">
        <v>2006</v>
      </c>
      <c r="C1421" t="s">
        <v>369</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COUNT(LifeExpectancyData[[#This Row],[Life expectancy]:[Schooling]])=19</f>
        <v>0</v>
      </c>
    </row>
    <row r="1422" spans="1:23" x14ac:dyDescent="0.25">
      <c r="A1422" t="s">
        <v>460</v>
      </c>
      <c r="B1422">
        <v>2005</v>
      </c>
      <c r="C1422" t="s">
        <v>369</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COUNT(LifeExpectancyData[[#This Row],[Life expectancy]:[Schooling]])=19</f>
        <v>0</v>
      </c>
    </row>
    <row r="1423" spans="1:23" x14ac:dyDescent="0.25">
      <c r="A1423" t="s">
        <v>460</v>
      </c>
      <c r="B1423">
        <v>2004</v>
      </c>
      <c r="C1423" t="s">
        <v>369</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COUNT(LifeExpectancyData[[#This Row],[Life expectancy]:[Schooling]])=19</f>
        <v>0</v>
      </c>
    </row>
    <row r="1424" spans="1:23" x14ac:dyDescent="0.25">
      <c r="A1424" t="s">
        <v>460</v>
      </c>
      <c r="B1424">
        <v>2003</v>
      </c>
      <c r="C1424" t="s">
        <v>369</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COUNT(LifeExpectancyData[[#This Row],[Life expectancy]:[Schooling]])=19</f>
        <v>0</v>
      </c>
    </row>
    <row r="1425" spans="1:23" x14ac:dyDescent="0.25">
      <c r="A1425" t="s">
        <v>460</v>
      </c>
      <c r="B1425">
        <v>2002</v>
      </c>
      <c r="C1425" t="s">
        <v>369</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COUNT(LifeExpectancyData[[#This Row],[Life expectancy]:[Schooling]])=19</f>
        <v>0</v>
      </c>
    </row>
    <row r="1426" spans="1:23" x14ac:dyDescent="0.25">
      <c r="A1426" t="s">
        <v>460</v>
      </c>
      <c r="B1426">
        <v>2001</v>
      </c>
      <c r="C1426" t="s">
        <v>369</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COUNT(LifeExpectancyData[[#This Row],[Life expectancy]:[Schooling]])=19</f>
        <v>0</v>
      </c>
    </row>
    <row r="1427" spans="1:23" x14ac:dyDescent="0.25">
      <c r="A1427" t="s">
        <v>460</v>
      </c>
      <c r="B1427">
        <v>2000</v>
      </c>
      <c r="C1427" t="s">
        <v>369</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COUNT(LifeExpectancyData[[#This Row],[Life expectancy]:[Schooling]])=19</f>
        <v>0</v>
      </c>
    </row>
    <row r="1428" spans="1:23" x14ac:dyDescent="0.25">
      <c r="A1428" t="s">
        <v>461</v>
      </c>
      <c r="B1428">
        <v>2015</v>
      </c>
      <c r="C1428" t="s">
        <v>369</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COUNT(LifeExpectancyData[[#This Row],[Life expectancy]:[Schooling]])=19</f>
        <v>0</v>
      </c>
    </row>
    <row r="1429" spans="1:23" x14ac:dyDescent="0.25">
      <c r="A1429" t="s">
        <v>461</v>
      </c>
      <c r="B1429">
        <v>2014</v>
      </c>
      <c r="C1429" t="s">
        <v>369</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COUNT(LifeExpectancyData[[#This Row],[Life expectancy]:[Schooling]])=19</f>
        <v>0</v>
      </c>
    </row>
    <row r="1430" spans="1:23" x14ac:dyDescent="0.25">
      <c r="A1430" t="s">
        <v>461</v>
      </c>
      <c r="B1430">
        <v>2013</v>
      </c>
      <c r="C1430" t="s">
        <v>369</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COUNT(LifeExpectancyData[[#This Row],[Life expectancy]:[Schooling]])=19</f>
        <v>0</v>
      </c>
    </row>
    <row r="1431" spans="1:23" x14ac:dyDescent="0.25">
      <c r="A1431" t="s">
        <v>461</v>
      </c>
      <c r="B1431">
        <v>2012</v>
      </c>
      <c r="C1431" t="s">
        <v>369</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COUNT(LifeExpectancyData[[#This Row],[Life expectancy]:[Schooling]])=19</f>
        <v>0</v>
      </c>
    </row>
    <row r="1432" spans="1:23" x14ac:dyDescent="0.25">
      <c r="A1432" t="s">
        <v>461</v>
      </c>
      <c r="B1432">
        <v>2011</v>
      </c>
      <c r="C1432" t="s">
        <v>369</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COUNT(LifeExpectancyData[[#This Row],[Life expectancy]:[Schooling]])=19</f>
        <v>0</v>
      </c>
    </row>
    <row r="1433" spans="1:23" x14ac:dyDescent="0.25">
      <c r="A1433" t="s">
        <v>461</v>
      </c>
      <c r="B1433">
        <v>2010</v>
      </c>
      <c r="C1433" t="s">
        <v>369</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COUNT(LifeExpectancyData[[#This Row],[Life expectancy]:[Schooling]])=19</f>
        <v>0</v>
      </c>
    </row>
    <row r="1434" spans="1:23" x14ac:dyDescent="0.25">
      <c r="A1434" t="s">
        <v>461</v>
      </c>
      <c r="B1434">
        <v>2009</v>
      </c>
      <c r="C1434" t="s">
        <v>369</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COUNT(LifeExpectancyData[[#This Row],[Life expectancy]:[Schooling]])=19</f>
        <v>0</v>
      </c>
    </row>
    <row r="1435" spans="1:23" x14ac:dyDescent="0.25">
      <c r="A1435" t="s">
        <v>461</v>
      </c>
      <c r="B1435">
        <v>2008</v>
      </c>
      <c r="C1435" t="s">
        <v>369</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COUNT(LifeExpectancyData[[#This Row],[Life expectancy]:[Schooling]])=19</f>
        <v>0</v>
      </c>
    </row>
    <row r="1436" spans="1:23" x14ac:dyDescent="0.25">
      <c r="A1436" t="s">
        <v>461</v>
      </c>
      <c r="B1436">
        <v>2007</v>
      </c>
      <c r="C1436" t="s">
        <v>369</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COUNT(LifeExpectancyData[[#This Row],[Life expectancy]:[Schooling]])=19</f>
        <v>0</v>
      </c>
    </row>
    <row r="1437" spans="1:23" x14ac:dyDescent="0.25">
      <c r="A1437" t="s">
        <v>461</v>
      </c>
      <c r="B1437">
        <v>2006</v>
      </c>
      <c r="C1437" t="s">
        <v>369</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COUNT(LifeExpectancyData[[#This Row],[Life expectancy]:[Schooling]])=19</f>
        <v>0</v>
      </c>
    </row>
    <row r="1438" spans="1:23" x14ac:dyDescent="0.25">
      <c r="A1438" t="s">
        <v>461</v>
      </c>
      <c r="B1438">
        <v>2005</v>
      </c>
      <c r="C1438" t="s">
        <v>369</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COUNT(LifeExpectancyData[[#This Row],[Life expectancy]:[Schooling]])=19</f>
        <v>0</v>
      </c>
    </row>
    <row r="1439" spans="1:23" x14ac:dyDescent="0.25">
      <c r="A1439" t="s">
        <v>461</v>
      </c>
      <c r="B1439">
        <v>2004</v>
      </c>
      <c r="C1439" t="s">
        <v>369</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COUNT(LifeExpectancyData[[#This Row],[Life expectancy]:[Schooling]])=19</f>
        <v>0</v>
      </c>
    </row>
    <row r="1440" spans="1:23" x14ac:dyDescent="0.25">
      <c r="A1440" t="s">
        <v>461</v>
      </c>
      <c r="B1440">
        <v>2003</v>
      </c>
      <c r="C1440" t="s">
        <v>369</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COUNT(LifeExpectancyData[[#This Row],[Life expectancy]:[Schooling]])=19</f>
        <v>0</v>
      </c>
    </row>
    <row r="1441" spans="1:23" x14ac:dyDescent="0.25">
      <c r="A1441" t="s">
        <v>461</v>
      </c>
      <c r="B1441">
        <v>2002</v>
      </c>
      <c r="C1441" t="s">
        <v>369</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COUNT(LifeExpectancyData[[#This Row],[Life expectancy]:[Schooling]])=19</f>
        <v>0</v>
      </c>
    </row>
    <row r="1442" spans="1:23" x14ac:dyDescent="0.25">
      <c r="A1442" t="s">
        <v>461</v>
      </c>
      <c r="B1442">
        <v>2001</v>
      </c>
      <c r="C1442" t="s">
        <v>369</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COUNT(LifeExpectancyData[[#This Row],[Life expectancy]:[Schooling]])=19</f>
        <v>0</v>
      </c>
    </row>
    <row r="1443" spans="1:23" x14ac:dyDescent="0.25">
      <c r="A1443" t="s">
        <v>461</v>
      </c>
      <c r="B1443">
        <v>2000</v>
      </c>
      <c r="C1443" t="s">
        <v>369</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COUNT(LifeExpectancyData[[#This Row],[Life expectancy]:[Schooling]])=19</f>
        <v>0</v>
      </c>
    </row>
    <row r="1444" spans="1:23" x14ac:dyDescent="0.25">
      <c r="A1444" t="s">
        <v>462</v>
      </c>
      <c r="B1444">
        <v>2015</v>
      </c>
      <c r="C1444" t="s">
        <v>377</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COUNT(LifeExpectancyData[[#This Row],[Life expectancy]:[Schooling]])=19</f>
        <v>0</v>
      </c>
    </row>
    <row r="1445" spans="1:23" x14ac:dyDescent="0.25">
      <c r="A1445" t="s">
        <v>462</v>
      </c>
      <c r="B1445">
        <v>2014</v>
      </c>
      <c r="C1445" t="s">
        <v>377</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COUNT(LifeExpectancyData[[#This Row],[Life expectancy]:[Schooling]])=19</f>
        <v>1</v>
      </c>
    </row>
    <row r="1446" spans="1:23" x14ac:dyDescent="0.25">
      <c r="A1446" t="s">
        <v>462</v>
      </c>
      <c r="B1446">
        <v>2013</v>
      </c>
      <c r="C1446" t="s">
        <v>377</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COUNT(LifeExpectancyData[[#This Row],[Life expectancy]:[Schooling]])=19</f>
        <v>1</v>
      </c>
    </row>
    <row r="1447" spans="1:23" x14ac:dyDescent="0.25">
      <c r="A1447" t="s">
        <v>462</v>
      </c>
      <c r="B1447">
        <v>2012</v>
      </c>
      <c r="C1447" t="s">
        <v>377</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COUNT(LifeExpectancyData[[#This Row],[Life expectancy]:[Schooling]])=19</f>
        <v>1</v>
      </c>
    </row>
    <row r="1448" spans="1:23" x14ac:dyDescent="0.25">
      <c r="A1448" t="s">
        <v>462</v>
      </c>
      <c r="B1448">
        <v>2011</v>
      </c>
      <c r="C1448" t="s">
        <v>377</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COUNT(LifeExpectancyData[[#This Row],[Life expectancy]:[Schooling]])=19</f>
        <v>1</v>
      </c>
    </row>
    <row r="1449" spans="1:23" x14ac:dyDescent="0.25">
      <c r="A1449" t="s">
        <v>462</v>
      </c>
      <c r="B1449">
        <v>2010</v>
      </c>
      <c r="C1449" t="s">
        <v>377</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COUNT(LifeExpectancyData[[#This Row],[Life expectancy]:[Schooling]])=19</f>
        <v>1</v>
      </c>
    </row>
    <row r="1450" spans="1:23" x14ac:dyDescent="0.25">
      <c r="A1450" t="s">
        <v>462</v>
      </c>
      <c r="B1450">
        <v>2009</v>
      </c>
      <c r="C1450" t="s">
        <v>377</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COUNT(LifeExpectancyData[[#This Row],[Life expectancy]:[Schooling]])=19</f>
        <v>1</v>
      </c>
    </row>
    <row r="1451" spans="1:23" x14ac:dyDescent="0.25">
      <c r="A1451" t="s">
        <v>462</v>
      </c>
      <c r="B1451">
        <v>2008</v>
      </c>
      <c r="C1451" t="s">
        <v>377</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COUNT(LifeExpectancyData[[#This Row],[Life expectancy]:[Schooling]])=19</f>
        <v>1</v>
      </c>
    </row>
    <row r="1452" spans="1:23" x14ac:dyDescent="0.25">
      <c r="A1452" t="s">
        <v>462</v>
      </c>
      <c r="B1452">
        <v>2007</v>
      </c>
      <c r="C1452" t="s">
        <v>377</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COUNT(LifeExpectancyData[[#This Row],[Life expectancy]:[Schooling]])=19</f>
        <v>1</v>
      </c>
    </row>
    <row r="1453" spans="1:23" x14ac:dyDescent="0.25">
      <c r="A1453" t="s">
        <v>462</v>
      </c>
      <c r="B1453">
        <v>2006</v>
      </c>
      <c r="C1453" t="s">
        <v>377</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COUNT(LifeExpectancyData[[#This Row],[Life expectancy]:[Schooling]])=19</f>
        <v>1</v>
      </c>
    </row>
    <row r="1454" spans="1:23" x14ac:dyDescent="0.25">
      <c r="A1454" t="s">
        <v>462</v>
      </c>
      <c r="B1454">
        <v>2005</v>
      </c>
      <c r="C1454" t="s">
        <v>377</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COUNT(LifeExpectancyData[[#This Row],[Life expectancy]:[Schooling]])=19</f>
        <v>1</v>
      </c>
    </row>
    <row r="1455" spans="1:23" x14ac:dyDescent="0.25">
      <c r="A1455" t="s">
        <v>462</v>
      </c>
      <c r="B1455">
        <v>2004</v>
      </c>
      <c r="C1455" t="s">
        <v>377</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COUNT(LifeExpectancyData[[#This Row],[Life expectancy]:[Schooling]])=19</f>
        <v>1</v>
      </c>
    </row>
    <row r="1456" spans="1:23" x14ac:dyDescent="0.25">
      <c r="A1456" t="s">
        <v>462</v>
      </c>
      <c r="B1456">
        <v>2003</v>
      </c>
      <c r="C1456" t="s">
        <v>377</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COUNT(LifeExpectancyData[[#This Row],[Life expectancy]:[Schooling]])=19</f>
        <v>1</v>
      </c>
    </row>
    <row r="1457" spans="1:23" x14ac:dyDescent="0.25">
      <c r="A1457" t="s">
        <v>462</v>
      </c>
      <c r="B1457">
        <v>2002</v>
      </c>
      <c r="C1457" t="s">
        <v>377</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COUNT(LifeExpectancyData[[#This Row],[Life expectancy]:[Schooling]])=19</f>
        <v>1</v>
      </c>
    </row>
    <row r="1458" spans="1:23" x14ac:dyDescent="0.25">
      <c r="A1458" t="s">
        <v>462</v>
      </c>
      <c r="B1458">
        <v>2001</v>
      </c>
      <c r="C1458" t="s">
        <v>377</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COUNT(LifeExpectancyData[[#This Row],[Life expectancy]:[Schooling]])=19</f>
        <v>1</v>
      </c>
    </row>
    <row r="1459" spans="1:23" x14ac:dyDescent="0.25">
      <c r="A1459" t="s">
        <v>462</v>
      </c>
      <c r="B1459">
        <v>2000</v>
      </c>
      <c r="C1459" t="s">
        <v>377</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COUNT(LifeExpectancyData[[#This Row],[Life expectancy]:[Schooling]])=19</f>
        <v>1</v>
      </c>
    </row>
    <row r="1460" spans="1:23" x14ac:dyDescent="0.25">
      <c r="A1460" t="s">
        <v>463</v>
      </c>
      <c r="B1460">
        <v>2015</v>
      </c>
      <c r="C1460" t="s">
        <v>369</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COUNT(LifeExpectancyData[[#This Row],[Life expectancy]:[Schooling]])=19</f>
        <v>0</v>
      </c>
    </row>
    <row r="1461" spans="1:23" x14ac:dyDescent="0.25">
      <c r="A1461" t="s">
        <v>463</v>
      </c>
      <c r="B1461">
        <v>2014</v>
      </c>
      <c r="C1461" t="s">
        <v>369</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COUNT(LifeExpectancyData[[#This Row],[Life expectancy]:[Schooling]])=19</f>
        <v>1</v>
      </c>
    </row>
    <row r="1462" spans="1:23" x14ac:dyDescent="0.25">
      <c r="A1462" t="s">
        <v>463</v>
      </c>
      <c r="B1462">
        <v>2013</v>
      </c>
      <c r="C1462" t="s">
        <v>369</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COUNT(LifeExpectancyData[[#This Row],[Life expectancy]:[Schooling]])=19</f>
        <v>1</v>
      </c>
    </row>
    <row r="1463" spans="1:23" x14ac:dyDescent="0.25">
      <c r="A1463" t="s">
        <v>463</v>
      </c>
      <c r="B1463">
        <v>2012</v>
      </c>
      <c r="C1463" t="s">
        <v>369</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COUNT(LifeExpectancyData[[#This Row],[Life expectancy]:[Schooling]])=19</f>
        <v>1</v>
      </c>
    </row>
    <row r="1464" spans="1:23" x14ac:dyDescent="0.25">
      <c r="A1464" t="s">
        <v>463</v>
      </c>
      <c r="B1464">
        <v>2011</v>
      </c>
      <c r="C1464" t="s">
        <v>369</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COUNT(LifeExpectancyData[[#This Row],[Life expectancy]:[Schooling]])=19</f>
        <v>1</v>
      </c>
    </row>
    <row r="1465" spans="1:23" x14ac:dyDescent="0.25">
      <c r="A1465" t="s">
        <v>463</v>
      </c>
      <c r="B1465">
        <v>2010</v>
      </c>
      <c r="C1465" t="s">
        <v>369</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COUNT(LifeExpectancyData[[#This Row],[Life expectancy]:[Schooling]])=19</f>
        <v>1</v>
      </c>
    </row>
    <row r="1466" spans="1:23" x14ac:dyDescent="0.25">
      <c r="A1466" t="s">
        <v>463</v>
      </c>
      <c r="B1466">
        <v>2009</v>
      </c>
      <c r="C1466" t="s">
        <v>369</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COUNT(LifeExpectancyData[[#This Row],[Life expectancy]:[Schooling]])=19</f>
        <v>1</v>
      </c>
    </row>
    <row r="1467" spans="1:23" x14ac:dyDescent="0.25">
      <c r="A1467" t="s">
        <v>463</v>
      </c>
      <c r="B1467">
        <v>2008</v>
      </c>
      <c r="C1467" t="s">
        <v>369</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COUNT(LifeExpectancyData[[#This Row],[Life expectancy]:[Schooling]])=19</f>
        <v>1</v>
      </c>
    </row>
    <row r="1468" spans="1:23" x14ac:dyDescent="0.25">
      <c r="A1468" t="s">
        <v>463</v>
      </c>
      <c r="B1468">
        <v>2007</v>
      </c>
      <c r="C1468" t="s">
        <v>369</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COUNT(LifeExpectancyData[[#This Row],[Life expectancy]:[Schooling]])=19</f>
        <v>1</v>
      </c>
    </row>
    <row r="1469" spans="1:23" x14ac:dyDescent="0.25">
      <c r="A1469" t="s">
        <v>463</v>
      </c>
      <c r="B1469">
        <v>2006</v>
      </c>
      <c r="C1469" t="s">
        <v>369</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COUNT(LifeExpectancyData[[#This Row],[Life expectancy]:[Schooling]])=19</f>
        <v>1</v>
      </c>
    </row>
    <row r="1470" spans="1:23" x14ac:dyDescent="0.25">
      <c r="A1470" t="s">
        <v>463</v>
      </c>
      <c r="B1470">
        <v>2005</v>
      </c>
      <c r="C1470" t="s">
        <v>369</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COUNT(LifeExpectancyData[[#This Row],[Life expectancy]:[Schooling]])=19</f>
        <v>1</v>
      </c>
    </row>
    <row r="1471" spans="1:23" x14ac:dyDescent="0.25">
      <c r="A1471" t="s">
        <v>463</v>
      </c>
      <c r="B1471">
        <v>2004</v>
      </c>
      <c r="C1471" t="s">
        <v>369</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COUNT(LifeExpectancyData[[#This Row],[Life expectancy]:[Schooling]])=19</f>
        <v>1</v>
      </c>
    </row>
    <row r="1472" spans="1:23" x14ac:dyDescent="0.25">
      <c r="A1472" t="s">
        <v>463</v>
      </c>
      <c r="B1472">
        <v>2003</v>
      </c>
      <c r="C1472" t="s">
        <v>369</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COUNT(LifeExpectancyData[[#This Row],[Life expectancy]:[Schooling]])=19</f>
        <v>1</v>
      </c>
    </row>
    <row r="1473" spans="1:23" x14ac:dyDescent="0.25">
      <c r="A1473" t="s">
        <v>463</v>
      </c>
      <c r="B1473">
        <v>2002</v>
      </c>
      <c r="C1473" t="s">
        <v>369</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COUNT(LifeExpectancyData[[#This Row],[Life expectancy]:[Schooling]])=19</f>
        <v>1</v>
      </c>
    </row>
    <row r="1474" spans="1:23" x14ac:dyDescent="0.25">
      <c r="A1474" t="s">
        <v>463</v>
      </c>
      <c r="B1474">
        <v>2001</v>
      </c>
      <c r="C1474" t="s">
        <v>369</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COUNT(LifeExpectancyData[[#This Row],[Life expectancy]:[Schooling]])=19</f>
        <v>1</v>
      </c>
    </row>
    <row r="1475" spans="1:23" x14ac:dyDescent="0.25">
      <c r="A1475" t="s">
        <v>463</v>
      </c>
      <c r="B1475">
        <v>2000</v>
      </c>
      <c r="C1475" t="s">
        <v>369</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COUNT(LifeExpectancyData[[#This Row],[Life expectancy]:[Schooling]])=19</f>
        <v>1</v>
      </c>
    </row>
    <row r="1476" spans="1:23" x14ac:dyDescent="0.25">
      <c r="A1476" t="s">
        <v>464</v>
      </c>
      <c r="B1476">
        <v>2015</v>
      </c>
      <c r="C1476" t="s">
        <v>369</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COUNT(LifeExpectancyData[[#This Row],[Life expectancy]:[Schooling]])=19</f>
        <v>0</v>
      </c>
    </row>
    <row r="1477" spans="1:23" x14ac:dyDescent="0.25">
      <c r="A1477" t="s">
        <v>464</v>
      </c>
      <c r="B1477">
        <v>2014</v>
      </c>
      <c r="C1477" t="s">
        <v>369</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COUNT(LifeExpectancyData[[#This Row],[Life expectancy]:[Schooling]])=19</f>
        <v>1</v>
      </c>
    </row>
    <row r="1478" spans="1:23" x14ac:dyDescent="0.25">
      <c r="A1478" t="s">
        <v>464</v>
      </c>
      <c r="B1478">
        <v>2013</v>
      </c>
      <c r="C1478" t="s">
        <v>369</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COUNT(LifeExpectancyData[[#This Row],[Life expectancy]:[Schooling]])=19</f>
        <v>1</v>
      </c>
    </row>
    <row r="1479" spans="1:23" x14ac:dyDescent="0.25">
      <c r="A1479" t="s">
        <v>464</v>
      </c>
      <c r="B1479">
        <v>2012</v>
      </c>
      <c r="C1479" t="s">
        <v>369</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COUNT(LifeExpectancyData[[#This Row],[Life expectancy]:[Schooling]])=19</f>
        <v>1</v>
      </c>
    </row>
    <row r="1480" spans="1:23" x14ac:dyDescent="0.25">
      <c r="A1480" t="s">
        <v>464</v>
      </c>
      <c r="B1480">
        <v>2011</v>
      </c>
      <c r="C1480" t="s">
        <v>369</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COUNT(LifeExpectancyData[[#This Row],[Life expectancy]:[Schooling]])=19</f>
        <v>1</v>
      </c>
    </row>
    <row r="1481" spans="1:23" x14ac:dyDescent="0.25">
      <c r="A1481" t="s">
        <v>464</v>
      </c>
      <c r="B1481">
        <v>2010</v>
      </c>
      <c r="C1481" t="s">
        <v>369</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COUNT(LifeExpectancyData[[#This Row],[Life expectancy]:[Schooling]])=19</f>
        <v>1</v>
      </c>
    </row>
    <row r="1482" spans="1:23" x14ac:dyDescent="0.25">
      <c r="A1482" t="s">
        <v>464</v>
      </c>
      <c r="B1482">
        <v>2009</v>
      </c>
      <c r="C1482" t="s">
        <v>369</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COUNT(LifeExpectancyData[[#This Row],[Life expectancy]:[Schooling]])=19</f>
        <v>1</v>
      </c>
    </row>
    <row r="1483" spans="1:23" x14ac:dyDescent="0.25">
      <c r="A1483" t="s">
        <v>464</v>
      </c>
      <c r="B1483">
        <v>2008</v>
      </c>
      <c r="C1483" t="s">
        <v>369</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COUNT(LifeExpectancyData[[#This Row],[Life expectancy]:[Schooling]])=19</f>
        <v>1</v>
      </c>
    </row>
    <row r="1484" spans="1:23" x14ac:dyDescent="0.25">
      <c r="A1484" t="s">
        <v>464</v>
      </c>
      <c r="B1484">
        <v>2007</v>
      </c>
      <c r="C1484" t="s">
        <v>369</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COUNT(LifeExpectancyData[[#This Row],[Life expectancy]:[Schooling]])=19</f>
        <v>1</v>
      </c>
    </row>
    <row r="1485" spans="1:23" x14ac:dyDescent="0.25">
      <c r="A1485" t="s">
        <v>464</v>
      </c>
      <c r="B1485">
        <v>2006</v>
      </c>
      <c r="C1485" t="s">
        <v>369</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COUNT(LifeExpectancyData[[#This Row],[Life expectancy]:[Schooling]])=19</f>
        <v>1</v>
      </c>
    </row>
    <row r="1486" spans="1:23" x14ac:dyDescent="0.25">
      <c r="A1486" t="s">
        <v>464</v>
      </c>
      <c r="B1486">
        <v>2005</v>
      </c>
      <c r="C1486" t="s">
        <v>369</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COUNT(LifeExpectancyData[[#This Row],[Life expectancy]:[Schooling]])=19</f>
        <v>1</v>
      </c>
    </row>
    <row r="1487" spans="1:23" x14ac:dyDescent="0.25">
      <c r="A1487" t="s">
        <v>464</v>
      </c>
      <c r="B1487">
        <v>2004</v>
      </c>
      <c r="C1487" t="s">
        <v>369</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COUNT(LifeExpectancyData[[#This Row],[Life expectancy]:[Schooling]])=19</f>
        <v>1</v>
      </c>
    </row>
    <row r="1488" spans="1:23" x14ac:dyDescent="0.25">
      <c r="A1488" t="s">
        <v>464</v>
      </c>
      <c r="B1488">
        <v>2003</v>
      </c>
      <c r="C1488" t="s">
        <v>369</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COUNT(LifeExpectancyData[[#This Row],[Life expectancy]:[Schooling]])=19</f>
        <v>1</v>
      </c>
    </row>
    <row r="1489" spans="1:23" x14ac:dyDescent="0.25">
      <c r="A1489" t="s">
        <v>464</v>
      </c>
      <c r="B1489">
        <v>2002</v>
      </c>
      <c r="C1489" t="s">
        <v>369</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COUNT(LifeExpectancyData[[#This Row],[Life expectancy]:[Schooling]])=19</f>
        <v>0</v>
      </c>
    </row>
    <row r="1490" spans="1:23" x14ac:dyDescent="0.25">
      <c r="A1490" t="s">
        <v>464</v>
      </c>
      <c r="B1490">
        <v>2001</v>
      </c>
      <c r="C1490" t="s">
        <v>369</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COUNT(LifeExpectancyData[[#This Row],[Life expectancy]:[Schooling]])=19</f>
        <v>0</v>
      </c>
    </row>
    <row r="1491" spans="1:23" x14ac:dyDescent="0.25">
      <c r="A1491" t="s">
        <v>464</v>
      </c>
      <c r="B1491">
        <v>2000</v>
      </c>
      <c r="C1491" t="s">
        <v>369</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COUNT(LifeExpectancyData[[#This Row],[Life expectancy]:[Schooling]])=19</f>
        <v>0</v>
      </c>
    </row>
    <row r="1492" spans="1:23" x14ac:dyDescent="0.25">
      <c r="A1492" t="s">
        <v>465</v>
      </c>
      <c r="B1492">
        <v>2015</v>
      </c>
      <c r="C1492" t="s">
        <v>369</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COUNT(LifeExpectancyData[[#This Row],[Life expectancy]:[Schooling]])=19</f>
        <v>0</v>
      </c>
    </row>
    <row r="1493" spans="1:23" x14ac:dyDescent="0.25">
      <c r="A1493" t="s">
        <v>465</v>
      </c>
      <c r="B1493">
        <v>2014</v>
      </c>
      <c r="C1493" t="s">
        <v>369</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COUNT(LifeExpectancyData[[#This Row],[Life expectancy]:[Schooling]])=19</f>
        <v>1</v>
      </c>
    </row>
    <row r="1494" spans="1:23" x14ac:dyDescent="0.25">
      <c r="A1494" t="s">
        <v>465</v>
      </c>
      <c r="B1494">
        <v>2013</v>
      </c>
      <c r="C1494" t="s">
        <v>369</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COUNT(LifeExpectancyData[[#This Row],[Life expectancy]:[Schooling]])=19</f>
        <v>1</v>
      </c>
    </row>
    <row r="1495" spans="1:23" x14ac:dyDescent="0.25">
      <c r="A1495" t="s">
        <v>465</v>
      </c>
      <c r="B1495">
        <v>2012</v>
      </c>
      <c r="C1495" t="s">
        <v>369</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COUNT(LifeExpectancyData[[#This Row],[Life expectancy]:[Schooling]])=19</f>
        <v>1</v>
      </c>
    </row>
    <row r="1496" spans="1:23" x14ac:dyDescent="0.25">
      <c r="A1496" t="s">
        <v>465</v>
      </c>
      <c r="B1496">
        <v>2011</v>
      </c>
      <c r="C1496" t="s">
        <v>369</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COUNT(LifeExpectancyData[[#This Row],[Life expectancy]:[Schooling]])=19</f>
        <v>1</v>
      </c>
    </row>
    <row r="1497" spans="1:23" x14ac:dyDescent="0.25">
      <c r="A1497" t="s">
        <v>465</v>
      </c>
      <c r="B1497">
        <v>2010</v>
      </c>
      <c r="C1497" t="s">
        <v>369</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COUNT(LifeExpectancyData[[#This Row],[Life expectancy]:[Schooling]])=19</f>
        <v>1</v>
      </c>
    </row>
    <row r="1498" spans="1:23" x14ac:dyDescent="0.25">
      <c r="A1498" t="s">
        <v>465</v>
      </c>
      <c r="B1498">
        <v>2009</v>
      </c>
      <c r="C1498" t="s">
        <v>369</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COUNT(LifeExpectancyData[[#This Row],[Life expectancy]:[Schooling]])=19</f>
        <v>1</v>
      </c>
    </row>
    <row r="1499" spans="1:23" x14ac:dyDescent="0.25">
      <c r="A1499" t="s">
        <v>465</v>
      </c>
      <c r="B1499">
        <v>2008</v>
      </c>
      <c r="C1499" t="s">
        <v>369</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COUNT(LifeExpectancyData[[#This Row],[Life expectancy]:[Schooling]])=19</f>
        <v>1</v>
      </c>
    </row>
    <row r="1500" spans="1:23" x14ac:dyDescent="0.25">
      <c r="A1500" t="s">
        <v>465</v>
      </c>
      <c r="B1500">
        <v>2007</v>
      </c>
      <c r="C1500" t="s">
        <v>369</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COUNT(LifeExpectancyData[[#This Row],[Life expectancy]:[Schooling]])=19</f>
        <v>0</v>
      </c>
    </row>
    <row r="1501" spans="1:23" x14ac:dyDescent="0.25">
      <c r="A1501" t="s">
        <v>465</v>
      </c>
      <c r="B1501">
        <v>2006</v>
      </c>
      <c r="C1501" t="s">
        <v>369</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COUNT(LifeExpectancyData[[#This Row],[Life expectancy]:[Schooling]])=19</f>
        <v>0</v>
      </c>
    </row>
    <row r="1502" spans="1:23" x14ac:dyDescent="0.25">
      <c r="A1502" t="s">
        <v>465</v>
      </c>
      <c r="B1502">
        <v>2005</v>
      </c>
      <c r="C1502" t="s">
        <v>369</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COUNT(LifeExpectancyData[[#This Row],[Life expectancy]:[Schooling]])=19</f>
        <v>0</v>
      </c>
    </row>
    <row r="1503" spans="1:23" x14ac:dyDescent="0.25">
      <c r="A1503" t="s">
        <v>465</v>
      </c>
      <c r="B1503">
        <v>2004</v>
      </c>
      <c r="C1503" t="s">
        <v>369</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COUNT(LifeExpectancyData[[#This Row],[Life expectancy]:[Schooling]])=19</f>
        <v>0</v>
      </c>
    </row>
    <row r="1504" spans="1:23" x14ac:dyDescent="0.25">
      <c r="A1504" t="s">
        <v>465</v>
      </c>
      <c r="B1504">
        <v>2003</v>
      </c>
      <c r="C1504" t="s">
        <v>369</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COUNT(LifeExpectancyData[[#This Row],[Life expectancy]:[Schooling]])=19</f>
        <v>0</v>
      </c>
    </row>
    <row r="1505" spans="1:23" x14ac:dyDescent="0.25">
      <c r="A1505" t="s">
        <v>465</v>
      </c>
      <c r="B1505">
        <v>2002</v>
      </c>
      <c r="C1505" t="s">
        <v>369</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COUNT(LifeExpectancyData[[#This Row],[Life expectancy]:[Schooling]])=19</f>
        <v>0</v>
      </c>
    </row>
    <row r="1506" spans="1:23" x14ac:dyDescent="0.25">
      <c r="A1506" t="s">
        <v>465</v>
      </c>
      <c r="B1506">
        <v>2001</v>
      </c>
      <c r="C1506" t="s">
        <v>369</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COUNT(LifeExpectancyData[[#This Row],[Life expectancy]:[Schooling]])=19</f>
        <v>0</v>
      </c>
    </row>
    <row r="1507" spans="1:23" x14ac:dyDescent="0.25">
      <c r="A1507" t="s">
        <v>465</v>
      </c>
      <c r="B1507">
        <v>2000</v>
      </c>
      <c r="C1507" t="s">
        <v>369</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COUNT(LifeExpectancyData[[#This Row],[Life expectancy]:[Schooling]])=19</f>
        <v>0</v>
      </c>
    </row>
    <row r="1508" spans="1:23" x14ac:dyDescent="0.25">
      <c r="A1508" t="s">
        <v>466</v>
      </c>
      <c r="B1508">
        <v>2015</v>
      </c>
      <c r="C1508" t="s">
        <v>369</v>
      </c>
      <c r="D1508">
        <v>72.7</v>
      </c>
      <c r="E1508">
        <v>138</v>
      </c>
      <c r="F1508">
        <v>1</v>
      </c>
      <c r="H1508">
        <v>0</v>
      </c>
      <c r="I1508">
        <v>97</v>
      </c>
      <c r="J1508">
        <v>82</v>
      </c>
      <c r="K1508">
        <v>64.8</v>
      </c>
      <c r="L1508">
        <v>2</v>
      </c>
      <c r="M1508">
        <v>97</v>
      </c>
      <c r="O1508">
        <v>97</v>
      </c>
      <c r="P1508">
        <v>0.1</v>
      </c>
      <c r="S1508">
        <v>5.8</v>
      </c>
      <c r="T1508">
        <v>5.5</v>
      </c>
      <c r="U1508">
        <v>0.71899999999999997</v>
      </c>
      <c r="V1508">
        <v>13.4</v>
      </c>
      <c r="W1508" t="b">
        <f>COUNT(LifeExpectancyData[[#This Row],[Life expectancy]:[Schooling]])=19</f>
        <v>0</v>
      </c>
    </row>
    <row r="1509" spans="1:23" x14ac:dyDescent="0.25">
      <c r="A1509" t="s">
        <v>466</v>
      </c>
      <c r="B1509">
        <v>2014</v>
      </c>
      <c r="C1509" t="s">
        <v>369</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COUNT(LifeExpectancyData[[#This Row],[Life expectancy]:[Schooling]])=19</f>
        <v>0</v>
      </c>
    </row>
    <row r="1510" spans="1:23" x14ac:dyDescent="0.25">
      <c r="A1510" t="s">
        <v>466</v>
      </c>
      <c r="B1510">
        <v>2013</v>
      </c>
      <c r="C1510" t="s">
        <v>369</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COUNT(LifeExpectancyData[[#This Row],[Life expectancy]:[Schooling]])=19</f>
        <v>0</v>
      </c>
    </row>
    <row r="1511" spans="1:23" x14ac:dyDescent="0.25">
      <c r="A1511" t="s">
        <v>466</v>
      </c>
      <c r="B1511">
        <v>2012</v>
      </c>
      <c r="C1511" t="s">
        <v>369</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COUNT(LifeExpectancyData[[#This Row],[Life expectancy]:[Schooling]])=19</f>
        <v>0</v>
      </c>
    </row>
    <row r="1512" spans="1:23" x14ac:dyDescent="0.25">
      <c r="A1512" t="s">
        <v>466</v>
      </c>
      <c r="B1512">
        <v>2011</v>
      </c>
      <c r="C1512" t="s">
        <v>369</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COUNT(LifeExpectancyData[[#This Row],[Life expectancy]:[Schooling]])=19</f>
        <v>0</v>
      </c>
    </row>
    <row r="1513" spans="1:23" x14ac:dyDescent="0.25">
      <c r="A1513" t="s">
        <v>466</v>
      </c>
      <c r="B1513">
        <v>2010</v>
      </c>
      <c r="C1513" t="s">
        <v>369</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COUNT(LifeExpectancyData[[#This Row],[Life expectancy]:[Schooling]])=19</f>
        <v>0</v>
      </c>
    </row>
    <row r="1514" spans="1:23" x14ac:dyDescent="0.25">
      <c r="A1514" t="s">
        <v>466</v>
      </c>
      <c r="B1514">
        <v>2009</v>
      </c>
      <c r="C1514" t="s">
        <v>369</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COUNT(LifeExpectancyData[[#This Row],[Life expectancy]:[Schooling]])=19</f>
        <v>0</v>
      </c>
    </row>
    <row r="1515" spans="1:23" x14ac:dyDescent="0.25">
      <c r="A1515" t="s">
        <v>466</v>
      </c>
      <c r="B1515">
        <v>2008</v>
      </c>
      <c r="C1515" t="s">
        <v>369</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COUNT(LifeExpectancyData[[#This Row],[Life expectancy]:[Schooling]])=19</f>
        <v>0</v>
      </c>
    </row>
    <row r="1516" spans="1:23" x14ac:dyDescent="0.25">
      <c r="A1516" t="s">
        <v>466</v>
      </c>
      <c r="B1516">
        <v>2007</v>
      </c>
      <c r="C1516" t="s">
        <v>369</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COUNT(LifeExpectancyData[[#This Row],[Life expectancy]:[Schooling]])=19</f>
        <v>0</v>
      </c>
    </row>
    <row r="1517" spans="1:23" x14ac:dyDescent="0.25">
      <c r="A1517" t="s">
        <v>466</v>
      </c>
      <c r="B1517">
        <v>2006</v>
      </c>
      <c r="C1517" t="s">
        <v>369</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COUNT(LifeExpectancyData[[#This Row],[Life expectancy]:[Schooling]])=19</f>
        <v>0</v>
      </c>
    </row>
    <row r="1518" spans="1:23" x14ac:dyDescent="0.25">
      <c r="A1518" t="s">
        <v>466</v>
      </c>
      <c r="B1518">
        <v>2005</v>
      </c>
      <c r="C1518" t="s">
        <v>369</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COUNT(LifeExpectancyData[[#This Row],[Life expectancy]:[Schooling]])=19</f>
        <v>0</v>
      </c>
    </row>
    <row r="1519" spans="1:23" x14ac:dyDescent="0.25">
      <c r="A1519" t="s">
        <v>466</v>
      </c>
      <c r="B1519">
        <v>2004</v>
      </c>
      <c r="C1519" t="s">
        <v>369</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COUNT(LifeExpectancyData[[#This Row],[Life expectancy]:[Schooling]])=19</f>
        <v>0</v>
      </c>
    </row>
    <row r="1520" spans="1:23" x14ac:dyDescent="0.25">
      <c r="A1520" t="s">
        <v>466</v>
      </c>
      <c r="B1520">
        <v>2003</v>
      </c>
      <c r="C1520" t="s">
        <v>369</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COUNT(LifeExpectancyData[[#This Row],[Life expectancy]:[Schooling]])=19</f>
        <v>0</v>
      </c>
    </row>
    <row r="1521" spans="1:23" x14ac:dyDescent="0.25">
      <c r="A1521" t="s">
        <v>466</v>
      </c>
      <c r="B1521">
        <v>2002</v>
      </c>
      <c r="C1521" t="s">
        <v>369</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COUNT(LifeExpectancyData[[#This Row],[Life expectancy]:[Schooling]])=19</f>
        <v>0</v>
      </c>
    </row>
    <row r="1522" spans="1:23" x14ac:dyDescent="0.25">
      <c r="A1522" t="s">
        <v>466</v>
      </c>
      <c r="B1522">
        <v>2001</v>
      </c>
      <c r="C1522" t="s">
        <v>369</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COUNT(LifeExpectancyData[[#This Row],[Life expectancy]:[Schooling]])=19</f>
        <v>0</v>
      </c>
    </row>
    <row r="1523" spans="1:23" x14ac:dyDescent="0.25">
      <c r="A1523" t="s">
        <v>466</v>
      </c>
      <c r="B1523">
        <v>2000</v>
      </c>
      <c r="C1523" t="s">
        <v>369</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COUNT(LifeExpectancyData[[#This Row],[Life expectancy]:[Schooling]])=19</f>
        <v>0</v>
      </c>
    </row>
    <row r="1524" spans="1:23" x14ac:dyDescent="0.25">
      <c r="A1524" t="s">
        <v>467</v>
      </c>
      <c r="B1524">
        <v>2015</v>
      </c>
      <c r="C1524" t="s">
        <v>377</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COUNT(LifeExpectancyData[[#This Row],[Life expectancy]:[Schooling]])=19</f>
        <v>0</v>
      </c>
    </row>
    <row r="1525" spans="1:23" x14ac:dyDescent="0.25">
      <c r="A1525" t="s">
        <v>467</v>
      </c>
      <c r="B1525">
        <v>2014</v>
      </c>
      <c r="C1525" t="s">
        <v>377</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COUNT(LifeExpectancyData[[#This Row],[Life expectancy]:[Schooling]])=19</f>
        <v>1</v>
      </c>
    </row>
    <row r="1526" spans="1:23" x14ac:dyDescent="0.25">
      <c r="A1526" t="s">
        <v>467</v>
      </c>
      <c r="B1526">
        <v>2013</v>
      </c>
      <c r="C1526" t="s">
        <v>377</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COUNT(LifeExpectancyData[[#This Row],[Life expectancy]:[Schooling]])=19</f>
        <v>1</v>
      </c>
    </row>
    <row r="1527" spans="1:23" x14ac:dyDescent="0.25">
      <c r="A1527" t="s">
        <v>467</v>
      </c>
      <c r="B1527">
        <v>2012</v>
      </c>
      <c r="C1527" t="s">
        <v>377</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COUNT(LifeExpectancyData[[#This Row],[Life expectancy]:[Schooling]])=19</f>
        <v>1</v>
      </c>
    </row>
    <row r="1528" spans="1:23" x14ac:dyDescent="0.25">
      <c r="A1528" t="s">
        <v>467</v>
      </c>
      <c r="B1528">
        <v>2011</v>
      </c>
      <c r="C1528" t="s">
        <v>377</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COUNT(LifeExpectancyData[[#This Row],[Life expectancy]:[Schooling]])=19</f>
        <v>1</v>
      </c>
    </row>
    <row r="1529" spans="1:23" x14ac:dyDescent="0.25">
      <c r="A1529" t="s">
        <v>467</v>
      </c>
      <c r="B1529">
        <v>2010</v>
      </c>
      <c r="C1529" t="s">
        <v>377</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COUNT(LifeExpectancyData[[#This Row],[Life expectancy]:[Schooling]])=19</f>
        <v>1</v>
      </c>
    </row>
    <row r="1530" spans="1:23" x14ac:dyDescent="0.25">
      <c r="A1530" t="s">
        <v>467</v>
      </c>
      <c r="B1530">
        <v>2009</v>
      </c>
      <c r="C1530" t="s">
        <v>377</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COUNT(LifeExpectancyData[[#This Row],[Life expectancy]:[Schooling]])=19</f>
        <v>1</v>
      </c>
    </row>
    <row r="1531" spans="1:23" x14ac:dyDescent="0.25">
      <c r="A1531" t="s">
        <v>467</v>
      </c>
      <c r="B1531">
        <v>2008</v>
      </c>
      <c r="C1531" t="s">
        <v>377</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COUNT(LifeExpectancyData[[#This Row],[Life expectancy]:[Schooling]])=19</f>
        <v>1</v>
      </c>
    </row>
    <row r="1532" spans="1:23" x14ac:dyDescent="0.25">
      <c r="A1532" t="s">
        <v>467</v>
      </c>
      <c r="B1532">
        <v>2007</v>
      </c>
      <c r="C1532" t="s">
        <v>377</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COUNT(LifeExpectancyData[[#This Row],[Life expectancy]:[Schooling]])=19</f>
        <v>1</v>
      </c>
    </row>
    <row r="1533" spans="1:23" x14ac:dyDescent="0.25">
      <c r="A1533" t="s">
        <v>467</v>
      </c>
      <c r="B1533">
        <v>2006</v>
      </c>
      <c r="C1533" t="s">
        <v>377</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COUNT(LifeExpectancyData[[#This Row],[Life expectancy]:[Schooling]])=19</f>
        <v>1</v>
      </c>
    </row>
    <row r="1534" spans="1:23" x14ac:dyDescent="0.25">
      <c r="A1534" t="s">
        <v>467</v>
      </c>
      <c r="B1534">
        <v>2005</v>
      </c>
      <c r="C1534" t="s">
        <v>377</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COUNT(LifeExpectancyData[[#This Row],[Life expectancy]:[Schooling]])=19</f>
        <v>1</v>
      </c>
    </row>
    <row r="1535" spans="1:23" x14ac:dyDescent="0.25">
      <c r="A1535" t="s">
        <v>467</v>
      </c>
      <c r="B1535">
        <v>2004</v>
      </c>
      <c r="C1535" t="s">
        <v>377</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COUNT(LifeExpectancyData[[#This Row],[Life expectancy]:[Schooling]])=19</f>
        <v>1</v>
      </c>
    </row>
    <row r="1536" spans="1:23" x14ac:dyDescent="0.25">
      <c r="A1536" t="s">
        <v>467</v>
      </c>
      <c r="B1536">
        <v>2003</v>
      </c>
      <c r="C1536" t="s">
        <v>377</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COUNT(LifeExpectancyData[[#This Row],[Life expectancy]:[Schooling]])=19</f>
        <v>1</v>
      </c>
    </row>
    <row r="1537" spans="1:23" x14ac:dyDescent="0.25">
      <c r="A1537" t="s">
        <v>467</v>
      </c>
      <c r="B1537">
        <v>2002</v>
      </c>
      <c r="C1537" t="s">
        <v>377</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COUNT(LifeExpectancyData[[#This Row],[Life expectancy]:[Schooling]])=19</f>
        <v>1</v>
      </c>
    </row>
    <row r="1538" spans="1:23" x14ac:dyDescent="0.25">
      <c r="A1538" t="s">
        <v>467</v>
      </c>
      <c r="B1538">
        <v>2001</v>
      </c>
      <c r="C1538" t="s">
        <v>377</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COUNT(LifeExpectancyData[[#This Row],[Life expectancy]:[Schooling]])=19</f>
        <v>1</v>
      </c>
    </row>
    <row r="1539" spans="1:23" x14ac:dyDescent="0.25">
      <c r="A1539" t="s">
        <v>467</v>
      </c>
      <c r="B1539">
        <v>2000</v>
      </c>
      <c r="C1539" t="s">
        <v>377</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COUNT(LifeExpectancyData[[#This Row],[Life expectancy]:[Schooling]])=19</f>
        <v>1</v>
      </c>
    </row>
    <row r="1540" spans="1:23" x14ac:dyDescent="0.25">
      <c r="A1540" t="s">
        <v>468</v>
      </c>
      <c r="B1540">
        <v>2015</v>
      </c>
      <c r="C1540" t="s">
        <v>377</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COUNT(LifeExpectancyData[[#This Row],[Life expectancy]:[Schooling]])=19</f>
        <v>0</v>
      </c>
    </row>
    <row r="1541" spans="1:23" x14ac:dyDescent="0.25">
      <c r="A1541" t="s">
        <v>468</v>
      </c>
      <c r="B1541">
        <v>2014</v>
      </c>
      <c r="C1541" t="s">
        <v>377</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COUNT(LifeExpectancyData[[#This Row],[Life expectancy]:[Schooling]])=19</f>
        <v>1</v>
      </c>
    </row>
    <row r="1542" spans="1:23" x14ac:dyDescent="0.25">
      <c r="A1542" t="s">
        <v>468</v>
      </c>
      <c r="B1542">
        <v>2013</v>
      </c>
      <c r="C1542" t="s">
        <v>377</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COUNT(LifeExpectancyData[[#This Row],[Life expectancy]:[Schooling]])=19</f>
        <v>1</v>
      </c>
    </row>
    <row r="1543" spans="1:23" x14ac:dyDescent="0.25">
      <c r="A1543" t="s">
        <v>468</v>
      </c>
      <c r="B1543">
        <v>2012</v>
      </c>
      <c r="C1543" t="s">
        <v>377</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COUNT(LifeExpectancyData[[#This Row],[Life expectancy]:[Schooling]])=19</f>
        <v>1</v>
      </c>
    </row>
    <row r="1544" spans="1:23" x14ac:dyDescent="0.25">
      <c r="A1544" t="s">
        <v>468</v>
      </c>
      <c r="B1544">
        <v>2011</v>
      </c>
      <c r="C1544" t="s">
        <v>377</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COUNT(LifeExpectancyData[[#This Row],[Life expectancy]:[Schooling]])=19</f>
        <v>1</v>
      </c>
    </row>
    <row r="1545" spans="1:23" x14ac:dyDescent="0.25">
      <c r="A1545" t="s">
        <v>468</v>
      </c>
      <c r="B1545">
        <v>2010</v>
      </c>
      <c r="C1545" t="s">
        <v>377</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COUNT(LifeExpectancyData[[#This Row],[Life expectancy]:[Schooling]])=19</f>
        <v>1</v>
      </c>
    </row>
    <row r="1546" spans="1:23" x14ac:dyDescent="0.25">
      <c r="A1546" t="s">
        <v>468</v>
      </c>
      <c r="B1546">
        <v>2009</v>
      </c>
      <c r="C1546" t="s">
        <v>377</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COUNT(LifeExpectancyData[[#This Row],[Life expectancy]:[Schooling]])=19</f>
        <v>1</v>
      </c>
    </row>
    <row r="1547" spans="1:23" x14ac:dyDescent="0.25">
      <c r="A1547" t="s">
        <v>468</v>
      </c>
      <c r="B1547">
        <v>2008</v>
      </c>
      <c r="C1547" t="s">
        <v>377</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COUNT(LifeExpectancyData[[#This Row],[Life expectancy]:[Schooling]])=19</f>
        <v>1</v>
      </c>
    </row>
    <row r="1548" spans="1:23" x14ac:dyDescent="0.25">
      <c r="A1548" t="s">
        <v>468</v>
      </c>
      <c r="B1548">
        <v>2007</v>
      </c>
      <c r="C1548" t="s">
        <v>377</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COUNT(LifeExpectancyData[[#This Row],[Life expectancy]:[Schooling]])=19</f>
        <v>1</v>
      </c>
    </row>
    <row r="1549" spans="1:23" x14ac:dyDescent="0.25">
      <c r="A1549" t="s">
        <v>468</v>
      </c>
      <c r="B1549">
        <v>2006</v>
      </c>
      <c r="C1549" t="s">
        <v>377</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COUNT(LifeExpectancyData[[#This Row],[Life expectancy]:[Schooling]])=19</f>
        <v>1</v>
      </c>
    </row>
    <row r="1550" spans="1:23" x14ac:dyDescent="0.25">
      <c r="A1550" t="s">
        <v>468</v>
      </c>
      <c r="B1550">
        <v>2005</v>
      </c>
      <c r="C1550" t="s">
        <v>377</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COUNT(LifeExpectancyData[[#This Row],[Life expectancy]:[Schooling]])=19</f>
        <v>1</v>
      </c>
    </row>
    <row r="1551" spans="1:23" x14ac:dyDescent="0.25">
      <c r="A1551" t="s">
        <v>468</v>
      </c>
      <c r="B1551">
        <v>2004</v>
      </c>
      <c r="C1551" t="s">
        <v>377</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COUNT(LifeExpectancyData[[#This Row],[Life expectancy]:[Schooling]])=19</f>
        <v>1</v>
      </c>
    </row>
    <row r="1552" spans="1:23" x14ac:dyDescent="0.25">
      <c r="A1552" t="s">
        <v>468</v>
      </c>
      <c r="B1552">
        <v>2003</v>
      </c>
      <c r="C1552" t="s">
        <v>377</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COUNT(LifeExpectancyData[[#This Row],[Life expectancy]:[Schooling]])=19</f>
        <v>1</v>
      </c>
    </row>
    <row r="1553" spans="1:23" x14ac:dyDescent="0.25">
      <c r="A1553" t="s">
        <v>468</v>
      </c>
      <c r="B1553">
        <v>2002</v>
      </c>
      <c r="C1553" t="s">
        <v>377</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COUNT(LifeExpectancyData[[#This Row],[Life expectancy]:[Schooling]])=19</f>
        <v>1</v>
      </c>
    </row>
    <row r="1554" spans="1:23" x14ac:dyDescent="0.25">
      <c r="A1554" t="s">
        <v>468</v>
      </c>
      <c r="B1554">
        <v>2001</v>
      </c>
      <c r="C1554" t="s">
        <v>377</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COUNT(LifeExpectancyData[[#This Row],[Life expectancy]:[Schooling]])=19</f>
        <v>1</v>
      </c>
    </row>
    <row r="1555" spans="1:23" x14ac:dyDescent="0.25">
      <c r="A1555" t="s">
        <v>468</v>
      </c>
      <c r="B1555">
        <v>2000</v>
      </c>
      <c r="C1555" t="s">
        <v>377</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COUNT(LifeExpectancyData[[#This Row],[Life expectancy]:[Schooling]])=19</f>
        <v>1</v>
      </c>
    </row>
    <row r="1556" spans="1:23" x14ac:dyDescent="0.25">
      <c r="A1556" t="s">
        <v>469</v>
      </c>
      <c r="B1556">
        <v>2015</v>
      </c>
      <c r="C1556" t="s">
        <v>369</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COUNT(LifeExpectancyData[[#This Row],[Life expectancy]:[Schooling]])=19</f>
        <v>0</v>
      </c>
    </row>
    <row r="1557" spans="1:23" x14ac:dyDescent="0.25">
      <c r="A1557" t="s">
        <v>469</v>
      </c>
      <c r="B1557">
        <v>2014</v>
      </c>
      <c r="C1557" t="s">
        <v>369</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COUNT(LifeExpectancyData[[#This Row],[Life expectancy]:[Schooling]])=19</f>
        <v>1</v>
      </c>
    </row>
    <row r="1558" spans="1:23" x14ac:dyDescent="0.25">
      <c r="A1558" t="s">
        <v>469</v>
      </c>
      <c r="B1558">
        <v>2013</v>
      </c>
      <c r="C1558" t="s">
        <v>369</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COUNT(LifeExpectancyData[[#This Row],[Life expectancy]:[Schooling]])=19</f>
        <v>1</v>
      </c>
    </row>
    <row r="1559" spans="1:23" x14ac:dyDescent="0.25">
      <c r="A1559" t="s">
        <v>469</v>
      </c>
      <c r="B1559">
        <v>2012</v>
      </c>
      <c r="C1559" t="s">
        <v>369</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COUNT(LifeExpectancyData[[#This Row],[Life expectancy]:[Schooling]])=19</f>
        <v>1</v>
      </c>
    </row>
    <row r="1560" spans="1:23" x14ac:dyDescent="0.25">
      <c r="A1560" t="s">
        <v>469</v>
      </c>
      <c r="B1560">
        <v>2011</v>
      </c>
      <c r="C1560" t="s">
        <v>369</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COUNT(LifeExpectancyData[[#This Row],[Life expectancy]:[Schooling]])=19</f>
        <v>1</v>
      </c>
    </row>
    <row r="1561" spans="1:23" x14ac:dyDescent="0.25">
      <c r="A1561" t="s">
        <v>469</v>
      </c>
      <c r="B1561">
        <v>2010</v>
      </c>
      <c r="C1561" t="s">
        <v>369</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COUNT(LifeExpectancyData[[#This Row],[Life expectancy]:[Schooling]])=19</f>
        <v>1</v>
      </c>
    </row>
    <row r="1562" spans="1:23" x14ac:dyDescent="0.25">
      <c r="A1562" t="s">
        <v>469</v>
      </c>
      <c r="B1562">
        <v>2009</v>
      </c>
      <c r="C1562" t="s">
        <v>369</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COUNT(LifeExpectancyData[[#This Row],[Life expectancy]:[Schooling]])=19</f>
        <v>1</v>
      </c>
    </row>
    <row r="1563" spans="1:23" x14ac:dyDescent="0.25">
      <c r="A1563" t="s">
        <v>469</v>
      </c>
      <c r="B1563">
        <v>2008</v>
      </c>
      <c r="C1563" t="s">
        <v>369</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COUNT(LifeExpectancyData[[#This Row],[Life expectancy]:[Schooling]])=19</f>
        <v>1</v>
      </c>
    </row>
    <row r="1564" spans="1:23" x14ac:dyDescent="0.25">
      <c r="A1564" t="s">
        <v>469</v>
      </c>
      <c r="B1564">
        <v>2007</v>
      </c>
      <c r="C1564" t="s">
        <v>369</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COUNT(LifeExpectancyData[[#This Row],[Life expectancy]:[Schooling]])=19</f>
        <v>1</v>
      </c>
    </row>
    <row r="1565" spans="1:23" x14ac:dyDescent="0.25">
      <c r="A1565" t="s">
        <v>469</v>
      </c>
      <c r="B1565">
        <v>2006</v>
      </c>
      <c r="C1565" t="s">
        <v>369</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COUNT(LifeExpectancyData[[#This Row],[Life expectancy]:[Schooling]])=19</f>
        <v>1</v>
      </c>
    </row>
    <row r="1566" spans="1:23" x14ac:dyDescent="0.25">
      <c r="A1566" t="s">
        <v>469</v>
      </c>
      <c r="B1566">
        <v>2005</v>
      </c>
      <c r="C1566" t="s">
        <v>369</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COUNT(LifeExpectancyData[[#This Row],[Life expectancy]:[Schooling]])=19</f>
        <v>1</v>
      </c>
    </row>
    <row r="1567" spans="1:23" x14ac:dyDescent="0.25">
      <c r="A1567" t="s">
        <v>469</v>
      </c>
      <c r="B1567">
        <v>2004</v>
      </c>
      <c r="C1567" t="s">
        <v>369</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COUNT(LifeExpectancyData[[#This Row],[Life expectancy]:[Schooling]])=19</f>
        <v>1</v>
      </c>
    </row>
    <row r="1568" spans="1:23" x14ac:dyDescent="0.25">
      <c r="A1568" t="s">
        <v>469</v>
      </c>
      <c r="B1568">
        <v>2003</v>
      </c>
      <c r="C1568" t="s">
        <v>369</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COUNT(LifeExpectancyData[[#This Row],[Life expectancy]:[Schooling]])=19</f>
        <v>1</v>
      </c>
    </row>
    <row r="1569" spans="1:23" x14ac:dyDescent="0.25">
      <c r="A1569" t="s">
        <v>469</v>
      </c>
      <c r="B1569">
        <v>2002</v>
      </c>
      <c r="C1569" t="s">
        <v>369</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COUNT(LifeExpectancyData[[#This Row],[Life expectancy]:[Schooling]])=19</f>
        <v>1</v>
      </c>
    </row>
    <row r="1570" spans="1:23" x14ac:dyDescent="0.25">
      <c r="A1570" t="s">
        <v>469</v>
      </c>
      <c r="B1570">
        <v>2001</v>
      </c>
      <c r="C1570" t="s">
        <v>369</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COUNT(LifeExpectancyData[[#This Row],[Life expectancy]:[Schooling]])=19</f>
        <v>0</v>
      </c>
    </row>
    <row r="1571" spans="1:23" x14ac:dyDescent="0.25">
      <c r="A1571" t="s">
        <v>469</v>
      </c>
      <c r="B1571">
        <v>2000</v>
      </c>
      <c r="C1571" t="s">
        <v>369</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COUNT(LifeExpectancyData[[#This Row],[Life expectancy]:[Schooling]])=19</f>
        <v>0</v>
      </c>
    </row>
    <row r="1572" spans="1:23" x14ac:dyDescent="0.25">
      <c r="A1572" t="s">
        <v>470</v>
      </c>
      <c r="B1572">
        <v>2015</v>
      </c>
      <c r="C1572" t="s">
        <v>369</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COUNT(LifeExpectancyData[[#This Row],[Life expectancy]:[Schooling]])=19</f>
        <v>0</v>
      </c>
    </row>
    <row r="1573" spans="1:23" x14ac:dyDescent="0.25">
      <c r="A1573" t="s">
        <v>470</v>
      </c>
      <c r="B1573">
        <v>2014</v>
      </c>
      <c r="C1573" t="s">
        <v>369</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COUNT(LifeExpectancyData[[#This Row],[Life expectancy]:[Schooling]])=19</f>
        <v>1</v>
      </c>
    </row>
    <row r="1574" spans="1:23" x14ac:dyDescent="0.25">
      <c r="A1574" t="s">
        <v>470</v>
      </c>
      <c r="B1574">
        <v>2013</v>
      </c>
      <c r="C1574" t="s">
        <v>369</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COUNT(LifeExpectancyData[[#This Row],[Life expectancy]:[Schooling]])=19</f>
        <v>1</v>
      </c>
    </row>
    <row r="1575" spans="1:23" x14ac:dyDescent="0.25">
      <c r="A1575" t="s">
        <v>470</v>
      </c>
      <c r="B1575">
        <v>2012</v>
      </c>
      <c r="C1575" t="s">
        <v>369</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COUNT(LifeExpectancyData[[#This Row],[Life expectancy]:[Schooling]])=19</f>
        <v>1</v>
      </c>
    </row>
    <row r="1576" spans="1:23" x14ac:dyDescent="0.25">
      <c r="A1576" t="s">
        <v>470</v>
      </c>
      <c r="B1576">
        <v>2011</v>
      </c>
      <c r="C1576" t="s">
        <v>369</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COUNT(LifeExpectancyData[[#This Row],[Life expectancy]:[Schooling]])=19</f>
        <v>1</v>
      </c>
    </row>
    <row r="1577" spans="1:23" x14ac:dyDescent="0.25">
      <c r="A1577" t="s">
        <v>470</v>
      </c>
      <c r="B1577">
        <v>2010</v>
      </c>
      <c r="C1577" t="s">
        <v>369</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COUNT(LifeExpectancyData[[#This Row],[Life expectancy]:[Schooling]])=19</f>
        <v>1</v>
      </c>
    </row>
    <row r="1578" spans="1:23" x14ac:dyDescent="0.25">
      <c r="A1578" t="s">
        <v>470</v>
      </c>
      <c r="B1578">
        <v>2009</v>
      </c>
      <c r="C1578" t="s">
        <v>369</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COUNT(LifeExpectancyData[[#This Row],[Life expectancy]:[Schooling]])=19</f>
        <v>1</v>
      </c>
    </row>
    <row r="1579" spans="1:23" x14ac:dyDescent="0.25">
      <c r="A1579" t="s">
        <v>470</v>
      </c>
      <c r="B1579">
        <v>2008</v>
      </c>
      <c r="C1579" t="s">
        <v>369</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COUNT(LifeExpectancyData[[#This Row],[Life expectancy]:[Schooling]])=19</f>
        <v>1</v>
      </c>
    </row>
    <row r="1580" spans="1:23" x14ac:dyDescent="0.25">
      <c r="A1580" t="s">
        <v>470</v>
      </c>
      <c r="B1580">
        <v>2007</v>
      </c>
      <c r="C1580" t="s">
        <v>369</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COUNT(LifeExpectancyData[[#This Row],[Life expectancy]:[Schooling]])=19</f>
        <v>1</v>
      </c>
    </row>
    <row r="1581" spans="1:23" x14ac:dyDescent="0.25">
      <c r="A1581" t="s">
        <v>470</v>
      </c>
      <c r="B1581">
        <v>2006</v>
      </c>
      <c r="C1581" t="s">
        <v>369</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COUNT(LifeExpectancyData[[#This Row],[Life expectancy]:[Schooling]])=19</f>
        <v>1</v>
      </c>
    </row>
    <row r="1582" spans="1:23" x14ac:dyDescent="0.25">
      <c r="A1582" t="s">
        <v>470</v>
      </c>
      <c r="B1582">
        <v>2005</v>
      </c>
      <c r="C1582" t="s">
        <v>369</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COUNT(LifeExpectancyData[[#This Row],[Life expectancy]:[Schooling]])=19</f>
        <v>1</v>
      </c>
    </row>
    <row r="1583" spans="1:23" x14ac:dyDescent="0.25">
      <c r="A1583" t="s">
        <v>470</v>
      </c>
      <c r="B1583">
        <v>2004</v>
      </c>
      <c r="C1583" t="s">
        <v>369</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COUNT(LifeExpectancyData[[#This Row],[Life expectancy]:[Schooling]])=19</f>
        <v>1</v>
      </c>
    </row>
    <row r="1584" spans="1:23" x14ac:dyDescent="0.25">
      <c r="A1584" t="s">
        <v>470</v>
      </c>
      <c r="B1584">
        <v>2003</v>
      </c>
      <c r="C1584" t="s">
        <v>369</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COUNT(LifeExpectancyData[[#This Row],[Life expectancy]:[Schooling]])=19</f>
        <v>1</v>
      </c>
    </row>
    <row r="1585" spans="1:23" x14ac:dyDescent="0.25">
      <c r="A1585" t="s">
        <v>470</v>
      </c>
      <c r="B1585">
        <v>2002</v>
      </c>
      <c r="C1585" t="s">
        <v>369</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COUNT(LifeExpectancyData[[#This Row],[Life expectancy]:[Schooling]])=19</f>
        <v>1</v>
      </c>
    </row>
    <row r="1586" spans="1:23" x14ac:dyDescent="0.25">
      <c r="A1586" t="s">
        <v>470</v>
      </c>
      <c r="B1586">
        <v>2001</v>
      </c>
      <c r="C1586" t="s">
        <v>369</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COUNT(LifeExpectancyData[[#This Row],[Life expectancy]:[Schooling]])=19</f>
        <v>0</v>
      </c>
    </row>
    <row r="1587" spans="1:23" x14ac:dyDescent="0.25">
      <c r="A1587" t="s">
        <v>470</v>
      </c>
      <c r="B1587">
        <v>2000</v>
      </c>
      <c r="C1587" t="s">
        <v>369</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COUNT(LifeExpectancyData[[#This Row],[Life expectancy]:[Schooling]])=19</f>
        <v>0</v>
      </c>
    </row>
    <row r="1588" spans="1:23" x14ac:dyDescent="0.25">
      <c r="A1588" t="s">
        <v>471</v>
      </c>
      <c r="B1588">
        <v>2015</v>
      </c>
      <c r="C1588" t="s">
        <v>369</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COUNT(LifeExpectancyData[[#This Row],[Life expectancy]:[Schooling]])=19</f>
        <v>0</v>
      </c>
    </row>
    <row r="1589" spans="1:23" x14ac:dyDescent="0.25">
      <c r="A1589" t="s">
        <v>471</v>
      </c>
      <c r="B1589">
        <v>2014</v>
      </c>
      <c r="C1589" t="s">
        <v>369</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COUNT(LifeExpectancyData[[#This Row],[Life expectancy]:[Schooling]])=19</f>
        <v>1</v>
      </c>
    </row>
    <row r="1590" spans="1:23" x14ac:dyDescent="0.25">
      <c r="A1590" t="s">
        <v>471</v>
      </c>
      <c r="B1590">
        <v>2013</v>
      </c>
      <c r="C1590" t="s">
        <v>369</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COUNT(LifeExpectancyData[[#This Row],[Life expectancy]:[Schooling]])=19</f>
        <v>1</v>
      </c>
    </row>
    <row r="1591" spans="1:23" x14ac:dyDescent="0.25">
      <c r="A1591" t="s">
        <v>471</v>
      </c>
      <c r="B1591">
        <v>2012</v>
      </c>
      <c r="C1591" t="s">
        <v>369</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COUNT(LifeExpectancyData[[#This Row],[Life expectancy]:[Schooling]])=19</f>
        <v>1</v>
      </c>
    </row>
    <row r="1592" spans="1:23" x14ac:dyDescent="0.25">
      <c r="A1592" t="s">
        <v>471</v>
      </c>
      <c r="B1592">
        <v>2011</v>
      </c>
      <c r="C1592" t="s">
        <v>369</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COUNT(LifeExpectancyData[[#This Row],[Life expectancy]:[Schooling]])=19</f>
        <v>1</v>
      </c>
    </row>
    <row r="1593" spans="1:23" x14ac:dyDescent="0.25">
      <c r="A1593" t="s">
        <v>471</v>
      </c>
      <c r="B1593">
        <v>2010</v>
      </c>
      <c r="C1593" t="s">
        <v>369</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COUNT(LifeExpectancyData[[#This Row],[Life expectancy]:[Schooling]])=19</f>
        <v>1</v>
      </c>
    </row>
    <row r="1594" spans="1:23" x14ac:dyDescent="0.25">
      <c r="A1594" t="s">
        <v>471</v>
      </c>
      <c r="B1594">
        <v>2009</v>
      </c>
      <c r="C1594" t="s">
        <v>369</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COUNT(LifeExpectancyData[[#This Row],[Life expectancy]:[Schooling]])=19</f>
        <v>1</v>
      </c>
    </row>
    <row r="1595" spans="1:23" x14ac:dyDescent="0.25">
      <c r="A1595" t="s">
        <v>471</v>
      </c>
      <c r="B1595">
        <v>2008</v>
      </c>
      <c r="C1595" t="s">
        <v>369</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COUNT(LifeExpectancyData[[#This Row],[Life expectancy]:[Schooling]])=19</f>
        <v>1</v>
      </c>
    </row>
    <row r="1596" spans="1:23" x14ac:dyDescent="0.25">
      <c r="A1596" t="s">
        <v>471</v>
      </c>
      <c r="B1596">
        <v>2007</v>
      </c>
      <c r="C1596" t="s">
        <v>369</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COUNT(LifeExpectancyData[[#This Row],[Life expectancy]:[Schooling]])=19</f>
        <v>1</v>
      </c>
    </row>
    <row r="1597" spans="1:23" x14ac:dyDescent="0.25">
      <c r="A1597" t="s">
        <v>471</v>
      </c>
      <c r="B1597">
        <v>2006</v>
      </c>
      <c r="C1597" t="s">
        <v>369</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COUNT(LifeExpectancyData[[#This Row],[Life expectancy]:[Schooling]])=19</f>
        <v>1</v>
      </c>
    </row>
    <row r="1598" spans="1:23" x14ac:dyDescent="0.25">
      <c r="A1598" t="s">
        <v>471</v>
      </c>
      <c r="B1598">
        <v>2005</v>
      </c>
      <c r="C1598" t="s">
        <v>369</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COUNT(LifeExpectancyData[[#This Row],[Life expectancy]:[Schooling]])=19</f>
        <v>1</v>
      </c>
    </row>
    <row r="1599" spans="1:23" x14ac:dyDescent="0.25">
      <c r="A1599" t="s">
        <v>471</v>
      </c>
      <c r="B1599">
        <v>2004</v>
      </c>
      <c r="C1599" t="s">
        <v>369</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COUNT(LifeExpectancyData[[#This Row],[Life expectancy]:[Schooling]])=19</f>
        <v>1</v>
      </c>
    </row>
    <row r="1600" spans="1:23" x14ac:dyDescent="0.25">
      <c r="A1600" t="s">
        <v>471</v>
      </c>
      <c r="B1600">
        <v>2003</v>
      </c>
      <c r="C1600" t="s">
        <v>369</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COUNT(LifeExpectancyData[[#This Row],[Life expectancy]:[Schooling]])=19</f>
        <v>1</v>
      </c>
    </row>
    <row r="1601" spans="1:23" x14ac:dyDescent="0.25">
      <c r="A1601" t="s">
        <v>471</v>
      </c>
      <c r="B1601">
        <v>2002</v>
      </c>
      <c r="C1601" t="s">
        <v>369</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COUNT(LifeExpectancyData[[#This Row],[Life expectancy]:[Schooling]])=19</f>
        <v>1</v>
      </c>
    </row>
    <row r="1602" spans="1:23" x14ac:dyDescent="0.25">
      <c r="A1602" t="s">
        <v>471</v>
      </c>
      <c r="B1602">
        <v>2001</v>
      </c>
      <c r="C1602" t="s">
        <v>369</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COUNT(LifeExpectancyData[[#This Row],[Life expectancy]:[Schooling]])=19</f>
        <v>1</v>
      </c>
    </row>
    <row r="1603" spans="1:23" x14ac:dyDescent="0.25">
      <c r="A1603" t="s">
        <v>471</v>
      </c>
      <c r="B1603">
        <v>2000</v>
      </c>
      <c r="C1603" t="s">
        <v>369</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COUNT(LifeExpectancyData[[#This Row],[Life expectancy]:[Schooling]])=19</f>
        <v>1</v>
      </c>
    </row>
    <row r="1604" spans="1:23" x14ac:dyDescent="0.25">
      <c r="A1604" t="s">
        <v>472</v>
      </c>
      <c r="B1604">
        <v>2015</v>
      </c>
      <c r="C1604" t="s">
        <v>369</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COUNT(LifeExpectancyData[[#This Row],[Life expectancy]:[Schooling]])=19</f>
        <v>0</v>
      </c>
    </row>
    <row r="1605" spans="1:23" x14ac:dyDescent="0.25">
      <c r="A1605" t="s">
        <v>472</v>
      </c>
      <c r="B1605">
        <v>2014</v>
      </c>
      <c r="C1605" t="s">
        <v>369</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COUNT(LifeExpectancyData[[#This Row],[Life expectancy]:[Schooling]])=19</f>
        <v>1</v>
      </c>
    </row>
    <row r="1606" spans="1:23" x14ac:dyDescent="0.25">
      <c r="A1606" t="s">
        <v>472</v>
      </c>
      <c r="B1606">
        <v>2013</v>
      </c>
      <c r="C1606" t="s">
        <v>369</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COUNT(LifeExpectancyData[[#This Row],[Life expectancy]:[Schooling]])=19</f>
        <v>1</v>
      </c>
    </row>
    <row r="1607" spans="1:23" x14ac:dyDescent="0.25">
      <c r="A1607" t="s">
        <v>472</v>
      </c>
      <c r="B1607">
        <v>2012</v>
      </c>
      <c r="C1607" t="s">
        <v>369</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COUNT(LifeExpectancyData[[#This Row],[Life expectancy]:[Schooling]])=19</f>
        <v>1</v>
      </c>
    </row>
    <row r="1608" spans="1:23" x14ac:dyDescent="0.25">
      <c r="A1608" t="s">
        <v>472</v>
      </c>
      <c r="B1608">
        <v>2011</v>
      </c>
      <c r="C1608" t="s">
        <v>369</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COUNT(LifeExpectancyData[[#This Row],[Life expectancy]:[Schooling]])=19</f>
        <v>1</v>
      </c>
    </row>
    <row r="1609" spans="1:23" x14ac:dyDescent="0.25">
      <c r="A1609" t="s">
        <v>472</v>
      </c>
      <c r="B1609">
        <v>2010</v>
      </c>
      <c r="C1609" t="s">
        <v>369</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COUNT(LifeExpectancyData[[#This Row],[Life expectancy]:[Schooling]])=19</f>
        <v>1</v>
      </c>
    </row>
    <row r="1610" spans="1:23" x14ac:dyDescent="0.25">
      <c r="A1610" t="s">
        <v>472</v>
      </c>
      <c r="B1610">
        <v>2009</v>
      </c>
      <c r="C1610" t="s">
        <v>369</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COUNT(LifeExpectancyData[[#This Row],[Life expectancy]:[Schooling]])=19</f>
        <v>1</v>
      </c>
    </row>
    <row r="1611" spans="1:23" x14ac:dyDescent="0.25">
      <c r="A1611" t="s">
        <v>472</v>
      </c>
      <c r="B1611">
        <v>2008</v>
      </c>
      <c r="C1611" t="s">
        <v>369</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COUNT(LifeExpectancyData[[#This Row],[Life expectancy]:[Schooling]])=19</f>
        <v>1</v>
      </c>
    </row>
    <row r="1612" spans="1:23" x14ac:dyDescent="0.25">
      <c r="A1612" t="s">
        <v>472</v>
      </c>
      <c r="B1612">
        <v>2007</v>
      </c>
      <c r="C1612" t="s">
        <v>369</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COUNT(LifeExpectancyData[[#This Row],[Life expectancy]:[Schooling]])=19</f>
        <v>1</v>
      </c>
    </row>
    <row r="1613" spans="1:23" x14ac:dyDescent="0.25">
      <c r="A1613" t="s">
        <v>472</v>
      </c>
      <c r="B1613">
        <v>2006</v>
      </c>
      <c r="C1613" t="s">
        <v>369</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COUNT(LifeExpectancyData[[#This Row],[Life expectancy]:[Schooling]])=19</f>
        <v>1</v>
      </c>
    </row>
    <row r="1614" spans="1:23" x14ac:dyDescent="0.25">
      <c r="A1614" t="s">
        <v>472</v>
      </c>
      <c r="B1614">
        <v>2005</v>
      </c>
      <c r="C1614" t="s">
        <v>369</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COUNT(LifeExpectancyData[[#This Row],[Life expectancy]:[Schooling]])=19</f>
        <v>1</v>
      </c>
    </row>
    <row r="1615" spans="1:23" x14ac:dyDescent="0.25">
      <c r="A1615" t="s">
        <v>472</v>
      </c>
      <c r="B1615">
        <v>2004</v>
      </c>
      <c r="C1615" t="s">
        <v>369</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COUNT(LifeExpectancyData[[#This Row],[Life expectancy]:[Schooling]])=19</f>
        <v>1</v>
      </c>
    </row>
    <row r="1616" spans="1:23" x14ac:dyDescent="0.25">
      <c r="A1616" t="s">
        <v>472</v>
      </c>
      <c r="B1616">
        <v>2003</v>
      </c>
      <c r="C1616" t="s">
        <v>369</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COUNT(LifeExpectancyData[[#This Row],[Life expectancy]:[Schooling]])=19</f>
        <v>1</v>
      </c>
    </row>
    <row r="1617" spans="1:23" x14ac:dyDescent="0.25">
      <c r="A1617" t="s">
        <v>472</v>
      </c>
      <c r="B1617">
        <v>2002</v>
      </c>
      <c r="C1617" t="s">
        <v>369</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COUNT(LifeExpectancyData[[#This Row],[Life expectancy]:[Schooling]])=19</f>
        <v>1</v>
      </c>
    </row>
    <row r="1618" spans="1:23" x14ac:dyDescent="0.25">
      <c r="A1618" t="s">
        <v>472</v>
      </c>
      <c r="B1618">
        <v>2001</v>
      </c>
      <c r="C1618" t="s">
        <v>369</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COUNT(LifeExpectancyData[[#This Row],[Life expectancy]:[Schooling]])=19</f>
        <v>1</v>
      </c>
    </row>
    <row r="1619" spans="1:23" x14ac:dyDescent="0.25">
      <c r="A1619" t="s">
        <v>472</v>
      </c>
      <c r="B1619">
        <v>2000</v>
      </c>
      <c r="C1619" t="s">
        <v>369</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COUNT(LifeExpectancyData[[#This Row],[Life expectancy]:[Schooling]])=19</f>
        <v>1</v>
      </c>
    </row>
    <row r="1620" spans="1:23" x14ac:dyDescent="0.25">
      <c r="A1620" t="s">
        <v>473</v>
      </c>
      <c r="B1620">
        <v>2015</v>
      </c>
      <c r="C1620" t="s">
        <v>369</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COUNT(LifeExpectancyData[[#This Row],[Life expectancy]:[Schooling]])=19</f>
        <v>0</v>
      </c>
    </row>
    <row r="1621" spans="1:23" x14ac:dyDescent="0.25">
      <c r="A1621" t="s">
        <v>473</v>
      </c>
      <c r="B1621">
        <v>2014</v>
      </c>
      <c r="C1621" t="s">
        <v>369</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COUNT(LifeExpectancyData[[#This Row],[Life expectancy]:[Schooling]])=19</f>
        <v>1</v>
      </c>
    </row>
    <row r="1622" spans="1:23" x14ac:dyDescent="0.25">
      <c r="A1622" t="s">
        <v>473</v>
      </c>
      <c r="B1622">
        <v>2013</v>
      </c>
      <c r="C1622" t="s">
        <v>369</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COUNT(LifeExpectancyData[[#This Row],[Life expectancy]:[Schooling]])=19</f>
        <v>1</v>
      </c>
    </row>
    <row r="1623" spans="1:23" x14ac:dyDescent="0.25">
      <c r="A1623" t="s">
        <v>473</v>
      </c>
      <c r="B1623">
        <v>2012</v>
      </c>
      <c r="C1623" t="s">
        <v>369</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COUNT(LifeExpectancyData[[#This Row],[Life expectancy]:[Schooling]])=19</f>
        <v>1</v>
      </c>
    </row>
    <row r="1624" spans="1:23" x14ac:dyDescent="0.25">
      <c r="A1624" t="s">
        <v>473</v>
      </c>
      <c r="B1624">
        <v>2011</v>
      </c>
      <c r="C1624" t="s">
        <v>369</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COUNT(LifeExpectancyData[[#This Row],[Life expectancy]:[Schooling]])=19</f>
        <v>1</v>
      </c>
    </row>
    <row r="1625" spans="1:23" x14ac:dyDescent="0.25">
      <c r="A1625" t="s">
        <v>473</v>
      </c>
      <c r="B1625">
        <v>2010</v>
      </c>
      <c r="C1625" t="s">
        <v>369</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COUNT(LifeExpectancyData[[#This Row],[Life expectancy]:[Schooling]])=19</f>
        <v>1</v>
      </c>
    </row>
    <row r="1626" spans="1:23" x14ac:dyDescent="0.25">
      <c r="A1626" t="s">
        <v>473</v>
      </c>
      <c r="B1626">
        <v>2009</v>
      </c>
      <c r="C1626" t="s">
        <v>369</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COUNT(LifeExpectancyData[[#This Row],[Life expectancy]:[Schooling]])=19</f>
        <v>1</v>
      </c>
    </row>
    <row r="1627" spans="1:23" x14ac:dyDescent="0.25">
      <c r="A1627" t="s">
        <v>473</v>
      </c>
      <c r="B1627">
        <v>2008</v>
      </c>
      <c r="C1627" t="s">
        <v>369</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COUNT(LifeExpectancyData[[#This Row],[Life expectancy]:[Schooling]])=19</f>
        <v>1</v>
      </c>
    </row>
    <row r="1628" spans="1:23" x14ac:dyDescent="0.25">
      <c r="A1628" t="s">
        <v>473</v>
      </c>
      <c r="B1628">
        <v>2007</v>
      </c>
      <c r="C1628" t="s">
        <v>369</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COUNT(LifeExpectancyData[[#This Row],[Life expectancy]:[Schooling]])=19</f>
        <v>1</v>
      </c>
    </row>
    <row r="1629" spans="1:23" x14ac:dyDescent="0.25">
      <c r="A1629" t="s">
        <v>473</v>
      </c>
      <c r="B1629">
        <v>2006</v>
      </c>
      <c r="C1629" t="s">
        <v>369</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COUNT(LifeExpectancyData[[#This Row],[Life expectancy]:[Schooling]])=19</f>
        <v>1</v>
      </c>
    </row>
    <row r="1630" spans="1:23" x14ac:dyDescent="0.25">
      <c r="A1630" t="s">
        <v>473</v>
      </c>
      <c r="B1630">
        <v>2005</v>
      </c>
      <c r="C1630" t="s">
        <v>369</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COUNT(LifeExpectancyData[[#This Row],[Life expectancy]:[Schooling]])=19</f>
        <v>1</v>
      </c>
    </row>
    <row r="1631" spans="1:23" x14ac:dyDescent="0.25">
      <c r="A1631" t="s">
        <v>473</v>
      </c>
      <c r="B1631">
        <v>2004</v>
      </c>
      <c r="C1631" t="s">
        <v>369</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COUNT(LifeExpectancyData[[#This Row],[Life expectancy]:[Schooling]])=19</f>
        <v>1</v>
      </c>
    </row>
    <row r="1632" spans="1:23" x14ac:dyDescent="0.25">
      <c r="A1632" t="s">
        <v>473</v>
      </c>
      <c r="B1632">
        <v>2003</v>
      </c>
      <c r="C1632" t="s">
        <v>369</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COUNT(LifeExpectancyData[[#This Row],[Life expectancy]:[Schooling]])=19</f>
        <v>1</v>
      </c>
    </row>
    <row r="1633" spans="1:23" x14ac:dyDescent="0.25">
      <c r="A1633" t="s">
        <v>473</v>
      </c>
      <c r="B1633">
        <v>2002</v>
      </c>
      <c r="C1633" t="s">
        <v>369</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COUNT(LifeExpectancyData[[#This Row],[Life expectancy]:[Schooling]])=19</f>
        <v>0</v>
      </c>
    </row>
    <row r="1634" spans="1:23" x14ac:dyDescent="0.25">
      <c r="A1634" t="s">
        <v>473</v>
      </c>
      <c r="B1634">
        <v>2001</v>
      </c>
      <c r="C1634" t="s">
        <v>369</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COUNT(LifeExpectancyData[[#This Row],[Life expectancy]:[Schooling]])=19</f>
        <v>0</v>
      </c>
    </row>
    <row r="1635" spans="1:23" x14ac:dyDescent="0.25">
      <c r="A1635" t="s">
        <v>473</v>
      </c>
      <c r="B1635">
        <v>2000</v>
      </c>
      <c r="C1635" t="s">
        <v>369</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COUNT(LifeExpectancyData[[#This Row],[Life expectancy]:[Schooling]])=19</f>
        <v>0</v>
      </c>
    </row>
    <row r="1636" spans="1:23" x14ac:dyDescent="0.25">
      <c r="A1636" t="s">
        <v>474</v>
      </c>
      <c r="B1636">
        <v>2015</v>
      </c>
      <c r="C1636" t="s">
        <v>377</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COUNT(LifeExpectancyData[[#This Row],[Life expectancy]:[Schooling]])=19</f>
        <v>0</v>
      </c>
    </row>
    <row r="1637" spans="1:23" x14ac:dyDescent="0.25">
      <c r="A1637" t="s">
        <v>474</v>
      </c>
      <c r="B1637">
        <v>2014</v>
      </c>
      <c r="C1637" t="s">
        <v>377</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COUNT(LifeExpectancyData[[#This Row],[Life expectancy]:[Schooling]])=19</f>
        <v>1</v>
      </c>
    </row>
    <row r="1638" spans="1:23" x14ac:dyDescent="0.25">
      <c r="A1638" t="s">
        <v>474</v>
      </c>
      <c r="B1638">
        <v>2013</v>
      </c>
      <c r="C1638" t="s">
        <v>377</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COUNT(LifeExpectancyData[[#This Row],[Life expectancy]:[Schooling]])=19</f>
        <v>1</v>
      </c>
    </row>
    <row r="1639" spans="1:23" x14ac:dyDescent="0.25">
      <c r="A1639" t="s">
        <v>474</v>
      </c>
      <c r="B1639">
        <v>2012</v>
      </c>
      <c r="C1639" t="s">
        <v>377</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COUNT(LifeExpectancyData[[#This Row],[Life expectancy]:[Schooling]])=19</f>
        <v>1</v>
      </c>
    </row>
    <row r="1640" spans="1:23" x14ac:dyDescent="0.25">
      <c r="A1640" t="s">
        <v>474</v>
      </c>
      <c r="B1640">
        <v>2011</v>
      </c>
      <c r="C1640" t="s">
        <v>377</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COUNT(LifeExpectancyData[[#This Row],[Life expectancy]:[Schooling]])=19</f>
        <v>1</v>
      </c>
    </row>
    <row r="1641" spans="1:23" x14ac:dyDescent="0.25">
      <c r="A1641" t="s">
        <v>474</v>
      </c>
      <c r="B1641">
        <v>2010</v>
      </c>
      <c r="C1641" t="s">
        <v>377</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COUNT(LifeExpectancyData[[#This Row],[Life expectancy]:[Schooling]])=19</f>
        <v>1</v>
      </c>
    </row>
    <row r="1642" spans="1:23" x14ac:dyDescent="0.25">
      <c r="A1642" t="s">
        <v>474</v>
      </c>
      <c r="B1642">
        <v>2009</v>
      </c>
      <c r="C1642" t="s">
        <v>377</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COUNT(LifeExpectancyData[[#This Row],[Life expectancy]:[Schooling]])=19</f>
        <v>1</v>
      </c>
    </row>
    <row r="1643" spans="1:23" x14ac:dyDescent="0.25">
      <c r="A1643" t="s">
        <v>474</v>
      </c>
      <c r="B1643">
        <v>2008</v>
      </c>
      <c r="C1643" t="s">
        <v>377</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COUNT(LifeExpectancyData[[#This Row],[Life expectancy]:[Schooling]])=19</f>
        <v>1</v>
      </c>
    </row>
    <row r="1644" spans="1:23" x14ac:dyDescent="0.25">
      <c r="A1644" t="s">
        <v>474</v>
      </c>
      <c r="B1644">
        <v>2007</v>
      </c>
      <c r="C1644" t="s">
        <v>377</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COUNT(LifeExpectancyData[[#This Row],[Life expectancy]:[Schooling]])=19</f>
        <v>1</v>
      </c>
    </row>
    <row r="1645" spans="1:23" x14ac:dyDescent="0.25">
      <c r="A1645" t="s">
        <v>474</v>
      </c>
      <c r="B1645">
        <v>2006</v>
      </c>
      <c r="C1645" t="s">
        <v>377</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COUNT(LifeExpectancyData[[#This Row],[Life expectancy]:[Schooling]])=19</f>
        <v>1</v>
      </c>
    </row>
    <row r="1646" spans="1:23" x14ac:dyDescent="0.25">
      <c r="A1646" t="s">
        <v>474</v>
      </c>
      <c r="B1646">
        <v>2005</v>
      </c>
      <c r="C1646" t="s">
        <v>377</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COUNT(LifeExpectancyData[[#This Row],[Life expectancy]:[Schooling]])=19</f>
        <v>1</v>
      </c>
    </row>
    <row r="1647" spans="1:23" x14ac:dyDescent="0.25">
      <c r="A1647" t="s">
        <v>474</v>
      </c>
      <c r="B1647">
        <v>2004</v>
      </c>
      <c r="C1647" t="s">
        <v>377</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COUNT(LifeExpectancyData[[#This Row],[Life expectancy]:[Schooling]])=19</f>
        <v>1</v>
      </c>
    </row>
    <row r="1648" spans="1:23" x14ac:dyDescent="0.25">
      <c r="A1648" t="s">
        <v>474</v>
      </c>
      <c r="B1648">
        <v>2003</v>
      </c>
      <c r="C1648" t="s">
        <v>377</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COUNT(LifeExpectancyData[[#This Row],[Life expectancy]:[Schooling]])=19</f>
        <v>1</v>
      </c>
    </row>
    <row r="1649" spans="1:23" x14ac:dyDescent="0.25">
      <c r="A1649" t="s">
        <v>474</v>
      </c>
      <c r="B1649">
        <v>2002</v>
      </c>
      <c r="C1649" t="s">
        <v>377</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COUNT(LifeExpectancyData[[#This Row],[Life expectancy]:[Schooling]])=19</f>
        <v>0</v>
      </c>
    </row>
    <row r="1650" spans="1:23" x14ac:dyDescent="0.25">
      <c r="A1650" t="s">
        <v>474</v>
      </c>
      <c r="B1650">
        <v>2001</v>
      </c>
      <c r="C1650" t="s">
        <v>377</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COUNT(LifeExpectancyData[[#This Row],[Life expectancy]:[Schooling]])=19</f>
        <v>0</v>
      </c>
    </row>
    <row r="1651" spans="1:23" x14ac:dyDescent="0.25">
      <c r="A1651" t="s">
        <v>474</v>
      </c>
      <c r="B1651">
        <v>2000</v>
      </c>
      <c r="C1651" t="s">
        <v>377</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COUNT(LifeExpectancyData[[#This Row],[Life expectancy]:[Schooling]])=19</f>
        <v>0</v>
      </c>
    </row>
    <row r="1652" spans="1:23" x14ac:dyDescent="0.25">
      <c r="A1652" t="s">
        <v>475</v>
      </c>
      <c r="B1652">
        <v>2013</v>
      </c>
      <c r="C1652" t="s">
        <v>369</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COUNT(LifeExpectancyData[[#This Row],[Life expectancy]:[Schooling]])=19</f>
        <v>0</v>
      </c>
    </row>
    <row r="1653" spans="1:23" x14ac:dyDescent="0.25">
      <c r="A1653" t="s">
        <v>476</v>
      </c>
      <c r="B1653">
        <v>2015</v>
      </c>
      <c r="C1653" t="s">
        <v>369</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COUNT(LifeExpectancyData[[#This Row],[Life expectancy]:[Schooling]])=19</f>
        <v>0</v>
      </c>
    </row>
    <row r="1654" spans="1:23" x14ac:dyDescent="0.25">
      <c r="A1654" t="s">
        <v>476</v>
      </c>
      <c r="B1654">
        <v>2014</v>
      </c>
      <c r="C1654" t="s">
        <v>369</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COUNT(LifeExpectancyData[[#This Row],[Life expectancy]:[Schooling]])=19</f>
        <v>1</v>
      </c>
    </row>
    <row r="1655" spans="1:23" x14ac:dyDescent="0.25">
      <c r="A1655" t="s">
        <v>476</v>
      </c>
      <c r="B1655">
        <v>2013</v>
      </c>
      <c r="C1655" t="s">
        <v>369</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COUNT(LifeExpectancyData[[#This Row],[Life expectancy]:[Schooling]])=19</f>
        <v>1</v>
      </c>
    </row>
    <row r="1656" spans="1:23" x14ac:dyDescent="0.25">
      <c r="A1656" t="s">
        <v>476</v>
      </c>
      <c r="B1656">
        <v>2012</v>
      </c>
      <c r="C1656" t="s">
        <v>369</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COUNT(LifeExpectancyData[[#This Row],[Life expectancy]:[Schooling]])=19</f>
        <v>1</v>
      </c>
    </row>
    <row r="1657" spans="1:23" x14ac:dyDescent="0.25">
      <c r="A1657" t="s">
        <v>476</v>
      </c>
      <c r="B1657">
        <v>2011</v>
      </c>
      <c r="C1657" t="s">
        <v>369</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COUNT(LifeExpectancyData[[#This Row],[Life expectancy]:[Schooling]])=19</f>
        <v>1</v>
      </c>
    </row>
    <row r="1658" spans="1:23" x14ac:dyDescent="0.25">
      <c r="A1658" t="s">
        <v>476</v>
      </c>
      <c r="B1658">
        <v>2010</v>
      </c>
      <c r="C1658" t="s">
        <v>369</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COUNT(LifeExpectancyData[[#This Row],[Life expectancy]:[Schooling]])=19</f>
        <v>1</v>
      </c>
    </row>
    <row r="1659" spans="1:23" x14ac:dyDescent="0.25">
      <c r="A1659" t="s">
        <v>476</v>
      </c>
      <c r="B1659">
        <v>2009</v>
      </c>
      <c r="C1659" t="s">
        <v>369</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COUNT(LifeExpectancyData[[#This Row],[Life expectancy]:[Schooling]])=19</f>
        <v>1</v>
      </c>
    </row>
    <row r="1660" spans="1:23" x14ac:dyDescent="0.25">
      <c r="A1660" t="s">
        <v>476</v>
      </c>
      <c r="B1660">
        <v>2008</v>
      </c>
      <c r="C1660" t="s">
        <v>369</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COUNT(LifeExpectancyData[[#This Row],[Life expectancy]:[Schooling]])=19</f>
        <v>1</v>
      </c>
    </row>
    <row r="1661" spans="1:23" x14ac:dyDescent="0.25">
      <c r="A1661" t="s">
        <v>476</v>
      </c>
      <c r="B1661">
        <v>2007</v>
      </c>
      <c r="C1661" t="s">
        <v>369</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COUNT(LifeExpectancyData[[#This Row],[Life expectancy]:[Schooling]])=19</f>
        <v>1</v>
      </c>
    </row>
    <row r="1662" spans="1:23" x14ac:dyDescent="0.25">
      <c r="A1662" t="s">
        <v>476</v>
      </c>
      <c r="B1662">
        <v>2006</v>
      </c>
      <c r="C1662" t="s">
        <v>369</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COUNT(LifeExpectancyData[[#This Row],[Life expectancy]:[Schooling]])=19</f>
        <v>1</v>
      </c>
    </row>
    <row r="1663" spans="1:23" x14ac:dyDescent="0.25">
      <c r="A1663" t="s">
        <v>476</v>
      </c>
      <c r="B1663">
        <v>2005</v>
      </c>
      <c r="C1663" t="s">
        <v>369</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COUNT(LifeExpectancyData[[#This Row],[Life expectancy]:[Schooling]])=19</f>
        <v>1</v>
      </c>
    </row>
    <row r="1664" spans="1:23" x14ac:dyDescent="0.25">
      <c r="A1664" t="s">
        <v>476</v>
      </c>
      <c r="B1664">
        <v>2004</v>
      </c>
      <c r="C1664" t="s">
        <v>369</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COUNT(LifeExpectancyData[[#This Row],[Life expectancy]:[Schooling]])=19</f>
        <v>0</v>
      </c>
    </row>
    <row r="1665" spans="1:23" x14ac:dyDescent="0.25">
      <c r="A1665" t="s">
        <v>476</v>
      </c>
      <c r="B1665">
        <v>2003</v>
      </c>
      <c r="C1665" t="s">
        <v>369</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COUNT(LifeExpectancyData[[#This Row],[Life expectancy]:[Schooling]])=19</f>
        <v>0</v>
      </c>
    </row>
    <row r="1666" spans="1:23" x14ac:dyDescent="0.25">
      <c r="A1666" t="s">
        <v>476</v>
      </c>
      <c r="B1666">
        <v>2002</v>
      </c>
      <c r="C1666" t="s">
        <v>369</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COUNT(LifeExpectancyData[[#This Row],[Life expectancy]:[Schooling]])=19</f>
        <v>0</v>
      </c>
    </row>
    <row r="1667" spans="1:23" x14ac:dyDescent="0.25">
      <c r="A1667" t="s">
        <v>476</v>
      </c>
      <c r="B1667">
        <v>2001</v>
      </c>
      <c r="C1667" t="s">
        <v>369</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COUNT(LifeExpectancyData[[#This Row],[Life expectancy]:[Schooling]])=19</f>
        <v>0</v>
      </c>
    </row>
    <row r="1668" spans="1:23" x14ac:dyDescent="0.25">
      <c r="A1668" t="s">
        <v>476</v>
      </c>
      <c r="B1668">
        <v>2000</v>
      </c>
      <c r="C1668" t="s">
        <v>369</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COUNT(LifeExpectancyData[[#This Row],[Life expectancy]:[Schooling]])=19</f>
        <v>0</v>
      </c>
    </row>
    <row r="1669" spans="1:23" x14ac:dyDescent="0.25">
      <c r="A1669" t="s">
        <v>477</v>
      </c>
      <c r="B1669">
        <v>2015</v>
      </c>
      <c r="C1669" t="s">
        <v>369</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COUNT(LifeExpectancyData[[#This Row],[Life expectancy]:[Schooling]])=19</f>
        <v>0</v>
      </c>
    </row>
    <row r="1670" spans="1:23" x14ac:dyDescent="0.25">
      <c r="A1670" t="s">
        <v>477</v>
      </c>
      <c r="B1670">
        <v>2014</v>
      </c>
      <c r="C1670" t="s">
        <v>369</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COUNT(LifeExpectancyData[[#This Row],[Life expectancy]:[Schooling]])=19</f>
        <v>1</v>
      </c>
    </row>
    <row r="1671" spans="1:23" x14ac:dyDescent="0.25">
      <c r="A1671" t="s">
        <v>477</v>
      </c>
      <c r="B1671">
        <v>2013</v>
      </c>
      <c r="C1671" t="s">
        <v>369</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COUNT(LifeExpectancyData[[#This Row],[Life expectancy]:[Schooling]])=19</f>
        <v>1</v>
      </c>
    </row>
    <row r="1672" spans="1:23" x14ac:dyDescent="0.25">
      <c r="A1672" t="s">
        <v>477</v>
      </c>
      <c r="B1672">
        <v>2012</v>
      </c>
      <c r="C1672" t="s">
        <v>369</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COUNT(LifeExpectancyData[[#This Row],[Life expectancy]:[Schooling]])=19</f>
        <v>1</v>
      </c>
    </row>
    <row r="1673" spans="1:23" x14ac:dyDescent="0.25">
      <c r="A1673" t="s">
        <v>477</v>
      </c>
      <c r="B1673">
        <v>2011</v>
      </c>
      <c r="C1673" t="s">
        <v>369</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COUNT(LifeExpectancyData[[#This Row],[Life expectancy]:[Schooling]])=19</f>
        <v>1</v>
      </c>
    </row>
    <row r="1674" spans="1:23" x14ac:dyDescent="0.25">
      <c r="A1674" t="s">
        <v>477</v>
      </c>
      <c r="B1674">
        <v>2010</v>
      </c>
      <c r="C1674" t="s">
        <v>369</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COUNT(LifeExpectancyData[[#This Row],[Life expectancy]:[Schooling]])=19</f>
        <v>1</v>
      </c>
    </row>
    <row r="1675" spans="1:23" x14ac:dyDescent="0.25">
      <c r="A1675" t="s">
        <v>477</v>
      </c>
      <c r="B1675">
        <v>2009</v>
      </c>
      <c r="C1675" t="s">
        <v>369</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COUNT(LifeExpectancyData[[#This Row],[Life expectancy]:[Schooling]])=19</f>
        <v>1</v>
      </c>
    </row>
    <row r="1676" spans="1:23" x14ac:dyDescent="0.25">
      <c r="A1676" t="s">
        <v>477</v>
      </c>
      <c r="B1676">
        <v>2008</v>
      </c>
      <c r="C1676" t="s">
        <v>369</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COUNT(LifeExpectancyData[[#This Row],[Life expectancy]:[Schooling]])=19</f>
        <v>1</v>
      </c>
    </row>
    <row r="1677" spans="1:23" x14ac:dyDescent="0.25">
      <c r="A1677" t="s">
        <v>477</v>
      </c>
      <c r="B1677">
        <v>2007</v>
      </c>
      <c r="C1677" t="s">
        <v>369</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COUNT(LifeExpectancyData[[#This Row],[Life expectancy]:[Schooling]])=19</f>
        <v>1</v>
      </c>
    </row>
    <row r="1678" spans="1:23" x14ac:dyDescent="0.25">
      <c r="A1678" t="s">
        <v>477</v>
      </c>
      <c r="B1678">
        <v>2006</v>
      </c>
      <c r="C1678" t="s">
        <v>369</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COUNT(LifeExpectancyData[[#This Row],[Life expectancy]:[Schooling]])=19</f>
        <v>1</v>
      </c>
    </row>
    <row r="1679" spans="1:23" x14ac:dyDescent="0.25">
      <c r="A1679" t="s">
        <v>477</v>
      </c>
      <c r="B1679">
        <v>2005</v>
      </c>
      <c r="C1679" t="s">
        <v>369</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COUNT(LifeExpectancyData[[#This Row],[Life expectancy]:[Schooling]])=19</f>
        <v>1</v>
      </c>
    </row>
    <row r="1680" spans="1:23" x14ac:dyDescent="0.25">
      <c r="A1680" t="s">
        <v>477</v>
      </c>
      <c r="B1680">
        <v>2004</v>
      </c>
      <c r="C1680" t="s">
        <v>369</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COUNT(LifeExpectancyData[[#This Row],[Life expectancy]:[Schooling]])=19</f>
        <v>1</v>
      </c>
    </row>
    <row r="1681" spans="1:23" x14ac:dyDescent="0.25">
      <c r="A1681" t="s">
        <v>477</v>
      </c>
      <c r="B1681">
        <v>2003</v>
      </c>
      <c r="C1681" t="s">
        <v>369</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COUNT(LifeExpectancyData[[#This Row],[Life expectancy]:[Schooling]])=19</f>
        <v>1</v>
      </c>
    </row>
    <row r="1682" spans="1:23" x14ac:dyDescent="0.25">
      <c r="A1682" t="s">
        <v>477</v>
      </c>
      <c r="B1682">
        <v>2002</v>
      </c>
      <c r="C1682" t="s">
        <v>369</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COUNT(LifeExpectancyData[[#This Row],[Life expectancy]:[Schooling]])=19</f>
        <v>1</v>
      </c>
    </row>
    <row r="1683" spans="1:23" x14ac:dyDescent="0.25">
      <c r="A1683" t="s">
        <v>477</v>
      </c>
      <c r="B1683">
        <v>2001</v>
      </c>
      <c r="C1683" t="s">
        <v>369</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COUNT(LifeExpectancyData[[#This Row],[Life expectancy]:[Schooling]])=19</f>
        <v>1</v>
      </c>
    </row>
    <row r="1684" spans="1:23" x14ac:dyDescent="0.25">
      <c r="A1684" t="s">
        <v>477</v>
      </c>
      <c r="B1684">
        <v>2000</v>
      </c>
      <c r="C1684" t="s">
        <v>369</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COUNT(LifeExpectancyData[[#This Row],[Life expectancy]:[Schooling]])=19</f>
        <v>1</v>
      </c>
    </row>
    <row r="1685" spans="1:23" x14ac:dyDescent="0.25">
      <c r="A1685" t="s">
        <v>478</v>
      </c>
      <c r="B1685">
        <v>2015</v>
      </c>
      <c r="C1685" t="s">
        <v>369</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COUNT(LifeExpectancyData[[#This Row],[Life expectancy]:[Schooling]])=19</f>
        <v>0</v>
      </c>
    </row>
    <row r="1686" spans="1:23" x14ac:dyDescent="0.25">
      <c r="A1686" t="s">
        <v>478</v>
      </c>
      <c r="B1686">
        <v>2014</v>
      </c>
      <c r="C1686" t="s">
        <v>369</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COUNT(LifeExpectancyData[[#This Row],[Life expectancy]:[Schooling]])=19</f>
        <v>1</v>
      </c>
    </row>
    <row r="1687" spans="1:23" x14ac:dyDescent="0.25">
      <c r="A1687" t="s">
        <v>478</v>
      </c>
      <c r="B1687">
        <v>2013</v>
      </c>
      <c r="C1687" t="s">
        <v>369</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COUNT(LifeExpectancyData[[#This Row],[Life expectancy]:[Schooling]])=19</f>
        <v>1</v>
      </c>
    </row>
    <row r="1688" spans="1:23" x14ac:dyDescent="0.25">
      <c r="A1688" t="s">
        <v>478</v>
      </c>
      <c r="B1688">
        <v>2012</v>
      </c>
      <c r="C1688" t="s">
        <v>369</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COUNT(LifeExpectancyData[[#This Row],[Life expectancy]:[Schooling]])=19</f>
        <v>1</v>
      </c>
    </row>
    <row r="1689" spans="1:23" x14ac:dyDescent="0.25">
      <c r="A1689" t="s">
        <v>478</v>
      </c>
      <c r="B1689">
        <v>2011</v>
      </c>
      <c r="C1689" t="s">
        <v>369</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COUNT(LifeExpectancyData[[#This Row],[Life expectancy]:[Schooling]])=19</f>
        <v>1</v>
      </c>
    </row>
    <row r="1690" spans="1:23" x14ac:dyDescent="0.25">
      <c r="A1690" t="s">
        <v>478</v>
      </c>
      <c r="B1690">
        <v>2010</v>
      </c>
      <c r="C1690" t="s">
        <v>369</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COUNT(LifeExpectancyData[[#This Row],[Life expectancy]:[Schooling]])=19</f>
        <v>1</v>
      </c>
    </row>
    <row r="1691" spans="1:23" x14ac:dyDescent="0.25">
      <c r="A1691" t="s">
        <v>478</v>
      </c>
      <c r="B1691">
        <v>2009</v>
      </c>
      <c r="C1691" t="s">
        <v>369</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COUNT(LifeExpectancyData[[#This Row],[Life expectancy]:[Schooling]])=19</f>
        <v>1</v>
      </c>
    </row>
    <row r="1692" spans="1:23" x14ac:dyDescent="0.25">
      <c r="A1692" t="s">
        <v>478</v>
      </c>
      <c r="B1692">
        <v>2008</v>
      </c>
      <c r="C1692" t="s">
        <v>369</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COUNT(LifeExpectancyData[[#This Row],[Life expectancy]:[Schooling]])=19</f>
        <v>1</v>
      </c>
    </row>
    <row r="1693" spans="1:23" x14ac:dyDescent="0.25">
      <c r="A1693" t="s">
        <v>478</v>
      </c>
      <c r="B1693">
        <v>2007</v>
      </c>
      <c r="C1693" t="s">
        <v>369</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COUNT(LifeExpectancyData[[#This Row],[Life expectancy]:[Schooling]])=19</f>
        <v>1</v>
      </c>
    </row>
    <row r="1694" spans="1:23" x14ac:dyDescent="0.25">
      <c r="A1694" t="s">
        <v>478</v>
      </c>
      <c r="B1694">
        <v>2006</v>
      </c>
      <c r="C1694" t="s">
        <v>369</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COUNT(LifeExpectancyData[[#This Row],[Life expectancy]:[Schooling]])=19</f>
        <v>1</v>
      </c>
    </row>
    <row r="1695" spans="1:23" x14ac:dyDescent="0.25">
      <c r="A1695" t="s">
        <v>478</v>
      </c>
      <c r="B1695">
        <v>2005</v>
      </c>
      <c r="C1695" t="s">
        <v>369</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COUNT(LifeExpectancyData[[#This Row],[Life expectancy]:[Schooling]])=19</f>
        <v>1</v>
      </c>
    </row>
    <row r="1696" spans="1:23" x14ac:dyDescent="0.25">
      <c r="A1696" t="s">
        <v>478</v>
      </c>
      <c r="B1696">
        <v>2004</v>
      </c>
      <c r="C1696" t="s">
        <v>369</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COUNT(LifeExpectancyData[[#This Row],[Life expectancy]:[Schooling]])=19</f>
        <v>1</v>
      </c>
    </row>
    <row r="1697" spans="1:23" x14ac:dyDescent="0.25">
      <c r="A1697" t="s">
        <v>478</v>
      </c>
      <c r="B1697">
        <v>2003</v>
      </c>
      <c r="C1697" t="s">
        <v>369</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COUNT(LifeExpectancyData[[#This Row],[Life expectancy]:[Schooling]])=19</f>
        <v>1</v>
      </c>
    </row>
    <row r="1698" spans="1:23" x14ac:dyDescent="0.25">
      <c r="A1698" t="s">
        <v>478</v>
      </c>
      <c r="B1698">
        <v>2002</v>
      </c>
      <c r="C1698" t="s">
        <v>369</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COUNT(LifeExpectancyData[[#This Row],[Life expectancy]:[Schooling]])=19</f>
        <v>1</v>
      </c>
    </row>
    <row r="1699" spans="1:23" x14ac:dyDescent="0.25">
      <c r="A1699" t="s">
        <v>478</v>
      </c>
      <c r="B1699">
        <v>2001</v>
      </c>
      <c r="C1699" t="s">
        <v>369</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COUNT(LifeExpectancyData[[#This Row],[Life expectancy]:[Schooling]])=19</f>
        <v>1</v>
      </c>
    </row>
    <row r="1700" spans="1:23" x14ac:dyDescent="0.25">
      <c r="A1700" t="s">
        <v>478</v>
      </c>
      <c r="B1700">
        <v>2000</v>
      </c>
      <c r="C1700" t="s">
        <v>369</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COUNT(LifeExpectancyData[[#This Row],[Life expectancy]:[Schooling]])=19</f>
        <v>1</v>
      </c>
    </row>
    <row r="1701" spans="1:23" x14ac:dyDescent="0.25">
      <c r="A1701" t="s">
        <v>479</v>
      </c>
      <c r="B1701">
        <v>2015</v>
      </c>
      <c r="C1701" t="s">
        <v>369</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COUNT(LifeExpectancyData[[#This Row],[Life expectancy]:[Schooling]])=19</f>
        <v>0</v>
      </c>
    </row>
    <row r="1702" spans="1:23" x14ac:dyDescent="0.25">
      <c r="A1702" t="s">
        <v>479</v>
      </c>
      <c r="B1702">
        <v>2014</v>
      </c>
      <c r="C1702" t="s">
        <v>369</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COUNT(LifeExpectancyData[[#This Row],[Life expectancy]:[Schooling]])=19</f>
        <v>0</v>
      </c>
    </row>
    <row r="1703" spans="1:23" x14ac:dyDescent="0.25">
      <c r="A1703" t="s">
        <v>479</v>
      </c>
      <c r="B1703">
        <v>2013</v>
      </c>
      <c r="C1703" t="s">
        <v>369</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COUNT(LifeExpectancyData[[#This Row],[Life expectancy]:[Schooling]])=19</f>
        <v>0</v>
      </c>
    </row>
    <row r="1704" spans="1:23" x14ac:dyDescent="0.25">
      <c r="A1704" t="s">
        <v>479</v>
      </c>
      <c r="B1704">
        <v>2012</v>
      </c>
      <c r="C1704" t="s">
        <v>369</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COUNT(LifeExpectancyData[[#This Row],[Life expectancy]:[Schooling]])=19</f>
        <v>0</v>
      </c>
    </row>
    <row r="1705" spans="1:23" x14ac:dyDescent="0.25">
      <c r="A1705" t="s">
        <v>479</v>
      </c>
      <c r="B1705">
        <v>2011</v>
      </c>
      <c r="C1705" t="s">
        <v>369</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COUNT(LifeExpectancyData[[#This Row],[Life expectancy]:[Schooling]])=19</f>
        <v>0</v>
      </c>
    </row>
    <row r="1706" spans="1:23" x14ac:dyDescent="0.25">
      <c r="A1706" t="s">
        <v>479</v>
      </c>
      <c r="B1706">
        <v>2010</v>
      </c>
      <c r="C1706" t="s">
        <v>369</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COUNT(LifeExpectancyData[[#This Row],[Life expectancy]:[Schooling]])=19</f>
        <v>0</v>
      </c>
    </row>
    <row r="1707" spans="1:23" x14ac:dyDescent="0.25">
      <c r="A1707" t="s">
        <v>479</v>
      </c>
      <c r="B1707">
        <v>2009</v>
      </c>
      <c r="C1707" t="s">
        <v>369</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COUNT(LifeExpectancyData[[#This Row],[Life expectancy]:[Schooling]])=19</f>
        <v>0</v>
      </c>
    </row>
    <row r="1708" spans="1:23" x14ac:dyDescent="0.25">
      <c r="A1708" t="s">
        <v>479</v>
      </c>
      <c r="B1708">
        <v>2008</v>
      </c>
      <c r="C1708" t="s">
        <v>369</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COUNT(LifeExpectancyData[[#This Row],[Life expectancy]:[Schooling]])=19</f>
        <v>0</v>
      </c>
    </row>
    <row r="1709" spans="1:23" x14ac:dyDescent="0.25">
      <c r="A1709" t="s">
        <v>479</v>
      </c>
      <c r="B1709">
        <v>2007</v>
      </c>
      <c r="C1709" t="s">
        <v>369</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COUNT(LifeExpectancyData[[#This Row],[Life expectancy]:[Schooling]])=19</f>
        <v>0</v>
      </c>
    </row>
    <row r="1710" spans="1:23" x14ac:dyDescent="0.25">
      <c r="A1710" t="s">
        <v>479</v>
      </c>
      <c r="B1710">
        <v>2006</v>
      </c>
      <c r="C1710" t="s">
        <v>369</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COUNT(LifeExpectancyData[[#This Row],[Life expectancy]:[Schooling]])=19</f>
        <v>0</v>
      </c>
    </row>
    <row r="1711" spans="1:23" x14ac:dyDescent="0.25">
      <c r="A1711" t="s">
        <v>479</v>
      </c>
      <c r="B1711">
        <v>2005</v>
      </c>
      <c r="C1711" t="s">
        <v>369</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COUNT(LifeExpectancyData[[#This Row],[Life expectancy]:[Schooling]])=19</f>
        <v>0</v>
      </c>
    </row>
    <row r="1712" spans="1:23" x14ac:dyDescent="0.25">
      <c r="A1712" t="s">
        <v>479</v>
      </c>
      <c r="B1712">
        <v>2004</v>
      </c>
      <c r="C1712" t="s">
        <v>369</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COUNT(LifeExpectancyData[[#This Row],[Life expectancy]:[Schooling]])=19</f>
        <v>0</v>
      </c>
    </row>
    <row r="1713" spans="1:23" x14ac:dyDescent="0.25">
      <c r="A1713" t="s">
        <v>479</v>
      </c>
      <c r="B1713">
        <v>2003</v>
      </c>
      <c r="C1713" t="s">
        <v>369</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COUNT(LifeExpectancyData[[#This Row],[Life expectancy]:[Schooling]])=19</f>
        <v>0</v>
      </c>
    </row>
    <row r="1714" spans="1:23" x14ac:dyDescent="0.25">
      <c r="A1714" t="s">
        <v>479</v>
      </c>
      <c r="B1714">
        <v>2002</v>
      </c>
      <c r="C1714" t="s">
        <v>369</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COUNT(LifeExpectancyData[[#This Row],[Life expectancy]:[Schooling]])=19</f>
        <v>0</v>
      </c>
    </row>
    <row r="1715" spans="1:23" x14ac:dyDescent="0.25">
      <c r="A1715" t="s">
        <v>479</v>
      </c>
      <c r="B1715">
        <v>2001</v>
      </c>
      <c r="C1715" t="s">
        <v>369</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COUNT(LifeExpectancyData[[#This Row],[Life expectancy]:[Schooling]])=19</f>
        <v>0</v>
      </c>
    </row>
    <row r="1716" spans="1:23" x14ac:dyDescent="0.25">
      <c r="A1716" t="s">
        <v>479</v>
      </c>
      <c r="B1716">
        <v>2000</v>
      </c>
      <c r="C1716" t="s">
        <v>369</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COUNT(LifeExpectancyData[[#This Row],[Life expectancy]:[Schooling]])=19</f>
        <v>0</v>
      </c>
    </row>
    <row r="1717" spans="1:23" x14ac:dyDescent="0.25">
      <c r="A1717" t="s">
        <v>480</v>
      </c>
      <c r="B1717">
        <v>2013</v>
      </c>
      <c r="C1717" t="s">
        <v>369</v>
      </c>
      <c r="F1717">
        <v>0</v>
      </c>
      <c r="G1717">
        <v>0.01</v>
      </c>
      <c r="H1717">
        <v>0</v>
      </c>
      <c r="I1717">
        <v>99</v>
      </c>
      <c r="J1717">
        <v>0</v>
      </c>
      <c r="L1717">
        <v>0</v>
      </c>
      <c r="M1717">
        <v>99</v>
      </c>
      <c r="N1717">
        <v>4.3</v>
      </c>
      <c r="O1717">
        <v>99</v>
      </c>
      <c r="P1717">
        <v>0.1</v>
      </c>
      <c r="W1717" t="b">
        <f>COUNT(LifeExpectancyData[[#This Row],[Life expectancy]:[Schooling]])=19</f>
        <v>0</v>
      </c>
    </row>
    <row r="1718" spans="1:23" x14ac:dyDescent="0.25">
      <c r="A1718" t="s">
        <v>481</v>
      </c>
      <c r="B1718">
        <v>2015</v>
      </c>
      <c r="C1718" t="s">
        <v>369</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COUNT(LifeExpectancyData[[#This Row],[Life expectancy]:[Schooling]])=19</f>
        <v>0</v>
      </c>
    </row>
    <row r="1719" spans="1:23" x14ac:dyDescent="0.25">
      <c r="A1719" t="s">
        <v>481</v>
      </c>
      <c r="B1719">
        <v>2014</v>
      </c>
      <c r="C1719" t="s">
        <v>369</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COUNT(LifeExpectancyData[[#This Row],[Life expectancy]:[Schooling]])=19</f>
        <v>1</v>
      </c>
    </row>
    <row r="1720" spans="1:23" x14ac:dyDescent="0.25">
      <c r="A1720" t="s">
        <v>481</v>
      </c>
      <c r="B1720">
        <v>2013</v>
      </c>
      <c r="C1720" t="s">
        <v>369</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COUNT(LifeExpectancyData[[#This Row],[Life expectancy]:[Schooling]])=19</f>
        <v>1</v>
      </c>
    </row>
    <row r="1721" spans="1:23" x14ac:dyDescent="0.25">
      <c r="A1721" t="s">
        <v>481</v>
      </c>
      <c r="B1721">
        <v>2012</v>
      </c>
      <c r="C1721" t="s">
        <v>369</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COUNT(LifeExpectancyData[[#This Row],[Life expectancy]:[Schooling]])=19</f>
        <v>1</v>
      </c>
    </row>
    <row r="1722" spans="1:23" x14ac:dyDescent="0.25">
      <c r="A1722" t="s">
        <v>481</v>
      </c>
      <c r="B1722">
        <v>2011</v>
      </c>
      <c r="C1722" t="s">
        <v>369</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COUNT(LifeExpectancyData[[#This Row],[Life expectancy]:[Schooling]])=19</f>
        <v>1</v>
      </c>
    </row>
    <row r="1723" spans="1:23" x14ac:dyDescent="0.25">
      <c r="A1723" t="s">
        <v>481</v>
      </c>
      <c r="B1723">
        <v>2010</v>
      </c>
      <c r="C1723" t="s">
        <v>369</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COUNT(LifeExpectancyData[[#This Row],[Life expectancy]:[Schooling]])=19</f>
        <v>1</v>
      </c>
    </row>
    <row r="1724" spans="1:23" x14ac:dyDescent="0.25">
      <c r="A1724" t="s">
        <v>481</v>
      </c>
      <c r="B1724">
        <v>2009</v>
      </c>
      <c r="C1724" t="s">
        <v>369</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COUNT(LifeExpectancyData[[#This Row],[Life expectancy]:[Schooling]])=19</f>
        <v>1</v>
      </c>
    </row>
    <row r="1725" spans="1:23" x14ac:dyDescent="0.25">
      <c r="A1725" t="s">
        <v>481</v>
      </c>
      <c r="B1725">
        <v>2008</v>
      </c>
      <c r="C1725" t="s">
        <v>369</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COUNT(LifeExpectancyData[[#This Row],[Life expectancy]:[Schooling]])=19</f>
        <v>1</v>
      </c>
    </row>
    <row r="1726" spans="1:23" x14ac:dyDescent="0.25">
      <c r="A1726" t="s">
        <v>481</v>
      </c>
      <c r="B1726">
        <v>2007</v>
      </c>
      <c r="C1726" t="s">
        <v>369</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COUNT(LifeExpectancyData[[#This Row],[Life expectancy]:[Schooling]])=19</f>
        <v>1</v>
      </c>
    </row>
    <row r="1727" spans="1:23" x14ac:dyDescent="0.25">
      <c r="A1727" t="s">
        <v>481</v>
      </c>
      <c r="B1727">
        <v>2006</v>
      </c>
      <c r="C1727" t="s">
        <v>369</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COUNT(LifeExpectancyData[[#This Row],[Life expectancy]:[Schooling]])=19</f>
        <v>1</v>
      </c>
    </row>
    <row r="1728" spans="1:23" x14ac:dyDescent="0.25">
      <c r="A1728" t="s">
        <v>481</v>
      </c>
      <c r="B1728">
        <v>2005</v>
      </c>
      <c r="C1728" t="s">
        <v>369</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COUNT(LifeExpectancyData[[#This Row],[Life expectancy]:[Schooling]])=19</f>
        <v>1</v>
      </c>
    </row>
    <row r="1729" spans="1:23" x14ac:dyDescent="0.25">
      <c r="A1729" t="s">
        <v>481</v>
      </c>
      <c r="B1729">
        <v>2004</v>
      </c>
      <c r="C1729" t="s">
        <v>369</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COUNT(LifeExpectancyData[[#This Row],[Life expectancy]:[Schooling]])=19</f>
        <v>1</v>
      </c>
    </row>
    <row r="1730" spans="1:23" x14ac:dyDescent="0.25">
      <c r="A1730" t="s">
        <v>481</v>
      </c>
      <c r="B1730">
        <v>2003</v>
      </c>
      <c r="C1730" t="s">
        <v>369</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COUNT(LifeExpectancyData[[#This Row],[Life expectancy]:[Schooling]])=19</f>
        <v>1</v>
      </c>
    </row>
    <row r="1731" spans="1:23" x14ac:dyDescent="0.25">
      <c r="A1731" t="s">
        <v>481</v>
      </c>
      <c r="B1731">
        <v>2002</v>
      </c>
      <c r="C1731" t="s">
        <v>369</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COUNT(LifeExpectancyData[[#This Row],[Life expectancy]:[Schooling]])=19</f>
        <v>1</v>
      </c>
    </row>
    <row r="1732" spans="1:23" x14ac:dyDescent="0.25">
      <c r="A1732" t="s">
        <v>481</v>
      </c>
      <c r="B1732">
        <v>2001</v>
      </c>
      <c r="C1732" t="s">
        <v>369</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COUNT(LifeExpectancyData[[#This Row],[Life expectancy]:[Schooling]])=19</f>
        <v>1</v>
      </c>
    </row>
    <row r="1733" spans="1:23" x14ac:dyDescent="0.25">
      <c r="A1733" t="s">
        <v>481</v>
      </c>
      <c r="B1733">
        <v>2000</v>
      </c>
      <c r="C1733" t="s">
        <v>369</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COUNT(LifeExpectancyData[[#This Row],[Life expectancy]:[Schooling]])=19</f>
        <v>1</v>
      </c>
    </row>
    <row r="1734" spans="1:23" x14ac:dyDescent="0.25">
      <c r="A1734" t="s">
        <v>482</v>
      </c>
      <c r="B1734">
        <v>2015</v>
      </c>
      <c r="C1734" t="s">
        <v>369</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COUNT(LifeExpectancyData[[#This Row],[Life expectancy]:[Schooling]])=19</f>
        <v>0</v>
      </c>
    </row>
    <row r="1735" spans="1:23" x14ac:dyDescent="0.25">
      <c r="A1735" t="s">
        <v>482</v>
      </c>
      <c r="B1735">
        <v>2014</v>
      </c>
      <c r="C1735" t="s">
        <v>369</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COUNT(LifeExpectancyData[[#This Row],[Life expectancy]:[Schooling]])=19</f>
        <v>1</v>
      </c>
    </row>
    <row r="1736" spans="1:23" x14ac:dyDescent="0.25">
      <c r="A1736" t="s">
        <v>482</v>
      </c>
      <c r="B1736">
        <v>2013</v>
      </c>
      <c r="C1736" t="s">
        <v>369</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COUNT(LifeExpectancyData[[#This Row],[Life expectancy]:[Schooling]])=19</f>
        <v>1</v>
      </c>
    </row>
    <row r="1737" spans="1:23" x14ac:dyDescent="0.25">
      <c r="A1737" t="s">
        <v>482</v>
      </c>
      <c r="B1737">
        <v>2012</v>
      </c>
      <c r="C1737" t="s">
        <v>369</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COUNT(LifeExpectancyData[[#This Row],[Life expectancy]:[Schooling]])=19</f>
        <v>1</v>
      </c>
    </row>
    <row r="1738" spans="1:23" x14ac:dyDescent="0.25">
      <c r="A1738" t="s">
        <v>482</v>
      </c>
      <c r="B1738">
        <v>2011</v>
      </c>
      <c r="C1738" t="s">
        <v>369</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COUNT(LifeExpectancyData[[#This Row],[Life expectancy]:[Schooling]])=19</f>
        <v>1</v>
      </c>
    </row>
    <row r="1739" spans="1:23" x14ac:dyDescent="0.25">
      <c r="A1739" t="s">
        <v>482</v>
      </c>
      <c r="B1739">
        <v>2010</v>
      </c>
      <c r="C1739" t="s">
        <v>369</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COUNT(LifeExpectancyData[[#This Row],[Life expectancy]:[Schooling]])=19</f>
        <v>1</v>
      </c>
    </row>
    <row r="1740" spans="1:23" x14ac:dyDescent="0.25">
      <c r="A1740" t="s">
        <v>482</v>
      </c>
      <c r="B1740">
        <v>2009</v>
      </c>
      <c r="C1740" t="s">
        <v>369</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COUNT(LifeExpectancyData[[#This Row],[Life expectancy]:[Schooling]])=19</f>
        <v>1</v>
      </c>
    </row>
    <row r="1741" spans="1:23" x14ac:dyDescent="0.25">
      <c r="A1741" t="s">
        <v>482</v>
      </c>
      <c r="B1741">
        <v>2008</v>
      </c>
      <c r="C1741" t="s">
        <v>369</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COUNT(LifeExpectancyData[[#This Row],[Life expectancy]:[Schooling]])=19</f>
        <v>1</v>
      </c>
    </row>
    <row r="1742" spans="1:23" x14ac:dyDescent="0.25">
      <c r="A1742" t="s">
        <v>482</v>
      </c>
      <c r="B1742">
        <v>2007</v>
      </c>
      <c r="C1742" t="s">
        <v>369</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COUNT(LifeExpectancyData[[#This Row],[Life expectancy]:[Schooling]])=19</f>
        <v>1</v>
      </c>
    </row>
    <row r="1743" spans="1:23" x14ac:dyDescent="0.25">
      <c r="A1743" t="s">
        <v>482</v>
      </c>
      <c r="B1743">
        <v>2006</v>
      </c>
      <c r="C1743" t="s">
        <v>369</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COUNT(LifeExpectancyData[[#This Row],[Life expectancy]:[Schooling]])=19</f>
        <v>1</v>
      </c>
    </row>
    <row r="1744" spans="1:23" x14ac:dyDescent="0.25">
      <c r="A1744" t="s">
        <v>482</v>
      </c>
      <c r="B1744">
        <v>2005</v>
      </c>
      <c r="C1744" t="s">
        <v>369</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COUNT(LifeExpectancyData[[#This Row],[Life expectancy]:[Schooling]])=19</f>
        <v>0</v>
      </c>
    </row>
    <row r="1745" spans="1:23" x14ac:dyDescent="0.25">
      <c r="A1745" t="s">
        <v>482</v>
      </c>
      <c r="B1745">
        <v>2004</v>
      </c>
      <c r="C1745" t="s">
        <v>369</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COUNT(LifeExpectancyData[[#This Row],[Life expectancy]:[Schooling]])=19</f>
        <v>0</v>
      </c>
    </row>
    <row r="1746" spans="1:23" x14ac:dyDescent="0.25">
      <c r="A1746" t="s">
        <v>482</v>
      </c>
      <c r="B1746">
        <v>2003</v>
      </c>
      <c r="C1746" t="s">
        <v>369</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COUNT(LifeExpectancyData[[#This Row],[Life expectancy]:[Schooling]])=19</f>
        <v>0</v>
      </c>
    </row>
    <row r="1747" spans="1:23" x14ac:dyDescent="0.25">
      <c r="A1747" t="s">
        <v>482</v>
      </c>
      <c r="B1747">
        <v>2002</v>
      </c>
      <c r="C1747" t="s">
        <v>369</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COUNT(LifeExpectancyData[[#This Row],[Life expectancy]:[Schooling]])=19</f>
        <v>0</v>
      </c>
    </row>
    <row r="1748" spans="1:23" x14ac:dyDescent="0.25">
      <c r="A1748" t="s">
        <v>482</v>
      </c>
      <c r="B1748">
        <v>2001</v>
      </c>
      <c r="C1748" t="s">
        <v>369</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COUNT(LifeExpectancyData[[#This Row],[Life expectancy]:[Schooling]])=19</f>
        <v>0</v>
      </c>
    </row>
    <row r="1749" spans="1:23" x14ac:dyDescent="0.25">
      <c r="A1749" t="s">
        <v>482</v>
      </c>
      <c r="B1749">
        <v>2000</v>
      </c>
      <c r="C1749" t="s">
        <v>369</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COUNT(LifeExpectancyData[[#This Row],[Life expectancy]:[Schooling]])=19</f>
        <v>0</v>
      </c>
    </row>
    <row r="1750" spans="1:23" x14ac:dyDescent="0.25">
      <c r="A1750" t="s">
        <v>483</v>
      </c>
      <c r="B1750">
        <v>2015</v>
      </c>
      <c r="C1750" t="s">
        <v>369</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COUNT(LifeExpectancyData[[#This Row],[Life expectancy]:[Schooling]])=19</f>
        <v>0</v>
      </c>
    </row>
    <row r="1751" spans="1:23" x14ac:dyDescent="0.25">
      <c r="A1751" t="s">
        <v>483</v>
      </c>
      <c r="B1751">
        <v>2014</v>
      </c>
      <c r="C1751" t="s">
        <v>369</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COUNT(LifeExpectancyData[[#This Row],[Life expectancy]:[Schooling]])=19</f>
        <v>1</v>
      </c>
    </row>
    <row r="1752" spans="1:23" x14ac:dyDescent="0.25">
      <c r="A1752" t="s">
        <v>483</v>
      </c>
      <c r="B1752">
        <v>2013</v>
      </c>
      <c r="C1752" t="s">
        <v>369</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COUNT(LifeExpectancyData[[#This Row],[Life expectancy]:[Schooling]])=19</f>
        <v>1</v>
      </c>
    </row>
    <row r="1753" spans="1:23" x14ac:dyDescent="0.25">
      <c r="A1753" t="s">
        <v>483</v>
      </c>
      <c r="B1753">
        <v>2012</v>
      </c>
      <c r="C1753" t="s">
        <v>369</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COUNT(LifeExpectancyData[[#This Row],[Life expectancy]:[Schooling]])=19</f>
        <v>1</v>
      </c>
    </row>
    <row r="1754" spans="1:23" x14ac:dyDescent="0.25">
      <c r="A1754" t="s">
        <v>483</v>
      </c>
      <c r="B1754">
        <v>2011</v>
      </c>
      <c r="C1754" t="s">
        <v>369</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COUNT(LifeExpectancyData[[#This Row],[Life expectancy]:[Schooling]])=19</f>
        <v>1</v>
      </c>
    </row>
    <row r="1755" spans="1:23" x14ac:dyDescent="0.25">
      <c r="A1755" t="s">
        <v>483</v>
      </c>
      <c r="B1755">
        <v>2010</v>
      </c>
      <c r="C1755" t="s">
        <v>369</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COUNT(LifeExpectancyData[[#This Row],[Life expectancy]:[Schooling]])=19</f>
        <v>1</v>
      </c>
    </row>
    <row r="1756" spans="1:23" x14ac:dyDescent="0.25">
      <c r="A1756" t="s">
        <v>483</v>
      </c>
      <c r="B1756">
        <v>2009</v>
      </c>
      <c r="C1756" t="s">
        <v>369</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COUNT(LifeExpectancyData[[#This Row],[Life expectancy]:[Schooling]])=19</f>
        <v>1</v>
      </c>
    </row>
    <row r="1757" spans="1:23" x14ac:dyDescent="0.25">
      <c r="A1757" t="s">
        <v>483</v>
      </c>
      <c r="B1757">
        <v>2008</v>
      </c>
      <c r="C1757" t="s">
        <v>369</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COUNT(LifeExpectancyData[[#This Row],[Life expectancy]:[Schooling]])=19</f>
        <v>1</v>
      </c>
    </row>
    <row r="1758" spans="1:23" x14ac:dyDescent="0.25">
      <c r="A1758" t="s">
        <v>483</v>
      </c>
      <c r="B1758">
        <v>2007</v>
      </c>
      <c r="C1758" t="s">
        <v>369</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COUNT(LifeExpectancyData[[#This Row],[Life expectancy]:[Schooling]])=19</f>
        <v>1</v>
      </c>
    </row>
    <row r="1759" spans="1:23" x14ac:dyDescent="0.25">
      <c r="A1759" t="s">
        <v>483</v>
      </c>
      <c r="B1759">
        <v>2006</v>
      </c>
      <c r="C1759" t="s">
        <v>369</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COUNT(LifeExpectancyData[[#This Row],[Life expectancy]:[Schooling]])=19</f>
        <v>1</v>
      </c>
    </row>
    <row r="1760" spans="1:23" x14ac:dyDescent="0.25">
      <c r="A1760" t="s">
        <v>483</v>
      </c>
      <c r="B1760">
        <v>2005</v>
      </c>
      <c r="C1760" t="s">
        <v>369</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COUNT(LifeExpectancyData[[#This Row],[Life expectancy]:[Schooling]])=19</f>
        <v>1</v>
      </c>
    </row>
    <row r="1761" spans="1:23" x14ac:dyDescent="0.25">
      <c r="A1761" t="s">
        <v>483</v>
      </c>
      <c r="B1761">
        <v>2004</v>
      </c>
      <c r="C1761" t="s">
        <v>369</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COUNT(LifeExpectancyData[[#This Row],[Life expectancy]:[Schooling]])=19</f>
        <v>1</v>
      </c>
    </row>
    <row r="1762" spans="1:23" x14ac:dyDescent="0.25">
      <c r="A1762" t="s">
        <v>483</v>
      </c>
      <c r="B1762">
        <v>2003</v>
      </c>
      <c r="C1762" t="s">
        <v>369</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COUNT(LifeExpectancyData[[#This Row],[Life expectancy]:[Schooling]])=19</f>
        <v>1</v>
      </c>
    </row>
    <row r="1763" spans="1:23" x14ac:dyDescent="0.25">
      <c r="A1763" t="s">
        <v>483</v>
      </c>
      <c r="B1763">
        <v>2002</v>
      </c>
      <c r="C1763" t="s">
        <v>369</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COUNT(LifeExpectancyData[[#This Row],[Life expectancy]:[Schooling]])=19</f>
        <v>1</v>
      </c>
    </row>
    <row r="1764" spans="1:23" x14ac:dyDescent="0.25">
      <c r="A1764" t="s">
        <v>483</v>
      </c>
      <c r="B1764">
        <v>2001</v>
      </c>
      <c r="C1764" t="s">
        <v>369</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COUNT(LifeExpectancyData[[#This Row],[Life expectancy]:[Schooling]])=19</f>
        <v>1</v>
      </c>
    </row>
    <row r="1765" spans="1:23" x14ac:dyDescent="0.25">
      <c r="A1765" t="s">
        <v>483</v>
      </c>
      <c r="B1765">
        <v>2000</v>
      </c>
      <c r="C1765" t="s">
        <v>369</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COUNT(LifeExpectancyData[[#This Row],[Life expectancy]:[Schooling]])=19</f>
        <v>1</v>
      </c>
    </row>
    <row r="1766" spans="1:23" x14ac:dyDescent="0.25">
      <c r="A1766" t="s">
        <v>484</v>
      </c>
      <c r="B1766">
        <v>2015</v>
      </c>
      <c r="C1766" t="s">
        <v>369</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COUNT(LifeExpectancyData[[#This Row],[Life expectancy]:[Schooling]])=19</f>
        <v>0</v>
      </c>
    </row>
    <row r="1767" spans="1:23" x14ac:dyDescent="0.25">
      <c r="A1767" t="s">
        <v>484</v>
      </c>
      <c r="B1767">
        <v>2014</v>
      </c>
      <c r="C1767" t="s">
        <v>369</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COUNT(LifeExpectancyData[[#This Row],[Life expectancy]:[Schooling]])=19</f>
        <v>1</v>
      </c>
    </row>
    <row r="1768" spans="1:23" x14ac:dyDescent="0.25">
      <c r="A1768" t="s">
        <v>484</v>
      </c>
      <c r="B1768">
        <v>2013</v>
      </c>
      <c r="C1768" t="s">
        <v>369</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COUNT(LifeExpectancyData[[#This Row],[Life expectancy]:[Schooling]])=19</f>
        <v>1</v>
      </c>
    </row>
    <row r="1769" spans="1:23" x14ac:dyDescent="0.25">
      <c r="A1769" t="s">
        <v>484</v>
      </c>
      <c r="B1769">
        <v>2012</v>
      </c>
      <c r="C1769" t="s">
        <v>369</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COUNT(LifeExpectancyData[[#This Row],[Life expectancy]:[Schooling]])=19</f>
        <v>1</v>
      </c>
    </row>
    <row r="1770" spans="1:23" x14ac:dyDescent="0.25">
      <c r="A1770" t="s">
        <v>484</v>
      </c>
      <c r="B1770">
        <v>2011</v>
      </c>
      <c r="C1770" t="s">
        <v>369</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COUNT(LifeExpectancyData[[#This Row],[Life expectancy]:[Schooling]])=19</f>
        <v>1</v>
      </c>
    </row>
    <row r="1771" spans="1:23" x14ac:dyDescent="0.25">
      <c r="A1771" t="s">
        <v>484</v>
      </c>
      <c r="B1771">
        <v>2010</v>
      </c>
      <c r="C1771" t="s">
        <v>369</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COUNT(LifeExpectancyData[[#This Row],[Life expectancy]:[Schooling]])=19</f>
        <v>1</v>
      </c>
    </row>
    <row r="1772" spans="1:23" x14ac:dyDescent="0.25">
      <c r="A1772" t="s">
        <v>484</v>
      </c>
      <c r="B1772">
        <v>2009</v>
      </c>
      <c r="C1772" t="s">
        <v>369</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COUNT(LifeExpectancyData[[#This Row],[Life expectancy]:[Schooling]])=19</f>
        <v>1</v>
      </c>
    </row>
    <row r="1773" spans="1:23" x14ac:dyDescent="0.25">
      <c r="A1773" t="s">
        <v>484</v>
      </c>
      <c r="B1773">
        <v>2008</v>
      </c>
      <c r="C1773" t="s">
        <v>369</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COUNT(LifeExpectancyData[[#This Row],[Life expectancy]:[Schooling]])=19</f>
        <v>1</v>
      </c>
    </row>
    <row r="1774" spans="1:23" x14ac:dyDescent="0.25">
      <c r="A1774" t="s">
        <v>484</v>
      </c>
      <c r="B1774">
        <v>2007</v>
      </c>
      <c r="C1774" t="s">
        <v>369</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COUNT(LifeExpectancyData[[#This Row],[Life expectancy]:[Schooling]])=19</f>
        <v>1</v>
      </c>
    </row>
    <row r="1775" spans="1:23" x14ac:dyDescent="0.25">
      <c r="A1775" t="s">
        <v>484</v>
      </c>
      <c r="B1775">
        <v>2006</v>
      </c>
      <c r="C1775" t="s">
        <v>369</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COUNT(LifeExpectancyData[[#This Row],[Life expectancy]:[Schooling]])=19</f>
        <v>1</v>
      </c>
    </row>
    <row r="1776" spans="1:23" x14ac:dyDescent="0.25">
      <c r="A1776" t="s">
        <v>484</v>
      </c>
      <c r="B1776">
        <v>2005</v>
      </c>
      <c r="C1776" t="s">
        <v>369</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COUNT(LifeExpectancyData[[#This Row],[Life expectancy]:[Schooling]])=19</f>
        <v>1</v>
      </c>
    </row>
    <row r="1777" spans="1:23" x14ac:dyDescent="0.25">
      <c r="A1777" t="s">
        <v>484</v>
      </c>
      <c r="B1777">
        <v>2004</v>
      </c>
      <c r="C1777" t="s">
        <v>369</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COUNT(LifeExpectancyData[[#This Row],[Life expectancy]:[Schooling]])=19</f>
        <v>1</v>
      </c>
    </row>
    <row r="1778" spans="1:23" x14ac:dyDescent="0.25">
      <c r="A1778" t="s">
        <v>484</v>
      </c>
      <c r="B1778">
        <v>2003</v>
      </c>
      <c r="C1778" t="s">
        <v>369</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COUNT(LifeExpectancyData[[#This Row],[Life expectancy]:[Schooling]])=19</f>
        <v>1</v>
      </c>
    </row>
    <row r="1779" spans="1:23" x14ac:dyDescent="0.25">
      <c r="A1779" t="s">
        <v>484</v>
      </c>
      <c r="B1779">
        <v>2002</v>
      </c>
      <c r="C1779" t="s">
        <v>369</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COUNT(LifeExpectancyData[[#This Row],[Life expectancy]:[Schooling]])=19</f>
        <v>1</v>
      </c>
    </row>
    <row r="1780" spans="1:23" x14ac:dyDescent="0.25">
      <c r="A1780" t="s">
        <v>484</v>
      </c>
      <c r="B1780">
        <v>2001</v>
      </c>
      <c r="C1780" t="s">
        <v>369</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COUNT(LifeExpectancyData[[#This Row],[Life expectancy]:[Schooling]])=19</f>
        <v>1</v>
      </c>
    </row>
    <row r="1781" spans="1:23" x14ac:dyDescent="0.25">
      <c r="A1781" t="s">
        <v>484</v>
      </c>
      <c r="B1781">
        <v>2000</v>
      </c>
      <c r="C1781" t="s">
        <v>369</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COUNT(LifeExpectancyData[[#This Row],[Life expectancy]:[Schooling]])=19</f>
        <v>0</v>
      </c>
    </row>
    <row r="1782" spans="1:23" x14ac:dyDescent="0.25">
      <c r="A1782" t="s">
        <v>485</v>
      </c>
      <c r="B1782">
        <v>2015</v>
      </c>
      <c r="C1782" t="s">
        <v>369</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COUNT(LifeExpectancyData[[#This Row],[Life expectancy]:[Schooling]])=19</f>
        <v>0</v>
      </c>
    </row>
    <row r="1783" spans="1:23" x14ac:dyDescent="0.25">
      <c r="A1783" t="s">
        <v>485</v>
      </c>
      <c r="B1783">
        <v>2014</v>
      </c>
      <c r="C1783" t="s">
        <v>369</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COUNT(LifeExpectancyData[[#This Row],[Life expectancy]:[Schooling]])=19</f>
        <v>1</v>
      </c>
    </row>
    <row r="1784" spans="1:23" x14ac:dyDescent="0.25">
      <c r="A1784" t="s">
        <v>485</v>
      </c>
      <c r="B1784">
        <v>2013</v>
      </c>
      <c r="C1784" t="s">
        <v>369</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COUNT(LifeExpectancyData[[#This Row],[Life expectancy]:[Schooling]])=19</f>
        <v>1</v>
      </c>
    </row>
    <row r="1785" spans="1:23" x14ac:dyDescent="0.25">
      <c r="A1785" t="s">
        <v>485</v>
      </c>
      <c r="B1785">
        <v>2012</v>
      </c>
      <c r="C1785" t="s">
        <v>369</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COUNT(LifeExpectancyData[[#This Row],[Life expectancy]:[Schooling]])=19</f>
        <v>1</v>
      </c>
    </row>
    <row r="1786" spans="1:23" x14ac:dyDescent="0.25">
      <c r="A1786" t="s">
        <v>485</v>
      </c>
      <c r="B1786">
        <v>2011</v>
      </c>
      <c r="C1786" t="s">
        <v>369</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COUNT(LifeExpectancyData[[#This Row],[Life expectancy]:[Schooling]])=19</f>
        <v>1</v>
      </c>
    </row>
    <row r="1787" spans="1:23" x14ac:dyDescent="0.25">
      <c r="A1787" t="s">
        <v>485</v>
      </c>
      <c r="B1787">
        <v>2010</v>
      </c>
      <c r="C1787" t="s">
        <v>369</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COUNT(LifeExpectancyData[[#This Row],[Life expectancy]:[Schooling]])=19</f>
        <v>1</v>
      </c>
    </row>
    <row r="1788" spans="1:23" x14ac:dyDescent="0.25">
      <c r="A1788" t="s">
        <v>485</v>
      </c>
      <c r="B1788">
        <v>2009</v>
      </c>
      <c r="C1788" t="s">
        <v>369</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COUNT(LifeExpectancyData[[#This Row],[Life expectancy]:[Schooling]])=19</f>
        <v>1</v>
      </c>
    </row>
    <row r="1789" spans="1:23" x14ac:dyDescent="0.25">
      <c r="A1789" t="s">
        <v>485</v>
      </c>
      <c r="B1789">
        <v>2008</v>
      </c>
      <c r="C1789" t="s">
        <v>369</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COUNT(LifeExpectancyData[[#This Row],[Life expectancy]:[Schooling]])=19</f>
        <v>1</v>
      </c>
    </row>
    <row r="1790" spans="1:23" x14ac:dyDescent="0.25">
      <c r="A1790" t="s">
        <v>485</v>
      </c>
      <c r="B1790">
        <v>2007</v>
      </c>
      <c r="C1790" t="s">
        <v>369</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COUNT(LifeExpectancyData[[#This Row],[Life expectancy]:[Schooling]])=19</f>
        <v>1</v>
      </c>
    </row>
    <row r="1791" spans="1:23" x14ac:dyDescent="0.25">
      <c r="A1791" t="s">
        <v>485</v>
      </c>
      <c r="B1791">
        <v>2006</v>
      </c>
      <c r="C1791" t="s">
        <v>369</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COUNT(LifeExpectancyData[[#This Row],[Life expectancy]:[Schooling]])=19</f>
        <v>1</v>
      </c>
    </row>
    <row r="1792" spans="1:23" x14ac:dyDescent="0.25">
      <c r="A1792" t="s">
        <v>485</v>
      </c>
      <c r="B1792">
        <v>2005</v>
      </c>
      <c r="C1792" t="s">
        <v>369</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COUNT(LifeExpectancyData[[#This Row],[Life expectancy]:[Schooling]])=19</f>
        <v>1</v>
      </c>
    </row>
    <row r="1793" spans="1:23" x14ac:dyDescent="0.25">
      <c r="A1793" t="s">
        <v>485</v>
      </c>
      <c r="B1793">
        <v>2004</v>
      </c>
      <c r="C1793" t="s">
        <v>369</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COUNT(LifeExpectancyData[[#This Row],[Life expectancy]:[Schooling]])=19</f>
        <v>1</v>
      </c>
    </row>
    <row r="1794" spans="1:23" x14ac:dyDescent="0.25">
      <c r="A1794" t="s">
        <v>485</v>
      </c>
      <c r="B1794">
        <v>2003</v>
      </c>
      <c r="C1794" t="s">
        <v>369</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COUNT(LifeExpectancyData[[#This Row],[Life expectancy]:[Schooling]])=19</f>
        <v>1</v>
      </c>
    </row>
    <row r="1795" spans="1:23" x14ac:dyDescent="0.25">
      <c r="A1795" t="s">
        <v>485</v>
      </c>
      <c r="B1795">
        <v>2002</v>
      </c>
      <c r="C1795" t="s">
        <v>369</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COUNT(LifeExpectancyData[[#This Row],[Life expectancy]:[Schooling]])=19</f>
        <v>0</v>
      </c>
    </row>
    <row r="1796" spans="1:23" x14ac:dyDescent="0.25">
      <c r="A1796" t="s">
        <v>485</v>
      </c>
      <c r="B1796">
        <v>2001</v>
      </c>
      <c r="C1796" t="s">
        <v>369</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COUNT(LifeExpectancyData[[#This Row],[Life expectancy]:[Schooling]])=19</f>
        <v>0</v>
      </c>
    </row>
    <row r="1797" spans="1:23" x14ac:dyDescent="0.25">
      <c r="A1797" t="s">
        <v>485</v>
      </c>
      <c r="B1797">
        <v>2000</v>
      </c>
      <c r="C1797" t="s">
        <v>369</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COUNT(LifeExpectancyData[[#This Row],[Life expectancy]:[Schooling]])=19</f>
        <v>0</v>
      </c>
    </row>
    <row r="1798" spans="1:23" x14ac:dyDescent="0.25">
      <c r="A1798" t="s">
        <v>486</v>
      </c>
      <c r="B1798">
        <v>2015</v>
      </c>
      <c r="C1798" t="s">
        <v>369</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COUNT(LifeExpectancyData[[#This Row],[Life expectancy]:[Schooling]])=19</f>
        <v>0</v>
      </c>
    </row>
    <row r="1799" spans="1:23" x14ac:dyDescent="0.25">
      <c r="A1799" t="s">
        <v>486</v>
      </c>
      <c r="B1799">
        <v>2014</v>
      </c>
      <c r="C1799" t="s">
        <v>369</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COUNT(LifeExpectancyData[[#This Row],[Life expectancy]:[Schooling]])=19</f>
        <v>1</v>
      </c>
    </row>
    <row r="1800" spans="1:23" x14ac:dyDescent="0.25">
      <c r="A1800" t="s">
        <v>486</v>
      </c>
      <c r="B1800">
        <v>2013</v>
      </c>
      <c r="C1800" t="s">
        <v>369</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COUNT(LifeExpectancyData[[#This Row],[Life expectancy]:[Schooling]])=19</f>
        <v>1</v>
      </c>
    </row>
    <row r="1801" spans="1:23" x14ac:dyDescent="0.25">
      <c r="A1801" t="s">
        <v>486</v>
      </c>
      <c r="B1801">
        <v>2012</v>
      </c>
      <c r="C1801" t="s">
        <v>369</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COUNT(LifeExpectancyData[[#This Row],[Life expectancy]:[Schooling]])=19</f>
        <v>1</v>
      </c>
    </row>
    <row r="1802" spans="1:23" x14ac:dyDescent="0.25">
      <c r="A1802" t="s">
        <v>486</v>
      </c>
      <c r="B1802">
        <v>2011</v>
      </c>
      <c r="C1802" t="s">
        <v>369</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COUNT(LifeExpectancyData[[#This Row],[Life expectancy]:[Schooling]])=19</f>
        <v>1</v>
      </c>
    </row>
    <row r="1803" spans="1:23" x14ac:dyDescent="0.25">
      <c r="A1803" t="s">
        <v>486</v>
      </c>
      <c r="B1803">
        <v>2010</v>
      </c>
      <c r="C1803" t="s">
        <v>369</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COUNT(LifeExpectancyData[[#This Row],[Life expectancy]:[Schooling]])=19</f>
        <v>1</v>
      </c>
    </row>
    <row r="1804" spans="1:23" x14ac:dyDescent="0.25">
      <c r="A1804" t="s">
        <v>486</v>
      </c>
      <c r="B1804">
        <v>2009</v>
      </c>
      <c r="C1804" t="s">
        <v>369</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COUNT(LifeExpectancyData[[#This Row],[Life expectancy]:[Schooling]])=19</f>
        <v>0</v>
      </c>
    </row>
    <row r="1805" spans="1:23" x14ac:dyDescent="0.25">
      <c r="A1805" t="s">
        <v>486</v>
      </c>
      <c r="B1805">
        <v>2008</v>
      </c>
      <c r="C1805" t="s">
        <v>369</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COUNT(LifeExpectancyData[[#This Row],[Life expectancy]:[Schooling]])=19</f>
        <v>0</v>
      </c>
    </row>
    <row r="1806" spans="1:23" x14ac:dyDescent="0.25">
      <c r="A1806" t="s">
        <v>486</v>
      </c>
      <c r="B1806">
        <v>2007</v>
      </c>
      <c r="C1806" t="s">
        <v>369</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COUNT(LifeExpectancyData[[#This Row],[Life expectancy]:[Schooling]])=19</f>
        <v>0</v>
      </c>
    </row>
    <row r="1807" spans="1:23" x14ac:dyDescent="0.25">
      <c r="A1807" t="s">
        <v>486</v>
      </c>
      <c r="B1807">
        <v>2006</v>
      </c>
      <c r="C1807" t="s">
        <v>369</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COUNT(LifeExpectancyData[[#This Row],[Life expectancy]:[Schooling]])=19</f>
        <v>0</v>
      </c>
    </row>
    <row r="1808" spans="1:23" x14ac:dyDescent="0.25">
      <c r="A1808" t="s">
        <v>486</v>
      </c>
      <c r="B1808">
        <v>2005</v>
      </c>
      <c r="C1808" t="s">
        <v>369</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COUNT(LifeExpectancyData[[#This Row],[Life expectancy]:[Schooling]])=19</f>
        <v>0</v>
      </c>
    </row>
    <row r="1809" spans="1:23" x14ac:dyDescent="0.25">
      <c r="A1809" t="s">
        <v>486</v>
      </c>
      <c r="B1809">
        <v>2004</v>
      </c>
      <c r="C1809" t="s">
        <v>369</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COUNT(LifeExpectancyData[[#This Row],[Life expectancy]:[Schooling]])=19</f>
        <v>0</v>
      </c>
    </row>
    <row r="1810" spans="1:23" x14ac:dyDescent="0.25">
      <c r="A1810" t="s">
        <v>486</v>
      </c>
      <c r="B1810">
        <v>2003</v>
      </c>
      <c r="C1810" t="s">
        <v>369</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COUNT(LifeExpectancyData[[#This Row],[Life expectancy]:[Schooling]])=19</f>
        <v>0</v>
      </c>
    </row>
    <row r="1811" spans="1:23" x14ac:dyDescent="0.25">
      <c r="A1811" t="s">
        <v>486</v>
      </c>
      <c r="B1811">
        <v>2002</v>
      </c>
      <c r="C1811" t="s">
        <v>369</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COUNT(LifeExpectancyData[[#This Row],[Life expectancy]:[Schooling]])=19</f>
        <v>0</v>
      </c>
    </row>
    <row r="1812" spans="1:23" x14ac:dyDescent="0.25">
      <c r="A1812" t="s">
        <v>486</v>
      </c>
      <c r="B1812">
        <v>2001</v>
      </c>
      <c r="C1812" t="s">
        <v>369</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COUNT(LifeExpectancyData[[#This Row],[Life expectancy]:[Schooling]])=19</f>
        <v>0</v>
      </c>
    </row>
    <row r="1813" spans="1:23" x14ac:dyDescent="0.25">
      <c r="A1813" t="s">
        <v>486</v>
      </c>
      <c r="B1813">
        <v>2000</v>
      </c>
      <c r="C1813" t="s">
        <v>369</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COUNT(LifeExpectancyData[[#This Row],[Life expectancy]:[Schooling]])=19</f>
        <v>0</v>
      </c>
    </row>
    <row r="1814" spans="1:23" x14ac:dyDescent="0.25">
      <c r="A1814" t="s">
        <v>487</v>
      </c>
      <c r="B1814">
        <v>2013</v>
      </c>
      <c r="C1814" t="s">
        <v>369</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COUNT(LifeExpectancyData[[#This Row],[Life expectancy]:[Schooling]])=19</f>
        <v>0</v>
      </c>
    </row>
    <row r="1815" spans="1:23" x14ac:dyDescent="0.25">
      <c r="A1815" t="s">
        <v>488</v>
      </c>
      <c r="B1815">
        <v>2015</v>
      </c>
      <c r="C1815" t="s">
        <v>369</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COUNT(LifeExpectancyData[[#This Row],[Life expectancy]:[Schooling]])=19</f>
        <v>0</v>
      </c>
    </row>
    <row r="1816" spans="1:23" x14ac:dyDescent="0.25">
      <c r="A1816" t="s">
        <v>488</v>
      </c>
      <c r="B1816">
        <v>2014</v>
      </c>
      <c r="C1816" t="s">
        <v>369</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COUNT(LifeExpectancyData[[#This Row],[Life expectancy]:[Schooling]])=19</f>
        <v>1</v>
      </c>
    </row>
    <row r="1817" spans="1:23" x14ac:dyDescent="0.25">
      <c r="A1817" t="s">
        <v>488</v>
      </c>
      <c r="B1817">
        <v>2013</v>
      </c>
      <c r="C1817" t="s">
        <v>369</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COUNT(LifeExpectancyData[[#This Row],[Life expectancy]:[Schooling]])=19</f>
        <v>1</v>
      </c>
    </row>
    <row r="1818" spans="1:23" x14ac:dyDescent="0.25">
      <c r="A1818" t="s">
        <v>488</v>
      </c>
      <c r="B1818">
        <v>2012</v>
      </c>
      <c r="C1818" t="s">
        <v>369</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COUNT(LifeExpectancyData[[#This Row],[Life expectancy]:[Schooling]])=19</f>
        <v>1</v>
      </c>
    </row>
    <row r="1819" spans="1:23" x14ac:dyDescent="0.25">
      <c r="A1819" t="s">
        <v>488</v>
      </c>
      <c r="B1819">
        <v>2011</v>
      </c>
      <c r="C1819" t="s">
        <v>369</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COUNT(LifeExpectancyData[[#This Row],[Life expectancy]:[Schooling]])=19</f>
        <v>1</v>
      </c>
    </row>
    <row r="1820" spans="1:23" x14ac:dyDescent="0.25">
      <c r="A1820" t="s">
        <v>488</v>
      </c>
      <c r="B1820">
        <v>2010</v>
      </c>
      <c r="C1820" t="s">
        <v>369</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COUNT(LifeExpectancyData[[#This Row],[Life expectancy]:[Schooling]])=19</f>
        <v>1</v>
      </c>
    </row>
    <row r="1821" spans="1:23" x14ac:dyDescent="0.25">
      <c r="A1821" t="s">
        <v>488</v>
      </c>
      <c r="B1821">
        <v>2009</v>
      </c>
      <c r="C1821" t="s">
        <v>369</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COUNT(LifeExpectancyData[[#This Row],[Life expectancy]:[Schooling]])=19</f>
        <v>1</v>
      </c>
    </row>
    <row r="1822" spans="1:23" x14ac:dyDescent="0.25">
      <c r="A1822" t="s">
        <v>488</v>
      </c>
      <c r="B1822">
        <v>2008</v>
      </c>
      <c r="C1822" t="s">
        <v>369</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COUNT(LifeExpectancyData[[#This Row],[Life expectancy]:[Schooling]])=19</f>
        <v>1</v>
      </c>
    </row>
    <row r="1823" spans="1:23" x14ac:dyDescent="0.25">
      <c r="A1823" t="s">
        <v>488</v>
      </c>
      <c r="B1823">
        <v>2007</v>
      </c>
      <c r="C1823" t="s">
        <v>369</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COUNT(LifeExpectancyData[[#This Row],[Life expectancy]:[Schooling]])=19</f>
        <v>1</v>
      </c>
    </row>
    <row r="1824" spans="1:23" x14ac:dyDescent="0.25">
      <c r="A1824" t="s">
        <v>488</v>
      </c>
      <c r="B1824">
        <v>2006</v>
      </c>
      <c r="C1824" t="s">
        <v>369</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COUNT(LifeExpectancyData[[#This Row],[Life expectancy]:[Schooling]])=19</f>
        <v>1</v>
      </c>
    </row>
    <row r="1825" spans="1:23" x14ac:dyDescent="0.25">
      <c r="A1825" t="s">
        <v>488</v>
      </c>
      <c r="B1825">
        <v>2005</v>
      </c>
      <c r="C1825" t="s">
        <v>369</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COUNT(LifeExpectancyData[[#This Row],[Life expectancy]:[Schooling]])=19</f>
        <v>1</v>
      </c>
    </row>
    <row r="1826" spans="1:23" x14ac:dyDescent="0.25">
      <c r="A1826" t="s">
        <v>488</v>
      </c>
      <c r="B1826">
        <v>2004</v>
      </c>
      <c r="C1826" t="s">
        <v>369</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COUNT(LifeExpectancyData[[#This Row],[Life expectancy]:[Schooling]])=19</f>
        <v>1</v>
      </c>
    </row>
    <row r="1827" spans="1:23" x14ac:dyDescent="0.25">
      <c r="A1827" t="s">
        <v>488</v>
      </c>
      <c r="B1827">
        <v>2003</v>
      </c>
      <c r="C1827" t="s">
        <v>369</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COUNT(LifeExpectancyData[[#This Row],[Life expectancy]:[Schooling]])=19</f>
        <v>1</v>
      </c>
    </row>
    <row r="1828" spans="1:23" x14ac:dyDescent="0.25">
      <c r="A1828" t="s">
        <v>488</v>
      </c>
      <c r="B1828">
        <v>2002</v>
      </c>
      <c r="C1828" t="s">
        <v>369</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COUNT(LifeExpectancyData[[#This Row],[Life expectancy]:[Schooling]])=19</f>
        <v>0</v>
      </c>
    </row>
    <row r="1829" spans="1:23" x14ac:dyDescent="0.25">
      <c r="A1829" t="s">
        <v>488</v>
      </c>
      <c r="B1829">
        <v>2001</v>
      </c>
      <c r="C1829" t="s">
        <v>369</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COUNT(LifeExpectancyData[[#This Row],[Life expectancy]:[Schooling]])=19</f>
        <v>0</v>
      </c>
    </row>
    <row r="1830" spans="1:23" x14ac:dyDescent="0.25">
      <c r="A1830" t="s">
        <v>488</v>
      </c>
      <c r="B1830">
        <v>2000</v>
      </c>
      <c r="C1830" t="s">
        <v>369</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COUNT(LifeExpectancyData[[#This Row],[Life expectancy]:[Schooling]])=19</f>
        <v>0</v>
      </c>
    </row>
    <row r="1831" spans="1:23" x14ac:dyDescent="0.25">
      <c r="A1831" t="s">
        <v>489</v>
      </c>
      <c r="B1831">
        <v>2015</v>
      </c>
      <c r="C1831" t="s">
        <v>377</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COUNT(LifeExpectancyData[[#This Row],[Life expectancy]:[Schooling]])=19</f>
        <v>0</v>
      </c>
    </row>
    <row r="1832" spans="1:23" x14ac:dyDescent="0.25">
      <c r="A1832" t="s">
        <v>489</v>
      </c>
      <c r="B1832">
        <v>2014</v>
      </c>
      <c r="C1832" t="s">
        <v>377</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COUNT(LifeExpectancyData[[#This Row],[Life expectancy]:[Schooling]])=19</f>
        <v>1</v>
      </c>
    </row>
    <row r="1833" spans="1:23" x14ac:dyDescent="0.25">
      <c r="A1833" t="s">
        <v>489</v>
      </c>
      <c r="B1833">
        <v>2013</v>
      </c>
      <c r="C1833" t="s">
        <v>377</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COUNT(LifeExpectancyData[[#This Row],[Life expectancy]:[Schooling]])=19</f>
        <v>1</v>
      </c>
    </row>
    <row r="1834" spans="1:23" x14ac:dyDescent="0.25">
      <c r="A1834" t="s">
        <v>489</v>
      </c>
      <c r="B1834">
        <v>2012</v>
      </c>
      <c r="C1834" t="s">
        <v>377</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COUNT(LifeExpectancyData[[#This Row],[Life expectancy]:[Schooling]])=19</f>
        <v>1</v>
      </c>
    </row>
    <row r="1835" spans="1:23" x14ac:dyDescent="0.25">
      <c r="A1835" t="s">
        <v>489</v>
      </c>
      <c r="B1835">
        <v>2011</v>
      </c>
      <c r="C1835" t="s">
        <v>377</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COUNT(LifeExpectancyData[[#This Row],[Life expectancy]:[Schooling]])=19</f>
        <v>1</v>
      </c>
    </row>
    <row r="1836" spans="1:23" x14ac:dyDescent="0.25">
      <c r="A1836" t="s">
        <v>489</v>
      </c>
      <c r="B1836">
        <v>2010</v>
      </c>
      <c r="C1836" t="s">
        <v>377</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COUNT(LifeExpectancyData[[#This Row],[Life expectancy]:[Schooling]])=19</f>
        <v>0</v>
      </c>
    </row>
    <row r="1837" spans="1:23" x14ac:dyDescent="0.25">
      <c r="A1837" t="s">
        <v>489</v>
      </c>
      <c r="B1837">
        <v>2009</v>
      </c>
      <c r="C1837" t="s">
        <v>377</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COUNT(LifeExpectancyData[[#This Row],[Life expectancy]:[Schooling]])=19</f>
        <v>0</v>
      </c>
    </row>
    <row r="1838" spans="1:23" x14ac:dyDescent="0.25">
      <c r="A1838" t="s">
        <v>489</v>
      </c>
      <c r="B1838">
        <v>2008</v>
      </c>
      <c r="C1838" t="s">
        <v>377</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COUNT(LifeExpectancyData[[#This Row],[Life expectancy]:[Schooling]])=19</f>
        <v>0</v>
      </c>
    </row>
    <row r="1839" spans="1:23" x14ac:dyDescent="0.25">
      <c r="A1839" t="s">
        <v>489</v>
      </c>
      <c r="B1839">
        <v>2007</v>
      </c>
      <c r="C1839" t="s">
        <v>377</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COUNT(LifeExpectancyData[[#This Row],[Life expectancy]:[Schooling]])=19</f>
        <v>0</v>
      </c>
    </row>
    <row r="1840" spans="1:23" x14ac:dyDescent="0.25">
      <c r="A1840" t="s">
        <v>489</v>
      </c>
      <c r="B1840">
        <v>2006</v>
      </c>
      <c r="C1840" t="s">
        <v>377</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COUNT(LifeExpectancyData[[#This Row],[Life expectancy]:[Schooling]])=19</f>
        <v>0</v>
      </c>
    </row>
    <row r="1841" spans="1:23" x14ac:dyDescent="0.25">
      <c r="A1841" t="s">
        <v>489</v>
      </c>
      <c r="B1841">
        <v>2005</v>
      </c>
      <c r="C1841" t="s">
        <v>377</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COUNT(LifeExpectancyData[[#This Row],[Life expectancy]:[Schooling]])=19</f>
        <v>0</v>
      </c>
    </row>
    <row r="1842" spans="1:23" x14ac:dyDescent="0.25">
      <c r="A1842" t="s">
        <v>489</v>
      </c>
      <c r="B1842">
        <v>2004</v>
      </c>
      <c r="C1842" t="s">
        <v>377</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COUNT(LifeExpectancyData[[#This Row],[Life expectancy]:[Schooling]])=19</f>
        <v>0</v>
      </c>
    </row>
    <row r="1843" spans="1:23" x14ac:dyDescent="0.25">
      <c r="A1843" t="s">
        <v>489</v>
      </c>
      <c r="B1843">
        <v>2003</v>
      </c>
      <c r="C1843" t="s">
        <v>377</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COUNT(LifeExpectancyData[[#This Row],[Life expectancy]:[Schooling]])=19</f>
        <v>0</v>
      </c>
    </row>
    <row r="1844" spans="1:23" x14ac:dyDescent="0.25">
      <c r="A1844" t="s">
        <v>489</v>
      </c>
      <c r="B1844">
        <v>2002</v>
      </c>
      <c r="C1844" t="s">
        <v>377</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COUNT(LifeExpectancyData[[#This Row],[Life expectancy]:[Schooling]])=19</f>
        <v>0</v>
      </c>
    </row>
    <row r="1845" spans="1:23" x14ac:dyDescent="0.25">
      <c r="A1845" t="s">
        <v>489</v>
      </c>
      <c r="B1845">
        <v>2001</v>
      </c>
      <c r="C1845" t="s">
        <v>377</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COUNT(LifeExpectancyData[[#This Row],[Life expectancy]:[Schooling]])=19</f>
        <v>0</v>
      </c>
    </row>
    <row r="1846" spans="1:23" x14ac:dyDescent="0.25">
      <c r="A1846" t="s">
        <v>489</v>
      </c>
      <c r="B1846">
        <v>2000</v>
      </c>
      <c r="C1846" t="s">
        <v>377</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COUNT(LifeExpectancyData[[#This Row],[Life expectancy]:[Schooling]])=19</f>
        <v>0</v>
      </c>
    </row>
    <row r="1847" spans="1:23" x14ac:dyDescent="0.25">
      <c r="A1847" t="s">
        <v>490</v>
      </c>
      <c r="B1847">
        <v>2015</v>
      </c>
      <c r="C1847" t="s">
        <v>377</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COUNT(LifeExpectancyData[[#This Row],[Life expectancy]:[Schooling]])=19</f>
        <v>0</v>
      </c>
    </row>
    <row r="1848" spans="1:23" x14ac:dyDescent="0.25">
      <c r="A1848" t="s">
        <v>490</v>
      </c>
      <c r="B1848">
        <v>2014</v>
      </c>
      <c r="C1848" t="s">
        <v>377</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COUNT(LifeExpectancyData[[#This Row],[Life expectancy]:[Schooling]])=19</f>
        <v>0</v>
      </c>
    </row>
    <row r="1849" spans="1:23" x14ac:dyDescent="0.25">
      <c r="A1849" t="s">
        <v>490</v>
      </c>
      <c r="B1849">
        <v>2013</v>
      </c>
      <c r="C1849" t="s">
        <v>377</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COUNT(LifeExpectancyData[[#This Row],[Life expectancy]:[Schooling]])=19</f>
        <v>0</v>
      </c>
    </row>
    <row r="1850" spans="1:23" x14ac:dyDescent="0.25">
      <c r="A1850" t="s">
        <v>490</v>
      </c>
      <c r="B1850">
        <v>2012</v>
      </c>
      <c r="C1850" t="s">
        <v>377</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COUNT(LifeExpectancyData[[#This Row],[Life expectancy]:[Schooling]])=19</f>
        <v>0</v>
      </c>
    </row>
    <row r="1851" spans="1:23" x14ac:dyDescent="0.25">
      <c r="A1851" t="s">
        <v>490</v>
      </c>
      <c r="B1851">
        <v>2011</v>
      </c>
      <c r="C1851" t="s">
        <v>377</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COUNT(LifeExpectancyData[[#This Row],[Life expectancy]:[Schooling]])=19</f>
        <v>0</v>
      </c>
    </row>
    <row r="1852" spans="1:23" x14ac:dyDescent="0.25">
      <c r="A1852" t="s">
        <v>490</v>
      </c>
      <c r="B1852">
        <v>2010</v>
      </c>
      <c r="C1852" t="s">
        <v>377</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COUNT(LifeExpectancyData[[#This Row],[Life expectancy]:[Schooling]])=19</f>
        <v>0</v>
      </c>
    </row>
    <row r="1853" spans="1:23" x14ac:dyDescent="0.25">
      <c r="A1853" t="s">
        <v>490</v>
      </c>
      <c r="B1853">
        <v>2009</v>
      </c>
      <c r="C1853" t="s">
        <v>377</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COUNT(LifeExpectancyData[[#This Row],[Life expectancy]:[Schooling]])=19</f>
        <v>0</v>
      </c>
    </row>
    <row r="1854" spans="1:23" x14ac:dyDescent="0.25">
      <c r="A1854" t="s">
        <v>490</v>
      </c>
      <c r="B1854">
        <v>2008</v>
      </c>
      <c r="C1854" t="s">
        <v>377</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COUNT(LifeExpectancyData[[#This Row],[Life expectancy]:[Schooling]])=19</f>
        <v>0</v>
      </c>
    </row>
    <row r="1855" spans="1:23" x14ac:dyDescent="0.25">
      <c r="A1855" t="s">
        <v>490</v>
      </c>
      <c r="B1855">
        <v>2007</v>
      </c>
      <c r="C1855" t="s">
        <v>377</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COUNT(LifeExpectancyData[[#This Row],[Life expectancy]:[Schooling]])=19</f>
        <v>0</v>
      </c>
    </row>
    <row r="1856" spans="1:23" x14ac:dyDescent="0.25">
      <c r="A1856" t="s">
        <v>490</v>
      </c>
      <c r="B1856">
        <v>2006</v>
      </c>
      <c r="C1856" t="s">
        <v>377</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COUNT(LifeExpectancyData[[#This Row],[Life expectancy]:[Schooling]])=19</f>
        <v>0</v>
      </c>
    </row>
    <row r="1857" spans="1:23" x14ac:dyDescent="0.25">
      <c r="A1857" t="s">
        <v>490</v>
      </c>
      <c r="B1857">
        <v>2005</v>
      </c>
      <c r="C1857" t="s">
        <v>377</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COUNT(LifeExpectancyData[[#This Row],[Life expectancy]:[Schooling]])=19</f>
        <v>0</v>
      </c>
    </row>
    <row r="1858" spans="1:23" x14ac:dyDescent="0.25">
      <c r="A1858" t="s">
        <v>490</v>
      </c>
      <c r="B1858">
        <v>2004</v>
      </c>
      <c r="C1858" t="s">
        <v>377</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COUNT(LifeExpectancyData[[#This Row],[Life expectancy]:[Schooling]])=19</f>
        <v>0</v>
      </c>
    </row>
    <row r="1859" spans="1:23" x14ac:dyDescent="0.25">
      <c r="A1859" t="s">
        <v>490</v>
      </c>
      <c r="B1859">
        <v>2003</v>
      </c>
      <c r="C1859" t="s">
        <v>377</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COUNT(LifeExpectancyData[[#This Row],[Life expectancy]:[Schooling]])=19</f>
        <v>0</v>
      </c>
    </row>
    <row r="1860" spans="1:23" x14ac:dyDescent="0.25">
      <c r="A1860" t="s">
        <v>490</v>
      </c>
      <c r="B1860">
        <v>2002</v>
      </c>
      <c r="C1860" t="s">
        <v>377</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COUNT(LifeExpectancyData[[#This Row],[Life expectancy]:[Schooling]])=19</f>
        <v>0</v>
      </c>
    </row>
    <row r="1861" spans="1:23" x14ac:dyDescent="0.25">
      <c r="A1861" t="s">
        <v>490</v>
      </c>
      <c r="B1861">
        <v>2001</v>
      </c>
      <c r="C1861" t="s">
        <v>377</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COUNT(LifeExpectancyData[[#This Row],[Life expectancy]:[Schooling]])=19</f>
        <v>0</v>
      </c>
    </row>
    <row r="1862" spans="1:23" x14ac:dyDescent="0.25">
      <c r="A1862" t="s">
        <v>490</v>
      </c>
      <c r="B1862">
        <v>2000</v>
      </c>
      <c r="C1862" t="s">
        <v>377</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COUNT(LifeExpectancyData[[#This Row],[Life expectancy]:[Schooling]])=19</f>
        <v>0</v>
      </c>
    </row>
    <row r="1863" spans="1:23" x14ac:dyDescent="0.25">
      <c r="A1863" t="s">
        <v>491</v>
      </c>
      <c r="B1863">
        <v>2015</v>
      </c>
      <c r="C1863" t="s">
        <v>369</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COUNT(LifeExpectancyData[[#This Row],[Life expectancy]:[Schooling]])=19</f>
        <v>0</v>
      </c>
    </row>
    <row r="1864" spans="1:23" x14ac:dyDescent="0.25">
      <c r="A1864" t="s">
        <v>491</v>
      </c>
      <c r="B1864">
        <v>2014</v>
      </c>
      <c r="C1864" t="s">
        <v>369</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COUNT(LifeExpectancyData[[#This Row],[Life expectancy]:[Schooling]])=19</f>
        <v>1</v>
      </c>
    </row>
    <row r="1865" spans="1:23" x14ac:dyDescent="0.25">
      <c r="A1865" t="s">
        <v>491</v>
      </c>
      <c r="B1865">
        <v>2013</v>
      </c>
      <c r="C1865" t="s">
        <v>369</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COUNT(LifeExpectancyData[[#This Row],[Life expectancy]:[Schooling]])=19</f>
        <v>1</v>
      </c>
    </row>
    <row r="1866" spans="1:23" x14ac:dyDescent="0.25">
      <c r="A1866" t="s">
        <v>491</v>
      </c>
      <c r="B1866">
        <v>2012</v>
      </c>
      <c r="C1866" t="s">
        <v>369</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COUNT(LifeExpectancyData[[#This Row],[Life expectancy]:[Schooling]])=19</f>
        <v>1</v>
      </c>
    </row>
    <row r="1867" spans="1:23" x14ac:dyDescent="0.25">
      <c r="A1867" t="s">
        <v>491</v>
      </c>
      <c r="B1867">
        <v>2011</v>
      </c>
      <c r="C1867" t="s">
        <v>369</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COUNT(LifeExpectancyData[[#This Row],[Life expectancy]:[Schooling]])=19</f>
        <v>1</v>
      </c>
    </row>
    <row r="1868" spans="1:23" x14ac:dyDescent="0.25">
      <c r="A1868" t="s">
        <v>491</v>
      </c>
      <c r="B1868">
        <v>2010</v>
      </c>
      <c r="C1868" t="s">
        <v>369</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COUNT(LifeExpectancyData[[#This Row],[Life expectancy]:[Schooling]])=19</f>
        <v>1</v>
      </c>
    </row>
    <row r="1869" spans="1:23" x14ac:dyDescent="0.25">
      <c r="A1869" t="s">
        <v>491</v>
      </c>
      <c r="B1869">
        <v>2009</v>
      </c>
      <c r="C1869" t="s">
        <v>369</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COUNT(LifeExpectancyData[[#This Row],[Life expectancy]:[Schooling]])=19</f>
        <v>1</v>
      </c>
    </row>
    <row r="1870" spans="1:23" x14ac:dyDescent="0.25">
      <c r="A1870" t="s">
        <v>491</v>
      </c>
      <c r="B1870">
        <v>2008</v>
      </c>
      <c r="C1870" t="s">
        <v>369</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COUNT(LifeExpectancyData[[#This Row],[Life expectancy]:[Schooling]])=19</f>
        <v>1</v>
      </c>
    </row>
    <row r="1871" spans="1:23" x14ac:dyDescent="0.25">
      <c r="A1871" t="s">
        <v>491</v>
      </c>
      <c r="B1871">
        <v>2007</v>
      </c>
      <c r="C1871" t="s">
        <v>369</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COUNT(LifeExpectancyData[[#This Row],[Life expectancy]:[Schooling]])=19</f>
        <v>1</v>
      </c>
    </row>
    <row r="1872" spans="1:23" x14ac:dyDescent="0.25">
      <c r="A1872" t="s">
        <v>491</v>
      </c>
      <c r="B1872">
        <v>2006</v>
      </c>
      <c r="C1872" t="s">
        <v>369</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COUNT(LifeExpectancyData[[#This Row],[Life expectancy]:[Schooling]])=19</f>
        <v>1</v>
      </c>
    </row>
    <row r="1873" spans="1:23" x14ac:dyDescent="0.25">
      <c r="A1873" t="s">
        <v>491</v>
      </c>
      <c r="B1873">
        <v>2005</v>
      </c>
      <c r="C1873" t="s">
        <v>369</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COUNT(LifeExpectancyData[[#This Row],[Life expectancy]:[Schooling]])=19</f>
        <v>1</v>
      </c>
    </row>
    <row r="1874" spans="1:23" x14ac:dyDescent="0.25">
      <c r="A1874" t="s">
        <v>491</v>
      </c>
      <c r="B1874">
        <v>2004</v>
      </c>
      <c r="C1874" t="s">
        <v>369</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COUNT(LifeExpectancyData[[#This Row],[Life expectancy]:[Schooling]])=19</f>
        <v>1</v>
      </c>
    </row>
    <row r="1875" spans="1:23" x14ac:dyDescent="0.25">
      <c r="A1875" t="s">
        <v>491</v>
      </c>
      <c r="B1875">
        <v>2003</v>
      </c>
      <c r="C1875" t="s">
        <v>369</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COUNT(LifeExpectancyData[[#This Row],[Life expectancy]:[Schooling]])=19</f>
        <v>1</v>
      </c>
    </row>
    <row r="1876" spans="1:23" x14ac:dyDescent="0.25">
      <c r="A1876" t="s">
        <v>491</v>
      </c>
      <c r="B1876">
        <v>2002</v>
      </c>
      <c r="C1876" t="s">
        <v>369</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COUNT(LifeExpectancyData[[#This Row],[Life expectancy]:[Schooling]])=19</f>
        <v>1</v>
      </c>
    </row>
    <row r="1877" spans="1:23" x14ac:dyDescent="0.25">
      <c r="A1877" t="s">
        <v>491</v>
      </c>
      <c r="B1877">
        <v>2001</v>
      </c>
      <c r="C1877" t="s">
        <v>369</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COUNT(LifeExpectancyData[[#This Row],[Life expectancy]:[Schooling]])=19</f>
        <v>1</v>
      </c>
    </row>
    <row r="1878" spans="1:23" x14ac:dyDescent="0.25">
      <c r="A1878" t="s">
        <v>491</v>
      </c>
      <c r="B1878">
        <v>2000</v>
      </c>
      <c r="C1878" t="s">
        <v>369</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COUNT(LifeExpectancyData[[#This Row],[Life expectancy]:[Schooling]])=19</f>
        <v>1</v>
      </c>
    </row>
    <row r="1879" spans="1:23" x14ac:dyDescent="0.25">
      <c r="A1879" t="s">
        <v>492</v>
      </c>
      <c r="B1879">
        <v>2015</v>
      </c>
      <c r="C1879" t="s">
        <v>369</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COUNT(LifeExpectancyData[[#This Row],[Life expectancy]:[Schooling]])=19</f>
        <v>0</v>
      </c>
    </row>
    <row r="1880" spans="1:23" x14ac:dyDescent="0.25">
      <c r="A1880" t="s">
        <v>492</v>
      </c>
      <c r="B1880">
        <v>2014</v>
      </c>
      <c r="C1880" t="s">
        <v>369</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COUNT(LifeExpectancyData[[#This Row],[Life expectancy]:[Schooling]])=19</f>
        <v>1</v>
      </c>
    </row>
    <row r="1881" spans="1:23" x14ac:dyDescent="0.25">
      <c r="A1881" t="s">
        <v>492</v>
      </c>
      <c r="B1881">
        <v>2013</v>
      </c>
      <c r="C1881" t="s">
        <v>369</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COUNT(LifeExpectancyData[[#This Row],[Life expectancy]:[Schooling]])=19</f>
        <v>1</v>
      </c>
    </row>
    <row r="1882" spans="1:23" x14ac:dyDescent="0.25">
      <c r="A1882" t="s">
        <v>492</v>
      </c>
      <c r="B1882">
        <v>2012</v>
      </c>
      <c r="C1882" t="s">
        <v>369</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COUNT(LifeExpectancyData[[#This Row],[Life expectancy]:[Schooling]])=19</f>
        <v>1</v>
      </c>
    </row>
    <row r="1883" spans="1:23" x14ac:dyDescent="0.25">
      <c r="A1883" t="s">
        <v>492</v>
      </c>
      <c r="B1883">
        <v>2011</v>
      </c>
      <c r="C1883" t="s">
        <v>369</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COUNT(LifeExpectancyData[[#This Row],[Life expectancy]:[Schooling]])=19</f>
        <v>1</v>
      </c>
    </row>
    <row r="1884" spans="1:23" x14ac:dyDescent="0.25">
      <c r="A1884" t="s">
        <v>492</v>
      </c>
      <c r="B1884">
        <v>2010</v>
      </c>
      <c r="C1884" t="s">
        <v>369</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COUNT(LifeExpectancyData[[#This Row],[Life expectancy]:[Schooling]])=19</f>
        <v>1</v>
      </c>
    </row>
    <row r="1885" spans="1:23" x14ac:dyDescent="0.25">
      <c r="A1885" t="s">
        <v>492</v>
      </c>
      <c r="B1885">
        <v>2009</v>
      </c>
      <c r="C1885" t="s">
        <v>369</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COUNT(LifeExpectancyData[[#This Row],[Life expectancy]:[Schooling]])=19</f>
        <v>1</v>
      </c>
    </row>
    <row r="1886" spans="1:23" x14ac:dyDescent="0.25">
      <c r="A1886" t="s">
        <v>492</v>
      </c>
      <c r="B1886">
        <v>2008</v>
      </c>
      <c r="C1886" t="s">
        <v>369</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COUNT(LifeExpectancyData[[#This Row],[Life expectancy]:[Schooling]])=19</f>
        <v>0</v>
      </c>
    </row>
    <row r="1887" spans="1:23" x14ac:dyDescent="0.25">
      <c r="A1887" t="s">
        <v>492</v>
      </c>
      <c r="B1887">
        <v>2007</v>
      </c>
      <c r="C1887" t="s">
        <v>369</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COUNT(LifeExpectancyData[[#This Row],[Life expectancy]:[Schooling]])=19</f>
        <v>0</v>
      </c>
    </row>
    <row r="1888" spans="1:23" x14ac:dyDescent="0.25">
      <c r="A1888" t="s">
        <v>492</v>
      </c>
      <c r="B1888">
        <v>2006</v>
      </c>
      <c r="C1888" t="s">
        <v>369</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COUNT(LifeExpectancyData[[#This Row],[Life expectancy]:[Schooling]])=19</f>
        <v>0</v>
      </c>
    </row>
    <row r="1889" spans="1:23" x14ac:dyDescent="0.25">
      <c r="A1889" t="s">
        <v>492</v>
      </c>
      <c r="B1889">
        <v>2005</v>
      </c>
      <c r="C1889" t="s">
        <v>369</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COUNT(LifeExpectancyData[[#This Row],[Life expectancy]:[Schooling]])=19</f>
        <v>0</v>
      </c>
    </row>
    <row r="1890" spans="1:23" x14ac:dyDescent="0.25">
      <c r="A1890" t="s">
        <v>492</v>
      </c>
      <c r="B1890">
        <v>2004</v>
      </c>
      <c r="C1890" t="s">
        <v>369</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COUNT(LifeExpectancyData[[#This Row],[Life expectancy]:[Schooling]])=19</f>
        <v>0</v>
      </c>
    </row>
    <row r="1891" spans="1:23" x14ac:dyDescent="0.25">
      <c r="A1891" t="s">
        <v>492</v>
      </c>
      <c r="B1891">
        <v>2003</v>
      </c>
      <c r="C1891" t="s">
        <v>369</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COUNT(LifeExpectancyData[[#This Row],[Life expectancy]:[Schooling]])=19</f>
        <v>0</v>
      </c>
    </row>
    <row r="1892" spans="1:23" x14ac:dyDescent="0.25">
      <c r="A1892" t="s">
        <v>492</v>
      </c>
      <c r="B1892">
        <v>2002</v>
      </c>
      <c r="C1892" t="s">
        <v>369</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COUNT(LifeExpectancyData[[#This Row],[Life expectancy]:[Schooling]])=19</f>
        <v>0</v>
      </c>
    </row>
    <row r="1893" spans="1:23" x14ac:dyDescent="0.25">
      <c r="A1893" t="s">
        <v>492</v>
      </c>
      <c r="B1893">
        <v>2001</v>
      </c>
      <c r="C1893" t="s">
        <v>369</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COUNT(LifeExpectancyData[[#This Row],[Life expectancy]:[Schooling]])=19</f>
        <v>0</v>
      </c>
    </row>
    <row r="1894" spans="1:23" x14ac:dyDescent="0.25">
      <c r="A1894" t="s">
        <v>492</v>
      </c>
      <c r="B1894">
        <v>2000</v>
      </c>
      <c r="C1894" t="s">
        <v>369</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COUNT(LifeExpectancyData[[#This Row],[Life expectancy]:[Schooling]])=19</f>
        <v>0</v>
      </c>
    </row>
    <row r="1895" spans="1:23" x14ac:dyDescent="0.25">
      <c r="A1895" t="s">
        <v>493</v>
      </c>
      <c r="B1895">
        <v>2015</v>
      </c>
      <c r="C1895" t="s">
        <v>369</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COUNT(LifeExpectancyData[[#This Row],[Life expectancy]:[Schooling]])=19</f>
        <v>0</v>
      </c>
    </row>
    <row r="1896" spans="1:23" x14ac:dyDescent="0.25">
      <c r="A1896" t="s">
        <v>493</v>
      </c>
      <c r="B1896">
        <v>2014</v>
      </c>
      <c r="C1896" t="s">
        <v>369</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COUNT(LifeExpectancyData[[#This Row],[Life expectancy]:[Schooling]])=19</f>
        <v>1</v>
      </c>
    </row>
    <row r="1897" spans="1:23" x14ac:dyDescent="0.25">
      <c r="A1897" t="s">
        <v>493</v>
      </c>
      <c r="B1897">
        <v>2013</v>
      </c>
      <c r="C1897" t="s">
        <v>369</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COUNT(LifeExpectancyData[[#This Row],[Life expectancy]:[Schooling]])=19</f>
        <v>1</v>
      </c>
    </row>
    <row r="1898" spans="1:23" x14ac:dyDescent="0.25">
      <c r="A1898" t="s">
        <v>493</v>
      </c>
      <c r="B1898">
        <v>2012</v>
      </c>
      <c r="C1898" t="s">
        <v>369</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COUNT(LifeExpectancyData[[#This Row],[Life expectancy]:[Schooling]])=19</f>
        <v>1</v>
      </c>
    </row>
    <row r="1899" spans="1:23" x14ac:dyDescent="0.25">
      <c r="A1899" t="s">
        <v>493</v>
      </c>
      <c r="B1899">
        <v>2011</v>
      </c>
      <c r="C1899" t="s">
        <v>369</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COUNT(LifeExpectancyData[[#This Row],[Life expectancy]:[Schooling]])=19</f>
        <v>1</v>
      </c>
    </row>
    <row r="1900" spans="1:23" x14ac:dyDescent="0.25">
      <c r="A1900" t="s">
        <v>493</v>
      </c>
      <c r="B1900">
        <v>2010</v>
      </c>
      <c r="C1900" t="s">
        <v>369</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COUNT(LifeExpectancyData[[#This Row],[Life expectancy]:[Schooling]])=19</f>
        <v>1</v>
      </c>
    </row>
    <row r="1901" spans="1:23" x14ac:dyDescent="0.25">
      <c r="A1901" t="s">
        <v>493</v>
      </c>
      <c r="B1901">
        <v>2009</v>
      </c>
      <c r="C1901" t="s">
        <v>369</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COUNT(LifeExpectancyData[[#This Row],[Life expectancy]:[Schooling]])=19</f>
        <v>1</v>
      </c>
    </row>
    <row r="1902" spans="1:23" x14ac:dyDescent="0.25">
      <c r="A1902" t="s">
        <v>493</v>
      </c>
      <c r="B1902">
        <v>2008</v>
      </c>
      <c r="C1902" t="s">
        <v>369</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COUNT(LifeExpectancyData[[#This Row],[Life expectancy]:[Schooling]])=19</f>
        <v>1</v>
      </c>
    </row>
    <row r="1903" spans="1:23" x14ac:dyDescent="0.25">
      <c r="A1903" t="s">
        <v>493</v>
      </c>
      <c r="B1903">
        <v>2007</v>
      </c>
      <c r="C1903" t="s">
        <v>369</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COUNT(LifeExpectancyData[[#This Row],[Life expectancy]:[Schooling]])=19</f>
        <v>1</v>
      </c>
    </row>
    <row r="1904" spans="1:23" x14ac:dyDescent="0.25">
      <c r="A1904" t="s">
        <v>493</v>
      </c>
      <c r="B1904">
        <v>2006</v>
      </c>
      <c r="C1904" t="s">
        <v>369</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COUNT(LifeExpectancyData[[#This Row],[Life expectancy]:[Schooling]])=19</f>
        <v>1</v>
      </c>
    </row>
    <row r="1905" spans="1:23" x14ac:dyDescent="0.25">
      <c r="A1905" t="s">
        <v>493</v>
      </c>
      <c r="B1905">
        <v>2005</v>
      </c>
      <c r="C1905" t="s">
        <v>369</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COUNT(LifeExpectancyData[[#This Row],[Life expectancy]:[Schooling]])=19</f>
        <v>1</v>
      </c>
    </row>
    <row r="1906" spans="1:23" x14ac:dyDescent="0.25">
      <c r="A1906" t="s">
        <v>493</v>
      </c>
      <c r="B1906">
        <v>2004</v>
      </c>
      <c r="C1906" t="s">
        <v>369</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COUNT(LifeExpectancyData[[#This Row],[Life expectancy]:[Schooling]])=19</f>
        <v>0</v>
      </c>
    </row>
    <row r="1907" spans="1:23" x14ac:dyDescent="0.25">
      <c r="A1907" t="s">
        <v>493</v>
      </c>
      <c r="B1907">
        <v>2003</v>
      </c>
      <c r="C1907" t="s">
        <v>369</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COUNT(LifeExpectancyData[[#This Row],[Life expectancy]:[Schooling]])=19</f>
        <v>0</v>
      </c>
    </row>
    <row r="1908" spans="1:23" x14ac:dyDescent="0.25">
      <c r="A1908" t="s">
        <v>493</v>
      </c>
      <c r="B1908">
        <v>2002</v>
      </c>
      <c r="C1908" t="s">
        <v>369</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COUNT(LifeExpectancyData[[#This Row],[Life expectancy]:[Schooling]])=19</f>
        <v>0</v>
      </c>
    </row>
    <row r="1909" spans="1:23" x14ac:dyDescent="0.25">
      <c r="A1909" t="s">
        <v>493</v>
      </c>
      <c r="B1909">
        <v>2001</v>
      </c>
      <c r="C1909" t="s">
        <v>369</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COUNT(LifeExpectancyData[[#This Row],[Life expectancy]:[Schooling]])=19</f>
        <v>0</v>
      </c>
    </row>
    <row r="1910" spans="1:23" x14ac:dyDescent="0.25">
      <c r="A1910" t="s">
        <v>493</v>
      </c>
      <c r="B1910">
        <v>2000</v>
      </c>
      <c r="C1910" t="s">
        <v>369</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COUNT(LifeExpectancyData[[#This Row],[Life expectancy]:[Schooling]])=19</f>
        <v>0</v>
      </c>
    </row>
    <row r="1911" spans="1:23" x14ac:dyDescent="0.25">
      <c r="A1911" t="s">
        <v>494</v>
      </c>
      <c r="B1911">
        <v>2013</v>
      </c>
      <c r="C1911" t="s">
        <v>369</v>
      </c>
      <c r="F1911">
        <v>0</v>
      </c>
      <c r="G1911">
        <v>0.01</v>
      </c>
      <c r="H1911">
        <v>0</v>
      </c>
      <c r="I1911">
        <v>99</v>
      </c>
      <c r="J1911">
        <v>0</v>
      </c>
      <c r="K1911">
        <v>77.3</v>
      </c>
      <c r="L1911">
        <v>0</v>
      </c>
      <c r="M1911">
        <v>99</v>
      </c>
      <c r="N1911">
        <v>7.2</v>
      </c>
      <c r="O1911">
        <v>99</v>
      </c>
      <c r="P1911">
        <v>0.1</v>
      </c>
      <c r="S1911">
        <v>0.1</v>
      </c>
      <c r="T1911">
        <v>0.1</v>
      </c>
      <c r="W1911" t="b">
        <f>COUNT(LifeExpectancyData[[#This Row],[Life expectancy]:[Schooling]])=19</f>
        <v>0</v>
      </c>
    </row>
    <row r="1912" spans="1:23" x14ac:dyDescent="0.25">
      <c r="A1912" t="s">
        <v>495</v>
      </c>
      <c r="B1912">
        <v>2015</v>
      </c>
      <c r="C1912" t="s">
        <v>377</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COUNT(LifeExpectancyData[[#This Row],[Life expectancy]:[Schooling]])=19</f>
        <v>0</v>
      </c>
    </row>
    <row r="1913" spans="1:23" x14ac:dyDescent="0.25">
      <c r="A1913" t="s">
        <v>495</v>
      </c>
      <c r="B1913">
        <v>2014</v>
      </c>
      <c r="C1913" t="s">
        <v>377</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COUNT(LifeExpectancyData[[#This Row],[Life expectancy]:[Schooling]])=19</f>
        <v>0</v>
      </c>
    </row>
    <row r="1914" spans="1:23" x14ac:dyDescent="0.25">
      <c r="A1914" t="s">
        <v>495</v>
      </c>
      <c r="B1914">
        <v>2013</v>
      </c>
      <c r="C1914" t="s">
        <v>377</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COUNT(LifeExpectancyData[[#This Row],[Life expectancy]:[Schooling]])=19</f>
        <v>0</v>
      </c>
    </row>
    <row r="1915" spans="1:23" x14ac:dyDescent="0.25">
      <c r="A1915" t="s">
        <v>495</v>
      </c>
      <c r="B1915">
        <v>2012</v>
      </c>
      <c r="C1915" t="s">
        <v>377</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COUNT(LifeExpectancyData[[#This Row],[Life expectancy]:[Schooling]])=19</f>
        <v>0</v>
      </c>
    </row>
    <row r="1916" spans="1:23" x14ac:dyDescent="0.25">
      <c r="A1916" t="s">
        <v>495</v>
      </c>
      <c r="B1916">
        <v>2011</v>
      </c>
      <c r="C1916" t="s">
        <v>377</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COUNT(LifeExpectancyData[[#This Row],[Life expectancy]:[Schooling]])=19</f>
        <v>0</v>
      </c>
    </row>
    <row r="1917" spans="1:23" x14ac:dyDescent="0.25">
      <c r="A1917" t="s">
        <v>495</v>
      </c>
      <c r="B1917">
        <v>2010</v>
      </c>
      <c r="C1917" t="s">
        <v>377</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COUNT(LifeExpectancyData[[#This Row],[Life expectancy]:[Schooling]])=19</f>
        <v>0</v>
      </c>
    </row>
    <row r="1918" spans="1:23" x14ac:dyDescent="0.25">
      <c r="A1918" t="s">
        <v>495</v>
      </c>
      <c r="B1918">
        <v>2009</v>
      </c>
      <c r="C1918" t="s">
        <v>377</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COUNT(LifeExpectancyData[[#This Row],[Life expectancy]:[Schooling]])=19</f>
        <v>0</v>
      </c>
    </row>
    <row r="1919" spans="1:23" x14ac:dyDescent="0.25">
      <c r="A1919" t="s">
        <v>495</v>
      </c>
      <c r="B1919">
        <v>2008</v>
      </c>
      <c r="C1919" t="s">
        <v>377</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COUNT(LifeExpectancyData[[#This Row],[Life expectancy]:[Schooling]])=19</f>
        <v>0</v>
      </c>
    </row>
    <row r="1920" spans="1:23" x14ac:dyDescent="0.25">
      <c r="A1920" t="s">
        <v>495</v>
      </c>
      <c r="B1920">
        <v>2007</v>
      </c>
      <c r="C1920" t="s">
        <v>377</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COUNT(LifeExpectancyData[[#This Row],[Life expectancy]:[Schooling]])=19</f>
        <v>0</v>
      </c>
    </row>
    <row r="1921" spans="1:23" x14ac:dyDescent="0.25">
      <c r="A1921" t="s">
        <v>495</v>
      </c>
      <c r="B1921">
        <v>2006</v>
      </c>
      <c r="C1921" t="s">
        <v>377</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COUNT(LifeExpectancyData[[#This Row],[Life expectancy]:[Schooling]])=19</f>
        <v>0</v>
      </c>
    </row>
    <row r="1922" spans="1:23" x14ac:dyDescent="0.25">
      <c r="A1922" t="s">
        <v>495</v>
      </c>
      <c r="B1922">
        <v>2005</v>
      </c>
      <c r="C1922" t="s">
        <v>377</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COUNT(LifeExpectancyData[[#This Row],[Life expectancy]:[Schooling]])=19</f>
        <v>0</v>
      </c>
    </row>
    <row r="1923" spans="1:23" x14ac:dyDescent="0.25">
      <c r="A1923" t="s">
        <v>495</v>
      </c>
      <c r="B1923">
        <v>2004</v>
      </c>
      <c r="C1923" t="s">
        <v>377</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COUNT(LifeExpectancyData[[#This Row],[Life expectancy]:[Schooling]])=19</f>
        <v>0</v>
      </c>
    </row>
    <row r="1924" spans="1:23" x14ac:dyDescent="0.25">
      <c r="A1924" t="s">
        <v>495</v>
      </c>
      <c r="B1924">
        <v>2003</v>
      </c>
      <c r="C1924" t="s">
        <v>377</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COUNT(LifeExpectancyData[[#This Row],[Life expectancy]:[Schooling]])=19</f>
        <v>0</v>
      </c>
    </row>
    <row r="1925" spans="1:23" x14ac:dyDescent="0.25">
      <c r="A1925" t="s">
        <v>495</v>
      </c>
      <c r="B1925">
        <v>2002</v>
      </c>
      <c r="C1925" t="s">
        <v>377</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COUNT(LifeExpectancyData[[#This Row],[Life expectancy]:[Schooling]])=19</f>
        <v>0</v>
      </c>
    </row>
    <row r="1926" spans="1:23" x14ac:dyDescent="0.25">
      <c r="A1926" t="s">
        <v>495</v>
      </c>
      <c r="B1926">
        <v>2001</v>
      </c>
      <c r="C1926" t="s">
        <v>377</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COUNT(LifeExpectancyData[[#This Row],[Life expectancy]:[Schooling]])=19</f>
        <v>0</v>
      </c>
    </row>
    <row r="1927" spans="1:23" x14ac:dyDescent="0.25">
      <c r="A1927" t="s">
        <v>495</v>
      </c>
      <c r="B1927">
        <v>2000</v>
      </c>
      <c r="C1927" t="s">
        <v>377</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COUNT(LifeExpectancyData[[#This Row],[Life expectancy]:[Schooling]])=19</f>
        <v>0</v>
      </c>
    </row>
    <row r="1928" spans="1:23" x14ac:dyDescent="0.25">
      <c r="A1928" t="s">
        <v>496</v>
      </c>
      <c r="B1928">
        <v>2015</v>
      </c>
      <c r="C1928" t="s">
        <v>369</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COUNT(LifeExpectancyData[[#This Row],[Life expectancy]:[Schooling]])=19</f>
        <v>0</v>
      </c>
    </row>
    <row r="1929" spans="1:23" x14ac:dyDescent="0.25">
      <c r="A1929" t="s">
        <v>496</v>
      </c>
      <c r="B1929">
        <v>2014</v>
      </c>
      <c r="C1929" t="s">
        <v>369</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COUNT(LifeExpectancyData[[#This Row],[Life expectancy]:[Schooling]])=19</f>
        <v>0</v>
      </c>
    </row>
    <row r="1930" spans="1:23" x14ac:dyDescent="0.25">
      <c r="A1930" t="s">
        <v>496</v>
      </c>
      <c r="B1930">
        <v>2013</v>
      </c>
      <c r="C1930" t="s">
        <v>369</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COUNT(LifeExpectancyData[[#This Row],[Life expectancy]:[Schooling]])=19</f>
        <v>0</v>
      </c>
    </row>
    <row r="1931" spans="1:23" x14ac:dyDescent="0.25">
      <c r="A1931" t="s">
        <v>496</v>
      </c>
      <c r="B1931">
        <v>2012</v>
      </c>
      <c r="C1931" t="s">
        <v>369</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COUNT(LifeExpectancyData[[#This Row],[Life expectancy]:[Schooling]])=19</f>
        <v>0</v>
      </c>
    </row>
    <row r="1932" spans="1:23" x14ac:dyDescent="0.25">
      <c r="A1932" t="s">
        <v>496</v>
      </c>
      <c r="B1932">
        <v>2011</v>
      </c>
      <c r="C1932" t="s">
        <v>369</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COUNT(LifeExpectancyData[[#This Row],[Life expectancy]:[Schooling]])=19</f>
        <v>0</v>
      </c>
    </row>
    <row r="1933" spans="1:23" x14ac:dyDescent="0.25">
      <c r="A1933" t="s">
        <v>496</v>
      </c>
      <c r="B1933">
        <v>2010</v>
      </c>
      <c r="C1933" t="s">
        <v>369</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COUNT(LifeExpectancyData[[#This Row],[Life expectancy]:[Schooling]])=19</f>
        <v>0</v>
      </c>
    </row>
    <row r="1934" spans="1:23" x14ac:dyDescent="0.25">
      <c r="A1934" t="s">
        <v>496</v>
      </c>
      <c r="B1934">
        <v>2009</v>
      </c>
      <c r="C1934" t="s">
        <v>369</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COUNT(LifeExpectancyData[[#This Row],[Life expectancy]:[Schooling]])=19</f>
        <v>0</v>
      </c>
    </row>
    <row r="1935" spans="1:23" x14ac:dyDescent="0.25">
      <c r="A1935" t="s">
        <v>496</v>
      </c>
      <c r="B1935">
        <v>2008</v>
      </c>
      <c r="C1935" t="s">
        <v>369</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COUNT(LifeExpectancyData[[#This Row],[Life expectancy]:[Schooling]])=19</f>
        <v>0</v>
      </c>
    </row>
    <row r="1936" spans="1:23" x14ac:dyDescent="0.25">
      <c r="A1936" t="s">
        <v>496</v>
      </c>
      <c r="B1936">
        <v>2007</v>
      </c>
      <c r="C1936" t="s">
        <v>369</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COUNT(LifeExpectancyData[[#This Row],[Life expectancy]:[Schooling]])=19</f>
        <v>0</v>
      </c>
    </row>
    <row r="1937" spans="1:23" x14ac:dyDescent="0.25">
      <c r="A1937" t="s">
        <v>496</v>
      </c>
      <c r="B1937">
        <v>2006</v>
      </c>
      <c r="C1937" t="s">
        <v>369</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COUNT(LifeExpectancyData[[#This Row],[Life expectancy]:[Schooling]])=19</f>
        <v>0</v>
      </c>
    </row>
    <row r="1938" spans="1:23" x14ac:dyDescent="0.25">
      <c r="A1938" t="s">
        <v>496</v>
      </c>
      <c r="B1938">
        <v>2005</v>
      </c>
      <c r="C1938" t="s">
        <v>369</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COUNT(LifeExpectancyData[[#This Row],[Life expectancy]:[Schooling]])=19</f>
        <v>0</v>
      </c>
    </row>
    <row r="1939" spans="1:23" x14ac:dyDescent="0.25">
      <c r="A1939" t="s">
        <v>496</v>
      </c>
      <c r="B1939">
        <v>2004</v>
      </c>
      <c r="C1939" t="s">
        <v>369</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COUNT(LifeExpectancyData[[#This Row],[Life expectancy]:[Schooling]])=19</f>
        <v>0</v>
      </c>
    </row>
    <row r="1940" spans="1:23" x14ac:dyDescent="0.25">
      <c r="A1940" t="s">
        <v>496</v>
      </c>
      <c r="B1940">
        <v>2003</v>
      </c>
      <c r="C1940" t="s">
        <v>369</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COUNT(LifeExpectancyData[[#This Row],[Life expectancy]:[Schooling]])=19</f>
        <v>0</v>
      </c>
    </row>
    <row r="1941" spans="1:23" x14ac:dyDescent="0.25">
      <c r="A1941" t="s">
        <v>496</v>
      </c>
      <c r="B1941">
        <v>2002</v>
      </c>
      <c r="C1941" t="s">
        <v>369</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COUNT(LifeExpectancyData[[#This Row],[Life expectancy]:[Schooling]])=19</f>
        <v>0</v>
      </c>
    </row>
    <row r="1942" spans="1:23" x14ac:dyDescent="0.25">
      <c r="A1942" t="s">
        <v>496</v>
      </c>
      <c r="B1942">
        <v>2001</v>
      </c>
      <c r="C1942" t="s">
        <v>369</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COUNT(LifeExpectancyData[[#This Row],[Life expectancy]:[Schooling]])=19</f>
        <v>0</v>
      </c>
    </row>
    <row r="1943" spans="1:23" x14ac:dyDescent="0.25">
      <c r="A1943" t="s">
        <v>496</v>
      </c>
      <c r="B1943">
        <v>2000</v>
      </c>
      <c r="C1943" t="s">
        <v>369</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COUNT(LifeExpectancyData[[#This Row],[Life expectancy]:[Schooling]])=19</f>
        <v>0</v>
      </c>
    </row>
    <row r="1944" spans="1:23" x14ac:dyDescent="0.25">
      <c r="A1944" t="s">
        <v>497</v>
      </c>
      <c r="B1944">
        <v>2015</v>
      </c>
      <c r="C1944" t="s">
        <v>369</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COUNT(LifeExpectancyData[[#This Row],[Life expectancy]:[Schooling]])=19</f>
        <v>0</v>
      </c>
    </row>
    <row r="1945" spans="1:23" x14ac:dyDescent="0.25">
      <c r="A1945" t="s">
        <v>497</v>
      </c>
      <c r="B1945">
        <v>2014</v>
      </c>
      <c r="C1945" t="s">
        <v>369</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COUNT(LifeExpectancyData[[#This Row],[Life expectancy]:[Schooling]])=19</f>
        <v>1</v>
      </c>
    </row>
    <row r="1946" spans="1:23" x14ac:dyDescent="0.25">
      <c r="A1946" t="s">
        <v>497</v>
      </c>
      <c r="B1946">
        <v>2013</v>
      </c>
      <c r="C1946" t="s">
        <v>369</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COUNT(LifeExpectancyData[[#This Row],[Life expectancy]:[Schooling]])=19</f>
        <v>1</v>
      </c>
    </row>
    <row r="1947" spans="1:23" x14ac:dyDescent="0.25">
      <c r="A1947" t="s">
        <v>497</v>
      </c>
      <c r="B1947">
        <v>2012</v>
      </c>
      <c r="C1947" t="s">
        <v>369</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COUNT(LifeExpectancyData[[#This Row],[Life expectancy]:[Schooling]])=19</f>
        <v>1</v>
      </c>
    </row>
    <row r="1948" spans="1:23" x14ac:dyDescent="0.25">
      <c r="A1948" t="s">
        <v>497</v>
      </c>
      <c r="B1948">
        <v>2011</v>
      </c>
      <c r="C1948" t="s">
        <v>369</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COUNT(LifeExpectancyData[[#This Row],[Life expectancy]:[Schooling]])=19</f>
        <v>1</v>
      </c>
    </row>
    <row r="1949" spans="1:23" x14ac:dyDescent="0.25">
      <c r="A1949" t="s">
        <v>497</v>
      </c>
      <c r="B1949">
        <v>2010</v>
      </c>
      <c r="C1949" t="s">
        <v>369</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COUNT(LifeExpectancyData[[#This Row],[Life expectancy]:[Schooling]])=19</f>
        <v>1</v>
      </c>
    </row>
    <row r="1950" spans="1:23" x14ac:dyDescent="0.25">
      <c r="A1950" t="s">
        <v>497</v>
      </c>
      <c r="B1950">
        <v>2009</v>
      </c>
      <c r="C1950" t="s">
        <v>369</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COUNT(LifeExpectancyData[[#This Row],[Life expectancy]:[Schooling]])=19</f>
        <v>1</v>
      </c>
    </row>
    <row r="1951" spans="1:23" x14ac:dyDescent="0.25">
      <c r="A1951" t="s">
        <v>497</v>
      </c>
      <c r="B1951">
        <v>2008</v>
      </c>
      <c r="C1951" t="s">
        <v>369</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COUNT(LifeExpectancyData[[#This Row],[Life expectancy]:[Schooling]])=19</f>
        <v>1</v>
      </c>
    </row>
    <row r="1952" spans="1:23" x14ac:dyDescent="0.25">
      <c r="A1952" t="s">
        <v>497</v>
      </c>
      <c r="B1952">
        <v>2007</v>
      </c>
      <c r="C1952" t="s">
        <v>369</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COUNT(LifeExpectancyData[[#This Row],[Life expectancy]:[Schooling]])=19</f>
        <v>1</v>
      </c>
    </row>
    <row r="1953" spans="1:23" x14ac:dyDescent="0.25">
      <c r="A1953" t="s">
        <v>497</v>
      </c>
      <c r="B1953">
        <v>2006</v>
      </c>
      <c r="C1953" t="s">
        <v>369</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COUNT(LifeExpectancyData[[#This Row],[Life expectancy]:[Schooling]])=19</f>
        <v>1</v>
      </c>
    </row>
    <row r="1954" spans="1:23" x14ac:dyDescent="0.25">
      <c r="A1954" t="s">
        <v>497</v>
      </c>
      <c r="B1954">
        <v>2005</v>
      </c>
      <c r="C1954" t="s">
        <v>369</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COUNT(LifeExpectancyData[[#This Row],[Life expectancy]:[Schooling]])=19</f>
        <v>1</v>
      </c>
    </row>
    <row r="1955" spans="1:23" x14ac:dyDescent="0.25">
      <c r="A1955" t="s">
        <v>497</v>
      </c>
      <c r="B1955">
        <v>2004</v>
      </c>
      <c r="C1955" t="s">
        <v>369</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COUNT(LifeExpectancyData[[#This Row],[Life expectancy]:[Schooling]])=19</f>
        <v>1</v>
      </c>
    </row>
    <row r="1956" spans="1:23" x14ac:dyDescent="0.25">
      <c r="A1956" t="s">
        <v>497</v>
      </c>
      <c r="B1956">
        <v>2003</v>
      </c>
      <c r="C1956" t="s">
        <v>369</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COUNT(LifeExpectancyData[[#This Row],[Life expectancy]:[Schooling]])=19</f>
        <v>1</v>
      </c>
    </row>
    <row r="1957" spans="1:23" x14ac:dyDescent="0.25">
      <c r="A1957" t="s">
        <v>497</v>
      </c>
      <c r="B1957">
        <v>2002</v>
      </c>
      <c r="C1957" t="s">
        <v>369</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COUNT(LifeExpectancyData[[#This Row],[Life expectancy]:[Schooling]])=19</f>
        <v>0</v>
      </c>
    </row>
    <row r="1958" spans="1:23" x14ac:dyDescent="0.25">
      <c r="A1958" t="s">
        <v>497</v>
      </c>
      <c r="B1958">
        <v>2001</v>
      </c>
      <c r="C1958" t="s">
        <v>369</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COUNT(LifeExpectancyData[[#This Row],[Life expectancy]:[Schooling]])=19</f>
        <v>0</v>
      </c>
    </row>
    <row r="1959" spans="1:23" x14ac:dyDescent="0.25">
      <c r="A1959" t="s">
        <v>497</v>
      </c>
      <c r="B1959">
        <v>2000</v>
      </c>
      <c r="C1959" t="s">
        <v>369</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COUNT(LifeExpectancyData[[#This Row],[Life expectancy]:[Schooling]])=19</f>
        <v>0</v>
      </c>
    </row>
    <row r="1960" spans="1:23" x14ac:dyDescent="0.25">
      <c r="A1960" t="s">
        <v>498</v>
      </c>
      <c r="B1960">
        <v>2013</v>
      </c>
      <c r="C1960" t="s">
        <v>369</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COUNT(LifeExpectancyData[[#This Row],[Life expectancy]:[Schooling]])=19</f>
        <v>0</v>
      </c>
    </row>
    <row r="1961" spans="1:23" x14ac:dyDescent="0.25">
      <c r="A1961" t="s">
        <v>499</v>
      </c>
      <c r="B1961">
        <v>2015</v>
      </c>
      <c r="C1961" t="s">
        <v>369</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COUNT(LifeExpectancyData[[#This Row],[Life expectancy]:[Schooling]])=19</f>
        <v>0</v>
      </c>
    </row>
    <row r="1962" spans="1:23" x14ac:dyDescent="0.25">
      <c r="A1962" t="s">
        <v>499</v>
      </c>
      <c r="B1962">
        <v>2014</v>
      </c>
      <c r="C1962" t="s">
        <v>369</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COUNT(LifeExpectancyData[[#This Row],[Life expectancy]:[Schooling]])=19</f>
        <v>1</v>
      </c>
    </row>
    <row r="1963" spans="1:23" x14ac:dyDescent="0.25">
      <c r="A1963" t="s">
        <v>499</v>
      </c>
      <c r="B1963">
        <v>2013</v>
      </c>
      <c r="C1963" t="s">
        <v>369</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COUNT(LifeExpectancyData[[#This Row],[Life expectancy]:[Schooling]])=19</f>
        <v>1</v>
      </c>
    </row>
    <row r="1964" spans="1:23" x14ac:dyDescent="0.25">
      <c r="A1964" t="s">
        <v>499</v>
      </c>
      <c r="B1964">
        <v>2012</v>
      </c>
      <c r="C1964" t="s">
        <v>369</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COUNT(LifeExpectancyData[[#This Row],[Life expectancy]:[Schooling]])=19</f>
        <v>1</v>
      </c>
    </row>
    <row r="1965" spans="1:23" x14ac:dyDescent="0.25">
      <c r="A1965" t="s">
        <v>499</v>
      </c>
      <c r="B1965">
        <v>2011</v>
      </c>
      <c r="C1965" t="s">
        <v>369</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COUNT(LifeExpectancyData[[#This Row],[Life expectancy]:[Schooling]])=19</f>
        <v>1</v>
      </c>
    </row>
    <row r="1966" spans="1:23" x14ac:dyDescent="0.25">
      <c r="A1966" t="s">
        <v>499</v>
      </c>
      <c r="B1966">
        <v>2010</v>
      </c>
      <c r="C1966" t="s">
        <v>369</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COUNT(LifeExpectancyData[[#This Row],[Life expectancy]:[Schooling]])=19</f>
        <v>1</v>
      </c>
    </row>
    <row r="1967" spans="1:23" x14ac:dyDescent="0.25">
      <c r="A1967" t="s">
        <v>499</v>
      </c>
      <c r="B1967">
        <v>2009</v>
      </c>
      <c r="C1967" t="s">
        <v>369</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COUNT(LifeExpectancyData[[#This Row],[Life expectancy]:[Schooling]])=19</f>
        <v>1</v>
      </c>
    </row>
    <row r="1968" spans="1:23" x14ac:dyDescent="0.25">
      <c r="A1968" t="s">
        <v>499</v>
      </c>
      <c r="B1968">
        <v>2008</v>
      </c>
      <c r="C1968" t="s">
        <v>369</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COUNT(LifeExpectancyData[[#This Row],[Life expectancy]:[Schooling]])=19</f>
        <v>1</v>
      </c>
    </row>
    <row r="1969" spans="1:23" x14ac:dyDescent="0.25">
      <c r="A1969" t="s">
        <v>499</v>
      </c>
      <c r="B1969">
        <v>2007</v>
      </c>
      <c r="C1969" t="s">
        <v>369</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COUNT(LifeExpectancyData[[#This Row],[Life expectancy]:[Schooling]])=19</f>
        <v>1</v>
      </c>
    </row>
    <row r="1970" spans="1:23" x14ac:dyDescent="0.25">
      <c r="A1970" t="s">
        <v>499</v>
      </c>
      <c r="B1970">
        <v>2006</v>
      </c>
      <c r="C1970" t="s">
        <v>369</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COUNT(LifeExpectancyData[[#This Row],[Life expectancy]:[Schooling]])=19</f>
        <v>1</v>
      </c>
    </row>
    <row r="1971" spans="1:23" x14ac:dyDescent="0.25">
      <c r="A1971" t="s">
        <v>499</v>
      </c>
      <c r="B1971">
        <v>2005</v>
      </c>
      <c r="C1971" t="s">
        <v>369</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COUNT(LifeExpectancyData[[#This Row],[Life expectancy]:[Schooling]])=19</f>
        <v>1</v>
      </c>
    </row>
    <row r="1972" spans="1:23" x14ac:dyDescent="0.25">
      <c r="A1972" t="s">
        <v>499</v>
      </c>
      <c r="B1972">
        <v>2004</v>
      </c>
      <c r="C1972" t="s">
        <v>369</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COUNT(LifeExpectancyData[[#This Row],[Life expectancy]:[Schooling]])=19</f>
        <v>1</v>
      </c>
    </row>
    <row r="1973" spans="1:23" x14ac:dyDescent="0.25">
      <c r="A1973" t="s">
        <v>499</v>
      </c>
      <c r="B1973">
        <v>2003</v>
      </c>
      <c r="C1973" t="s">
        <v>369</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COUNT(LifeExpectancyData[[#This Row],[Life expectancy]:[Schooling]])=19</f>
        <v>1</v>
      </c>
    </row>
    <row r="1974" spans="1:23" x14ac:dyDescent="0.25">
      <c r="A1974" t="s">
        <v>499</v>
      </c>
      <c r="B1974">
        <v>2002</v>
      </c>
      <c r="C1974" t="s">
        <v>369</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COUNT(LifeExpectancyData[[#This Row],[Life expectancy]:[Schooling]])=19</f>
        <v>1</v>
      </c>
    </row>
    <row r="1975" spans="1:23" x14ac:dyDescent="0.25">
      <c r="A1975" t="s">
        <v>499</v>
      </c>
      <c r="B1975">
        <v>2001</v>
      </c>
      <c r="C1975" t="s">
        <v>369</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COUNT(LifeExpectancyData[[#This Row],[Life expectancy]:[Schooling]])=19</f>
        <v>1</v>
      </c>
    </row>
    <row r="1976" spans="1:23" x14ac:dyDescent="0.25">
      <c r="A1976" t="s">
        <v>499</v>
      </c>
      <c r="B1976">
        <v>2000</v>
      </c>
      <c r="C1976" t="s">
        <v>369</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COUNT(LifeExpectancyData[[#This Row],[Life expectancy]:[Schooling]])=19</f>
        <v>0</v>
      </c>
    </row>
    <row r="1977" spans="1:23" x14ac:dyDescent="0.25">
      <c r="A1977" t="s">
        <v>500</v>
      </c>
      <c r="B1977">
        <v>2015</v>
      </c>
      <c r="C1977" t="s">
        <v>369</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COUNT(LifeExpectancyData[[#This Row],[Life expectancy]:[Schooling]])=19</f>
        <v>0</v>
      </c>
    </row>
    <row r="1978" spans="1:23" x14ac:dyDescent="0.25">
      <c r="A1978" t="s">
        <v>500</v>
      </c>
      <c r="B1978">
        <v>2014</v>
      </c>
      <c r="C1978" t="s">
        <v>369</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COUNT(LifeExpectancyData[[#This Row],[Life expectancy]:[Schooling]])=19</f>
        <v>1</v>
      </c>
    </row>
    <row r="1979" spans="1:23" x14ac:dyDescent="0.25">
      <c r="A1979" t="s">
        <v>500</v>
      </c>
      <c r="B1979">
        <v>2013</v>
      </c>
      <c r="C1979" t="s">
        <v>369</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COUNT(LifeExpectancyData[[#This Row],[Life expectancy]:[Schooling]])=19</f>
        <v>1</v>
      </c>
    </row>
    <row r="1980" spans="1:23" x14ac:dyDescent="0.25">
      <c r="A1980" t="s">
        <v>500</v>
      </c>
      <c r="B1980">
        <v>2012</v>
      </c>
      <c r="C1980" t="s">
        <v>369</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COUNT(LifeExpectancyData[[#This Row],[Life expectancy]:[Schooling]])=19</f>
        <v>1</v>
      </c>
    </row>
    <row r="1981" spans="1:23" x14ac:dyDescent="0.25">
      <c r="A1981" t="s">
        <v>500</v>
      </c>
      <c r="B1981">
        <v>2011</v>
      </c>
      <c r="C1981" t="s">
        <v>369</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COUNT(LifeExpectancyData[[#This Row],[Life expectancy]:[Schooling]])=19</f>
        <v>1</v>
      </c>
    </row>
    <row r="1982" spans="1:23" x14ac:dyDescent="0.25">
      <c r="A1982" t="s">
        <v>500</v>
      </c>
      <c r="B1982">
        <v>2010</v>
      </c>
      <c r="C1982" t="s">
        <v>369</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COUNT(LifeExpectancyData[[#This Row],[Life expectancy]:[Schooling]])=19</f>
        <v>1</v>
      </c>
    </row>
    <row r="1983" spans="1:23" x14ac:dyDescent="0.25">
      <c r="A1983" t="s">
        <v>500</v>
      </c>
      <c r="B1983">
        <v>2009</v>
      </c>
      <c r="C1983" t="s">
        <v>369</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COUNT(LifeExpectancyData[[#This Row],[Life expectancy]:[Schooling]])=19</f>
        <v>1</v>
      </c>
    </row>
    <row r="1984" spans="1:23" x14ac:dyDescent="0.25">
      <c r="A1984" t="s">
        <v>500</v>
      </c>
      <c r="B1984">
        <v>2008</v>
      </c>
      <c r="C1984" t="s">
        <v>369</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COUNT(LifeExpectancyData[[#This Row],[Life expectancy]:[Schooling]])=19</f>
        <v>1</v>
      </c>
    </row>
    <row r="1985" spans="1:23" x14ac:dyDescent="0.25">
      <c r="A1985" t="s">
        <v>500</v>
      </c>
      <c r="B1985">
        <v>2007</v>
      </c>
      <c r="C1985" t="s">
        <v>369</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COUNT(LifeExpectancyData[[#This Row],[Life expectancy]:[Schooling]])=19</f>
        <v>1</v>
      </c>
    </row>
    <row r="1986" spans="1:23" x14ac:dyDescent="0.25">
      <c r="A1986" t="s">
        <v>500</v>
      </c>
      <c r="B1986">
        <v>2006</v>
      </c>
      <c r="C1986" t="s">
        <v>369</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COUNT(LifeExpectancyData[[#This Row],[Life expectancy]:[Schooling]])=19</f>
        <v>1</v>
      </c>
    </row>
    <row r="1987" spans="1:23" x14ac:dyDescent="0.25">
      <c r="A1987" t="s">
        <v>500</v>
      </c>
      <c r="B1987">
        <v>2005</v>
      </c>
      <c r="C1987" t="s">
        <v>369</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COUNT(LifeExpectancyData[[#This Row],[Life expectancy]:[Schooling]])=19</f>
        <v>1</v>
      </c>
    </row>
    <row r="1988" spans="1:23" x14ac:dyDescent="0.25">
      <c r="A1988" t="s">
        <v>500</v>
      </c>
      <c r="B1988">
        <v>2004</v>
      </c>
      <c r="C1988" t="s">
        <v>369</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COUNT(LifeExpectancyData[[#This Row],[Life expectancy]:[Schooling]])=19</f>
        <v>1</v>
      </c>
    </row>
    <row r="1989" spans="1:23" x14ac:dyDescent="0.25">
      <c r="A1989" t="s">
        <v>500</v>
      </c>
      <c r="B1989">
        <v>2003</v>
      </c>
      <c r="C1989" t="s">
        <v>369</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COUNT(LifeExpectancyData[[#This Row],[Life expectancy]:[Schooling]])=19</f>
        <v>1</v>
      </c>
    </row>
    <row r="1990" spans="1:23" x14ac:dyDescent="0.25">
      <c r="A1990" t="s">
        <v>500</v>
      </c>
      <c r="B1990">
        <v>2002</v>
      </c>
      <c r="C1990" t="s">
        <v>369</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COUNT(LifeExpectancyData[[#This Row],[Life expectancy]:[Schooling]])=19</f>
        <v>1</v>
      </c>
    </row>
    <row r="1991" spans="1:23" x14ac:dyDescent="0.25">
      <c r="A1991" t="s">
        <v>500</v>
      </c>
      <c r="B1991">
        <v>2001</v>
      </c>
      <c r="C1991" t="s">
        <v>369</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COUNT(LifeExpectancyData[[#This Row],[Life expectancy]:[Schooling]])=19</f>
        <v>1</v>
      </c>
    </row>
    <row r="1992" spans="1:23" x14ac:dyDescent="0.25">
      <c r="A1992" t="s">
        <v>500</v>
      </c>
      <c r="B1992">
        <v>2000</v>
      </c>
      <c r="C1992" t="s">
        <v>369</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COUNT(LifeExpectancyData[[#This Row],[Life expectancy]:[Schooling]])=19</f>
        <v>1</v>
      </c>
    </row>
    <row r="1993" spans="1:23" x14ac:dyDescent="0.25">
      <c r="A1993" t="s">
        <v>501</v>
      </c>
      <c r="B1993">
        <v>2015</v>
      </c>
      <c r="C1993" t="s">
        <v>369</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COUNT(LifeExpectancyData[[#This Row],[Life expectancy]:[Schooling]])=19</f>
        <v>0</v>
      </c>
    </row>
    <row r="1994" spans="1:23" x14ac:dyDescent="0.25">
      <c r="A1994" t="s">
        <v>501</v>
      </c>
      <c r="B1994">
        <v>2014</v>
      </c>
      <c r="C1994" t="s">
        <v>369</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COUNT(LifeExpectancyData[[#This Row],[Life expectancy]:[Schooling]])=19</f>
        <v>1</v>
      </c>
    </row>
    <row r="1995" spans="1:23" x14ac:dyDescent="0.25">
      <c r="A1995" t="s">
        <v>501</v>
      </c>
      <c r="B1995">
        <v>2013</v>
      </c>
      <c r="C1995" t="s">
        <v>369</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COUNT(LifeExpectancyData[[#This Row],[Life expectancy]:[Schooling]])=19</f>
        <v>1</v>
      </c>
    </row>
    <row r="1996" spans="1:23" x14ac:dyDescent="0.25">
      <c r="A1996" t="s">
        <v>501</v>
      </c>
      <c r="B1996">
        <v>2012</v>
      </c>
      <c r="C1996" t="s">
        <v>369</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COUNT(LifeExpectancyData[[#This Row],[Life expectancy]:[Schooling]])=19</f>
        <v>1</v>
      </c>
    </row>
    <row r="1997" spans="1:23" x14ac:dyDescent="0.25">
      <c r="A1997" t="s">
        <v>501</v>
      </c>
      <c r="B1997">
        <v>2011</v>
      </c>
      <c r="C1997" t="s">
        <v>369</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COUNT(LifeExpectancyData[[#This Row],[Life expectancy]:[Schooling]])=19</f>
        <v>1</v>
      </c>
    </row>
    <row r="1998" spans="1:23" x14ac:dyDescent="0.25">
      <c r="A1998" t="s">
        <v>501</v>
      </c>
      <c r="B1998">
        <v>2010</v>
      </c>
      <c r="C1998" t="s">
        <v>369</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COUNT(LifeExpectancyData[[#This Row],[Life expectancy]:[Schooling]])=19</f>
        <v>1</v>
      </c>
    </row>
    <row r="1999" spans="1:23" x14ac:dyDescent="0.25">
      <c r="A1999" t="s">
        <v>501</v>
      </c>
      <c r="B1999">
        <v>2009</v>
      </c>
      <c r="C1999" t="s">
        <v>369</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COUNT(LifeExpectancyData[[#This Row],[Life expectancy]:[Schooling]])=19</f>
        <v>1</v>
      </c>
    </row>
    <row r="2000" spans="1:23" x14ac:dyDescent="0.25">
      <c r="A2000" t="s">
        <v>501</v>
      </c>
      <c r="B2000">
        <v>2008</v>
      </c>
      <c r="C2000" t="s">
        <v>369</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COUNT(LifeExpectancyData[[#This Row],[Life expectancy]:[Schooling]])=19</f>
        <v>1</v>
      </c>
    </row>
    <row r="2001" spans="1:23" x14ac:dyDescent="0.25">
      <c r="A2001" t="s">
        <v>501</v>
      </c>
      <c r="B2001">
        <v>2007</v>
      </c>
      <c r="C2001" t="s">
        <v>369</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COUNT(LifeExpectancyData[[#This Row],[Life expectancy]:[Schooling]])=19</f>
        <v>1</v>
      </c>
    </row>
    <row r="2002" spans="1:23" x14ac:dyDescent="0.25">
      <c r="A2002" t="s">
        <v>501</v>
      </c>
      <c r="B2002">
        <v>2006</v>
      </c>
      <c r="C2002" t="s">
        <v>369</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COUNT(LifeExpectancyData[[#This Row],[Life expectancy]:[Schooling]])=19</f>
        <v>1</v>
      </c>
    </row>
    <row r="2003" spans="1:23" x14ac:dyDescent="0.25">
      <c r="A2003" t="s">
        <v>501</v>
      </c>
      <c r="B2003">
        <v>2005</v>
      </c>
      <c r="C2003" t="s">
        <v>369</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COUNT(LifeExpectancyData[[#This Row],[Life expectancy]:[Schooling]])=19</f>
        <v>1</v>
      </c>
    </row>
    <row r="2004" spans="1:23" x14ac:dyDescent="0.25">
      <c r="A2004" t="s">
        <v>501</v>
      </c>
      <c r="B2004">
        <v>2004</v>
      </c>
      <c r="C2004" t="s">
        <v>369</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COUNT(LifeExpectancyData[[#This Row],[Life expectancy]:[Schooling]])=19</f>
        <v>1</v>
      </c>
    </row>
    <row r="2005" spans="1:23" x14ac:dyDescent="0.25">
      <c r="A2005" t="s">
        <v>501</v>
      </c>
      <c r="B2005">
        <v>2003</v>
      </c>
      <c r="C2005" t="s">
        <v>369</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COUNT(LifeExpectancyData[[#This Row],[Life expectancy]:[Schooling]])=19</f>
        <v>1</v>
      </c>
    </row>
    <row r="2006" spans="1:23" x14ac:dyDescent="0.25">
      <c r="A2006" t="s">
        <v>501</v>
      </c>
      <c r="B2006">
        <v>2002</v>
      </c>
      <c r="C2006" t="s">
        <v>369</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COUNT(LifeExpectancyData[[#This Row],[Life expectancy]:[Schooling]])=19</f>
        <v>0</v>
      </c>
    </row>
    <row r="2007" spans="1:23" x14ac:dyDescent="0.25">
      <c r="A2007" t="s">
        <v>501</v>
      </c>
      <c r="B2007">
        <v>2001</v>
      </c>
      <c r="C2007" t="s">
        <v>369</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COUNT(LifeExpectancyData[[#This Row],[Life expectancy]:[Schooling]])=19</f>
        <v>0</v>
      </c>
    </row>
    <row r="2008" spans="1:23" x14ac:dyDescent="0.25">
      <c r="A2008" t="s">
        <v>501</v>
      </c>
      <c r="B2008">
        <v>2000</v>
      </c>
      <c r="C2008" t="s">
        <v>369</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COUNT(LifeExpectancyData[[#This Row],[Life expectancy]:[Schooling]])=19</f>
        <v>0</v>
      </c>
    </row>
    <row r="2009" spans="1:23" x14ac:dyDescent="0.25">
      <c r="A2009" t="s">
        <v>502</v>
      </c>
      <c r="B2009">
        <v>2015</v>
      </c>
      <c r="C2009" t="s">
        <v>369</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COUNT(LifeExpectancyData[[#This Row],[Life expectancy]:[Schooling]])=19</f>
        <v>0</v>
      </c>
    </row>
    <row r="2010" spans="1:23" x14ac:dyDescent="0.25">
      <c r="A2010" t="s">
        <v>502</v>
      </c>
      <c r="B2010">
        <v>2014</v>
      </c>
      <c r="C2010" t="s">
        <v>369</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COUNT(LifeExpectancyData[[#This Row],[Life expectancy]:[Schooling]])=19</f>
        <v>1</v>
      </c>
    </row>
    <row r="2011" spans="1:23" x14ac:dyDescent="0.25">
      <c r="A2011" t="s">
        <v>502</v>
      </c>
      <c r="B2011">
        <v>2013</v>
      </c>
      <c r="C2011" t="s">
        <v>369</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COUNT(LifeExpectancyData[[#This Row],[Life expectancy]:[Schooling]])=19</f>
        <v>1</v>
      </c>
    </row>
    <row r="2012" spans="1:23" x14ac:dyDescent="0.25">
      <c r="A2012" t="s">
        <v>502</v>
      </c>
      <c r="B2012">
        <v>2012</v>
      </c>
      <c r="C2012" t="s">
        <v>369</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COUNT(LifeExpectancyData[[#This Row],[Life expectancy]:[Schooling]])=19</f>
        <v>1</v>
      </c>
    </row>
    <row r="2013" spans="1:23" x14ac:dyDescent="0.25">
      <c r="A2013" t="s">
        <v>502</v>
      </c>
      <c r="B2013">
        <v>2011</v>
      </c>
      <c r="C2013" t="s">
        <v>369</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COUNT(LifeExpectancyData[[#This Row],[Life expectancy]:[Schooling]])=19</f>
        <v>1</v>
      </c>
    </row>
    <row r="2014" spans="1:23" x14ac:dyDescent="0.25">
      <c r="A2014" t="s">
        <v>502</v>
      </c>
      <c r="B2014">
        <v>2010</v>
      </c>
      <c r="C2014" t="s">
        <v>369</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COUNT(LifeExpectancyData[[#This Row],[Life expectancy]:[Schooling]])=19</f>
        <v>1</v>
      </c>
    </row>
    <row r="2015" spans="1:23" x14ac:dyDescent="0.25">
      <c r="A2015" t="s">
        <v>502</v>
      </c>
      <c r="B2015">
        <v>2009</v>
      </c>
      <c r="C2015" t="s">
        <v>369</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COUNT(LifeExpectancyData[[#This Row],[Life expectancy]:[Schooling]])=19</f>
        <v>1</v>
      </c>
    </row>
    <row r="2016" spans="1:23" x14ac:dyDescent="0.25">
      <c r="A2016" t="s">
        <v>502</v>
      </c>
      <c r="B2016">
        <v>2008</v>
      </c>
      <c r="C2016" t="s">
        <v>369</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COUNT(LifeExpectancyData[[#This Row],[Life expectancy]:[Schooling]])=19</f>
        <v>1</v>
      </c>
    </row>
    <row r="2017" spans="1:23" x14ac:dyDescent="0.25">
      <c r="A2017" t="s">
        <v>502</v>
      </c>
      <c r="B2017">
        <v>2007</v>
      </c>
      <c r="C2017" t="s">
        <v>369</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COUNT(LifeExpectancyData[[#This Row],[Life expectancy]:[Schooling]])=19</f>
        <v>1</v>
      </c>
    </row>
    <row r="2018" spans="1:23" x14ac:dyDescent="0.25">
      <c r="A2018" t="s">
        <v>502</v>
      </c>
      <c r="B2018">
        <v>2006</v>
      </c>
      <c r="C2018" t="s">
        <v>369</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COUNT(LifeExpectancyData[[#This Row],[Life expectancy]:[Schooling]])=19</f>
        <v>1</v>
      </c>
    </row>
    <row r="2019" spans="1:23" x14ac:dyDescent="0.25">
      <c r="A2019" t="s">
        <v>502</v>
      </c>
      <c r="B2019">
        <v>2005</v>
      </c>
      <c r="C2019" t="s">
        <v>369</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COUNT(LifeExpectancyData[[#This Row],[Life expectancy]:[Schooling]])=19</f>
        <v>1</v>
      </c>
    </row>
    <row r="2020" spans="1:23" x14ac:dyDescent="0.25">
      <c r="A2020" t="s">
        <v>502</v>
      </c>
      <c r="B2020">
        <v>2004</v>
      </c>
      <c r="C2020" t="s">
        <v>369</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COUNT(LifeExpectancyData[[#This Row],[Life expectancy]:[Schooling]])=19</f>
        <v>1</v>
      </c>
    </row>
    <row r="2021" spans="1:23" x14ac:dyDescent="0.25">
      <c r="A2021" t="s">
        <v>502</v>
      </c>
      <c r="B2021">
        <v>2003</v>
      </c>
      <c r="C2021" t="s">
        <v>369</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COUNT(LifeExpectancyData[[#This Row],[Life expectancy]:[Schooling]])=19</f>
        <v>1</v>
      </c>
    </row>
    <row r="2022" spans="1:23" x14ac:dyDescent="0.25">
      <c r="A2022" t="s">
        <v>502</v>
      </c>
      <c r="B2022">
        <v>2002</v>
      </c>
      <c r="C2022" t="s">
        <v>369</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COUNT(LifeExpectancyData[[#This Row],[Life expectancy]:[Schooling]])=19</f>
        <v>0</v>
      </c>
    </row>
    <row r="2023" spans="1:23" x14ac:dyDescent="0.25">
      <c r="A2023" t="s">
        <v>502</v>
      </c>
      <c r="B2023">
        <v>2001</v>
      </c>
      <c r="C2023" t="s">
        <v>369</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COUNT(LifeExpectancyData[[#This Row],[Life expectancy]:[Schooling]])=19</f>
        <v>0</v>
      </c>
    </row>
    <row r="2024" spans="1:23" x14ac:dyDescent="0.25">
      <c r="A2024" t="s">
        <v>502</v>
      </c>
      <c r="B2024">
        <v>2000</v>
      </c>
      <c r="C2024" t="s">
        <v>369</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COUNT(LifeExpectancyData[[#This Row],[Life expectancy]:[Schooling]])=19</f>
        <v>0</v>
      </c>
    </row>
    <row r="2025" spans="1:23" x14ac:dyDescent="0.25">
      <c r="A2025" t="s">
        <v>503</v>
      </c>
      <c r="B2025">
        <v>2015</v>
      </c>
      <c r="C2025" t="s">
        <v>369</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COUNT(LifeExpectancyData[[#This Row],[Life expectancy]:[Schooling]])=19</f>
        <v>0</v>
      </c>
    </row>
    <row r="2026" spans="1:23" x14ac:dyDescent="0.25">
      <c r="A2026" t="s">
        <v>503</v>
      </c>
      <c r="B2026">
        <v>2014</v>
      </c>
      <c r="C2026" t="s">
        <v>369</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COUNT(LifeExpectancyData[[#This Row],[Life expectancy]:[Schooling]])=19</f>
        <v>1</v>
      </c>
    </row>
    <row r="2027" spans="1:23" x14ac:dyDescent="0.25">
      <c r="A2027" t="s">
        <v>503</v>
      </c>
      <c r="B2027">
        <v>2013</v>
      </c>
      <c r="C2027" t="s">
        <v>369</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COUNT(LifeExpectancyData[[#This Row],[Life expectancy]:[Schooling]])=19</f>
        <v>1</v>
      </c>
    </row>
    <row r="2028" spans="1:23" x14ac:dyDescent="0.25">
      <c r="A2028" t="s">
        <v>503</v>
      </c>
      <c r="B2028">
        <v>2012</v>
      </c>
      <c r="C2028" t="s">
        <v>369</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COUNT(LifeExpectancyData[[#This Row],[Life expectancy]:[Schooling]])=19</f>
        <v>1</v>
      </c>
    </row>
    <row r="2029" spans="1:23" x14ac:dyDescent="0.25">
      <c r="A2029" t="s">
        <v>503</v>
      </c>
      <c r="B2029">
        <v>2011</v>
      </c>
      <c r="C2029" t="s">
        <v>369</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COUNT(LifeExpectancyData[[#This Row],[Life expectancy]:[Schooling]])=19</f>
        <v>1</v>
      </c>
    </row>
    <row r="2030" spans="1:23" x14ac:dyDescent="0.25">
      <c r="A2030" t="s">
        <v>503</v>
      </c>
      <c r="B2030">
        <v>2010</v>
      </c>
      <c r="C2030" t="s">
        <v>369</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COUNT(LifeExpectancyData[[#This Row],[Life expectancy]:[Schooling]])=19</f>
        <v>1</v>
      </c>
    </row>
    <row r="2031" spans="1:23" x14ac:dyDescent="0.25">
      <c r="A2031" t="s">
        <v>503</v>
      </c>
      <c r="B2031">
        <v>2009</v>
      </c>
      <c r="C2031" t="s">
        <v>369</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COUNT(LifeExpectancyData[[#This Row],[Life expectancy]:[Schooling]])=19</f>
        <v>1</v>
      </c>
    </row>
    <row r="2032" spans="1:23" x14ac:dyDescent="0.25">
      <c r="A2032" t="s">
        <v>503</v>
      </c>
      <c r="B2032">
        <v>2008</v>
      </c>
      <c r="C2032" t="s">
        <v>369</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COUNT(LifeExpectancyData[[#This Row],[Life expectancy]:[Schooling]])=19</f>
        <v>1</v>
      </c>
    </row>
    <row r="2033" spans="1:23" x14ac:dyDescent="0.25">
      <c r="A2033" t="s">
        <v>503</v>
      </c>
      <c r="B2033">
        <v>2007</v>
      </c>
      <c r="C2033" t="s">
        <v>369</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COUNT(LifeExpectancyData[[#This Row],[Life expectancy]:[Schooling]])=19</f>
        <v>1</v>
      </c>
    </row>
    <row r="2034" spans="1:23" x14ac:dyDescent="0.25">
      <c r="A2034" t="s">
        <v>503</v>
      </c>
      <c r="B2034">
        <v>2006</v>
      </c>
      <c r="C2034" t="s">
        <v>369</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COUNT(LifeExpectancyData[[#This Row],[Life expectancy]:[Schooling]])=19</f>
        <v>1</v>
      </c>
    </row>
    <row r="2035" spans="1:23" x14ac:dyDescent="0.25">
      <c r="A2035" t="s">
        <v>503</v>
      </c>
      <c r="B2035">
        <v>2005</v>
      </c>
      <c r="C2035" t="s">
        <v>369</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COUNT(LifeExpectancyData[[#This Row],[Life expectancy]:[Schooling]])=19</f>
        <v>1</v>
      </c>
    </row>
    <row r="2036" spans="1:23" x14ac:dyDescent="0.25">
      <c r="A2036" t="s">
        <v>503</v>
      </c>
      <c r="B2036">
        <v>2004</v>
      </c>
      <c r="C2036" t="s">
        <v>369</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COUNT(LifeExpectancyData[[#This Row],[Life expectancy]:[Schooling]])=19</f>
        <v>1</v>
      </c>
    </row>
    <row r="2037" spans="1:23" x14ac:dyDescent="0.25">
      <c r="A2037" t="s">
        <v>503</v>
      </c>
      <c r="B2037">
        <v>2003</v>
      </c>
      <c r="C2037" t="s">
        <v>369</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COUNT(LifeExpectancyData[[#This Row],[Life expectancy]:[Schooling]])=19</f>
        <v>1</v>
      </c>
    </row>
    <row r="2038" spans="1:23" x14ac:dyDescent="0.25">
      <c r="A2038" t="s">
        <v>503</v>
      </c>
      <c r="B2038">
        <v>2002</v>
      </c>
      <c r="C2038" t="s">
        <v>369</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COUNT(LifeExpectancyData[[#This Row],[Life expectancy]:[Schooling]])=19</f>
        <v>1</v>
      </c>
    </row>
    <row r="2039" spans="1:23" x14ac:dyDescent="0.25">
      <c r="A2039" t="s">
        <v>503</v>
      </c>
      <c r="B2039">
        <v>2001</v>
      </c>
      <c r="C2039" t="s">
        <v>369</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COUNT(LifeExpectancyData[[#This Row],[Life expectancy]:[Schooling]])=19</f>
        <v>1</v>
      </c>
    </row>
    <row r="2040" spans="1:23" x14ac:dyDescent="0.25">
      <c r="A2040" t="s">
        <v>503</v>
      </c>
      <c r="B2040">
        <v>2000</v>
      </c>
      <c r="C2040" t="s">
        <v>369</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COUNT(LifeExpectancyData[[#This Row],[Life expectancy]:[Schooling]])=19</f>
        <v>1</v>
      </c>
    </row>
    <row r="2041" spans="1:23" x14ac:dyDescent="0.25">
      <c r="A2041" t="s">
        <v>504</v>
      </c>
      <c r="B2041">
        <v>2015</v>
      </c>
      <c r="C2041" t="s">
        <v>377</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COUNT(LifeExpectancyData[[#This Row],[Life expectancy]:[Schooling]])=19</f>
        <v>0</v>
      </c>
    </row>
    <row r="2042" spans="1:23" x14ac:dyDescent="0.25">
      <c r="A2042" t="s">
        <v>504</v>
      </c>
      <c r="B2042">
        <v>2014</v>
      </c>
      <c r="C2042" t="s">
        <v>377</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COUNT(LifeExpectancyData[[#This Row],[Life expectancy]:[Schooling]])=19</f>
        <v>1</v>
      </c>
    </row>
    <row r="2043" spans="1:23" x14ac:dyDescent="0.25">
      <c r="A2043" t="s">
        <v>504</v>
      </c>
      <c r="B2043">
        <v>2013</v>
      </c>
      <c r="C2043" t="s">
        <v>377</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COUNT(LifeExpectancyData[[#This Row],[Life expectancy]:[Schooling]])=19</f>
        <v>1</v>
      </c>
    </row>
    <row r="2044" spans="1:23" x14ac:dyDescent="0.25">
      <c r="A2044" t="s">
        <v>504</v>
      </c>
      <c r="B2044">
        <v>2012</v>
      </c>
      <c r="C2044" t="s">
        <v>377</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COUNT(LifeExpectancyData[[#This Row],[Life expectancy]:[Schooling]])=19</f>
        <v>1</v>
      </c>
    </row>
    <row r="2045" spans="1:23" x14ac:dyDescent="0.25">
      <c r="A2045" t="s">
        <v>504</v>
      </c>
      <c r="B2045">
        <v>2011</v>
      </c>
      <c r="C2045" t="s">
        <v>377</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COUNT(LifeExpectancyData[[#This Row],[Life expectancy]:[Schooling]])=19</f>
        <v>1</v>
      </c>
    </row>
    <row r="2046" spans="1:23" x14ac:dyDescent="0.25">
      <c r="A2046" t="s">
        <v>504</v>
      </c>
      <c r="B2046">
        <v>2010</v>
      </c>
      <c r="C2046" t="s">
        <v>377</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COUNT(LifeExpectancyData[[#This Row],[Life expectancy]:[Schooling]])=19</f>
        <v>1</v>
      </c>
    </row>
    <row r="2047" spans="1:23" x14ac:dyDescent="0.25">
      <c r="A2047" t="s">
        <v>504</v>
      </c>
      <c r="B2047">
        <v>2009</v>
      </c>
      <c r="C2047" t="s">
        <v>377</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COUNT(LifeExpectancyData[[#This Row],[Life expectancy]:[Schooling]])=19</f>
        <v>1</v>
      </c>
    </row>
    <row r="2048" spans="1:23" x14ac:dyDescent="0.25">
      <c r="A2048" t="s">
        <v>504</v>
      </c>
      <c r="B2048">
        <v>2008</v>
      </c>
      <c r="C2048" t="s">
        <v>377</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COUNT(LifeExpectancyData[[#This Row],[Life expectancy]:[Schooling]])=19</f>
        <v>1</v>
      </c>
    </row>
    <row r="2049" spans="1:23" x14ac:dyDescent="0.25">
      <c r="A2049" t="s">
        <v>504</v>
      </c>
      <c r="B2049">
        <v>2007</v>
      </c>
      <c r="C2049" t="s">
        <v>377</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COUNT(LifeExpectancyData[[#This Row],[Life expectancy]:[Schooling]])=19</f>
        <v>1</v>
      </c>
    </row>
    <row r="2050" spans="1:23" x14ac:dyDescent="0.25">
      <c r="A2050" t="s">
        <v>504</v>
      </c>
      <c r="B2050">
        <v>2006</v>
      </c>
      <c r="C2050" t="s">
        <v>377</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COUNT(LifeExpectancyData[[#This Row],[Life expectancy]:[Schooling]])=19</f>
        <v>1</v>
      </c>
    </row>
    <row r="2051" spans="1:23" x14ac:dyDescent="0.25">
      <c r="A2051" t="s">
        <v>504</v>
      </c>
      <c r="B2051">
        <v>2005</v>
      </c>
      <c r="C2051" t="s">
        <v>377</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COUNT(LifeExpectancyData[[#This Row],[Life expectancy]:[Schooling]])=19</f>
        <v>1</v>
      </c>
    </row>
    <row r="2052" spans="1:23" x14ac:dyDescent="0.25">
      <c r="A2052" t="s">
        <v>504</v>
      </c>
      <c r="B2052">
        <v>2004</v>
      </c>
      <c r="C2052" t="s">
        <v>377</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COUNT(LifeExpectancyData[[#This Row],[Life expectancy]:[Schooling]])=19</f>
        <v>1</v>
      </c>
    </row>
    <row r="2053" spans="1:23" x14ac:dyDescent="0.25">
      <c r="A2053" t="s">
        <v>504</v>
      </c>
      <c r="B2053">
        <v>2003</v>
      </c>
      <c r="C2053" t="s">
        <v>377</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COUNT(LifeExpectancyData[[#This Row],[Life expectancy]:[Schooling]])=19</f>
        <v>1</v>
      </c>
    </row>
    <row r="2054" spans="1:23" x14ac:dyDescent="0.25">
      <c r="A2054" t="s">
        <v>504</v>
      </c>
      <c r="B2054">
        <v>2002</v>
      </c>
      <c r="C2054" t="s">
        <v>377</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COUNT(LifeExpectancyData[[#This Row],[Life expectancy]:[Schooling]])=19</f>
        <v>1</v>
      </c>
    </row>
    <row r="2055" spans="1:23" x14ac:dyDescent="0.25">
      <c r="A2055" t="s">
        <v>504</v>
      </c>
      <c r="B2055">
        <v>2001</v>
      </c>
      <c r="C2055" t="s">
        <v>377</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COUNT(LifeExpectancyData[[#This Row],[Life expectancy]:[Schooling]])=19</f>
        <v>1</v>
      </c>
    </row>
    <row r="2056" spans="1:23" x14ac:dyDescent="0.25">
      <c r="A2056" t="s">
        <v>504</v>
      </c>
      <c r="B2056">
        <v>2000</v>
      </c>
      <c r="C2056" t="s">
        <v>377</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COUNT(LifeExpectancyData[[#This Row],[Life expectancy]:[Schooling]])=19</f>
        <v>1</v>
      </c>
    </row>
    <row r="2057" spans="1:23" x14ac:dyDescent="0.25">
      <c r="A2057" t="s">
        <v>505</v>
      </c>
      <c r="B2057">
        <v>2015</v>
      </c>
      <c r="C2057" t="s">
        <v>377</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COUNT(LifeExpectancyData[[#This Row],[Life expectancy]:[Schooling]])=19</f>
        <v>0</v>
      </c>
    </row>
    <row r="2058" spans="1:23" x14ac:dyDescent="0.25">
      <c r="A2058" t="s">
        <v>505</v>
      </c>
      <c r="B2058">
        <v>2014</v>
      </c>
      <c r="C2058" t="s">
        <v>377</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COUNT(LifeExpectancyData[[#This Row],[Life expectancy]:[Schooling]])=19</f>
        <v>1</v>
      </c>
    </row>
    <row r="2059" spans="1:23" x14ac:dyDescent="0.25">
      <c r="A2059" t="s">
        <v>505</v>
      </c>
      <c r="B2059">
        <v>2013</v>
      </c>
      <c r="C2059" t="s">
        <v>377</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COUNT(LifeExpectancyData[[#This Row],[Life expectancy]:[Schooling]])=19</f>
        <v>1</v>
      </c>
    </row>
    <row r="2060" spans="1:23" x14ac:dyDescent="0.25">
      <c r="A2060" t="s">
        <v>505</v>
      </c>
      <c r="B2060">
        <v>2012</v>
      </c>
      <c r="C2060" t="s">
        <v>377</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COUNT(LifeExpectancyData[[#This Row],[Life expectancy]:[Schooling]])=19</f>
        <v>1</v>
      </c>
    </row>
    <row r="2061" spans="1:23" x14ac:dyDescent="0.25">
      <c r="A2061" t="s">
        <v>505</v>
      </c>
      <c r="B2061">
        <v>2011</v>
      </c>
      <c r="C2061" t="s">
        <v>377</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COUNT(LifeExpectancyData[[#This Row],[Life expectancy]:[Schooling]])=19</f>
        <v>1</v>
      </c>
    </row>
    <row r="2062" spans="1:23" x14ac:dyDescent="0.25">
      <c r="A2062" t="s">
        <v>505</v>
      </c>
      <c r="B2062">
        <v>2010</v>
      </c>
      <c r="C2062" t="s">
        <v>377</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COUNT(LifeExpectancyData[[#This Row],[Life expectancy]:[Schooling]])=19</f>
        <v>1</v>
      </c>
    </row>
    <row r="2063" spans="1:23" x14ac:dyDescent="0.25">
      <c r="A2063" t="s">
        <v>505</v>
      </c>
      <c r="B2063">
        <v>2009</v>
      </c>
      <c r="C2063" t="s">
        <v>377</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COUNT(LifeExpectancyData[[#This Row],[Life expectancy]:[Schooling]])=19</f>
        <v>1</v>
      </c>
    </row>
    <row r="2064" spans="1:23" x14ac:dyDescent="0.25">
      <c r="A2064" t="s">
        <v>505</v>
      </c>
      <c r="B2064">
        <v>2008</v>
      </c>
      <c r="C2064" t="s">
        <v>377</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COUNT(LifeExpectancyData[[#This Row],[Life expectancy]:[Schooling]])=19</f>
        <v>1</v>
      </c>
    </row>
    <row r="2065" spans="1:23" x14ac:dyDescent="0.25">
      <c r="A2065" t="s">
        <v>505</v>
      </c>
      <c r="B2065">
        <v>2007</v>
      </c>
      <c r="C2065" t="s">
        <v>377</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COUNT(LifeExpectancyData[[#This Row],[Life expectancy]:[Schooling]])=19</f>
        <v>1</v>
      </c>
    </row>
    <row r="2066" spans="1:23" x14ac:dyDescent="0.25">
      <c r="A2066" t="s">
        <v>505</v>
      </c>
      <c r="B2066">
        <v>2006</v>
      </c>
      <c r="C2066" t="s">
        <v>377</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COUNT(LifeExpectancyData[[#This Row],[Life expectancy]:[Schooling]])=19</f>
        <v>1</v>
      </c>
    </row>
    <row r="2067" spans="1:23" x14ac:dyDescent="0.25">
      <c r="A2067" t="s">
        <v>505</v>
      </c>
      <c r="B2067">
        <v>2005</v>
      </c>
      <c r="C2067" t="s">
        <v>377</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COUNT(LifeExpectancyData[[#This Row],[Life expectancy]:[Schooling]])=19</f>
        <v>1</v>
      </c>
    </row>
    <row r="2068" spans="1:23" x14ac:dyDescent="0.25">
      <c r="A2068" t="s">
        <v>505</v>
      </c>
      <c r="B2068">
        <v>2004</v>
      </c>
      <c r="C2068" t="s">
        <v>377</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COUNT(LifeExpectancyData[[#This Row],[Life expectancy]:[Schooling]])=19</f>
        <v>1</v>
      </c>
    </row>
    <row r="2069" spans="1:23" x14ac:dyDescent="0.25">
      <c r="A2069" t="s">
        <v>505</v>
      </c>
      <c r="B2069">
        <v>2003</v>
      </c>
      <c r="C2069" t="s">
        <v>377</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COUNT(LifeExpectancyData[[#This Row],[Life expectancy]:[Schooling]])=19</f>
        <v>1</v>
      </c>
    </row>
    <row r="2070" spans="1:23" x14ac:dyDescent="0.25">
      <c r="A2070" t="s">
        <v>505</v>
      </c>
      <c r="B2070">
        <v>2002</v>
      </c>
      <c r="C2070" t="s">
        <v>377</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COUNT(LifeExpectancyData[[#This Row],[Life expectancy]:[Schooling]])=19</f>
        <v>1</v>
      </c>
    </row>
    <row r="2071" spans="1:23" x14ac:dyDescent="0.25">
      <c r="A2071" t="s">
        <v>505</v>
      </c>
      <c r="B2071">
        <v>2001</v>
      </c>
      <c r="C2071" t="s">
        <v>377</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COUNT(LifeExpectancyData[[#This Row],[Life expectancy]:[Schooling]])=19</f>
        <v>1</v>
      </c>
    </row>
    <row r="2072" spans="1:23" x14ac:dyDescent="0.25">
      <c r="A2072" t="s">
        <v>505</v>
      </c>
      <c r="B2072">
        <v>2000</v>
      </c>
      <c r="C2072" t="s">
        <v>377</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COUNT(LifeExpectancyData[[#This Row],[Life expectancy]:[Schooling]])=19</f>
        <v>1</v>
      </c>
    </row>
    <row r="2073" spans="1:23" x14ac:dyDescent="0.25">
      <c r="A2073" t="s">
        <v>506</v>
      </c>
      <c r="B2073">
        <v>2015</v>
      </c>
      <c r="C2073" t="s">
        <v>369</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COUNT(LifeExpectancyData[[#This Row],[Life expectancy]:[Schooling]])=19</f>
        <v>0</v>
      </c>
    </row>
    <row r="2074" spans="1:23" x14ac:dyDescent="0.25">
      <c r="A2074" t="s">
        <v>506</v>
      </c>
      <c r="B2074">
        <v>2014</v>
      </c>
      <c r="C2074" t="s">
        <v>369</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COUNT(LifeExpectancyData[[#This Row],[Life expectancy]:[Schooling]])=19</f>
        <v>0</v>
      </c>
    </row>
    <row r="2075" spans="1:23" x14ac:dyDescent="0.25">
      <c r="A2075" t="s">
        <v>506</v>
      </c>
      <c r="B2075">
        <v>2013</v>
      </c>
      <c r="C2075" t="s">
        <v>369</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COUNT(LifeExpectancyData[[#This Row],[Life expectancy]:[Schooling]])=19</f>
        <v>0</v>
      </c>
    </row>
    <row r="2076" spans="1:23" x14ac:dyDescent="0.25">
      <c r="A2076" t="s">
        <v>506</v>
      </c>
      <c r="B2076">
        <v>2012</v>
      </c>
      <c r="C2076" t="s">
        <v>369</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COUNT(LifeExpectancyData[[#This Row],[Life expectancy]:[Schooling]])=19</f>
        <v>0</v>
      </c>
    </row>
    <row r="2077" spans="1:23" x14ac:dyDescent="0.25">
      <c r="A2077" t="s">
        <v>506</v>
      </c>
      <c r="B2077">
        <v>2011</v>
      </c>
      <c r="C2077" t="s">
        <v>369</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COUNT(LifeExpectancyData[[#This Row],[Life expectancy]:[Schooling]])=19</f>
        <v>0</v>
      </c>
    </row>
    <row r="2078" spans="1:23" x14ac:dyDescent="0.25">
      <c r="A2078" t="s">
        <v>506</v>
      </c>
      <c r="B2078">
        <v>2010</v>
      </c>
      <c r="C2078" t="s">
        <v>369</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COUNT(LifeExpectancyData[[#This Row],[Life expectancy]:[Schooling]])=19</f>
        <v>0</v>
      </c>
    </row>
    <row r="2079" spans="1:23" x14ac:dyDescent="0.25">
      <c r="A2079" t="s">
        <v>506</v>
      </c>
      <c r="B2079">
        <v>2009</v>
      </c>
      <c r="C2079" t="s">
        <v>369</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COUNT(LifeExpectancyData[[#This Row],[Life expectancy]:[Schooling]])=19</f>
        <v>0</v>
      </c>
    </row>
    <row r="2080" spans="1:23" x14ac:dyDescent="0.25">
      <c r="A2080" t="s">
        <v>506</v>
      </c>
      <c r="B2080">
        <v>2008</v>
      </c>
      <c r="C2080" t="s">
        <v>369</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COUNT(LifeExpectancyData[[#This Row],[Life expectancy]:[Schooling]])=19</f>
        <v>0</v>
      </c>
    </row>
    <row r="2081" spans="1:23" x14ac:dyDescent="0.25">
      <c r="A2081" t="s">
        <v>506</v>
      </c>
      <c r="B2081">
        <v>2007</v>
      </c>
      <c r="C2081" t="s">
        <v>369</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COUNT(LifeExpectancyData[[#This Row],[Life expectancy]:[Schooling]])=19</f>
        <v>0</v>
      </c>
    </row>
    <row r="2082" spans="1:23" x14ac:dyDescent="0.25">
      <c r="A2082" t="s">
        <v>506</v>
      </c>
      <c r="B2082">
        <v>2006</v>
      </c>
      <c r="C2082" t="s">
        <v>369</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COUNT(LifeExpectancyData[[#This Row],[Life expectancy]:[Schooling]])=19</f>
        <v>0</v>
      </c>
    </row>
    <row r="2083" spans="1:23" x14ac:dyDescent="0.25">
      <c r="A2083" t="s">
        <v>506</v>
      </c>
      <c r="B2083">
        <v>2005</v>
      </c>
      <c r="C2083" t="s">
        <v>369</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COUNT(LifeExpectancyData[[#This Row],[Life expectancy]:[Schooling]])=19</f>
        <v>0</v>
      </c>
    </row>
    <row r="2084" spans="1:23" x14ac:dyDescent="0.25">
      <c r="A2084" t="s">
        <v>506</v>
      </c>
      <c r="B2084">
        <v>2004</v>
      </c>
      <c r="C2084" t="s">
        <v>369</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COUNT(LifeExpectancyData[[#This Row],[Life expectancy]:[Schooling]])=19</f>
        <v>0</v>
      </c>
    </row>
    <row r="2085" spans="1:23" x14ac:dyDescent="0.25">
      <c r="A2085" t="s">
        <v>506</v>
      </c>
      <c r="B2085">
        <v>2003</v>
      </c>
      <c r="C2085" t="s">
        <v>369</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COUNT(LifeExpectancyData[[#This Row],[Life expectancy]:[Schooling]])=19</f>
        <v>0</v>
      </c>
    </row>
    <row r="2086" spans="1:23" x14ac:dyDescent="0.25">
      <c r="A2086" t="s">
        <v>506</v>
      </c>
      <c r="B2086">
        <v>2002</v>
      </c>
      <c r="C2086" t="s">
        <v>369</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COUNT(LifeExpectancyData[[#This Row],[Life expectancy]:[Schooling]])=19</f>
        <v>0</v>
      </c>
    </row>
    <row r="2087" spans="1:23" x14ac:dyDescent="0.25">
      <c r="A2087" t="s">
        <v>506</v>
      </c>
      <c r="B2087">
        <v>2001</v>
      </c>
      <c r="C2087" t="s">
        <v>369</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COUNT(LifeExpectancyData[[#This Row],[Life expectancy]:[Schooling]])=19</f>
        <v>0</v>
      </c>
    </row>
    <row r="2088" spans="1:23" x14ac:dyDescent="0.25">
      <c r="A2088" t="s">
        <v>506</v>
      </c>
      <c r="B2088">
        <v>2000</v>
      </c>
      <c r="C2088" t="s">
        <v>369</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COUNT(LifeExpectancyData[[#This Row],[Life expectancy]:[Schooling]])=19</f>
        <v>0</v>
      </c>
    </row>
    <row r="2089" spans="1:23" x14ac:dyDescent="0.25">
      <c r="A2089" t="s">
        <v>507</v>
      </c>
      <c r="B2089">
        <v>2015</v>
      </c>
      <c r="C2089" t="s">
        <v>369</v>
      </c>
      <c r="D2089">
        <v>82.3</v>
      </c>
      <c r="E2089">
        <v>64</v>
      </c>
      <c r="F2089">
        <v>1</v>
      </c>
      <c r="H2089">
        <v>0</v>
      </c>
      <c r="I2089">
        <v>98</v>
      </c>
      <c r="J2089">
        <v>7</v>
      </c>
      <c r="K2089">
        <v>31.7</v>
      </c>
      <c r="L2089">
        <v>2</v>
      </c>
      <c r="M2089">
        <v>98</v>
      </c>
      <c r="O2089">
        <v>98</v>
      </c>
      <c r="P2089">
        <v>0.1</v>
      </c>
      <c r="S2089">
        <v>1.5</v>
      </c>
      <c r="T2089">
        <v>1</v>
      </c>
      <c r="W2089" t="b">
        <f>COUNT(LifeExpectancyData[[#This Row],[Life expectancy]:[Schooling]])=19</f>
        <v>0</v>
      </c>
    </row>
    <row r="2090" spans="1:23" x14ac:dyDescent="0.25">
      <c r="A2090" t="s">
        <v>507</v>
      </c>
      <c r="B2090">
        <v>2014</v>
      </c>
      <c r="C2090" t="s">
        <v>369</v>
      </c>
      <c r="D2090">
        <v>82</v>
      </c>
      <c r="E2090">
        <v>66</v>
      </c>
      <c r="F2090">
        <v>1</v>
      </c>
      <c r="G2090">
        <v>0.01</v>
      </c>
      <c r="H2090">
        <v>0</v>
      </c>
      <c r="I2090">
        <v>99</v>
      </c>
      <c r="J2090">
        <v>442</v>
      </c>
      <c r="K2090">
        <v>31.2</v>
      </c>
      <c r="L2090">
        <v>2</v>
      </c>
      <c r="M2090">
        <v>99</v>
      </c>
      <c r="N2090">
        <v>7.37</v>
      </c>
      <c r="O2090">
        <v>99</v>
      </c>
      <c r="P2090">
        <v>0.1</v>
      </c>
      <c r="S2090">
        <v>1.5</v>
      </c>
      <c r="T2090">
        <v>1</v>
      </c>
      <c r="W2090" t="b">
        <f>COUNT(LifeExpectancyData[[#This Row],[Life expectancy]:[Schooling]])=19</f>
        <v>0</v>
      </c>
    </row>
    <row r="2091" spans="1:23" x14ac:dyDescent="0.25">
      <c r="A2091" t="s">
        <v>507</v>
      </c>
      <c r="B2091">
        <v>2013</v>
      </c>
      <c r="C2091" t="s">
        <v>369</v>
      </c>
      <c r="D2091">
        <v>81.7</v>
      </c>
      <c r="E2091">
        <v>68</v>
      </c>
      <c r="F2091">
        <v>1</v>
      </c>
      <c r="G2091">
        <v>9.33</v>
      </c>
      <c r="H2091">
        <v>0</v>
      </c>
      <c r="I2091">
        <v>99</v>
      </c>
      <c r="J2091">
        <v>107</v>
      </c>
      <c r="K2091">
        <v>3.8</v>
      </c>
      <c r="L2091">
        <v>2</v>
      </c>
      <c r="M2091">
        <v>99</v>
      </c>
      <c r="N2091">
        <v>7.2</v>
      </c>
      <c r="O2091">
        <v>99</v>
      </c>
      <c r="P2091">
        <v>0.1</v>
      </c>
      <c r="S2091">
        <v>1.5</v>
      </c>
      <c r="T2091">
        <v>1</v>
      </c>
      <c r="W2091" t="b">
        <f>COUNT(LifeExpectancyData[[#This Row],[Life expectancy]:[Schooling]])=19</f>
        <v>0</v>
      </c>
    </row>
    <row r="2092" spans="1:23" x14ac:dyDescent="0.25">
      <c r="A2092" t="s">
        <v>507</v>
      </c>
      <c r="B2092">
        <v>2012</v>
      </c>
      <c r="C2092" t="s">
        <v>369</v>
      </c>
      <c r="D2092">
        <v>81.2</v>
      </c>
      <c r="E2092">
        <v>69</v>
      </c>
      <c r="F2092">
        <v>1</v>
      </c>
      <c r="G2092">
        <v>9.56</v>
      </c>
      <c r="H2092">
        <v>0</v>
      </c>
      <c r="I2092">
        <v>99</v>
      </c>
      <c r="J2092">
        <v>2</v>
      </c>
      <c r="K2092">
        <v>3.4</v>
      </c>
      <c r="L2092">
        <v>2</v>
      </c>
      <c r="M2092">
        <v>99</v>
      </c>
      <c r="N2092">
        <v>7.1</v>
      </c>
      <c r="O2092">
        <v>99</v>
      </c>
      <c r="P2092">
        <v>0.1</v>
      </c>
      <c r="S2092">
        <v>1.5</v>
      </c>
      <c r="T2092">
        <v>1</v>
      </c>
      <c r="W2092" t="b">
        <f>COUNT(LifeExpectancyData[[#This Row],[Life expectancy]:[Schooling]])=19</f>
        <v>0</v>
      </c>
    </row>
    <row r="2093" spans="1:23" x14ac:dyDescent="0.25">
      <c r="A2093" t="s">
        <v>507</v>
      </c>
      <c r="B2093">
        <v>2011</v>
      </c>
      <c r="C2093" t="s">
        <v>369</v>
      </c>
      <c r="D2093">
        <v>81.099999999999994</v>
      </c>
      <c r="E2093">
        <v>72</v>
      </c>
      <c r="F2093">
        <v>2</v>
      </c>
      <c r="G2093">
        <v>9.34</v>
      </c>
      <c r="H2093">
        <v>0</v>
      </c>
      <c r="I2093">
        <v>99</v>
      </c>
      <c r="J2093">
        <v>42</v>
      </c>
      <c r="K2093">
        <v>3</v>
      </c>
      <c r="L2093">
        <v>2</v>
      </c>
      <c r="M2093">
        <v>98</v>
      </c>
      <c r="N2093">
        <v>6.83</v>
      </c>
      <c r="O2093">
        <v>99</v>
      </c>
      <c r="P2093">
        <v>0.1</v>
      </c>
      <c r="S2093">
        <v>1.5</v>
      </c>
      <c r="T2093">
        <v>1</v>
      </c>
      <c r="W2093" t="b">
        <f>COUNT(LifeExpectancyData[[#This Row],[Life expectancy]:[Schooling]])=19</f>
        <v>0</v>
      </c>
    </row>
    <row r="2094" spans="1:23" x14ac:dyDescent="0.25">
      <c r="A2094" t="s">
        <v>507</v>
      </c>
      <c r="B2094">
        <v>2010</v>
      </c>
      <c r="C2094" t="s">
        <v>369</v>
      </c>
      <c r="D2094">
        <v>87</v>
      </c>
      <c r="E2094">
        <v>74</v>
      </c>
      <c r="F2094">
        <v>2</v>
      </c>
      <c r="G2094">
        <v>9.23</v>
      </c>
      <c r="H2094">
        <v>0</v>
      </c>
      <c r="I2094">
        <v>94</v>
      </c>
      <c r="J2094">
        <v>114</v>
      </c>
      <c r="K2094">
        <v>29.5</v>
      </c>
      <c r="L2094">
        <v>2</v>
      </c>
      <c r="M2094">
        <v>95</v>
      </c>
      <c r="N2094">
        <v>6.79</v>
      </c>
      <c r="O2094">
        <v>94</v>
      </c>
      <c r="P2094">
        <v>0.1</v>
      </c>
      <c r="S2094">
        <v>1.5</v>
      </c>
      <c r="T2094">
        <v>1</v>
      </c>
      <c r="W2094" t="b">
        <f>COUNT(LifeExpectancyData[[#This Row],[Life expectancy]:[Schooling]])=19</f>
        <v>0</v>
      </c>
    </row>
    <row r="2095" spans="1:23" x14ac:dyDescent="0.25">
      <c r="A2095" t="s">
        <v>507</v>
      </c>
      <c r="B2095">
        <v>2009</v>
      </c>
      <c r="C2095" t="s">
        <v>369</v>
      </c>
      <c r="D2095">
        <v>86</v>
      </c>
      <c r="E2095">
        <v>75</v>
      </c>
      <c r="F2095">
        <v>2</v>
      </c>
      <c r="G2095">
        <v>8.9700000000000006</v>
      </c>
      <c r="H2095">
        <v>0</v>
      </c>
      <c r="I2095">
        <v>94</v>
      </c>
      <c r="J2095">
        <v>17</v>
      </c>
      <c r="K2095">
        <v>29.1</v>
      </c>
      <c r="L2095">
        <v>2</v>
      </c>
      <c r="M2095">
        <v>95</v>
      </c>
      <c r="N2095">
        <v>6.66</v>
      </c>
      <c r="O2095">
        <v>94</v>
      </c>
      <c r="P2095">
        <v>0.1</v>
      </c>
      <c r="S2095">
        <v>1.5</v>
      </c>
      <c r="T2095">
        <v>1</v>
      </c>
      <c r="W2095" t="b">
        <f>COUNT(LifeExpectancyData[[#This Row],[Life expectancy]:[Schooling]])=19</f>
        <v>0</v>
      </c>
    </row>
    <row r="2096" spans="1:23" x14ac:dyDescent="0.25">
      <c r="A2096" t="s">
        <v>507</v>
      </c>
      <c r="B2096">
        <v>2008</v>
      </c>
      <c r="C2096" t="s">
        <v>369</v>
      </c>
      <c r="D2096">
        <v>83</v>
      </c>
      <c r="E2096">
        <v>75</v>
      </c>
      <c r="F2096">
        <v>2</v>
      </c>
      <c r="G2096">
        <v>9.31</v>
      </c>
      <c r="H2096">
        <v>0</v>
      </c>
      <c r="I2096">
        <v>94</v>
      </c>
      <c r="J2096">
        <v>2</v>
      </c>
      <c r="K2096">
        <v>28.6</v>
      </c>
      <c r="L2096">
        <v>2</v>
      </c>
      <c r="M2096">
        <v>92</v>
      </c>
      <c r="N2096">
        <v>6.16</v>
      </c>
      <c r="O2096">
        <v>94</v>
      </c>
      <c r="P2096">
        <v>0.1</v>
      </c>
      <c r="S2096">
        <v>1.5</v>
      </c>
      <c r="T2096">
        <v>1</v>
      </c>
      <c r="W2096" t="b">
        <f>COUNT(LifeExpectancyData[[#This Row],[Life expectancy]:[Schooling]])=19</f>
        <v>0</v>
      </c>
    </row>
    <row r="2097" spans="1:23" x14ac:dyDescent="0.25">
      <c r="A2097" t="s">
        <v>507</v>
      </c>
      <c r="B2097">
        <v>2007</v>
      </c>
      <c r="C2097" t="s">
        <v>369</v>
      </c>
      <c r="D2097">
        <v>79.8</v>
      </c>
      <c r="E2097">
        <v>77</v>
      </c>
      <c r="F2097">
        <v>2</v>
      </c>
      <c r="G2097">
        <v>9.0500000000000007</v>
      </c>
      <c r="H2097">
        <v>0</v>
      </c>
      <c r="I2097">
        <v>91</v>
      </c>
      <c r="J2097">
        <v>194</v>
      </c>
      <c r="K2097">
        <v>28.2</v>
      </c>
      <c r="L2097">
        <v>2</v>
      </c>
      <c r="M2097">
        <v>91</v>
      </c>
      <c r="N2097">
        <v>5.99</v>
      </c>
      <c r="O2097">
        <v>91</v>
      </c>
      <c r="P2097">
        <v>0.1</v>
      </c>
      <c r="S2097">
        <v>1.5</v>
      </c>
      <c r="T2097">
        <v>1</v>
      </c>
      <c r="W2097" t="b">
        <f>COUNT(LifeExpectancyData[[#This Row],[Life expectancy]:[Schooling]])=19</f>
        <v>0</v>
      </c>
    </row>
    <row r="2098" spans="1:23" x14ac:dyDescent="0.25">
      <c r="A2098" t="s">
        <v>507</v>
      </c>
      <c r="B2098">
        <v>2006</v>
      </c>
      <c r="C2098" t="s">
        <v>369</v>
      </c>
      <c r="D2098">
        <v>79.400000000000006</v>
      </c>
      <c r="E2098">
        <v>79</v>
      </c>
      <c r="F2098">
        <v>2</v>
      </c>
      <c r="G2098">
        <v>8.83</v>
      </c>
      <c r="H2098">
        <v>0</v>
      </c>
      <c r="I2098">
        <v>99</v>
      </c>
      <c r="J2098">
        <v>28</v>
      </c>
      <c r="K2098">
        <v>27.7</v>
      </c>
      <c r="L2098">
        <v>2</v>
      </c>
      <c r="M2098">
        <v>98</v>
      </c>
      <c r="N2098">
        <v>5.76</v>
      </c>
      <c r="O2098">
        <v>98</v>
      </c>
      <c r="P2098">
        <v>0.1</v>
      </c>
      <c r="S2098">
        <v>1.5</v>
      </c>
      <c r="T2098">
        <v>1</v>
      </c>
      <c r="W2098" t="b">
        <f>COUNT(LifeExpectancyData[[#This Row],[Life expectancy]:[Schooling]])=19</f>
        <v>0</v>
      </c>
    </row>
    <row r="2099" spans="1:23" x14ac:dyDescent="0.25">
      <c r="A2099" t="s">
        <v>507</v>
      </c>
      <c r="B2099">
        <v>2005</v>
      </c>
      <c r="C2099" t="s">
        <v>369</v>
      </c>
      <c r="D2099">
        <v>78.7</v>
      </c>
      <c r="E2099">
        <v>84</v>
      </c>
      <c r="F2099">
        <v>2</v>
      </c>
      <c r="G2099">
        <v>9.0299999999999994</v>
      </c>
      <c r="H2099">
        <v>0</v>
      </c>
      <c r="I2099">
        <v>99</v>
      </c>
      <c r="J2099">
        <v>7</v>
      </c>
      <c r="K2099">
        <v>27.2</v>
      </c>
      <c r="L2099">
        <v>3</v>
      </c>
      <c r="M2099">
        <v>96</v>
      </c>
      <c r="N2099">
        <v>5.33</v>
      </c>
      <c r="O2099">
        <v>96</v>
      </c>
      <c r="P2099">
        <v>0.1</v>
      </c>
      <c r="S2099">
        <v>1.6</v>
      </c>
      <c r="T2099">
        <v>1</v>
      </c>
      <c r="W2099" t="b">
        <f>COUNT(LifeExpectancyData[[#This Row],[Life expectancy]:[Schooling]])=19</f>
        <v>0</v>
      </c>
    </row>
    <row r="2100" spans="1:23" x14ac:dyDescent="0.25">
      <c r="A2100" t="s">
        <v>507</v>
      </c>
      <c r="B2100">
        <v>2004</v>
      </c>
      <c r="C2100" t="s">
        <v>369</v>
      </c>
      <c r="D2100">
        <v>78.2</v>
      </c>
      <c r="E2100">
        <v>89</v>
      </c>
      <c r="F2100">
        <v>3</v>
      </c>
      <c r="G2100">
        <v>9.18</v>
      </c>
      <c r="H2100">
        <v>0</v>
      </c>
      <c r="I2100">
        <v>92</v>
      </c>
      <c r="J2100">
        <v>11</v>
      </c>
      <c r="K2100">
        <v>26.7</v>
      </c>
      <c r="L2100">
        <v>3</v>
      </c>
      <c r="M2100">
        <v>9</v>
      </c>
      <c r="N2100">
        <v>4.96</v>
      </c>
      <c r="O2100">
        <v>88</v>
      </c>
      <c r="P2100">
        <v>0.1</v>
      </c>
      <c r="S2100">
        <v>1.6</v>
      </c>
      <c r="T2100">
        <v>1</v>
      </c>
      <c r="W2100" t="b">
        <f>COUNT(LifeExpectancyData[[#This Row],[Life expectancy]:[Schooling]])=19</f>
        <v>0</v>
      </c>
    </row>
    <row r="2101" spans="1:23" x14ac:dyDescent="0.25">
      <c r="A2101" t="s">
        <v>507</v>
      </c>
      <c r="B2101">
        <v>2003</v>
      </c>
      <c r="C2101" t="s">
        <v>369</v>
      </c>
      <c r="D2101">
        <v>77.599999999999994</v>
      </c>
      <c r="E2101">
        <v>95</v>
      </c>
      <c r="F2101">
        <v>3</v>
      </c>
      <c r="G2101">
        <v>9.66</v>
      </c>
      <c r="H2101">
        <v>0</v>
      </c>
      <c r="I2101">
        <v>91</v>
      </c>
      <c r="J2101">
        <v>33</v>
      </c>
      <c r="K2101">
        <v>26.2</v>
      </c>
      <c r="L2101">
        <v>3</v>
      </c>
      <c r="M2101">
        <v>94</v>
      </c>
      <c r="N2101">
        <v>4.93</v>
      </c>
      <c r="O2101">
        <v>97</v>
      </c>
      <c r="P2101">
        <v>0.1</v>
      </c>
      <c r="S2101">
        <v>1.6</v>
      </c>
      <c r="T2101">
        <v>1</v>
      </c>
      <c r="W2101" t="b">
        <f>COUNT(LifeExpectancyData[[#This Row],[Life expectancy]:[Schooling]])=19</f>
        <v>0</v>
      </c>
    </row>
    <row r="2102" spans="1:23" x14ac:dyDescent="0.25">
      <c r="A2102" t="s">
        <v>507</v>
      </c>
      <c r="B2102">
        <v>2002</v>
      </c>
      <c r="C2102" t="s">
        <v>369</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COUNT(LifeExpectancyData[[#This Row],[Life expectancy]:[Schooling]])=19</f>
        <v>0</v>
      </c>
    </row>
    <row r="2103" spans="1:23" x14ac:dyDescent="0.25">
      <c r="A2103" t="s">
        <v>507</v>
      </c>
      <c r="B2103">
        <v>2001</v>
      </c>
      <c r="C2103" t="s">
        <v>369</v>
      </c>
      <c r="D2103">
        <v>76.7</v>
      </c>
      <c r="E2103">
        <v>17</v>
      </c>
      <c r="F2103">
        <v>3</v>
      </c>
      <c r="G2103">
        <v>11.45</v>
      </c>
      <c r="H2103">
        <v>0</v>
      </c>
      <c r="I2103">
        <v>89</v>
      </c>
      <c r="J2103">
        <v>23060</v>
      </c>
      <c r="K2103">
        <v>25.2</v>
      </c>
      <c r="L2103">
        <v>4</v>
      </c>
      <c r="M2103">
        <v>99</v>
      </c>
      <c r="N2103">
        <v>4.76</v>
      </c>
      <c r="O2103">
        <v>97</v>
      </c>
      <c r="P2103">
        <v>0.1</v>
      </c>
      <c r="S2103">
        <v>1.6</v>
      </c>
      <c r="T2103">
        <v>1.1000000000000001</v>
      </c>
      <c r="W2103" t="b">
        <f>COUNT(LifeExpectancyData[[#This Row],[Life expectancy]:[Schooling]])=19</f>
        <v>0</v>
      </c>
    </row>
    <row r="2104" spans="1:23" x14ac:dyDescent="0.25">
      <c r="A2104" t="s">
        <v>507</v>
      </c>
      <c r="B2104">
        <v>2000</v>
      </c>
      <c r="C2104" t="s">
        <v>369</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COUNT(LifeExpectancyData[[#This Row],[Life expectancy]:[Schooling]])=19</f>
        <v>0</v>
      </c>
    </row>
    <row r="2105" spans="1:23" x14ac:dyDescent="0.25">
      <c r="A2105" t="s">
        <v>508</v>
      </c>
      <c r="B2105">
        <v>2015</v>
      </c>
      <c r="C2105" t="s">
        <v>369</v>
      </c>
      <c r="D2105">
        <v>72.099999999999994</v>
      </c>
      <c r="E2105">
        <v>157</v>
      </c>
      <c r="F2105">
        <v>1</v>
      </c>
      <c r="H2105">
        <v>0</v>
      </c>
      <c r="I2105">
        <v>88</v>
      </c>
      <c r="J2105">
        <v>0</v>
      </c>
      <c r="K2105">
        <v>53.4</v>
      </c>
      <c r="L2105">
        <v>1</v>
      </c>
      <c r="M2105">
        <v>88</v>
      </c>
      <c r="O2105">
        <v>87</v>
      </c>
      <c r="P2105">
        <v>0.1</v>
      </c>
      <c r="S2105">
        <v>2.7</v>
      </c>
      <c r="T2105">
        <v>2.8</v>
      </c>
      <c r="W2105" t="b">
        <f>COUNT(LifeExpectancyData[[#This Row],[Life expectancy]:[Schooling]])=19</f>
        <v>0</v>
      </c>
    </row>
    <row r="2106" spans="1:23" x14ac:dyDescent="0.25">
      <c r="A2106" t="s">
        <v>508</v>
      </c>
      <c r="B2106">
        <v>2014</v>
      </c>
      <c r="C2106" t="s">
        <v>369</v>
      </c>
      <c r="D2106">
        <v>71.8</v>
      </c>
      <c r="E2106">
        <v>162</v>
      </c>
      <c r="F2106">
        <v>1</v>
      </c>
      <c r="G2106">
        <v>9.99</v>
      </c>
      <c r="H2106">
        <v>0</v>
      </c>
      <c r="I2106">
        <v>92</v>
      </c>
      <c r="J2106">
        <v>2</v>
      </c>
      <c r="K2106">
        <v>52.7</v>
      </c>
      <c r="L2106">
        <v>1</v>
      </c>
      <c r="M2106">
        <v>92</v>
      </c>
      <c r="N2106">
        <v>1.32</v>
      </c>
      <c r="O2106">
        <v>9</v>
      </c>
      <c r="P2106">
        <v>0.1</v>
      </c>
      <c r="S2106">
        <v>2.7</v>
      </c>
      <c r="T2106">
        <v>2.8</v>
      </c>
      <c r="W2106" t="b">
        <f>COUNT(LifeExpectancyData[[#This Row],[Life expectancy]:[Schooling]])=19</f>
        <v>0</v>
      </c>
    </row>
    <row r="2107" spans="1:23" x14ac:dyDescent="0.25">
      <c r="A2107" t="s">
        <v>508</v>
      </c>
      <c r="B2107">
        <v>2013</v>
      </c>
      <c r="C2107" t="s">
        <v>369</v>
      </c>
      <c r="D2107">
        <v>71.7</v>
      </c>
      <c r="E2107">
        <v>163</v>
      </c>
      <c r="F2107">
        <v>1</v>
      </c>
      <c r="G2107">
        <v>10.49</v>
      </c>
      <c r="H2107">
        <v>0</v>
      </c>
      <c r="I2107">
        <v>91</v>
      </c>
      <c r="J2107">
        <v>27</v>
      </c>
      <c r="K2107">
        <v>52.1</v>
      </c>
      <c r="L2107">
        <v>1</v>
      </c>
      <c r="M2107">
        <v>92</v>
      </c>
      <c r="N2107">
        <v>1.5</v>
      </c>
      <c r="O2107">
        <v>9</v>
      </c>
      <c r="P2107">
        <v>0.1</v>
      </c>
      <c r="S2107">
        <v>2.7</v>
      </c>
      <c r="T2107">
        <v>2.9</v>
      </c>
      <c r="W2107" t="b">
        <f>COUNT(LifeExpectancyData[[#This Row],[Life expectancy]:[Schooling]])=19</f>
        <v>0</v>
      </c>
    </row>
    <row r="2108" spans="1:23" x14ac:dyDescent="0.25">
      <c r="A2108" t="s">
        <v>508</v>
      </c>
      <c r="B2108">
        <v>2012</v>
      </c>
      <c r="C2108" t="s">
        <v>369</v>
      </c>
      <c r="D2108">
        <v>79</v>
      </c>
      <c r="E2108">
        <v>175</v>
      </c>
      <c r="F2108">
        <v>1</v>
      </c>
      <c r="G2108">
        <v>10.68</v>
      </c>
      <c r="H2108">
        <v>0</v>
      </c>
      <c r="I2108">
        <v>94</v>
      </c>
      <c r="J2108">
        <v>11</v>
      </c>
      <c r="K2108">
        <v>51.5</v>
      </c>
      <c r="L2108">
        <v>1</v>
      </c>
      <c r="M2108">
        <v>92</v>
      </c>
      <c r="N2108">
        <v>11.87</v>
      </c>
      <c r="O2108">
        <v>92</v>
      </c>
      <c r="P2108">
        <v>0.1</v>
      </c>
      <c r="S2108">
        <v>2.7</v>
      </c>
      <c r="T2108">
        <v>2.9</v>
      </c>
      <c r="W2108" t="b">
        <f>COUNT(LifeExpectancyData[[#This Row],[Life expectancy]:[Schooling]])=19</f>
        <v>0</v>
      </c>
    </row>
    <row r="2109" spans="1:23" x14ac:dyDescent="0.25">
      <c r="A2109" t="s">
        <v>508</v>
      </c>
      <c r="B2109">
        <v>2011</v>
      </c>
      <c r="C2109" t="s">
        <v>369</v>
      </c>
      <c r="D2109">
        <v>77</v>
      </c>
      <c r="E2109">
        <v>177</v>
      </c>
      <c r="F2109">
        <v>1</v>
      </c>
      <c r="G2109">
        <v>9.4499999999999993</v>
      </c>
      <c r="H2109">
        <v>0</v>
      </c>
      <c r="I2109">
        <v>96</v>
      </c>
      <c r="J2109">
        <v>0</v>
      </c>
      <c r="K2109">
        <v>5.9</v>
      </c>
      <c r="L2109">
        <v>1</v>
      </c>
      <c r="M2109">
        <v>96</v>
      </c>
      <c r="N2109">
        <v>1.61</v>
      </c>
      <c r="O2109">
        <v>93</v>
      </c>
      <c r="P2109">
        <v>0.1</v>
      </c>
      <c r="S2109">
        <v>2.8</v>
      </c>
      <c r="T2109">
        <v>3</v>
      </c>
      <c r="W2109" t="b">
        <f>COUNT(LifeExpectancyData[[#This Row],[Life expectancy]:[Schooling]])=19</f>
        <v>0</v>
      </c>
    </row>
    <row r="2110" spans="1:23" x14ac:dyDescent="0.25">
      <c r="A2110" t="s">
        <v>508</v>
      </c>
      <c r="B2110">
        <v>2010</v>
      </c>
      <c r="C2110" t="s">
        <v>369</v>
      </c>
      <c r="D2110">
        <v>68.8</v>
      </c>
      <c r="E2110">
        <v>219</v>
      </c>
      <c r="F2110">
        <v>1</v>
      </c>
      <c r="G2110">
        <v>8.25</v>
      </c>
      <c r="H2110">
        <v>0</v>
      </c>
      <c r="I2110">
        <v>98</v>
      </c>
      <c r="J2110">
        <v>0</v>
      </c>
      <c r="K2110">
        <v>5.4</v>
      </c>
      <c r="L2110">
        <v>1</v>
      </c>
      <c r="M2110">
        <v>97</v>
      </c>
      <c r="N2110">
        <v>12.8</v>
      </c>
      <c r="O2110">
        <v>9</v>
      </c>
      <c r="P2110">
        <v>0.1</v>
      </c>
      <c r="S2110">
        <v>2.8</v>
      </c>
      <c r="T2110">
        <v>3</v>
      </c>
      <c r="W2110" t="b">
        <f>COUNT(LifeExpectancyData[[#This Row],[Life expectancy]:[Schooling]])=19</f>
        <v>0</v>
      </c>
    </row>
    <row r="2111" spans="1:23" x14ac:dyDescent="0.25">
      <c r="A2111" t="s">
        <v>508</v>
      </c>
      <c r="B2111">
        <v>2009</v>
      </c>
      <c r="C2111" t="s">
        <v>369</v>
      </c>
      <c r="D2111">
        <v>69</v>
      </c>
      <c r="E2111">
        <v>218</v>
      </c>
      <c r="F2111">
        <v>1</v>
      </c>
      <c r="G2111">
        <v>8.4499999999999993</v>
      </c>
      <c r="H2111">
        <v>0</v>
      </c>
      <c r="I2111">
        <v>89</v>
      </c>
      <c r="J2111">
        <v>0</v>
      </c>
      <c r="K2111">
        <v>49.9</v>
      </c>
      <c r="L2111">
        <v>1</v>
      </c>
      <c r="M2111">
        <v>87</v>
      </c>
      <c r="N2111">
        <v>12.49</v>
      </c>
      <c r="O2111">
        <v>85</v>
      </c>
      <c r="P2111">
        <v>0.1</v>
      </c>
      <c r="S2111">
        <v>2.9</v>
      </c>
      <c r="T2111">
        <v>3.1</v>
      </c>
      <c r="W2111" t="b">
        <f>COUNT(LifeExpectancyData[[#This Row],[Life expectancy]:[Schooling]])=19</f>
        <v>0</v>
      </c>
    </row>
    <row r="2112" spans="1:23" x14ac:dyDescent="0.25">
      <c r="A2112" t="s">
        <v>508</v>
      </c>
      <c r="B2112">
        <v>2008</v>
      </c>
      <c r="C2112" t="s">
        <v>369</v>
      </c>
      <c r="D2112">
        <v>68.900000000000006</v>
      </c>
      <c r="E2112">
        <v>228</v>
      </c>
      <c r="F2112">
        <v>1</v>
      </c>
      <c r="G2112">
        <v>9.07</v>
      </c>
      <c r="H2112">
        <v>0</v>
      </c>
      <c r="I2112">
        <v>97</v>
      </c>
      <c r="J2112">
        <v>0</v>
      </c>
      <c r="K2112">
        <v>49.5</v>
      </c>
      <c r="L2112">
        <v>1</v>
      </c>
      <c r="M2112">
        <v>96</v>
      </c>
      <c r="N2112">
        <v>11.41</v>
      </c>
      <c r="O2112">
        <v>9</v>
      </c>
      <c r="P2112">
        <v>0.1</v>
      </c>
      <c r="S2112">
        <v>2.9</v>
      </c>
      <c r="T2112">
        <v>3.1</v>
      </c>
      <c r="W2112" t="b">
        <f>COUNT(LifeExpectancyData[[#This Row],[Life expectancy]:[Schooling]])=19</f>
        <v>0</v>
      </c>
    </row>
    <row r="2113" spans="1:23" x14ac:dyDescent="0.25">
      <c r="A2113" t="s">
        <v>508</v>
      </c>
      <c r="B2113">
        <v>2007</v>
      </c>
      <c r="C2113" t="s">
        <v>369</v>
      </c>
      <c r="D2113">
        <v>68.3</v>
      </c>
      <c r="E2113">
        <v>237</v>
      </c>
      <c r="F2113">
        <v>1</v>
      </c>
      <c r="G2113">
        <v>9.66</v>
      </c>
      <c r="H2113">
        <v>0</v>
      </c>
      <c r="I2113">
        <v>95</v>
      </c>
      <c r="J2113">
        <v>10</v>
      </c>
      <c r="K2113">
        <v>49.1</v>
      </c>
      <c r="L2113">
        <v>1</v>
      </c>
      <c r="M2113">
        <v>93</v>
      </c>
      <c r="N2113">
        <v>1.88</v>
      </c>
      <c r="O2113">
        <v>92</v>
      </c>
      <c r="P2113">
        <v>0.1</v>
      </c>
      <c r="S2113">
        <v>3</v>
      </c>
      <c r="T2113">
        <v>3.2</v>
      </c>
      <c r="W2113" t="b">
        <f>COUNT(LifeExpectancyData[[#This Row],[Life expectancy]:[Schooling]])=19</f>
        <v>0</v>
      </c>
    </row>
    <row r="2114" spans="1:23" x14ac:dyDescent="0.25">
      <c r="A2114" t="s">
        <v>508</v>
      </c>
      <c r="B2114">
        <v>2006</v>
      </c>
      <c r="C2114" t="s">
        <v>369</v>
      </c>
      <c r="D2114">
        <v>68</v>
      </c>
      <c r="E2114">
        <v>242</v>
      </c>
      <c r="F2114">
        <v>1</v>
      </c>
      <c r="G2114">
        <v>8.36</v>
      </c>
      <c r="H2114">
        <v>0</v>
      </c>
      <c r="I2114">
        <v>98</v>
      </c>
      <c r="J2114">
        <v>34</v>
      </c>
      <c r="K2114">
        <v>48.7</v>
      </c>
      <c r="L2114">
        <v>1</v>
      </c>
      <c r="M2114">
        <v>98</v>
      </c>
      <c r="N2114">
        <v>1.63</v>
      </c>
      <c r="O2114">
        <v>97</v>
      </c>
      <c r="P2114">
        <v>0.1</v>
      </c>
      <c r="S2114">
        <v>3.1</v>
      </c>
      <c r="T2114">
        <v>3.3</v>
      </c>
      <c r="W2114" t="b">
        <f>COUNT(LifeExpectancyData[[#This Row],[Life expectancy]:[Schooling]])=19</f>
        <v>0</v>
      </c>
    </row>
    <row r="2115" spans="1:23" x14ac:dyDescent="0.25">
      <c r="A2115" t="s">
        <v>508</v>
      </c>
      <c r="B2115">
        <v>2005</v>
      </c>
      <c r="C2115" t="s">
        <v>369</v>
      </c>
      <c r="D2115">
        <v>67.3</v>
      </c>
      <c r="E2115">
        <v>248</v>
      </c>
      <c r="F2115">
        <v>1</v>
      </c>
      <c r="G2115">
        <v>10.78</v>
      </c>
      <c r="H2115">
        <v>0</v>
      </c>
      <c r="I2115">
        <v>99</v>
      </c>
      <c r="J2115">
        <v>6</v>
      </c>
      <c r="K2115">
        <v>48.3</v>
      </c>
      <c r="L2115">
        <v>1</v>
      </c>
      <c r="M2115">
        <v>99</v>
      </c>
      <c r="N2115">
        <v>9.15</v>
      </c>
      <c r="O2115">
        <v>98</v>
      </c>
      <c r="P2115">
        <v>0.1</v>
      </c>
      <c r="S2115">
        <v>3.1</v>
      </c>
      <c r="T2115">
        <v>3.3</v>
      </c>
      <c r="W2115" t="b">
        <f>COUNT(LifeExpectancyData[[#This Row],[Life expectancy]:[Schooling]])=19</f>
        <v>0</v>
      </c>
    </row>
    <row r="2116" spans="1:23" x14ac:dyDescent="0.25">
      <c r="A2116" t="s">
        <v>508</v>
      </c>
      <c r="B2116">
        <v>2004</v>
      </c>
      <c r="C2116" t="s">
        <v>369</v>
      </c>
      <c r="D2116">
        <v>68</v>
      </c>
      <c r="E2116">
        <v>225</v>
      </c>
      <c r="F2116">
        <v>1</v>
      </c>
      <c r="G2116">
        <v>12.27</v>
      </c>
      <c r="H2116">
        <v>0</v>
      </c>
      <c r="I2116">
        <v>99</v>
      </c>
      <c r="J2116">
        <v>4</v>
      </c>
      <c r="K2116">
        <v>47.9</v>
      </c>
      <c r="L2116">
        <v>1</v>
      </c>
      <c r="M2116">
        <v>98</v>
      </c>
      <c r="N2116">
        <v>8.49</v>
      </c>
      <c r="O2116">
        <v>98</v>
      </c>
      <c r="P2116">
        <v>0.1</v>
      </c>
      <c r="S2116">
        <v>3.2</v>
      </c>
      <c r="T2116">
        <v>3.4</v>
      </c>
      <c r="W2116" t="b">
        <f>COUNT(LifeExpectancyData[[#This Row],[Life expectancy]:[Schooling]])=19</f>
        <v>0</v>
      </c>
    </row>
    <row r="2117" spans="1:23" x14ac:dyDescent="0.25">
      <c r="A2117" t="s">
        <v>508</v>
      </c>
      <c r="B2117">
        <v>2003</v>
      </c>
      <c r="C2117" t="s">
        <v>369</v>
      </c>
      <c r="D2117">
        <v>67.599999999999994</v>
      </c>
      <c r="E2117">
        <v>226</v>
      </c>
      <c r="F2117">
        <v>1</v>
      </c>
      <c r="G2117">
        <v>8.15</v>
      </c>
      <c r="H2117">
        <v>0</v>
      </c>
      <c r="I2117">
        <v>99</v>
      </c>
      <c r="J2117">
        <v>87</v>
      </c>
      <c r="K2117">
        <v>47.6</v>
      </c>
      <c r="L2117">
        <v>1</v>
      </c>
      <c r="M2117">
        <v>98</v>
      </c>
      <c r="N2117">
        <v>8.24</v>
      </c>
      <c r="O2117">
        <v>98</v>
      </c>
      <c r="P2117">
        <v>0.1</v>
      </c>
      <c r="S2117">
        <v>3.3</v>
      </c>
      <c r="T2117">
        <v>3.5</v>
      </c>
      <c r="W2117" t="b">
        <f>COUNT(LifeExpectancyData[[#This Row],[Life expectancy]:[Schooling]])=19</f>
        <v>0</v>
      </c>
    </row>
    <row r="2118" spans="1:23" x14ac:dyDescent="0.25">
      <c r="A2118" t="s">
        <v>508</v>
      </c>
      <c r="B2118">
        <v>2002</v>
      </c>
      <c r="C2118" t="s">
        <v>369</v>
      </c>
      <c r="D2118">
        <v>67.5</v>
      </c>
      <c r="E2118">
        <v>225</v>
      </c>
      <c r="F2118">
        <v>1</v>
      </c>
      <c r="G2118">
        <v>6.71</v>
      </c>
      <c r="H2118">
        <v>0</v>
      </c>
      <c r="I2118">
        <v>99</v>
      </c>
      <c r="J2118">
        <v>4929</v>
      </c>
      <c r="K2118">
        <v>47.2</v>
      </c>
      <c r="L2118">
        <v>1</v>
      </c>
      <c r="M2118">
        <v>98</v>
      </c>
      <c r="N2118">
        <v>8.31</v>
      </c>
      <c r="O2118">
        <v>97</v>
      </c>
      <c r="P2118">
        <v>0.1</v>
      </c>
      <c r="S2118">
        <v>3.4</v>
      </c>
      <c r="T2118">
        <v>3.6</v>
      </c>
      <c r="W2118" t="b">
        <f>COUNT(LifeExpectancyData[[#This Row],[Life expectancy]:[Schooling]])=19</f>
        <v>0</v>
      </c>
    </row>
    <row r="2119" spans="1:23" x14ac:dyDescent="0.25">
      <c r="A2119" t="s">
        <v>508</v>
      </c>
      <c r="B2119">
        <v>2001</v>
      </c>
      <c r="C2119" t="s">
        <v>369</v>
      </c>
      <c r="D2119">
        <v>67.599999999999994</v>
      </c>
      <c r="E2119">
        <v>228</v>
      </c>
      <c r="F2119">
        <v>1</v>
      </c>
      <c r="G2119">
        <v>10.98</v>
      </c>
      <c r="H2119">
        <v>0</v>
      </c>
      <c r="I2119">
        <v>94</v>
      </c>
      <c r="J2119">
        <v>457</v>
      </c>
      <c r="K2119">
        <v>46.8</v>
      </c>
      <c r="L2119">
        <v>1</v>
      </c>
      <c r="M2119">
        <v>98</v>
      </c>
      <c r="N2119">
        <v>7</v>
      </c>
      <c r="O2119">
        <v>97</v>
      </c>
      <c r="P2119">
        <v>0.1</v>
      </c>
      <c r="S2119">
        <v>3.5</v>
      </c>
      <c r="T2119">
        <v>3.6</v>
      </c>
      <c r="W2119" t="b">
        <f>COUNT(LifeExpectancyData[[#This Row],[Life expectancy]:[Schooling]])=19</f>
        <v>0</v>
      </c>
    </row>
    <row r="2120" spans="1:23" x14ac:dyDescent="0.25">
      <c r="A2120" t="s">
        <v>508</v>
      </c>
      <c r="B2120">
        <v>2000</v>
      </c>
      <c r="C2120" t="s">
        <v>369</v>
      </c>
      <c r="D2120">
        <v>67.099999999999994</v>
      </c>
      <c r="E2120">
        <v>235</v>
      </c>
      <c r="F2120">
        <v>1</v>
      </c>
      <c r="G2120">
        <v>9.89</v>
      </c>
      <c r="H2120">
        <v>0</v>
      </c>
      <c r="I2120">
        <v>92</v>
      </c>
      <c r="J2120">
        <v>687</v>
      </c>
      <c r="K2120">
        <v>46.5</v>
      </c>
      <c r="L2120">
        <v>2</v>
      </c>
      <c r="M2120">
        <v>97</v>
      </c>
      <c r="N2120">
        <v>6.65</v>
      </c>
      <c r="O2120">
        <v>95</v>
      </c>
      <c r="P2120">
        <v>0.1</v>
      </c>
      <c r="S2120">
        <v>3.6</v>
      </c>
      <c r="T2120">
        <v>3.7</v>
      </c>
      <c r="W2120" t="b">
        <f>COUNT(LifeExpectancyData[[#This Row],[Life expectancy]:[Schooling]])=19</f>
        <v>0</v>
      </c>
    </row>
    <row r="2121" spans="1:23" x14ac:dyDescent="0.25">
      <c r="A2121" t="s">
        <v>509</v>
      </c>
      <c r="B2121">
        <v>2015</v>
      </c>
      <c r="C2121" t="s">
        <v>377</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COUNT(LifeExpectancyData[[#This Row],[Life expectancy]:[Schooling]])=19</f>
        <v>0</v>
      </c>
    </row>
    <row r="2122" spans="1:23" x14ac:dyDescent="0.25">
      <c r="A2122" t="s">
        <v>509</v>
      </c>
      <c r="B2122">
        <v>2014</v>
      </c>
      <c r="C2122" t="s">
        <v>377</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COUNT(LifeExpectancyData[[#This Row],[Life expectancy]:[Schooling]])=19</f>
        <v>1</v>
      </c>
    </row>
    <row r="2123" spans="1:23" x14ac:dyDescent="0.25">
      <c r="A2123" t="s">
        <v>509</v>
      </c>
      <c r="B2123">
        <v>2013</v>
      </c>
      <c r="C2123" t="s">
        <v>377</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COUNT(LifeExpectancyData[[#This Row],[Life expectancy]:[Schooling]])=19</f>
        <v>1</v>
      </c>
    </row>
    <row r="2124" spans="1:23" x14ac:dyDescent="0.25">
      <c r="A2124" t="s">
        <v>509</v>
      </c>
      <c r="B2124">
        <v>2012</v>
      </c>
      <c r="C2124" t="s">
        <v>377</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COUNT(LifeExpectancyData[[#This Row],[Life expectancy]:[Schooling]])=19</f>
        <v>1</v>
      </c>
    </row>
    <row r="2125" spans="1:23" x14ac:dyDescent="0.25">
      <c r="A2125" t="s">
        <v>509</v>
      </c>
      <c r="B2125">
        <v>2011</v>
      </c>
      <c r="C2125" t="s">
        <v>377</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COUNT(LifeExpectancyData[[#This Row],[Life expectancy]:[Schooling]])=19</f>
        <v>1</v>
      </c>
    </row>
    <row r="2126" spans="1:23" x14ac:dyDescent="0.25">
      <c r="A2126" t="s">
        <v>509</v>
      </c>
      <c r="B2126">
        <v>2010</v>
      </c>
      <c r="C2126" t="s">
        <v>377</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COUNT(LifeExpectancyData[[#This Row],[Life expectancy]:[Schooling]])=19</f>
        <v>1</v>
      </c>
    </row>
    <row r="2127" spans="1:23" x14ac:dyDescent="0.25">
      <c r="A2127" t="s">
        <v>509</v>
      </c>
      <c r="B2127">
        <v>2009</v>
      </c>
      <c r="C2127" t="s">
        <v>377</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COUNT(LifeExpectancyData[[#This Row],[Life expectancy]:[Schooling]])=19</f>
        <v>1</v>
      </c>
    </row>
    <row r="2128" spans="1:23" x14ac:dyDescent="0.25">
      <c r="A2128" t="s">
        <v>509</v>
      </c>
      <c r="B2128">
        <v>2008</v>
      </c>
      <c r="C2128" t="s">
        <v>377</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COUNT(LifeExpectancyData[[#This Row],[Life expectancy]:[Schooling]])=19</f>
        <v>1</v>
      </c>
    </row>
    <row r="2129" spans="1:23" x14ac:dyDescent="0.25">
      <c r="A2129" t="s">
        <v>509</v>
      </c>
      <c r="B2129">
        <v>2007</v>
      </c>
      <c r="C2129" t="s">
        <v>377</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COUNT(LifeExpectancyData[[#This Row],[Life expectancy]:[Schooling]])=19</f>
        <v>1</v>
      </c>
    </row>
    <row r="2130" spans="1:23" x14ac:dyDescent="0.25">
      <c r="A2130" t="s">
        <v>509</v>
      </c>
      <c r="B2130">
        <v>2006</v>
      </c>
      <c r="C2130" t="s">
        <v>377</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COUNT(LifeExpectancyData[[#This Row],[Life expectancy]:[Schooling]])=19</f>
        <v>1</v>
      </c>
    </row>
    <row r="2131" spans="1:23" x14ac:dyDescent="0.25">
      <c r="A2131" t="s">
        <v>509</v>
      </c>
      <c r="B2131">
        <v>2005</v>
      </c>
      <c r="C2131" t="s">
        <v>377</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COUNT(LifeExpectancyData[[#This Row],[Life expectancy]:[Schooling]])=19</f>
        <v>1</v>
      </c>
    </row>
    <row r="2132" spans="1:23" x14ac:dyDescent="0.25">
      <c r="A2132" t="s">
        <v>509</v>
      </c>
      <c r="B2132">
        <v>2004</v>
      </c>
      <c r="C2132" t="s">
        <v>377</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COUNT(LifeExpectancyData[[#This Row],[Life expectancy]:[Schooling]])=19</f>
        <v>1</v>
      </c>
    </row>
    <row r="2133" spans="1:23" x14ac:dyDescent="0.25">
      <c r="A2133" t="s">
        <v>509</v>
      </c>
      <c r="B2133">
        <v>2003</v>
      </c>
      <c r="C2133" t="s">
        <v>377</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COUNT(LifeExpectancyData[[#This Row],[Life expectancy]:[Schooling]])=19</f>
        <v>1</v>
      </c>
    </row>
    <row r="2134" spans="1:23" x14ac:dyDescent="0.25">
      <c r="A2134" t="s">
        <v>509</v>
      </c>
      <c r="B2134">
        <v>2002</v>
      </c>
      <c r="C2134" t="s">
        <v>377</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COUNT(LifeExpectancyData[[#This Row],[Life expectancy]:[Schooling]])=19</f>
        <v>1</v>
      </c>
    </row>
    <row r="2135" spans="1:23" x14ac:dyDescent="0.25">
      <c r="A2135" t="s">
        <v>509</v>
      </c>
      <c r="B2135">
        <v>2001</v>
      </c>
      <c r="C2135" t="s">
        <v>377</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COUNT(LifeExpectancyData[[#This Row],[Life expectancy]:[Schooling]])=19</f>
        <v>1</v>
      </c>
    </row>
    <row r="2136" spans="1:23" x14ac:dyDescent="0.25">
      <c r="A2136" t="s">
        <v>509</v>
      </c>
      <c r="B2136">
        <v>2000</v>
      </c>
      <c r="C2136" t="s">
        <v>377</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COUNT(LifeExpectancyData[[#This Row],[Life expectancy]:[Schooling]])=19</f>
        <v>1</v>
      </c>
    </row>
    <row r="2137" spans="1:23" x14ac:dyDescent="0.25">
      <c r="A2137" t="s">
        <v>510</v>
      </c>
      <c r="B2137">
        <v>2015</v>
      </c>
      <c r="C2137" t="s">
        <v>369</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COUNT(LifeExpectancyData[[#This Row],[Life expectancy]:[Schooling]])=19</f>
        <v>0</v>
      </c>
    </row>
    <row r="2138" spans="1:23" x14ac:dyDescent="0.25">
      <c r="A2138" t="s">
        <v>510</v>
      </c>
      <c r="B2138">
        <v>2014</v>
      </c>
      <c r="C2138" t="s">
        <v>369</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COUNT(LifeExpectancyData[[#This Row],[Life expectancy]:[Schooling]])=19</f>
        <v>1</v>
      </c>
    </row>
    <row r="2139" spans="1:23" x14ac:dyDescent="0.25">
      <c r="A2139" t="s">
        <v>510</v>
      </c>
      <c r="B2139">
        <v>2013</v>
      </c>
      <c r="C2139" t="s">
        <v>369</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COUNT(LifeExpectancyData[[#This Row],[Life expectancy]:[Schooling]])=19</f>
        <v>1</v>
      </c>
    </row>
    <row r="2140" spans="1:23" x14ac:dyDescent="0.25">
      <c r="A2140" t="s">
        <v>510</v>
      </c>
      <c r="B2140">
        <v>2012</v>
      </c>
      <c r="C2140" t="s">
        <v>369</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COUNT(LifeExpectancyData[[#This Row],[Life expectancy]:[Schooling]])=19</f>
        <v>1</v>
      </c>
    </row>
    <row r="2141" spans="1:23" x14ac:dyDescent="0.25">
      <c r="A2141" t="s">
        <v>510</v>
      </c>
      <c r="B2141">
        <v>2011</v>
      </c>
      <c r="C2141" t="s">
        <v>369</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COUNT(LifeExpectancyData[[#This Row],[Life expectancy]:[Schooling]])=19</f>
        <v>1</v>
      </c>
    </row>
    <row r="2142" spans="1:23" x14ac:dyDescent="0.25">
      <c r="A2142" t="s">
        <v>510</v>
      </c>
      <c r="B2142">
        <v>2010</v>
      </c>
      <c r="C2142" t="s">
        <v>369</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COUNT(LifeExpectancyData[[#This Row],[Life expectancy]:[Schooling]])=19</f>
        <v>1</v>
      </c>
    </row>
    <row r="2143" spans="1:23" x14ac:dyDescent="0.25">
      <c r="A2143" t="s">
        <v>510</v>
      </c>
      <c r="B2143">
        <v>2009</v>
      </c>
      <c r="C2143" t="s">
        <v>369</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COUNT(LifeExpectancyData[[#This Row],[Life expectancy]:[Schooling]])=19</f>
        <v>1</v>
      </c>
    </row>
    <row r="2144" spans="1:23" x14ac:dyDescent="0.25">
      <c r="A2144" t="s">
        <v>510</v>
      </c>
      <c r="B2144">
        <v>2008</v>
      </c>
      <c r="C2144" t="s">
        <v>369</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COUNT(LifeExpectancyData[[#This Row],[Life expectancy]:[Schooling]])=19</f>
        <v>1</v>
      </c>
    </row>
    <row r="2145" spans="1:23" x14ac:dyDescent="0.25">
      <c r="A2145" t="s">
        <v>510</v>
      </c>
      <c r="B2145">
        <v>2007</v>
      </c>
      <c r="C2145" t="s">
        <v>369</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COUNT(LifeExpectancyData[[#This Row],[Life expectancy]:[Schooling]])=19</f>
        <v>1</v>
      </c>
    </row>
    <row r="2146" spans="1:23" x14ac:dyDescent="0.25">
      <c r="A2146" t="s">
        <v>510</v>
      </c>
      <c r="B2146">
        <v>2006</v>
      </c>
      <c r="C2146" t="s">
        <v>369</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COUNT(LifeExpectancyData[[#This Row],[Life expectancy]:[Schooling]])=19</f>
        <v>1</v>
      </c>
    </row>
    <row r="2147" spans="1:23" x14ac:dyDescent="0.25">
      <c r="A2147" t="s">
        <v>510</v>
      </c>
      <c r="B2147">
        <v>2005</v>
      </c>
      <c r="C2147" t="s">
        <v>369</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COUNT(LifeExpectancyData[[#This Row],[Life expectancy]:[Schooling]])=19</f>
        <v>1</v>
      </c>
    </row>
    <row r="2148" spans="1:23" x14ac:dyDescent="0.25">
      <c r="A2148" t="s">
        <v>510</v>
      </c>
      <c r="B2148">
        <v>2004</v>
      </c>
      <c r="C2148" t="s">
        <v>369</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COUNT(LifeExpectancyData[[#This Row],[Life expectancy]:[Schooling]])=19</f>
        <v>1</v>
      </c>
    </row>
    <row r="2149" spans="1:23" x14ac:dyDescent="0.25">
      <c r="A2149" t="s">
        <v>510</v>
      </c>
      <c r="B2149">
        <v>2003</v>
      </c>
      <c r="C2149" t="s">
        <v>369</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COUNT(LifeExpectancyData[[#This Row],[Life expectancy]:[Schooling]])=19</f>
        <v>1</v>
      </c>
    </row>
    <row r="2150" spans="1:23" x14ac:dyDescent="0.25">
      <c r="A2150" t="s">
        <v>510</v>
      </c>
      <c r="B2150">
        <v>2002</v>
      </c>
      <c r="C2150" t="s">
        <v>369</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COUNT(LifeExpectancyData[[#This Row],[Life expectancy]:[Schooling]])=19</f>
        <v>1</v>
      </c>
    </row>
    <row r="2151" spans="1:23" x14ac:dyDescent="0.25">
      <c r="A2151" t="s">
        <v>510</v>
      </c>
      <c r="B2151">
        <v>2001</v>
      </c>
      <c r="C2151" t="s">
        <v>369</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COUNT(LifeExpectancyData[[#This Row],[Life expectancy]:[Schooling]])=19</f>
        <v>1</v>
      </c>
    </row>
    <row r="2152" spans="1:23" x14ac:dyDescent="0.25">
      <c r="A2152" t="s">
        <v>510</v>
      </c>
      <c r="B2152">
        <v>2000</v>
      </c>
      <c r="C2152" t="s">
        <v>369</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COUNT(LifeExpectancyData[[#This Row],[Life expectancy]:[Schooling]])=19</f>
        <v>0</v>
      </c>
    </row>
    <row r="2153" spans="1:23" x14ac:dyDescent="0.25">
      <c r="A2153" t="s">
        <v>511</v>
      </c>
      <c r="B2153">
        <v>2015</v>
      </c>
      <c r="C2153" t="s">
        <v>369</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COUNT(LifeExpectancyData[[#This Row],[Life expectancy]:[Schooling]])=19</f>
        <v>0</v>
      </c>
    </row>
    <row r="2154" spans="1:23" x14ac:dyDescent="0.25">
      <c r="A2154" t="s">
        <v>511</v>
      </c>
      <c r="B2154">
        <v>2014</v>
      </c>
      <c r="C2154" t="s">
        <v>369</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COUNT(LifeExpectancyData[[#This Row],[Life expectancy]:[Schooling]])=19</f>
        <v>1</v>
      </c>
    </row>
    <row r="2155" spans="1:23" x14ac:dyDescent="0.25">
      <c r="A2155" t="s">
        <v>511</v>
      </c>
      <c r="B2155">
        <v>2013</v>
      </c>
      <c r="C2155" t="s">
        <v>369</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COUNT(LifeExpectancyData[[#This Row],[Life expectancy]:[Schooling]])=19</f>
        <v>1</v>
      </c>
    </row>
    <row r="2156" spans="1:23" x14ac:dyDescent="0.25">
      <c r="A2156" t="s">
        <v>511</v>
      </c>
      <c r="B2156">
        <v>2012</v>
      </c>
      <c r="C2156" t="s">
        <v>369</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COUNT(LifeExpectancyData[[#This Row],[Life expectancy]:[Schooling]])=19</f>
        <v>1</v>
      </c>
    </row>
    <row r="2157" spans="1:23" x14ac:dyDescent="0.25">
      <c r="A2157" t="s">
        <v>511</v>
      </c>
      <c r="B2157">
        <v>2011</v>
      </c>
      <c r="C2157" t="s">
        <v>369</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COUNT(LifeExpectancyData[[#This Row],[Life expectancy]:[Schooling]])=19</f>
        <v>1</v>
      </c>
    </row>
    <row r="2158" spans="1:23" x14ac:dyDescent="0.25">
      <c r="A2158" t="s">
        <v>511</v>
      </c>
      <c r="B2158">
        <v>2010</v>
      </c>
      <c r="C2158" t="s">
        <v>369</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COUNT(LifeExpectancyData[[#This Row],[Life expectancy]:[Schooling]])=19</f>
        <v>1</v>
      </c>
    </row>
    <row r="2159" spans="1:23" x14ac:dyDescent="0.25">
      <c r="A2159" t="s">
        <v>511</v>
      </c>
      <c r="B2159">
        <v>2009</v>
      </c>
      <c r="C2159" t="s">
        <v>369</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COUNT(LifeExpectancyData[[#This Row],[Life expectancy]:[Schooling]])=19</f>
        <v>1</v>
      </c>
    </row>
    <row r="2160" spans="1:23" x14ac:dyDescent="0.25">
      <c r="A2160" t="s">
        <v>511</v>
      </c>
      <c r="B2160">
        <v>2008</v>
      </c>
      <c r="C2160" t="s">
        <v>369</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COUNT(LifeExpectancyData[[#This Row],[Life expectancy]:[Schooling]])=19</f>
        <v>1</v>
      </c>
    </row>
    <row r="2161" spans="1:23" x14ac:dyDescent="0.25">
      <c r="A2161" t="s">
        <v>511</v>
      </c>
      <c r="B2161">
        <v>2007</v>
      </c>
      <c r="C2161" t="s">
        <v>369</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COUNT(LifeExpectancyData[[#This Row],[Life expectancy]:[Schooling]])=19</f>
        <v>1</v>
      </c>
    </row>
    <row r="2162" spans="1:23" x14ac:dyDescent="0.25">
      <c r="A2162" t="s">
        <v>511</v>
      </c>
      <c r="B2162">
        <v>2006</v>
      </c>
      <c r="C2162" t="s">
        <v>369</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COUNT(LifeExpectancyData[[#This Row],[Life expectancy]:[Schooling]])=19</f>
        <v>1</v>
      </c>
    </row>
    <row r="2163" spans="1:23" x14ac:dyDescent="0.25">
      <c r="A2163" t="s">
        <v>511</v>
      </c>
      <c r="B2163">
        <v>2005</v>
      </c>
      <c r="C2163" t="s">
        <v>369</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COUNT(LifeExpectancyData[[#This Row],[Life expectancy]:[Schooling]])=19</f>
        <v>1</v>
      </c>
    </row>
    <row r="2164" spans="1:23" x14ac:dyDescent="0.25">
      <c r="A2164" t="s">
        <v>511</v>
      </c>
      <c r="B2164">
        <v>2004</v>
      </c>
      <c r="C2164" t="s">
        <v>369</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COUNT(LifeExpectancyData[[#This Row],[Life expectancy]:[Schooling]])=19</f>
        <v>1</v>
      </c>
    </row>
    <row r="2165" spans="1:23" x14ac:dyDescent="0.25">
      <c r="A2165" t="s">
        <v>511</v>
      </c>
      <c r="B2165">
        <v>2003</v>
      </c>
      <c r="C2165" t="s">
        <v>369</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COUNT(LifeExpectancyData[[#This Row],[Life expectancy]:[Schooling]])=19</f>
        <v>1</v>
      </c>
    </row>
    <row r="2166" spans="1:23" x14ac:dyDescent="0.25">
      <c r="A2166" t="s">
        <v>511</v>
      </c>
      <c r="B2166">
        <v>2002</v>
      </c>
      <c r="C2166" t="s">
        <v>369</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COUNT(LifeExpectancyData[[#This Row],[Life expectancy]:[Schooling]])=19</f>
        <v>1</v>
      </c>
    </row>
    <row r="2167" spans="1:23" x14ac:dyDescent="0.25">
      <c r="A2167" t="s">
        <v>511</v>
      </c>
      <c r="B2167">
        <v>2001</v>
      </c>
      <c r="C2167" t="s">
        <v>369</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COUNT(LifeExpectancyData[[#This Row],[Life expectancy]:[Schooling]])=19</f>
        <v>0</v>
      </c>
    </row>
    <row r="2168" spans="1:23" x14ac:dyDescent="0.25">
      <c r="A2168" t="s">
        <v>511</v>
      </c>
      <c r="B2168">
        <v>2000</v>
      </c>
      <c r="C2168" t="s">
        <v>369</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COUNT(LifeExpectancyData[[#This Row],[Life expectancy]:[Schooling]])=19</f>
        <v>0</v>
      </c>
    </row>
    <row r="2169" spans="1:23" x14ac:dyDescent="0.25">
      <c r="A2169" t="s">
        <v>512</v>
      </c>
      <c r="B2169">
        <v>2013</v>
      </c>
      <c r="C2169" t="s">
        <v>369</v>
      </c>
      <c r="F2169">
        <v>0</v>
      </c>
      <c r="G2169">
        <v>8.5399999999999991</v>
      </c>
      <c r="H2169">
        <v>0</v>
      </c>
      <c r="I2169">
        <v>97</v>
      </c>
      <c r="J2169">
        <v>0</v>
      </c>
      <c r="K2169">
        <v>5.2</v>
      </c>
      <c r="L2169">
        <v>0</v>
      </c>
      <c r="M2169">
        <v>96</v>
      </c>
      <c r="N2169">
        <v>6.14</v>
      </c>
      <c r="O2169">
        <v>96</v>
      </c>
      <c r="P2169">
        <v>0.1</v>
      </c>
      <c r="S2169">
        <v>3.7</v>
      </c>
      <c r="T2169">
        <v>3.6</v>
      </c>
      <c r="U2169">
        <v>0.749</v>
      </c>
      <c r="V2169">
        <v>13.4</v>
      </c>
      <c r="W2169" t="b">
        <f>COUNT(LifeExpectancyData[[#This Row],[Life expectancy]:[Schooling]])=19</f>
        <v>0</v>
      </c>
    </row>
    <row r="2170" spans="1:23" x14ac:dyDescent="0.25">
      <c r="A2170" t="s">
        <v>513</v>
      </c>
      <c r="B2170">
        <v>2015</v>
      </c>
      <c r="C2170" t="s">
        <v>369</v>
      </c>
      <c r="D2170">
        <v>75.2</v>
      </c>
      <c r="E2170">
        <v>138</v>
      </c>
      <c r="F2170">
        <v>0</v>
      </c>
      <c r="H2170">
        <v>0</v>
      </c>
      <c r="I2170">
        <v>99</v>
      </c>
      <c r="J2170">
        <v>0</v>
      </c>
      <c r="K2170">
        <v>47.5</v>
      </c>
      <c r="L2170">
        <v>0</v>
      </c>
      <c r="M2170">
        <v>99</v>
      </c>
      <c r="O2170">
        <v>99</v>
      </c>
      <c r="P2170">
        <v>0.1</v>
      </c>
      <c r="S2170">
        <v>4.3</v>
      </c>
      <c r="T2170">
        <v>4.3</v>
      </c>
      <c r="U2170">
        <v>0.73499999999999999</v>
      </c>
      <c r="V2170">
        <v>13.1</v>
      </c>
      <c r="W2170" t="b">
        <f>COUNT(LifeExpectancyData[[#This Row],[Life expectancy]:[Schooling]])=19</f>
        <v>0</v>
      </c>
    </row>
    <row r="2171" spans="1:23" x14ac:dyDescent="0.25">
      <c r="A2171" t="s">
        <v>513</v>
      </c>
      <c r="B2171">
        <v>2014</v>
      </c>
      <c r="C2171" t="s">
        <v>369</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COUNT(LifeExpectancyData[[#This Row],[Life expectancy]:[Schooling]])=19</f>
        <v>0</v>
      </c>
    </row>
    <row r="2172" spans="1:23" x14ac:dyDescent="0.25">
      <c r="A2172" t="s">
        <v>513</v>
      </c>
      <c r="B2172">
        <v>2013</v>
      </c>
      <c r="C2172" t="s">
        <v>369</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COUNT(LifeExpectancyData[[#This Row],[Life expectancy]:[Schooling]])=19</f>
        <v>0</v>
      </c>
    </row>
    <row r="2173" spans="1:23" x14ac:dyDescent="0.25">
      <c r="A2173" t="s">
        <v>513</v>
      </c>
      <c r="B2173">
        <v>2012</v>
      </c>
      <c r="C2173" t="s">
        <v>369</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COUNT(LifeExpectancyData[[#This Row],[Life expectancy]:[Schooling]])=19</f>
        <v>0</v>
      </c>
    </row>
    <row r="2174" spans="1:23" x14ac:dyDescent="0.25">
      <c r="A2174" t="s">
        <v>513</v>
      </c>
      <c r="B2174">
        <v>2011</v>
      </c>
      <c r="C2174" t="s">
        <v>369</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COUNT(LifeExpectancyData[[#This Row],[Life expectancy]:[Schooling]])=19</f>
        <v>0</v>
      </c>
    </row>
    <row r="2175" spans="1:23" x14ac:dyDescent="0.25">
      <c r="A2175" t="s">
        <v>513</v>
      </c>
      <c r="B2175">
        <v>2010</v>
      </c>
      <c r="C2175" t="s">
        <v>369</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COUNT(LifeExpectancyData[[#This Row],[Life expectancy]:[Schooling]])=19</f>
        <v>0</v>
      </c>
    </row>
    <row r="2176" spans="1:23" x14ac:dyDescent="0.25">
      <c r="A2176" t="s">
        <v>513</v>
      </c>
      <c r="B2176">
        <v>2009</v>
      </c>
      <c r="C2176" t="s">
        <v>369</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COUNT(LifeExpectancyData[[#This Row],[Life expectancy]:[Schooling]])=19</f>
        <v>0</v>
      </c>
    </row>
    <row r="2177" spans="1:23" x14ac:dyDescent="0.25">
      <c r="A2177" t="s">
        <v>513</v>
      </c>
      <c r="B2177">
        <v>2008</v>
      </c>
      <c r="C2177" t="s">
        <v>369</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COUNT(LifeExpectancyData[[#This Row],[Life expectancy]:[Schooling]])=19</f>
        <v>0</v>
      </c>
    </row>
    <row r="2178" spans="1:23" x14ac:dyDescent="0.25">
      <c r="A2178" t="s">
        <v>513</v>
      </c>
      <c r="B2178">
        <v>2007</v>
      </c>
      <c r="C2178" t="s">
        <v>369</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COUNT(LifeExpectancyData[[#This Row],[Life expectancy]:[Schooling]])=19</f>
        <v>0</v>
      </c>
    </row>
    <row r="2179" spans="1:23" x14ac:dyDescent="0.25">
      <c r="A2179" t="s">
        <v>513</v>
      </c>
      <c r="B2179">
        <v>2006</v>
      </c>
      <c r="C2179" t="s">
        <v>369</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COUNT(LifeExpectancyData[[#This Row],[Life expectancy]:[Schooling]])=19</f>
        <v>0</v>
      </c>
    </row>
    <row r="2180" spans="1:23" x14ac:dyDescent="0.25">
      <c r="A2180" t="s">
        <v>513</v>
      </c>
      <c r="B2180">
        <v>2005</v>
      </c>
      <c r="C2180" t="s">
        <v>369</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COUNT(LifeExpectancyData[[#This Row],[Life expectancy]:[Schooling]])=19</f>
        <v>0</v>
      </c>
    </row>
    <row r="2181" spans="1:23" x14ac:dyDescent="0.25">
      <c r="A2181" t="s">
        <v>513</v>
      </c>
      <c r="B2181">
        <v>2004</v>
      </c>
      <c r="C2181" t="s">
        <v>369</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COUNT(LifeExpectancyData[[#This Row],[Life expectancy]:[Schooling]])=19</f>
        <v>0</v>
      </c>
    </row>
    <row r="2182" spans="1:23" x14ac:dyDescent="0.25">
      <c r="A2182" t="s">
        <v>513</v>
      </c>
      <c r="B2182">
        <v>2003</v>
      </c>
      <c r="C2182" t="s">
        <v>369</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COUNT(LifeExpectancyData[[#This Row],[Life expectancy]:[Schooling]])=19</f>
        <v>0</v>
      </c>
    </row>
    <row r="2183" spans="1:23" x14ac:dyDescent="0.25">
      <c r="A2183" t="s">
        <v>513</v>
      </c>
      <c r="B2183">
        <v>2002</v>
      </c>
      <c r="C2183" t="s">
        <v>369</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COUNT(LifeExpectancyData[[#This Row],[Life expectancy]:[Schooling]])=19</f>
        <v>0</v>
      </c>
    </row>
    <row r="2184" spans="1:23" x14ac:dyDescent="0.25">
      <c r="A2184" t="s">
        <v>513</v>
      </c>
      <c r="B2184">
        <v>2001</v>
      </c>
      <c r="C2184" t="s">
        <v>369</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COUNT(LifeExpectancyData[[#This Row],[Life expectancy]:[Schooling]])=19</f>
        <v>0</v>
      </c>
    </row>
    <row r="2185" spans="1:23" x14ac:dyDescent="0.25">
      <c r="A2185" t="s">
        <v>513</v>
      </c>
      <c r="B2185">
        <v>2000</v>
      </c>
      <c r="C2185" t="s">
        <v>369</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COUNT(LifeExpectancyData[[#This Row],[Life expectancy]:[Schooling]])=19</f>
        <v>0</v>
      </c>
    </row>
    <row r="2186" spans="1:23" x14ac:dyDescent="0.25">
      <c r="A2186" t="s">
        <v>514</v>
      </c>
      <c r="B2186">
        <v>2015</v>
      </c>
      <c r="C2186" t="s">
        <v>369</v>
      </c>
      <c r="D2186">
        <v>73.2</v>
      </c>
      <c r="E2186">
        <v>156</v>
      </c>
      <c r="F2186">
        <v>0</v>
      </c>
      <c r="H2186">
        <v>0</v>
      </c>
      <c r="I2186">
        <v>98</v>
      </c>
      <c r="J2186">
        <v>0</v>
      </c>
      <c r="K2186">
        <v>54.1</v>
      </c>
      <c r="L2186">
        <v>0</v>
      </c>
      <c r="M2186">
        <v>97</v>
      </c>
      <c r="O2186">
        <v>98</v>
      </c>
      <c r="P2186">
        <v>0.1</v>
      </c>
      <c r="S2186">
        <v>3.5</v>
      </c>
      <c r="T2186">
        <v>3.4</v>
      </c>
      <c r="U2186">
        <v>0.72</v>
      </c>
      <c r="V2186">
        <v>13.3</v>
      </c>
      <c r="W2186" t="b">
        <f>COUNT(LifeExpectancyData[[#This Row],[Life expectancy]:[Schooling]])=19</f>
        <v>0</v>
      </c>
    </row>
    <row r="2187" spans="1:23" x14ac:dyDescent="0.25">
      <c r="A2187" t="s">
        <v>514</v>
      </c>
      <c r="B2187">
        <v>2014</v>
      </c>
      <c r="C2187" t="s">
        <v>369</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COUNT(LifeExpectancyData[[#This Row],[Life expectancy]:[Schooling]])=19</f>
        <v>0</v>
      </c>
    </row>
    <row r="2188" spans="1:23" x14ac:dyDescent="0.25">
      <c r="A2188" t="s">
        <v>514</v>
      </c>
      <c r="B2188">
        <v>2013</v>
      </c>
      <c r="C2188" t="s">
        <v>369</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COUNT(LifeExpectancyData[[#This Row],[Life expectancy]:[Schooling]])=19</f>
        <v>0</v>
      </c>
    </row>
    <row r="2189" spans="1:23" x14ac:dyDescent="0.25">
      <c r="A2189" t="s">
        <v>514</v>
      </c>
      <c r="B2189">
        <v>2012</v>
      </c>
      <c r="C2189" t="s">
        <v>369</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COUNT(LifeExpectancyData[[#This Row],[Life expectancy]:[Schooling]])=19</f>
        <v>0</v>
      </c>
    </row>
    <row r="2190" spans="1:23" x14ac:dyDescent="0.25">
      <c r="A2190" t="s">
        <v>514</v>
      </c>
      <c r="B2190">
        <v>2011</v>
      </c>
      <c r="C2190" t="s">
        <v>369</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COUNT(LifeExpectancyData[[#This Row],[Life expectancy]:[Schooling]])=19</f>
        <v>0</v>
      </c>
    </row>
    <row r="2191" spans="1:23" x14ac:dyDescent="0.25">
      <c r="A2191" t="s">
        <v>514</v>
      </c>
      <c r="B2191">
        <v>2010</v>
      </c>
      <c r="C2191" t="s">
        <v>369</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COUNT(LifeExpectancyData[[#This Row],[Life expectancy]:[Schooling]])=19</f>
        <v>0</v>
      </c>
    </row>
    <row r="2192" spans="1:23" x14ac:dyDescent="0.25">
      <c r="A2192" t="s">
        <v>514</v>
      </c>
      <c r="B2192">
        <v>2009</v>
      </c>
      <c r="C2192" t="s">
        <v>369</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COUNT(LifeExpectancyData[[#This Row],[Life expectancy]:[Schooling]])=19</f>
        <v>0</v>
      </c>
    </row>
    <row r="2193" spans="1:23" x14ac:dyDescent="0.25">
      <c r="A2193" t="s">
        <v>514</v>
      </c>
      <c r="B2193">
        <v>2008</v>
      </c>
      <c r="C2193" t="s">
        <v>369</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COUNT(LifeExpectancyData[[#This Row],[Life expectancy]:[Schooling]])=19</f>
        <v>0</v>
      </c>
    </row>
    <row r="2194" spans="1:23" x14ac:dyDescent="0.25">
      <c r="A2194" t="s">
        <v>514</v>
      </c>
      <c r="B2194">
        <v>2007</v>
      </c>
      <c r="C2194" t="s">
        <v>369</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COUNT(LifeExpectancyData[[#This Row],[Life expectancy]:[Schooling]])=19</f>
        <v>0</v>
      </c>
    </row>
    <row r="2195" spans="1:23" x14ac:dyDescent="0.25">
      <c r="A2195" t="s">
        <v>514</v>
      </c>
      <c r="B2195">
        <v>2006</v>
      </c>
      <c r="C2195" t="s">
        <v>369</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COUNT(LifeExpectancyData[[#This Row],[Life expectancy]:[Schooling]])=19</f>
        <v>0</v>
      </c>
    </row>
    <row r="2196" spans="1:23" x14ac:dyDescent="0.25">
      <c r="A2196" t="s">
        <v>514</v>
      </c>
      <c r="B2196">
        <v>2005</v>
      </c>
      <c r="C2196" t="s">
        <v>369</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COUNT(LifeExpectancyData[[#This Row],[Life expectancy]:[Schooling]])=19</f>
        <v>0</v>
      </c>
    </row>
    <row r="2197" spans="1:23" x14ac:dyDescent="0.25">
      <c r="A2197" t="s">
        <v>514</v>
      </c>
      <c r="B2197">
        <v>2004</v>
      </c>
      <c r="C2197" t="s">
        <v>369</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COUNT(LifeExpectancyData[[#This Row],[Life expectancy]:[Schooling]])=19</f>
        <v>0</v>
      </c>
    </row>
    <row r="2198" spans="1:23" x14ac:dyDescent="0.25">
      <c r="A2198" t="s">
        <v>514</v>
      </c>
      <c r="B2198">
        <v>2003</v>
      </c>
      <c r="C2198" t="s">
        <v>369</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COUNT(LifeExpectancyData[[#This Row],[Life expectancy]:[Schooling]])=19</f>
        <v>0</v>
      </c>
    </row>
    <row r="2199" spans="1:23" x14ac:dyDescent="0.25">
      <c r="A2199" t="s">
        <v>514</v>
      </c>
      <c r="B2199">
        <v>2002</v>
      </c>
      <c r="C2199" t="s">
        <v>369</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COUNT(LifeExpectancyData[[#This Row],[Life expectancy]:[Schooling]])=19</f>
        <v>0</v>
      </c>
    </row>
    <row r="2200" spans="1:23" x14ac:dyDescent="0.25">
      <c r="A2200" t="s">
        <v>514</v>
      </c>
      <c r="B2200">
        <v>2001</v>
      </c>
      <c r="C2200" t="s">
        <v>369</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COUNT(LifeExpectancyData[[#This Row],[Life expectancy]:[Schooling]])=19</f>
        <v>0</v>
      </c>
    </row>
    <row r="2201" spans="1:23" x14ac:dyDescent="0.25">
      <c r="A2201" t="s">
        <v>514</v>
      </c>
      <c r="B2201">
        <v>2000</v>
      </c>
      <c r="C2201" t="s">
        <v>369</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COUNT(LifeExpectancyData[[#This Row],[Life expectancy]:[Schooling]])=19</f>
        <v>0</v>
      </c>
    </row>
    <row r="2202" spans="1:23" x14ac:dyDescent="0.25">
      <c r="A2202" t="s">
        <v>515</v>
      </c>
      <c r="B2202">
        <v>2015</v>
      </c>
      <c r="C2202" t="s">
        <v>369</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COUNT(LifeExpectancyData[[#This Row],[Life expectancy]:[Schooling]])=19</f>
        <v>0</v>
      </c>
    </row>
    <row r="2203" spans="1:23" x14ac:dyDescent="0.25">
      <c r="A2203" t="s">
        <v>515</v>
      </c>
      <c r="B2203">
        <v>2014</v>
      </c>
      <c r="C2203" t="s">
        <v>369</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COUNT(LifeExpectancyData[[#This Row],[Life expectancy]:[Schooling]])=19</f>
        <v>1</v>
      </c>
    </row>
    <row r="2204" spans="1:23" x14ac:dyDescent="0.25">
      <c r="A2204" t="s">
        <v>515</v>
      </c>
      <c r="B2204">
        <v>2013</v>
      </c>
      <c r="C2204" t="s">
        <v>369</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COUNT(LifeExpectancyData[[#This Row],[Life expectancy]:[Schooling]])=19</f>
        <v>1</v>
      </c>
    </row>
    <row r="2205" spans="1:23" x14ac:dyDescent="0.25">
      <c r="A2205" t="s">
        <v>515</v>
      </c>
      <c r="B2205">
        <v>2012</v>
      </c>
      <c r="C2205" t="s">
        <v>369</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COUNT(LifeExpectancyData[[#This Row],[Life expectancy]:[Schooling]])=19</f>
        <v>1</v>
      </c>
    </row>
    <row r="2206" spans="1:23" x14ac:dyDescent="0.25">
      <c r="A2206" t="s">
        <v>515</v>
      </c>
      <c r="B2206">
        <v>2011</v>
      </c>
      <c r="C2206" t="s">
        <v>369</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COUNT(LifeExpectancyData[[#This Row],[Life expectancy]:[Schooling]])=19</f>
        <v>1</v>
      </c>
    </row>
    <row r="2207" spans="1:23" x14ac:dyDescent="0.25">
      <c r="A2207" t="s">
        <v>515</v>
      </c>
      <c r="B2207">
        <v>2010</v>
      </c>
      <c r="C2207" t="s">
        <v>369</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COUNT(LifeExpectancyData[[#This Row],[Life expectancy]:[Schooling]])=19</f>
        <v>1</v>
      </c>
    </row>
    <row r="2208" spans="1:23" x14ac:dyDescent="0.25">
      <c r="A2208" t="s">
        <v>515</v>
      </c>
      <c r="B2208">
        <v>2009</v>
      </c>
      <c r="C2208" t="s">
        <v>369</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COUNT(LifeExpectancyData[[#This Row],[Life expectancy]:[Schooling]])=19</f>
        <v>1</v>
      </c>
    </row>
    <row r="2209" spans="1:23" x14ac:dyDescent="0.25">
      <c r="A2209" t="s">
        <v>515</v>
      </c>
      <c r="B2209">
        <v>2008</v>
      </c>
      <c r="C2209" t="s">
        <v>369</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COUNT(LifeExpectancyData[[#This Row],[Life expectancy]:[Schooling]])=19</f>
        <v>1</v>
      </c>
    </row>
    <row r="2210" spans="1:23" x14ac:dyDescent="0.25">
      <c r="A2210" t="s">
        <v>515</v>
      </c>
      <c r="B2210">
        <v>2007</v>
      </c>
      <c r="C2210" t="s">
        <v>369</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COUNT(LifeExpectancyData[[#This Row],[Life expectancy]:[Schooling]])=19</f>
        <v>1</v>
      </c>
    </row>
    <row r="2211" spans="1:23" x14ac:dyDescent="0.25">
      <c r="A2211" t="s">
        <v>515</v>
      </c>
      <c r="B2211">
        <v>2006</v>
      </c>
      <c r="C2211" t="s">
        <v>369</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COUNT(LifeExpectancyData[[#This Row],[Life expectancy]:[Schooling]])=19</f>
        <v>1</v>
      </c>
    </row>
    <row r="2212" spans="1:23" x14ac:dyDescent="0.25">
      <c r="A2212" t="s">
        <v>515</v>
      </c>
      <c r="B2212">
        <v>2005</v>
      </c>
      <c r="C2212" t="s">
        <v>369</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COUNT(LifeExpectancyData[[#This Row],[Life expectancy]:[Schooling]])=19</f>
        <v>1</v>
      </c>
    </row>
    <row r="2213" spans="1:23" x14ac:dyDescent="0.25">
      <c r="A2213" t="s">
        <v>515</v>
      </c>
      <c r="B2213">
        <v>2004</v>
      </c>
      <c r="C2213" t="s">
        <v>369</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COUNT(LifeExpectancyData[[#This Row],[Life expectancy]:[Schooling]])=19</f>
        <v>1</v>
      </c>
    </row>
    <row r="2214" spans="1:23" x14ac:dyDescent="0.25">
      <c r="A2214" t="s">
        <v>515</v>
      </c>
      <c r="B2214">
        <v>2003</v>
      </c>
      <c r="C2214" t="s">
        <v>369</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COUNT(LifeExpectancyData[[#This Row],[Life expectancy]:[Schooling]])=19</f>
        <v>1</v>
      </c>
    </row>
    <row r="2215" spans="1:23" x14ac:dyDescent="0.25">
      <c r="A2215" t="s">
        <v>515</v>
      </c>
      <c r="B2215">
        <v>2002</v>
      </c>
      <c r="C2215" t="s">
        <v>369</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COUNT(LifeExpectancyData[[#This Row],[Life expectancy]:[Schooling]])=19</f>
        <v>1</v>
      </c>
    </row>
    <row r="2216" spans="1:23" x14ac:dyDescent="0.25">
      <c r="A2216" t="s">
        <v>515</v>
      </c>
      <c r="B2216">
        <v>2001</v>
      </c>
      <c r="C2216" t="s">
        <v>369</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COUNT(LifeExpectancyData[[#This Row],[Life expectancy]:[Schooling]])=19</f>
        <v>1</v>
      </c>
    </row>
    <row r="2217" spans="1:23" x14ac:dyDescent="0.25">
      <c r="A2217" t="s">
        <v>515</v>
      </c>
      <c r="B2217">
        <v>2000</v>
      </c>
      <c r="C2217" t="s">
        <v>369</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COUNT(LifeExpectancyData[[#This Row],[Life expectancy]:[Schooling]])=19</f>
        <v>1</v>
      </c>
    </row>
    <row r="2218" spans="1:23" x14ac:dyDescent="0.25">
      <c r="A2218" t="s">
        <v>516</v>
      </c>
      <c r="B2218">
        <v>2013</v>
      </c>
      <c r="C2218" t="s">
        <v>369</v>
      </c>
      <c r="F2218">
        <v>0</v>
      </c>
      <c r="G2218">
        <v>0.01</v>
      </c>
      <c r="H2218">
        <v>0</v>
      </c>
      <c r="I2218">
        <v>69</v>
      </c>
      <c r="J2218">
        <v>0</v>
      </c>
      <c r="L2218">
        <v>0</v>
      </c>
      <c r="M2218">
        <v>69</v>
      </c>
      <c r="N2218">
        <v>6.5</v>
      </c>
      <c r="O2218">
        <v>69</v>
      </c>
      <c r="P2218">
        <v>0.1</v>
      </c>
      <c r="V2218">
        <v>15.1</v>
      </c>
      <c r="W2218" t="b">
        <f>COUNT(LifeExpectancyData[[#This Row],[Life expectancy]:[Schooling]])=19</f>
        <v>0</v>
      </c>
    </row>
    <row r="2219" spans="1:23" x14ac:dyDescent="0.25">
      <c r="A2219" t="s">
        <v>517</v>
      </c>
      <c r="B2219">
        <v>2015</v>
      </c>
      <c r="C2219" t="s">
        <v>369</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COUNT(LifeExpectancyData[[#This Row],[Life expectancy]:[Schooling]])=19</f>
        <v>0</v>
      </c>
    </row>
    <row r="2220" spans="1:23" x14ac:dyDescent="0.25">
      <c r="A2220" t="s">
        <v>517</v>
      </c>
      <c r="B2220">
        <v>2014</v>
      </c>
      <c r="C2220" t="s">
        <v>369</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COUNT(LifeExpectancyData[[#This Row],[Life expectancy]:[Schooling]])=19</f>
        <v>1</v>
      </c>
    </row>
    <row r="2221" spans="1:23" x14ac:dyDescent="0.25">
      <c r="A2221" t="s">
        <v>517</v>
      </c>
      <c r="B2221">
        <v>2013</v>
      </c>
      <c r="C2221" t="s">
        <v>369</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COUNT(LifeExpectancyData[[#This Row],[Life expectancy]:[Schooling]])=19</f>
        <v>1</v>
      </c>
    </row>
    <row r="2222" spans="1:23" x14ac:dyDescent="0.25">
      <c r="A2222" t="s">
        <v>517</v>
      </c>
      <c r="B2222">
        <v>2012</v>
      </c>
      <c r="C2222" t="s">
        <v>369</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COUNT(LifeExpectancyData[[#This Row],[Life expectancy]:[Schooling]])=19</f>
        <v>1</v>
      </c>
    </row>
    <row r="2223" spans="1:23" x14ac:dyDescent="0.25">
      <c r="A2223" t="s">
        <v>517</v>
      </c>
      <c r="B2223">
        <v>2011</v>
      </c>
      <c r="C2223" t="s">
        <v>369</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COUNT(LifeExpectancyData[[#This Row],[Life expectancy]:[Schooling]])=19</f>
        <v>1</v>
      </c>
    </row>
    <row r="2224" spans="1:23" x14ac:dyDescent="0.25">
      <c r="A2224" t="s">
        <v>517</v>
      </c>
      <c r="B2224">
        <v>2010</v>
      </c>
      <c r="C2224" t="s">
        <v>369</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COUNT(LifeExpectancyData[[#This Row],[Life expectancy]:[Schooling]])=19</f>
        <v>1</v>
      </c>
    </row>
    <row r="2225" spans="1:23" x14ac:dyDescent="0.25">
      <c r="A2225" t="s">
        <v>517</v>
      </c>
      <c r="B2225">
        <v>2009</v>
      </c>
      <c r="C2225" t="s">
        <v>369</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COUNT(LifeExpectancyData[[#This Row],[Life expectancy]:[Schooling]])=19</f>
        <v>1</v>
      </c>
    </row>
    <row r="2226" spans="1:23" x14ac:dyDescent="0.25">
      <c r="A2226" t="s">
        <v>517</v>
      </c>
      <c r="B2226">
        <v>2008</v>
      </c>
      <c r="C2226" t="s">
        <v>369</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COUNT(LifeExpectancyData[[#This Row],[Life expectancy]:[Schooling]])=19</f>
        <v>1</v>
      </c>
    </row>
    <row r="2227" spans="1:23" x14ac:dyDescent="0.25">
      <c r="A2227" t="s">
        <v>517</v>
      </c>
      <c r="B2227">
        <v>2007</v>
      </c>
      <c r="C2227" t="s">
        <v>369</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COUNT(LifeExpectancyData[[#This Row],[Life expectancy]:[Schooling]])=19</f>
        <v>1</v>
      </c>
    </row>
    <row r="2228" spans="1:23" x14ac:dyDescent="0.25">
      <c r="A2228" t="s">
        <v>517</v>
      </c>
      <c r="B2228">
        <v>2006</v>
      </c>
      <c r="C2228" t="s">
        <v>369</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COUNT(LifeExpectancyData[[#This Row],[Life expectancy]:[Schooling]])=19</f>
        <v>1</v>
      </c>
    </row>
    <row r="2229" spans="1:23" x14ac:dyDescent="0.25">
      <c r="A2229" t="s">
        <v>517</v>
      </c>
      <c r="B2229">
        <v>2005</v>
      </c>
      <c r="C2229" t="s">
        <v>369</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COUNT(LifeExpectancyData[[#This Row],[Life expectancy]:[Schooling]])=19</f>
        <v>1</v>
      </c>
    </row>
    <row r="2230" spans="1:23" x14ac:dyDescent="0.25">
      <c r="A2230" t="s">
        <v>517</v>
      </c>
      <c r="B2230">
        <v>2004</v>
      </c>
      <c r="C2230" t="s">
        <v>369</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COUNT(LifeExpectancyData[[#This Row],[Life expectancy]:[Schooling]])=19</f>
        <v>1</v>
      </c>
    </row>
    <row r="2231" spans="1:23" x14ac:dyDescent="0.25">
      <c r="A2231" t="s">
        <v>517</v>
      </c>
      <c r="B2231">
        <v>2003</v>
      </c>
      <c r="C2231" t="s">
        <v>369</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COUNT(LifeExpectancyData[[#This Row],[Life expectancy]:[Schooling]])=19</f>
        <v>1</v>
      </c>
    </row>
    <row r="2232" spans="1:23" x14ac:dyDescent="0.25">
      <c r="A2232" t="s">
        <v>517</v>
      </c>
      <c r="B2232">
        <v>2002</v>
      </c>
      <c r="C2232" t="s">
        <v>369</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COUNT(LifeExpectancyData[[#This Row],[Life expectancy]:[Schooling]])=19</f>
        <v>0</v>
      </c>
    </row>
    <row r="2233" spans="1:23" x14ac:dyDescent="0.25">
      <c r="A2233" t="s">
        <v>517</v>
      </c>
      <c r="B2233">
        <v>2001</v>
      </c>
      <c r="C2233" t="s">
        <v>369</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COUNT(LifeExpectancyData[[#This Row],[Life expectancy]:[Schooling]])=19</f>
        <v>0</v>
      </c>
    </row>
    <row r="2234" spans="1:23" x14ac:dyDescent="0.25">
      <c r="A2234" t="s">
        <v>517</v>
      </c>
      <c r="B2234">
        <v>2000</v>
      </c>
      <c r="C2234" t="s">
        <v>369</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COUNT(LifeExpectancyData[[#This Row],[Life expectancy]:[Schooling]])=19</f>
        <v>0</v>
      </c>
    </row>
    <row r="2235" spans="1:23" x14ac:dyDescent="0.25">
      <c r="A2235" t="s">
        <v>518</v>
      </c>
      <c r="B2235">
        <v>2015</v>
      </c>
      <c r="C2235" t="s">
        <v>369</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COUNT(LifeExpectancyData[[#This Row],[Life expectancy]:[Schooling]])=19</f>
        <v>0</v>
      </c>
    </row>
    <row r="2236" spans="1:23" x14ac:dyDescent="0.25">
      <c r="A2236" t="s">
        <v>518</v>
      </c>
      <c r="B2236">
        <v>2014</v>
      </c>
      <c r="C2236" t="s">
        <v>369</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COUNT(LifeExpectancyData[[#This Row],[Life expectancy]:[Schooling]])=19</f>
        <v>0</v>
      </c>
    </row>
    <row r="2237" spans="1:23" x14ac:dyDescent="0.25">
      <c r="A2237" t="s">
        <v>518</v>
      </c>
      <c r="B2237">
        <v>2013</v>
      </c>
      <c r="C2237" t="s">
        <v>369</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COUNT(LifeExpectancyData[[#This Row],[Life expectancy]:[Schooling]])=19</f>
        <v>0</v>
      </c>
    </row>
    <row r="2238" spans="1:23" x14ac:dyDescent="0.25">
      <c r="A2238" t="s">
        <v>518</v>
      </c>
      <c r="B2238">
        <v>2012</v>
      </c>
      <c r="C2238" t="s">
        <v>369</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COUNT(LifeExpectancyData[[#This Row],[Life expectancy]:[Schooling]])=19</f>
        <v>0</v>
      </c>
    </row>
    <row r="2239" spans="1:23" x14ac:dyDescent="0.25">
      <c r="A2239" t="s">
        <v>518</v>
      </c>
      <c r="B2239">
        <v>2011</v>
      </c>
      <c r="C2239" t="s">
        <v>369</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COUNT(LifeExpectancyData[[#This Row],[Life expectancy]:[Schooling]])=19</f>
        <v>0</v>
      </c>
    </row>
    <row r="2240" spans="1:23" x14ac:dyDescent="0.25">
      <c r="A2240" t="s">
        <v>518</v>
      </c>
      <c r="B2240">
        <v>2010</v>
      </c>
      <c r="C2240" t="s">
        <v>369</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COUNT(LifeExpectancyData[[#This Row],[Life expectancy]:[Schooling]])=19</f>
        <v>0</v>
      </c>
    </row>
    <row r="2241" spans="1:23" x14ac:dyDescent="0.25">
      <c r="A2241" t="s">
        <v>518</v>
      </c>
      <c r="B2241">
        <v>2009</v>
      </c>
      <c r="C2241" t="s">
        <v>369</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COUNT(LifeExpectancyData[[#This Row],[Life expectancy]:[Schooling]])=19</f>
        <v>0</v>
      </c>
    </row>
    <row r="2242" spans="1:23" x14ac:dyDescent="0.25">
      <c r="A2242" t="s">
        <v>518</v>
      </c>
      <c r="B2242">
        <v>2008</v>
      </c>
      <c r="C2242" t="s">
        <v>369</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COUNT(LifeExpectancyData[[#This Row],[Life expectancy]:[Schooling]])=19</f>
        <v>0</v>
      </c>
    </row>
    <row r="2243" spans="1:23" x14ac:dyDescent="0.25">
      <c r="A2243" t="s">
        <v>518</v>
      </c>
      <c r="B2243">
        <v>2007</v>
      </c>
      <c r="C2243" t="s">
        <v>369</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COUNT(LifeExpectancyData[[#This Row],[Life expectancy]:[Schooling]])=19</f>
        <v>0</v>
      </c>
    </row>
    <row r="2244" spans="1:23" x14ac:dyDescent="0.25">
      <c r="A2244" t="s">
        <v>518</v>
      </c>
      <c r="B2244">
        <v>2006</v>
      </c>
      <c r="C2244" t="s">
        <v>369</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COUNT(LifeExpectancyData[[#This Row],[Life expectancy]:[Schooling]])=19</f>
        <v>0</v>
      </c>
    </row>
    <row r="2245" spans="1:23" x14ac:dyDescent="0.25">
      <c r="A2245" t="s">
        <v>518</v>
      </c>
      <c r="B2245">
        <v>2005</v>
      </c>
      <c r="C2245" t="s">
        <v>369</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COUNT(LifeExpectancyData[[#This Row],[Life expectancy]:[Schooling]])=19</f>
        <v>0</v>
      </c>
    </row>
    <row r="2246" spans="1:23" x14ac:dyDescent="0.25">
      <c r="A2246" t="s">
        <v>518</v>
      </c>
      <c r="B2246">
        <v>2004</v>
      </c>
      <c r="C2246" t="s">
        <v>369</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COUNT(LifeExpectancyData[[#This Row],[Life expectancy]:[Schooling]])=19</f>
        <v>0</v>
      </c>
    </row>
    <row r="2247" spans="1:23" x14ac:dyDescent="0.25">
      <c r="A2247" t="s">
        <v>518</v>
      </c>
      <c r="B2247">
        <v>2003</v>
      </c>
      <c r="C2247" t="s">
        <v>369</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COUNT(LifeExpectancyData[[#This Row],[Life expectancy]:[Schooling]])=19</f>
        <v>0</v>
      </c>
    </row>
    <row r="2248" spans="1:23" x14ac:dyDescent="0.25">
      <c r="A2248" t="s">
        <v>518</v>
      </c>
      <c r="B2248">
        <v>2002</v>
      </c>
      <c r="C2248" t="s">
        <v>369</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COUNT(LifeExpectancyData[[#This Row],[Life expectancy]:[Schooling]])=19</f>
        <v>0</v>
      </c>
    </row>
    <row r="2249" spans="1:23" x14ac:dyDescent="0.25">
      <c r="A2249" t="s">
        <v>518</v>
      </c>
      <c r="B2249">
        <v>2001</v>
      </c>
      <c r="C2249" t="s">
        <v>369</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COUNT(LifeExpectancyData[[#This Row],[Life expectancy]:[Schooling]])=19</f>
        <v>0</v>
      </c>
    </row>
    <row r="2250" spans="1:23" x14ac:dyDescent="0.25">
      <c r="A2250" t="s">
        <v>518</v>
      </c>
      <c r="B2250">
        <v>2000</v>
      </c>
      <c r="C2250" t="s">
        <v>369</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COUNT(LifeExpectancyData[[#This Row],[Life expectancy]:[Schooling]])=19</f>
        <v>0</v>
      </c>
    </row>
    <row r="2251" spans="1:23" x14ac:dyDescent="0.25">
      <c r="A2251" t="s">
        <v>519</v>
      </c>
      <c r="B2251">
        <v>2015</v>
      </c>
      <c r="C2251" t="s">
        <v>369</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COUNT(LifeExpectancyData[[#This Row],[Life expectancy]:[Schooling]])=19</f>
        <v>0</v>
      </c>
    </row>
    <row r="2252" spans="1:23" x14ac:dyDescent="0.25">
      <c r="A2252" t="s">
        <v>519</v>
      </c>
      <c r="B2252">
        <v>2014</v>
      </c>
      <c r="C2252" t="s">
        <v>369</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COUNT(LifeExpectancyData[[#This Row],[Life expectancy]:[Schooling]])=19</f>
        <v>1</v>
      </c>
    </row>
    <row r="2253" spans="1:23" x14ac:dyDescent="0.25">
      <c r="A2253" t="s">
        <v>519</v>
      </c>
      <c r="B2253">
        <v>2013</v>
      </c>
      <c r="C2253" t="s">
        <v>369</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COUNT(LifeExpectancyData[[#This Row],[Life expectancy]:[Schooling]])=19</f>
        <v>1</v>
      </c>
    </row>
    <row r="2254" spans="1:23" x14ac:dyDescent="0.25">
      <c r="A2254" t="s">
        <v>519</v>
      </c>
      <c r="B2254">
        <v>2012</v>
      </c>
      <c r="C2254" t="s">
        <v>369</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COUNT(LifeExpectancyData[[#This Row],[Life expectancy]:[Schooling]])=19</f>
        <v>1</v>
      </c>
    </row>
    <row r="2255" spans="1:23" x14ac:dyDescent="0.25">
      <c r="A2255" t="s">
        <v>519</v>
      </c>
      <c r="B2255">
        <v>2011</v>
      </c>
      <c r="C2255" t="s">
        <v>369</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COUNT(LifeExpectancyData[[#This Row],[Life expectancy]:[Schooling]])=19</f>
        <v>1</v>
      </c>
    </row>
    <row r="2256" spans="1:23" x14ac:dyDescent="0.25">
      <c r="A2256" t="s">
        <v>519</v>
      </c>
      <c r="B2256">
        <v>2010</v>
      </c>
      <c r="C2256" t="s">
        <v>369</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COUNT(LifeExpectancyData[[#This Row],[Life expectancy]:[Schooling]])=19</f>
        <v>1</v>
      </c>
    </row>
    <row r="2257" spans="1:23" x14ac:dyDescent="0.25">
      <c r="A2257" t="s">
        <v>519</v>
      </c>
      <c r="B2257">
        <v>2009</v>
      </c>
      <c r="C2257" t="s">
        <v>369</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COUNT(LifeExpectancyData[[#This Row],[Life expectancy]:[Schooling]])=19</f>
        <v>1</v>
      </c>
    </row>
    <row r="2258" spans="1:23" x14ac:dyDescent="0.25">
      <c r="A2258" t="s">
        <v>519</v>
      </c>
      <c r="B2258">
        <v>2008</v>
      </c>
      <c r="C2258" t="s">
        <v>369</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COUNT(LifeExpectancyData[[#This Row],[Life expectancy]:[Schooling]])=19</f>
        <v>1</v>
      </c>
    </row>
    <row r="2259" spans="1:23" x14ac:dyDescent="0.25">
      <c r="A2259" t="s">
        <v>519</v>
      </c>
      <c r="B2259">
        <v>2007</v>
      </c>
      <c r="C2259" t="s">
        <v>369</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COUNT(LifeExpectancyData[[#This Row],[Life expectancy]:[Schooling]])=19</f>
        <v>1</v>
      </c>
    </row>
    <row r="2260" spans="1:23" x14ac:dyDescent="0.25">
      <c r="A2260" t="s">
        <v>519</v>
      </c>
      <c r="B2260">
        <v>2006</v>
      </c>
      <c r="C2260" t="s">
        <v>369</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COUNT(LifeExpectancyData[[#This Row],[Life expectancy]:[Schooling]])=19</f>
        <v>1</v>
      </c>
    </row>
    <row r="2261" spans="1:23" x14ac:dyDescent="0.25">
      <c r="A2261" t="s">
        <v>519</v>
      </c>
      <c r="B2261">
        <v>2005</v>
      </c>
      <c r="C2261" t="s">
        <v>369</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COUNT(LifeExpectancyData[[#This Row],[Life expectancy]:[Schooling]])=19</f>
        <v>1</v>
      </c>
    </row>
    <row r="2262" spans="1:23" x14ac:dyDescent="0.25">
      <c r="A2262" t="s">
        <v>519</v>
      </c>
      <c r="B2262">
        <v>2004</v>
      </c>
      <c r="C2262" t="s">
        <v>369</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COUNT(LifeExpectancyData[[#This Row],[Life expectancy]:[Schooling]])=19</f>
        <v>1</v>
      </c>
    </row>
    <row r="2263" spans="1:23" x14ac:dyDescent="0.25">
      <c r="A2263" t="s">
        <v>519</v>
      </c>
      <c r="B2263">
        <v>2003</v>
      </c>
      <c r="C2263" t="s">
        <v>369</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COUNT(LifeExpectancyData[[#This Row],[Life expectancy]:[Schooling]])=19</f>
        <v>0</v>
      </c>
    </row>
    <row r="2264" spans="1:23" x14ac:dyDescent="0.25">
      <c r="A2264" t="s">
        <v>519</v>
      </c>
      <c r="B2264">
        <v>2002</v>
      </c>
      <c r="C2264" t="s">
        <v>369</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COUNT(LifeExpectancyData[[#This Row],[Life expectancy]:[Schooling]])=19</f>
        <v>0</v>
      </c>
    </row>
    <row r="2265" spans="1:23" x14ac:dyDescent="0.25">
      <c r="A2265" t="s">
        <v>519</v>
      </c>
      <c r="B2265">
        <v>2001</v>
      </c>
      <c r="C2265" t="s">
        <v>369</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COUNT(LifeExpectancyData[[#This Row],[Life expectancy]:[Schooling]])=19</f>
        <v>0</v>
      </c>
    </row>
    <row r="2266" spans="1:23" x14ac:dyDescent="0.25">
      <c r="A2266" t="s">
        <v>519</v>
      </c>
      <c r="B2266">
        <v>2000</v>
      </c>
      <c r="C2266" t="s">
        <v>369</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COUNT(LifeExpectancyData[[#This Row],[Life expectancy]:[Schooling]])=19</f>
        <v>0</v>
      </c>
    </row>
    <row r="2267" spans="1:23" x14ac:dyDescent="0.25">
      <c r="A2267" t="s">
        <v>520</v>
      </c>
      <c r="B2267">
        <v>2015</v>
      </c>
      <c r="C2267" t="s">
        <v>369</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COUNT(LifeExpectancyData[[#This Row],[Life expectancy]:[Schooling]])=19</f>
        <v>0</v>
      </c>
    </row>
    <row r="2268" spans="1:23" x14ac:dyDescent="0.25">
      <c r="A2268" t="s">
        <v>520</v>
      </c>
      <c r="B2268">
        <v>2014</v>
      </c>
      <c r="C2268" t="s">
        <v>369</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COUNT(LifeExpectancyData[[#This Row],[Life expectancy]:[Schooling]])=19</f>
        <v>1</v>
      </c>
    </row>
    <row r="2269" spans="1:23" x14ac:dyDescent="0.25">
      <c r="A2269" t="s">
        <v>520</v>
      </c>
      <c r="B2269">
        <v>2013</v>
      </c>
      <c r="C2269" t="s">
        <v>369</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COUNT(LifeExpectancyData[[#This Row],[Life expectancy]:[Schooling]])=19</f>
        <v>1</v>
      </c>
    </row>
    <row r="2270" spans="1:23" x14ac:dyDescent="0.25">
      <c r="A2270" t="s">
        <v>520</v>
      </c>
      <c r="B2270">
        <v>2012</v>
      </c>
      <c r="C2270" t="s">
        <v>369</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COUNT(LifeExpectancyData[[#This Row],[Life expectancy]:[Schooling]])=19</f>
        <v>1</v>
      </c>
    </row>
    <row r="2271" spans="1:23" x14ac:dyDescent="0.25">
      <c r="A2271" t="s">
        <v>520</v>
      </c>
      <c r="B2271">
        <v>2011</v>
      </c>
      <c r="C2271" t="s">
        <v>369</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COUNT(LifeExpectancyData[[#This Row],[Life expectancy]:[Schooling]])=19</f>
        <v>1</v>
      </c>
    </row>
    <row r="2272" spans="1:23" x14ac:dyDescent="0.25">
      <c r="A2272" t="s">
        <v>520</v>
      </c>
      <c r="B2272">
        <v>2010</v>
      </c>
      <c r="C2272" t="s">
        <v>369</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COUNT(LifeExpectancyData[[#This Row],[Life expectancy]:[Schooling]])=19</f>
        <v>1</v>
      </c>
    </row>
    <row r="2273" spans="1:23" x14ac:dyDescent="0.25">
      <c r="A2273" t="s">
        <v>520</v>
      </c>
      <c r="B2273">
        <v>2009</v>
      </c>
      <c r="C2273" t="s">
        <v>369</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COUNT(LifeExpectancyData[[#This Row],[Life expectancy]:[Schooling]])=19</f>
        <v>1</v>
      </c>
    </row>
    <row r="2274" spans="1:23" x14ac:dyDescent="0.25">
      <c r="A2274" t="s">
        <v>520</v>
      </c>
      <c r="B2274">
        <v>2008</v>
      </c>
      <c r="C2274" t="s">
        <v>369</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COUNT(LifeExpectancyData[[#This Row],[Life expectancy]:[Schooling]])=19</f>
        <v>1</v>
      </c>
    </row>
    <row r="2275" spans="1:23" x14ac:dyDescent="0.25">
      <c r="A2275" t="s">
        <v>520</v>
      </c>
      <c r="B2275">
        <v>2007</v>
      </c>
      <c r="C2275" t="s">
        <v>369</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COUNT(LifeExpectancyData[[#This Row],[Life expectancy]:[Schooling]])=19</f>
        <v>1</v>
      </c>
    </row>
    <row r="2276" spans="1:23" x14ac:dyDescent="0.25">
      <c r="A2276" t="s">
        <v>520</v>
      </c>
      <c r="B2276">
        <v>2006</v>
      </c>
      <c r="C2276" t="s">
        <v>369</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COUNT(LifeExpectancyData[[#This Row],[Life expectancy]:[Schooling]])=19</f>
        <v>1</v>
      </c>
    </row>
    <row r="2277" spans="1:23" x14ac:dyDescent="0.25">
      <c r="A2277" t="s">
        <v>520</v>
      </c>
      <c r="B2277">
        <v>2005</v>
      </c>
      <c r="C2277" t="s">
        <v>369</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COUNT(LifeExpectancyData[[#This Row],[Life expectancy]:[Schooling]])=19</f>
        <v>1</v>
      </c>
    </row>
    <row r="2278" spans="1:23" x14ac:dyDescent="0.25">
      <c r="A2278" t="s">
        <v>520</v>
      </c>
      <c r="B2278">
        <v>2004</v>
      </c>
      <c r="C2278" t="s">
        <v>369</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COUNT(LifeExpectancyData[[#This Row],[Life expectancy]:[Schooling]])=19</f>
        <v>1</v>
      </c>
    </row>
    <row r="2279" spans="1:23" x14ac:dyDescent="0.25">
      <c r="A2279" t="s">
        <v>520</v>
      </c>
      <c r="B2279">
        <v>2003</v>
      </c>
      <c r="C2279" t="s">
        <v>369</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COUNT(LifeExpectancyData[[#This Row],[Life expectancy]:[Schooling]])=19</f>
        <v>0</v>
      </c>
    </row>
    <row r="2280" spans="1:23" x14ac:dyDescent="0.25">
      <c r="A2280" t="s">
        <v>520</v>
      </c>
      <c r="B2280">
        <v>2002</v>
      </c>
      <c r="C2280" t="s">
        <v>369</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COUNT(LifeExpectancyData[[#This Row],[Life expectancy]:[Schooling]])=19</f>
        <v>0</v>
      </c>
    </row>
    <row r="2281" spans="1:23" x14ac:dyDescent="0.25">
      <c r="A2281" t="s">
        <v>520</v>
      </c>
      <c r="B2281">
        <v>2001</v>
      </c>
      <c r="C2281" t="s">
        <v>369</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COUNT(LifeExpectancyData[[#This Row],[Life expectancy]:[Schooling]])=19</f>
        <v>0</v>
      </c>
    </row>
    <row r="2282" spans="1:23" x14ac:dyDescent="0.25">
      <c r="A2282" t="s">
        <v>520</v>
      </c>
      <c r="B2282">
        <v>2000</v>
      </c>
      <c r="C2282" t="s">
        <v>369</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COUNT(LifeExpectancyData[[#This Row],[Life expectancy]:[Schooling]])=19</f>
        <v>0</v>
      </c>
    </row>
    <row r="2283" spans="1:23" x14ac:dyDescent="0.25">
      <c r="A2283" t="s">
        <v>521</v>
      </c>
      <c r="B2283">
        <v>2015</v>
      </c>
      <c r="C2283" t="s">
        <v>369</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COUNT(LifeExpectancyData[[#This Row],[Life expectancy]:[Schooling]])=19</f>
        <v>0</v>
      </c>
    </row>
    <row r="2284" spans="1:23" x14ac:dyDescent="0.25">
      <c r="A2284" t="s">
        <v>521</v>
      </c>
      <c r="B2284">
        <v>2014</v>
      </c>
      <c r="C2284" t="s">
        <v>369</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COUNT(LifeExpectancyData[[#This Row],[Life expectancy]:[Schooling]])=19</f>
        <v>1</v>
      </c>
    </row>
    <row r="2285" spans="1:23" x14ac:dyDescent="0.25">
      <c r="A2285" t="s">
        <v>521</v>
      </c>
      <c r="B2285">
        <v>2013</v>
      </c>
      <c r="C2285" t="s">
        <v>369</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COUNT(LifeExpectancyData[[#This Row],[Life expectancy]:[Schooling]])=19</f>
        <v>1</v>
      </c>
    </row>
    <row r="2286" spans="1:23" x14ac:dyDescent="0.25">
      <c r="A2286" t="s">
        <v>521</v>
      </c>
      <c r="B2286">
        <v>2012</v>
      </c>
      <c r="C2286" t="s">
        <v>369</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COUNT(LifeExpectancyData[[#This Row],[Life expectancy]:[Schooling]])=19</f>
        <v>1</v>
      </c>
    </row>
    <row r="2287" spans="1:23" x14ac:dyDescent="0.25">
      <c r="A2287" t="s">
        <v>521</v>
      </c>
      <c r="B2287">
        <v>2011</v>
      </c>
      <c r="C2287" t="s">
        <v>369</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COUNT(LifeExpectancyData[[#This Row],[Life expectancy]:[Schooling]])=19</f>
        <v>1</v>
      </c>
    </row>
    <row r="2288" spans="1:23" x14ac:dyDescent="0.25">
      <c r="A2288" t="s">
        <v>521</v>
      </c>
      <c r="B2288">
        <v>2010</v>
      </c>
      <c r="C2288" t="s">
        <v>369</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COUNT(LifeExpectancyData[[#This Row],[Life expectancy]:[Schooling]])=19</f>
        <v>1</v>
      </c>
    </row>
    <row r="2289" spans="1:23" x14ac:dyDescent="0.25">
      <c r="A2289" t="s">
        <v>521</v>
      </c>
      <c r="B2289">
        <v>2009</v>
      </c>
      <c r="C2289" t="s">
        <v>369</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COUNT(LifeExpectancyData[[#This Row],[Life expectancy]:[Schooling]])=19</f>
        <v>1</v>
      </c>
    </row>
    <row r="2290" spans="1:23" x14ac:dyDescent="0.25">
      <c r="A2290" t="s">
        <v>521</v>
      </c>
      <c r="B2290">
        <v>2008</v>
      </c>
      <c r="C2290" t="s">
        <v>369</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COUNT(LifeExpectancyData[[#This Row],[Life expectancy]:[Schooling]])=19</f>
        <v>1</v>
      </c>
    </row>
    <row r="2291" spans="1:23" x14ac:dyDescent="0.25">
      <c r="A2291" t="s">
        <v>521</v>
      </c>
      <c r="B2291">
        <v>2007</v>
      </c>
      <c r="C2291" t="s">
        <v>369</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COUNT(LifeExpectancyData[[#This Row],[Life expectancy]:[Schooling]])=19</f>
        <v>1</v>
      </c>
    </row>
    <row r="2292" spans="1:23" x14ac:dyDescent="0.25">
      <c r="A2292" t="s">
        <v>521</v>
      </c>
      <c r="B2292">
        <v>2006</v>
      </c>
      <c r="C2292" t="s">
        <v>369</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COUNT(LifeExpectancyData[[#This Row],[Life expectancy]:[Schooling]])=19</f>
        <v>1</v>
      </c>
    </row>
    <row r="2293" spans="1:23" x14ac:dyDescent="0.25">
      <c r="A2293" t="s">
        <v>521</v>
      </c>
      <c r="B2293">
        <v>2005</v>
      </c>
      <c r="C2293" t="s">
        <v>369</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COUNT(LifeExpectancyData[[#This Row],[Life expectancy]:[Schooling]])=19</f>
        <v>1</v>
      </c>
    </row>
    <row r="2294" spans="1:23" x14ac:dyDescent="0.25">
      <c r="A2294" t="s">
        <v>521</v>
      </c>
      <c r="B2294">
        <v>2004</v>
      </c>
      <c r="C2294" t="s">
        <v>369</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COUNT(LifeExpectancyData[[#This Row],[Life expectancy]:[Schooling]])=19</f>
        <v>1</v>
      </c>
    </row>
    <row r="2295" spans="1:23" x14ac:dyDescent="0.25">
      <c r="A2295" t="s">
        <v>521</v>
      </c>
      <c r="B2295">
        <v>2003</v>
      </c>
      <c r="C2295" t="s">
        <v>369</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COUNT(LifeExpectancyData[[#This Row],[Life expectancy]:[Schooling]])=19</f>
        <v>1</v>
      </c>
    </row>
    <row r="2296" spans="1:23" x14ac:dyDescent="0.25">
      <c r="A2296" t="s">
        <v>521</v>
      </c>
      <c r="B2296">
        <v>2002</v>
      </c>
      <c r="C2296" t="s">
        <v>369</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COUNT(LifeExpectancyData[[#This Row],[Life expectancy]:[Schooling]])=19</f>
        <v>1</v>
      </c>
    </row>
    <row r="2297" spans="1:23" x14ac:dyDescent="0.25">
      <c r="A2297" t="s">
        <v>521</v>
      </c>
      <c r="B2297">
        <v>2001</v>
      </c>
      <c r="C2297" t="s">
        <v>369</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COUNT(LifeExpectancyData[[#This Row],[Life expectancy]:[Schooling]])=19</f>
        <v>1</v>
      </c>
    </row>
    <row r="2298" spans="1:23" x14ac:dyDescent="0.25">
      <c r="A2298" t="s">
        <v>521</v>
      </c>
      <c r="B2298">
        <v>2000</v>
      </c>
      <c r="C2298" t="s">
        <v>369</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COUNT(LifeExpectancyData[[#This Row],[Life expectancy]:[Schooling]])=19</f>
        <v>1</v>
      </c>
    </row>
    <row r="2299" spans="1:23" x14ac:dyDescent="0.25">
      <c r="A2299" t="s">
        <v>522</v>
      </c>
      <c r="B2299">
        <v>2015</v>
      </c>
      <c r="C2299" t="s">
        <v>369</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COUNT(LifeExpectancyData[[#This Row],[Life expectancy]:[Schooling]])=19</f>
        <v>0</v>
      </c>
    </row>
    <row r="2300" spans="1:23" x14ac:dyDescent="0.25">
      <c r="A2300" t="s">
        <v>522</v>
      </c>
      <c r="B2300">
        <v>2014</v>
      </c>
      <c r="C2300" t="s">
        <v>369</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COUNT(LifeExpectancyData[[#This Row],[Life expectancy]:[Schooling]])=19</f>
        <v>1</v>
      </c>
    </row>
    <row r="2301" spans="1:23" x14ac:dyDescent="0.25">
      <c r="A2301" t="s">
        <v>522</v>
      </c>
      <c r="B2301">
        <v>2013</v>
      </c>
      <c r="C2301" t="s">
        <v>369</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COUNT(LifeExpectancyData[[#This Row],[Life expectancy]:[Schooling]])=19</f>
        <v>1</v>
      </c>
    </row>
    <row r="2302" spans="1:23" x14ac:dyDescent="0.25">
      <c r="A2302" t="s">
        <v>522</v>
      </c>
      <c r="B2302">
        <v>2012</v>
      </c>
      <c r="C2302" t="s">
        <v>369</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COUNT(LifeExpectancyData[[#This Row],[Life expectancy]:[Schooling]])=19</f>
        <v>1</v>
      </c>
    </row>
    <row r="2303" spans="1:23" x14ac:dyDescent="0.25">
      <c r="A2303" t="s">
        <v>522</v>
      </c>
      <c r="B2303">
        <v>2011</v>
      </c>
      <c r="C2303" t="s">
        <v>369</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COUNT(LifeExpectancyData[[#This Row],[Life expectancy]:[Schooling]])=19</f>
        <v>1</v>
      </c>
    </row>
    <row r="2304" spans="1:23" x14ac:dyDescent="0.25">
      <c r="A2304" t="s">
        <v>522</v>
      </c>
      <c r="B2304">
        <v>2010</v>
      </c>
      <c r="C2304" t="s">
        <v>369</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COUNT(LifeExpectancyData[[#This Row],[Life expectancy]:[Schooling]])=19</f>
        <v>1</v>
      </c>
    </row>
    <row r="2305" spans="1:23" x14ac:dyDescent="0.25">
      <c r="A2305" t="s">
        <v>522</v>
      </c>
      <c r="B2305">
        <v>2009</v>
      </c>
      <c r="C2305" t="s">
        <v>369</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COUNT(LifeExpectancyData[[#This Row],[Life expectancy]:[Schooling]])=19</f>
        <v>1</v>
      </c>
    </row>
    <row r="2306" spans="1:23" x14ac:dyDescent="0.25">
      <c r="A2306" t="s">
        <v>522</v>
      </c>
      <c r="B2306">
        <v>2008</v>
      </c>
      <c r="C2306" t="s">
        <v>369</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COUNT(LifeExpectancyData[[#This Row],[Life expectancy]:[Schooling]])=19</f>
        <v>1</v>
      </c>
    </row>
    <row r="2307" spans="1:23" x14ac:dyDescent="0.25">
      <c r="A2307" t="s">
        <v>522</v>
      </c>
      <c r="B2307">
        <v>2007</v>
      </c>
      <c r="C2307" t="s">
        <v>369</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COUNT(LifeExpectancyData[[#This Row],[Life expectancy]:[Schooling]])=19</f>
        <v>1</v>
      </c>
    </row>
    <row r="2308" spans="1:23" x14ac:dyDescent="0.25">
      <c r="A2308" t="s">
        <v>522</v>
      </c>
      <c r="B2308">
        <v>2006</v>
      </c>
      <c r="C2308" t="s">
        <v>369</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COUNT(LifeExpectancyData[[#This Row],[Life expectancy]:[Schooling]])=19</f>
        <v>0</v>
      </c>
    </row>
    <row r="2309" spans="1:23" x14ac:dyDescent="0.25">
      <c r="A2309" t="s">
        <v>522</v>
      </c>
      <c r="B2309">
        <v>2005</v>
      </c>
      <c r="C2309" t="s">
        <v>369</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COUNT(LifeExpectancyData[[#This Row],[Life expectancy]:[Schooling]])=19</f>
        <v>0</v>
      </c>
    </row>
    <row r="2310" spans="1:23" x14ac:dyDescent="0.25">
      <c r="A2310" t="s">
        <v>522</v>
      </c>
      <c r="B2310">
        <v>2004</v>
      </c>
      <c r="C2310" t="s">
        <v>369</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COUNT(LifeExpectancyData[[#This Row],[Life expectancy]:[Schooling]])=19</f>
        <v>0</v>
      </c>
    </row>
    <row r="2311" spans="1:23" x14ac:dyDescent="0.25">
      <c r="A2311" t="s">
        <v>522</v>
      </c>
      <c r="B2311">
        <v>2003</v>
      </c>
      <c r="C2311" t="s">
        <v>369</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COUNT(LifeExpectancyData[[#This Row],[Life expectancy]:[Schooling]])=19</f>
        <v>0</v>
      </c>
    </row>
    <row r="2312" spans="1:23" x14ac:dyDescent="0.25">
      <c r="A2312" t="s">
        <v>522</v>
      </c>
      <c r="B2312">
        <v>2002</v>
      </c>
      <c r="C2312" t="s">
        <v>369</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COUNT(LifeExpectancyData[[#This Row],[Life expectancy]:[Schooling]])=19</f>
        <v>0</v>
      </c>
    </row>
    <row r="2313" spans="1:23" x14ac:dyDescent="0.25">
      <c r="A2313" t="s">
        <v>522</v>
      </c>
      <c r="B2313">
        <v>2001</v>
      </c>
      <c r="C2313" t="s">
        <v>369</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COUNT(LifeExpectancyData[[#This Row],[Life expectancy]:[Schooling]])=19</f>
        <v>0</v>
      </c>
    </row>
    <row r="2314" spans="1:23" x14ac:dyDescent="0.25">
      <c r="A2314" t="s">
        <v>522</v>
      </c>
      <c r="B2314">
        <v>2000</v>
      </c>
      <c r="C2314" t="s">
        <v>369</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COUNT(LifeExpectancyData[[#This Row],[Life expectancy]:[Schooling]])=19</f>
        <v>0</v>
      </c>
    </row>
    <row r="2315" spans="1:23" x14ac:dyDescent="0.25">
      <c r="A2315" t="s">
        <v>523</v>
      </c>
      <c r="B2315">
        <v>2015</v>
      </c>
      <c r="C2315" t="s">
        <v>377</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COUNT(LifeExpectancyData[[#This Row],[Life expectancy]:[Schooling]])=19</f>
        <v>0</v>
      </c>
    </row>
    <row r="2316" spans="1:23" x14ac:dyDescent="0.25">
      <c r="A2316" t="s">
        <v>523</v>
      </c>
      <c r="B2316">
        <v>2014</v>
      </c>
      <c r="C2316" t="s">
        <v>377</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COUNT(LifeExpectancyData[[#This Row],[Life expectancy]:[Schooling]])=19</f>
        <v>0</v>
      </c>
    </row>
    <row r="2317" spans="1:23" x14ac:dyDescent="0.25">
      <c r="A2317" t="s">
        <v>523</v>
      </c>
      <c r="B2317">
        <v>2013</v>
      </c>
      <c r="C2317" t="s">
        <v>377</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COUNT(LifeExpectancyData[[#This Row],[Life expectancy]:[Schooling]])=19</f>
        <v>0</v>
      </c>
    </row>
    <row r="2318" spans="1:23" x14ac:dyDescent="0.25">
      <c r="A2318" t="s">
        <v>523</v>
      </c>
      <c r="B2318">
        <v>2012</v>
      </c>
      <c r="C2318" t="s">
        <v>377</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COUNT(LifeExpectancyData[[#This Row],[Life expectancy]:[Schooling]])=19</f>
        <v>0</v>
      </c>
    </row>
    <row r="2319" spans="1:23" x14ac:dyDescent="0.25">
      <c r="A2319" t="s">
        <v>523</v>
      </c>
      <c r="B2319">
        <v>2011</v>
      </c>
      <c r="C2319" t="s">
        <v>377</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COUNT(LifeExpectancyData[[#This Row],[Life expectancy]:[Schooling]])=19</f>
        <v>0</v>
      </c>
    </row>
    <row r="2320" spans="1:23" x14ac:dyDescent="0.25">
      <c r="A2320" t="s">
        <v>523</v>
      </c>
      <c r="B2320">
        <v>2010</v>
      </c>
      <c r="C2320" t="s">
        <v>377</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COUNT(LifeExpectancyData[[#This Row],[Life expectancy]:[Schooling]])=19</f>
        <v>0</v>
      </c>
    </row>
    <row r="2321" spans="1:23" x14ac:dyDescent="0.25">
      <c r="A2321" t="s">
        <v>523</v>
      </c>
      <c r="B2321">
        <v>2009</v>
      </c>
      <c r="C2321" t="s">
        <v>377</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COUNT(LifeExpectancyData[[#This Row],[Life expectancy]:[Schooling]])=19</f>
        <v>0</v>
      </c>
    </row>
    <row r="2322" spans="1:23" x14ac:dyDescent="0.25">
      <c r="A2322" t="s">
        <v>523</v>
      </c>
      <c r="B2322">
        <v>2008</v>
      </c>
      <c r="C2322" t="s">
        <v>377</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COUNT(LifeExpectancyData[[#This Row],[Life expectancy]:[Schooling]])=19</f>
        <v>0</v>
      </c>
    </row>
    <row r="2323" spans="1:23" x14ac:dyDescent="0.25">
      <c r="A2323" t="s">
        <v>523</v>
      </c>
      <c r="B2323">
        <v>2007</v>
      </c>
      <c r="C2323" t="s">
        <v>377</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COUNT(LifeExpectancyData[[#This Row],[Life expectancy]:[Schooling]])=19</f>
        <v>0</v>
      </c>
    </row>
    <row r="2324" spans="1:23" x14ac:dyDescent="0.25">
      <c r="A2324" t="s">
        <v>523</v>
      </c>
      <c r="B2324">
        <v>2006</v>
      </c>
      <c r="C2324" t="s">
        <v>377</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COUNT(LifeExpectancyData[[#This Row],[Life expectancy]:[Schooling]])=19</f>
        <v>0</v>
      </c>
    </row>
    <row r="2325" spans="1:23" x14ac:dyDescent="0.25">
      <c r="A2325" t="s">
        <v>523</v>
      </c>
      <c r="B2325">
        <v>2005</v>
      </c>
      <c r="C2325" t="s">
        <v>377</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COUNT(LifeExpectancyData[[#This Row],[Life expectancy]:[Schooling]])=19</f>
        <v>0</v>
      </c>
    </row>
    <row r="2326" spans="1:23" x14ac:dyDescent="0.25">
      <c r="A2326" t="s">
        <v>523</v>
      </c>
      <c r="B2326">
        <v>2004</v>
      </c>
      <c r="C2326" t="s">
        <v>377</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COUNT(LifeExpectancyData[[#This Row],[Life expectancy]:[Schooling]])=19</f>
        <v>0</v>
      </c>
    </row>
    <row r="2327" spans="1:23" x14ac:dyDescent="0.25">
      <c r="A2327" t="s">
        <v>523</v>
      </c>
      <c r="B2327">
        <v>2003</v>
      </c>
      <c r="C2327" t="s">
        <v>377</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COUNT(LifeExpectancyData[[#This Row],[Life expectancy]:[Schooling]])=19</f>
        <v>0</v>
      </c>
    </row>
    <row r="2328" spans="1:23" x14ac:dyDescent="0.25">
      <c r="A2328" t="s">
        <v>523</v>
      </c>
      <c r="B2328">
        <v>2002</v>
      </c>
      <c r="C2328" t="s">
        <v>377</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COUNT(LifeExpectancyData[[#This Row],[Life expectancy]:[Schooling]])=19</f>
        <v>0</v>
      </c>
    </row>
    <row r="2329" spans="1:23" x14ac:dyDescent="0.25">
      <c r="A2329" t="s">
        <v>523</v>
      </c>
      <c r="B2329">
        <v>2001</v>
      </c>
      <c r="C2329" t="s">
        <v>377</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COUNT(LifeExpectancyData[[#This Row],[Life expectancy]:[Schooling]])=19</f>
        <v>0</v>
      </c>
    </row>
    <row r="2330" spans="1:23" x14ac:dyDescent="0.25">
      <c r="A2330" t="s">
        <v>523</v>
      </c>
      <c r="B2330">
        <v>2000</v>
      </c>
      <c r="C2330" t="s">
        <v>377</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COUNT(LifeExpectancyData[[#This Row],[Life expectancy]:[Schooling]])=19</f>
        <v>0</v>
      </c>
    </row>
    <row r="2331" spans="1:23" x14ac:dyDescent="0.25">
      <c r="A2331" t="s">
        <v>524</v>
      </c>
      <c r="B2331">
        <v>2015</v>
      </c>
      <c r="C2331" t="s">
        <v>377</v>
      </c>
      <c r="D2331">
        <v>76.7</v>
      </c>
      <c r="E2331">
        <v>19</v>
      </c>
      <c r="F2331">
        <v>0</v>
      </c>
      <c r="H2331">
        <v>0</v>
      </c>
      <c r="I2331">
        <v>96</v>
      </c>
      <c r="J2331">
        <v>1</v>
      </c>
      <c r="K2331">
        <v>59.1</v>
      </c>
      <c r="L2331">
        <v>0</v>
      </c>
      <c r="M2331">
        <v>96</v>
      </c>
      <c r="O2331">
        <v>96</v>
      </c>
      <c r="P2331">
        <v>0.1</v>
      </c>
      <c r="S2331">
        <v>1.2</v>
      </c>
      <c r="T2331">
        <v>1.2</v>
      </c>
      <c r="U2331">
        <v>0.84199999999999997</v>
      </c>
      <c r="V2331">
        <v>15</v>
      </c>
      <c r="W2331" t="b">
        <f>COUNT(LifeExpectancyData[[#This Row],[Life expectancy]:[Schooling]])=19</f>
        <v>0</v>
      </c>
    </row>
    <row r="2332" spans="1:23" x14ac:dyDescent="0.25">
      <c r="A2332" t="s">
        <v>524</v>
      </c>
      <c r="B2332">
        <v>2014</v>
      </c>
      <c r="C2332" t="s">
        <v>377</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COUNT(LifeExpectancyData[[#This Row],[Life expectancy]:[Schooling]])=19</f>
        <v>0</v>
      </c>
    </row>
    <row r="2333" spans="1:23" x14ac:dyDescent="0.25">
      <c r="A2333" t="s">
        <v>524</v>
      </c>
      <c r="B2333">
        <v>2013</v>
      </c>
      <c r="C2333" t="s">
        <v>377</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COUNT(LifeExpectancyData[[#This Row],[Life expectancy]:[Schooling]])=19</f>
        <v>0</v>
      </c>
    </row>
    <row r="2334" spans="1:23" x14ac:dyDescent="0.25">
      <c r="A2334" t="s">
        <v>524</v>
      </c>
      <c r="B2334">
        <v>2012</v>
      </c>
      <c r="C2334" t="s">
        <v>377</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COUNT(LifeExpectancyData[[#This Row],[Life expectancy]:[Schooling]])=19</f>
        <v>0</v>
      </c>
    </row>
    <row r="2335" spans="1:23" x14ac:dyDescent="0.25">
      <c r="A2335" t="s">
        <v>524</v>
      </c>
      <c r="B2335">
        <v>2011</v>
      </c>
      <c r="C2335" t="s">
        <v>377</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COUNT(LifeExpectancyData[[#This Row],[Life expectancy]:[Schooling]])=19</f>
        <v>0</v>
      </c>
    </row>
    <row r="2336" spans="1:23" x14ac:dyDescent="0.25">
      <c r="A2336" t="s">
        <v>524</v>
      </c>
      <c r="B2336">
        <v>2010</v>
      </c>
      <c r="C2336" t="s">
        <v>377</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COUNT(LifeExpectancyData[[#This Row],[Life expectancy]:[Schooling]])=19</f>
        <v>0</v>
      </c>
    </row>
    <row r="2337" spans="1:23" x14ac:dyDescent="0.25">
      <c r="A2337" t="s">
        <v>524</v>
      </c>
      <c r="B2337">
        <v>2009</v>
      </c>
      <c r="C2337" t="s">
        <v>377</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COUNT(LifeExpectancyData[[#This Row],[Life expectancy]:[Schooling]])=19</f>
        <v>0</v>
      </c>
    </row>
    <row r="2338" spans="1:23" x14ac:dyDescent="0.25">
      <c r="A2338" t="s">
        <v>524</v>
      </c>
      <c r="B2338">
        <v>2008</v>
      </c>
      <c r="C2338" t="s">
        <v>377</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COUNT(LifeExpectancyData[[#This Row],[Life expectancy]:[Schooling]])=19</f>
        <v>0</v>
      </c>
    </row>
    <row r="2339" spans="1:23" x14ac:dyDescent="0.25">
      <c r="A2339" t="s">
        <v>524</v>
      </c>
      <c r="B2339">
        <v>2007</v>
      </c>
      <c r="C2339" t="s">
        <v>377</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COUNT(LifeExpectancyData[[#This Row],[Life expectancy]:[Schooling]])=19</f>
        <v>0</v>
      </c>
    </row>
    <row r="2340" spans="1:23" x14ac:dyDescent="0.25">
      <c r="A2340" t="s">
        <v>524</v>
      </c>
      <c r="B2340">
        <v>2006</v>
      </c>
      <c r="C2340" t="s">
        <v>377</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COUNT(LifeExpectancyData[[#This Row],[Life expectancy]:[Schooling]])=19</f>
        <v>0</v>
      </c>
    </row>
    <row r="2341" spans="1:23" x14ac:dyDescent="0.25">
      <c r="A2341" t="s">
        <v>524</v>
      </c>
      <c r="B2341">
        <v>2005</v>
      </c>
      <c r="C2341" t="s">
        <v>377</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COUNT(LifeExpectancyData[[#This Row],[Life expectancy]:[Schooling]])=19</f>
        <v>0</v>
      </c>
    </row>
    <row r="2342" spans="1:23" x14ac:dyDescent="0.25">
      <c r="A2342" t="s">
        <v>524</v>
      </c>
      <c r="B2342">
        <v>2004</v>
      </c>
      <c r="C2342" t="s">
        <v>377</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COUNT(LifeExpectancyData[[#This Row],[Life expectancy]:[Schooling]])=19</f>
        <v>0</v>
      </c>
    </row>
    <row r="2343" spans="1:23" x14ac:dyDescent="0.25">
      <c r="A2343" t="s">
        <v>524</v>
      </c>
      <c r="B2343">
        <v>2003</v>
      </c>
      <c r="C2343" t="s">
        <v>377</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COUNT(LifeExpectancyData[[#This Row],[Life expectancy]:[Schooling]])=19</f>
        <v>0</v>
      </c>
    </row>
    <row r="2344" spans="1:23" x14ac:dyDescent="0.25">
      <c r="A2344" t="s">
        <v>524</v>
      </c>
      <c r="B2344">
        <v>2002</v>
      </c>
      <c r="C2344" t="s">
        <v>377</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COUNT(LifeExpectancyData[[#This Row],[Life expectancy]:[Schooling]])=19</f>
        <v>0</v>
      </c>
    </row>
    <row r="2345" spans="1:23" x14ac:dyDescent="0.25">
      <c r="A2345" t="s">
        <v>524</v>
      </c>
      <c r="B2345">
        <v>2001</v>
      </c>
      <c r="C2345" t="s">
        <v>377</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COUNT(LifeExpectancyData[[#This Row],[Life expectancy]:[Schooling]])=19</f>
        <v>0</v>
      </c>
    </row>
    <row r="2346" spans="1:23" x14ac:dyDescent="0.25">
      <c r="A2346" t="s">
        <v>524</v>
      </c>
      <c r="B2346">
        <v>2000</v>
      </c>
      <c r="C2346" t="s">
        <v>377</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COUNT(LifeExpectancyData[[#This Row],[Life expectancy]:[Schooling]])=19</f>
        <v>0</v>
      </c>
    </row>
    <row r="2347" spans="1:23" x14ac:dyDescent="0.25">
      <c r="A2347" t="s">
        <v>525</v>
      </c>
      <c r="B2347">
        <v>2015</v>
      </c>
      <c r="C2347" t="s">
        <v>377</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COUNT(LifeExpectancyData[[#This Row],[Life expectancy]:[Schooling]])=19</f>
        <v>0</v>
      </c>
    </row>
    <row r="2348" spans="1:23" x14ac:dyDescent="0.25">
      <c r="A2348" t="s">
        <v>525</v>
      </c>
      <c r="B2348">
        <v>2014</v>
      </c>
      <c r="C2348" t="s">
        <v>377</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COUNT(LifeExpectancyData[[#This Row],[Life expectancy]:[Schooling]])=19</f>
        <v>0</v>
      </c>
    </row>
    <row r="2349" spans="1:23" x14ac:dyDescent="0.25">
      <c r="A2349" t="s">
        <v>525</v>
      </c>
      <c r="B2349">
        <v>2013</v>
      </c>
      <c r="C2349" t="s">
        <v>377</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COUNT(LifeExpectancyData[[#This Row],[Life expectancy]:[Schooling]])=19</f>
        <v>0</v>
      </c>
    </row>
    <row r="2350" spans="1:23" x14ac:dyDescent="0.25">
      <c r="A2350" t="s">
        <v>525</v>
      </c>
      <c r="B2350">
        <v>2012</v>
      </c>
      <c r="C2350" t="s">
        <v>377</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COUNT(LifeExpectancyData[[#This Row],[Life expectancy]:[Schooling]])=19</f>
        <v>0</v>
      </c>
    </row>
    <row r="2351" spans="1:23" x14ac:dyDescent="0.25">
      <c r="A2351" t="s">
        <v>525</v>
      </c>
      <c r="B2351">
        <v>2011</v>
      </c>
      <c r="C2351" t="s">
        <v>377</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COUNT(LifeExpectancyData[[#This Row],[Life expectancy]:[Schooling]])=19</f>
        <v>0</v>
      </c>
    </row>
    <row r="2352" spans="1:23" x14ac:dyDescent="0.25">
      <c r="A2352" t="s">
        <v>525</v>
      </c>
      <c r="B2352">
        <v>2010</v>
      </c>
      <c r="C2352" t="s">
        <v>377</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COUNT(LifeExpectancyData[[#This Row],[Life expectancy]:[Schooling]])=19</f>
        <v>0</v>
      </c>
    </row>
    <row r="2353" spans="1:23" x14ac:dyDescent="0.25">
      <c r="A2353" t="s">
        <v>525</v>
      </c>
      <c r="B2353">
        <v>2009</v>
      </c>
      <c r="C2353" t="s">
        <v>377</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COUNT(LifeExpectancyData[[#This Row],[Life expectancy]:[Schooling]])=19</f>
        <v>0</v>
      </c>
    </row>
    <row r="2354" spans="1:23" x14ac:dyDescent="0.25">
      <c r="A2354" t="s">
        <v>525</v>
      </c>
      <c r="B2354">
        <v>2008</v>
      </c>
      <c r="C2354" t="s">
        <v>377</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COUNT(LifeExpectancyData[[#This Row],[Life expectancy]:[Schooling]])=19</f>
        <v>0</v>
      </c>
    </row>
    <row r="2355" spans="1:23" x14ac:dyDescent="0.25">
      <c r="A2355" t="s">
        <v>525</v>
      </c>
      <c r="B2355">
        <v>2007</v>
      </c>
      <c r="C2355" t="s">
        <v>377</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COUNT(LifeExpectancyData[[#This Row],[Life expectancy]:[Schooling]])=19</f>
        <v>0</v>
      </c>
    </row>
    <row r="2356" spans="1:23" x14ac:dyDescent="0.25">
      <c r="A2356" t="s">
        <v>525</v>
      </c>
      <c r="B2356">
        <v>2006</v>
      </c>
      <c r="C2356" t="s">
        <v>377</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COUNT(LifeExpectancyData[[#This Row],[Life expectancy]:[Schooling]])=19</f>
        <v>0</v>
      </c>
    </row>
    <row r="2357" spans="1:23" x14ac:dyDescent="0.25">
      <c r="A2357" t="s">
        <v>525</v>
      </c>
      <c r="B2357">
        <v>2005</v>
      </c>
      <c r="C2357" t="s">
        <v>377</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COUNT(LifeExpectancyData[[#This Row],[Life expectancy]:[Schooling]])=19</f>
        <v>0</v>
      </c>
    </row>
    <row r="2358" spans="1:23" x14ac:dyDescent="0.25">
      <c r="A2358" t="s">
        <v>525</v>
      </c>
      <c r="B2358">
        <v>2004</v>
      </c>
      <c r="C2358" t="s">
        <v>377</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COUNT(LifeExpectancyData[[#This Row],[Life expectancy]:[Schooling]])=19</f>
        <v>0</v>
      </c>
    </row>
    <row r="2359" spans="1:23" x14ac:dyDescent="0.25">
      <c r="A2359" t="s">
        <v>525</v>
      </c>
      <c r="B2359">
        <v>2003</v>
      </c>
      <c r="C2359" t="s">
        <v>377</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COUNT(LifeExpectancyData[[#This Row],[Life expectancy]:[Schooling]])=19</f>
        <v>0</v>
      </c>
    </row>
    <row r="2360" spans="1:23" x14ac:dyDescent="0.25">
      <c r="A2360" t="s">
        <v>525</v>
      </c>
      <c r="B2360">
        <v>2002</v>
      </c>
      <c r="C2360" t="s">
        <v>377</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COUNT(LifeExpectancyData[[#This Row],[Life expectancy]:[Schooling]])=19</f>
        <v>0</v>
      </c>
    </row>
    <row r="2361" spans="1:23" x14ac:dyDescent="0.25">
      <c r="A2361" t="s">
        <v>525</v>
      </c>
      <c r="B2361">
        <v>2001</v>
      </c>
      <c r="C2361" t="s">
        <v>377</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COUNT(LifeExpectancyData[[#This Row],[Life expectancy]:[Schooling]])=19</f>
        <v>0</v>
      </c>
    </row>
    <row r="2362" spans="1:23" x14ac:dyDescent="0.25">
      <c r="A2362" t="s">
        <v>525</v>
      </c>
      <c r="B2362">
        <v>2000</v>
      </c>
      <c r="C2362" t="s">
        <v>377</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COUNT(LifeExpectancyData[[#This Row],[Life expectancy]:[Schooling]])=19</f>
        <v>0</v>
      </c>
    </row>
    <row r="2363" spans="1:23" x14ac:dyDescent="0.25">
      <c r="A2363" t="s">
        <v>526</v>
      </c>
      <c r="B2363">
        <v>2015</v>
      </c>
      <c r="C2363" t="s">
        <v>369</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COUNT(LifeExpectancyData[[#This Row],[Life expectancy]:[Schooling]])=19</f>
        <v>0</v>
      </c>
    </row>
    <row r="2364" spans="1:23" x14ac:dyDescent="0.25">
      <c r="A2364" t="s">
        <v>526</v>
      </c>
      <c r="B2364">
        <v>2014</v>
      </c>
      <c r="C2364" t="s">
        <v>369</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COUNT(LifeExpectancyData[[#This Row],[Life expectancy]:[Schooling]])=19</f>
        <v>1</v>
      </c>
    </row>
    <row r="2365" spans="1:23" x14ac:dyDescent="0.25">
      <c r="A2365" t="s">
        <v>526</v>
      </c>
      <c r="B2365">
        <v>2013</v>
      </c>
      <c r="C2365" t="s">
        <v>369</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COUNT(LifeExpectancyData[[#This Row],[Life expectancy]:[Schooling]])=19</f>
        <v>1</v>
      </c>
    </row>
    <row r="2366" spans="1:23" x14ac:dyDescent="0.25">
      <c r="A2366" t="s">
        <v>526</v>
      </c>
      <c r="B2366">
        <v>2012</v>
      </c>
      <c r="C2366" t="s">
        <v>369</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COUNT(LifeExpectancyData[[#This Row],[Life expectancy]:[Schooling]])=19</f>
        <v>1</v>
      </c>
    </row>
    <row r="2367" spans="1:23" x14ac:dyDescent="0.25">
      <c r="A2367" t="s">
        <v>526</v>
      </c>
      <c r="B2367">
        <v>2011</v>
      </c>
      <c r="C2367" t="s">
        <v>369</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COUNT(LifeExpectancyData[[#This Row],[Life expectancy]:[Schooling]])=19</f>
        <v>1</v>
      </c>
    </row>
    <row r="2368" spans="1:23" x14ac:dyDescent="0.25">
      <c r="A2368" t="s">
        <v>526</v>
      </c>
      <c r="B2368">
        <v>2010</v>
      </c>
      <c r="C2368" t="s">
        <v>369</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COUNT(LifeExpectancyData[[#This Row],[Life expectancy]:[Schooling]])=19</f>
        <v>1</v>
      </c>
    </row>
    <row r="2369" spans="1:23" x14ac:dyDescent="0.25">
      <c r="A2369" t="s">
        <v>526</v>
      </c>
      <c r="B2369">
        <v>2009</v>
      </c>
      <c r="C2369" t="s">
        <v>369</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COUNT(LifeExpectancyData[[#This Row],[Life expectancy]:[Schooling]])=19</f>
        <v>1</v>
      </c>
    </row>
    <row r="2370" spans="1:23" x14ac:dyDescent="0.25">
      <c r="A2370" t="s">
        <v>526</v>
      </c>
      <c r="B2370">
        <v>2008</v>
      </c>
      <c r="C2370" t="s">
        <v>369</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COUNT(LifeExpectancyData[[#This Row],[Life expectancy]:[Schooling]])=19</f>
        <v>1</v>
      </c>
    </row>
    <row r="2371" spans="1:23" x14ac:dyDescent="0.25">
      <c r="A2371" t="s">
        <v>526</v>
      </c>
      <c r="B2371">
        <v>2007</v>
      </c>
      <c r="C2371" t="s">
        <v>369</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COUNT(LifeExpectancyData[[#This Row],[Life expectancy]:[Schooling]])=19</f>
        <v>1</v>
      </c>
    </row>
    <row r="2372" spans="1:23" x14ac:dyDescent="0.25">
      <c r="A2372" t="s">
        <v>526</v>
      </c>
      <c r="B2372">
        <v>2006</v>
      </c>
      <c r="C2372" t="s">
        <v>369</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COUNT(LifeExpectancyData[[#This Row],[Life expectancy]:[Schooling]])=19</f>
        <v>1</v>
      </c>
    </row>
    <row r="2373" spans="1:23" x14ac:dyDescent="0.25">
      <c r="A2373" t="s">
        <v>526</v>
      </c>
      <c r="B2373">
        <v>2005</v>
      </c>
      <c r="C2373" t="s">
        <v>369</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COUNT(LifeExpectancyData[[#This Row],[Life expectancy]:[Schooling]])=19</f>
        <v>1</v>
      </c>
    </row>
    <row r="2374" spans="1:23" x14ac:dyDescent="0.25">
      <c r="A2374" t="s">
        <v>526</v>
      </c>
      <c r="B2374">
        <v>2004</v>
      </c>
      <c r="C2374" t="s">
        <v>369</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COUNT(LifeExpectancyData[[#This Row],[Life expectancy]:[Schooling]])=19</f>
        <v>1</v>
      </c>
    </row>
    <row r="2375" spans="1:23" x14ac:dyDescent="0.25">
      <c r="A2375" t="s">
        <v>526</v>
      </c>
      <c r="B2375">
        <v>2003</v>
      </c>
      <c r="C2375" t="s">
        <v>369</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COUNT(LifeExpectancyData[[#This Row],[Life expectancy]:[Schooling]])=19</f>
        <v>1</v>
      </c>
    </row>
    <row r="2376" spans="1:23" x14ac:dyDescent="0.25">
      <c r="A2376" t="s">
        <v>526</v>
      </c>
      <c r="B2376">
        <v>2002</v>
      </c>
      <c r="C2376" t="s">
        <v>369</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COUNT(LifeExpectancyData[[#This Row],[Life expectancy]:[Schooling]])=19</f>
        <v>1</v>
      </c>
    </row>
    <row r="2377" spans="1:23" x14ac:dyDescent="0.25">
      <c r="A2377" t="s">
        <v>526</v>
      </c>
      <c r="B2377">
        <v>2001</v>
      </c>
      <c r="C2377" t="s">
        <v>369</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COUNT(LifeExpectancyData[[#This Row],[Life expectancy]:[Schooling]])=19</f>
        <v>1</v>
      </c>
    </row>
    <row r="2378" spans="1:23" x14ac:dyDescent="0.25">
      <c r="A2378" t="s">
        <v>526</v>
      </c>
      <c r="B2378">
        <v>2000</v>
      </c>
      <c r="C2378" t="s">
        <v>369</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COUNT(LifeExpectancyData[[#This Row],[Life expectancy]:[Schooling]])=19</f>
        <v>1</v>
      </c>
    </row>
    <row r="2379" spans="1:23" x14ac:dyDescent="0.25">
      <c r="A2379" t="s">
        <v>527</v>
      </c>
      <c r="B2379">
        <v>2015</v>
      </c>
      <c r="C2379" t="s">
        <v>369</v>
      </c>
      <c r="D2379">
        <v>55</v>
      </c>
      <c r="E2379">
        <v>312</v>
      </c>
      <c r="F2379">
        <v>50</v>
      </c>
      <c r="H2379">
        <v>0</v>
      </c>
      <c r="I2379">
        <v>42</v>
      </c>
      <c r="J2379">
        <v>7497</v>
      </c>
      <c r="K2379">
        <v>24.3</v>
      </c>
      <c r="L2379">
        <v>80</v>
      </c>
      <c r="M2379">
        <v>47</v>
      </c>
      <c r="O2379">
        <v>42</v>
      </c>
      <c r="P2379">
        <v>0.7</v>
      </c>
      <c r="Q2379">
        <v>426.98536999999999</v>
      </c>
      <c r="S2379">
        <v>6.6</v>
      </c>
      <c r="T2379">
        <v>6.4</v>
      </c>
      <c r="W2379" t="b">
        <f>COUNT(LifeExpectancyData[[#This Row],[Life expectancy]:[Schooling]])=19</f>
        <v>0</v>
      </c>
    </row>
    <row r="2380" spans="1:23" x14ac:dyDescent="0.25">
      <c r="A2380" t="s">
        <v>527</v>
      </c>
      <c r="B2380">
        <v>2014</v>
      </c>
      <c r="C2380" t="s">
        <v>369</v>
      </c>
      <c r="D2380">
        <v>54.3</v>
      </c>
      <c r="E2380">
        <v>321</v>
      </c>
      <c r="F2380">
        <v>51</v>
      </c>
      <c r="G2380">
        <v>0.01</v>
      </c>
      <c r="H2380">
        <v>0</v>
      </c>
      <c r="I2380">
        <v>42</v>
      </c>
      <c r="J2380">
        <v>10229</v>
      </c>
      <c r="K2380">
        <v>23.8</v>
      </c>
      <c r="L2380">
        <v>80</v>
      </c>
      <c r="M2380">
        <v>47</v>
      </c>
      <c r="O2380">
        <v>42</v>
      </c>
      <c r="P2380">
        <v>0.8</v>
      </c>
      <c r="Q2380">
        <v>417.89143000000001</v>
      </c>
      <c r="S2380">
        <v>6.7</v>
      </c>
      <c r="T2380">
        <v>6.5</v>
      </c>
      <c r="W2380" t="b">
        <f>COUNT(LifeExpectancyData[[#This Row],[Life expectancy]:[Schooling]])=19</f>
        <v>0</v>
      </c>
    </row>
    <row r="2381" spans="1:23" x14ac:dyDescent="0.25">
      <c r="A2381" t="s">
        <v>527</v>
      </c>
      <c r="B2381">
        <v>2013</v>
      </c>
      <c r="C2381" t="s">
        <v>369</v>
      </c>
      <c r="D2381">
        <v>54.2</v>
      </c>
      <c r="E2381">
        <v>318</v>
      </c>
      <c r="F2381">
        <v>51</v>
      </c>
      <c r="G2381">
        <v>0.01</v>
      </c>
      <c r="H2381">
        <v>0</v>
      </c>
      <c r="I2381">
        <v>42</v>
      </c>
      <c r="J2381">
        <v>3173</v>
      </c>
      <c r="K2381">
        <v>23.3</v>
      </c>
      <c r="L2381">
        <v>81</v>
      </c>
      <c r="M2381">
        <v>47</v>
      </c>
      <c r="O2381">
        <v>42</v>
      </c>
      <c r="P2381">
        <v>0.8</v>
      </c>
      <c r="Q2381">
        <v>47.5432354</v>
      </c>
      <c r="S2381">
        <v>6.8</v>
      </c>
      <c r="T2381">
        <v>6.6</v>
      </c>
      <c r="W2381" t="b">
        <f>COUNT(LifeExpectancyData[[#This Row],[Life expectancy]:[Schooling]])=19</f>
        <v>0</v>
      </c>
    </row>
    <row r="2382" spans="1:23" x14ac:dyDescent="0.25">
      <c r="A2382" t="s">
        <v>527</v>
      </c>
      <c r="B2382">
        <v>2012</v>
      </c>
      <c r="C2382" t="s">
        <v>369</v>
      </c>
      <c r="D2382">
        <v>53.1</v>
      </c>
      <c r="E2382">
        <v>336</v>
      </c>
      <c r="F2382">
        <v>51</v>
      </c>
      <c r="G2382">
        <v>0.01</v>
      </c>
      <c r="H2382">
        <v>0</v>
      </c>
      <c r="J2382">
        <v>9983</v>
      </c>
      <c r="K2382">
        <v>22.9</v>
      </c>
      <c r="L2382">
        <v>82</v>
      </c>
      <c r="M2382">
        <v>47</v>
      </c>
      <c r="O2382">
        <v>42</v>
      </c>
      <c r="P2382">
        <v>0.8</v>
      </c>
      <c r="S2382">
        <v>6.8</v>
      </c>
      <c r="T2382">
        <v>6.7</v>
      </c>
      <c r="W2382" t="b">
        <f>COUNT(LifeExpectancyData[[#This Row],[Life expectancy]:[Schooling]])=19</f>
        <v>0</v>
      </c>
    </row>
    <row r="2383" spans="1:23" x14ac:dyDescent="0.25">
      <c r="A2383" t="s">
        <v>527</v>
      </c>
      <c r="B2383">
        <v>2011</v>
      </c>
      <c r="C2383" t="s">
        <v>369</v>
      </c>
      <c r="D2383">
        <v>53.1</v>
      </c>
      <c r="E2383">
        <v>329</v>
      </c>
      <c r="F2383">
        <v>51</v>
      </c>
      <c r="G2383">
        <v>0.01</v>
      </c>
      <c r="H2383">
        <v>0</v>
      </c>
      <c r="J2383">
        <v>17298</v>
      </c>
      <c r="K2383">
        <v>22.4</v>
      </c>
      <c r="L2383">
        <v>82</v>
      </c>
      <c r="M2383">
        <v>49</v>
      </c>
      <c r="O2383">
        <v>41</v>
      </c>
      <c r="P2383">
        <v>0.8</v>
      </c>
      <c r="S2383">
        <v>6.9</v>
      </c>
      <c r="T2383">
        <v>6.7</v>
      </c>
      <c r="W2383" t="b">
        <f>COUNT(LifeExpectancyData[[#This Row],[Life expectancy]:[Schooling]])=19</f>
        <v>0</v>
      </c>
    </row>
    <row r="2384" spans="1:23" x14ac:dyDescent="0.25">
      <c r="A2384" t="s">
        <v>527</v>
      </c>
      <c r="B2384">
        <v>2010</v>
      </c>
      <c r="C2384" t="s">
        <v>369</v>
      </c>
      <c r="D2384">
        <v>52.4</v>
      </c>
      <c r="E2384">
        <v>336</v>
      </c>
      <c r="F2384">
        <v>52</v>
      </c>
      <c r="G2384">
        <v>0.01</v>
      </c>
      <c r="H2384">
        <v>0</v>
      </c>
      <c r="J2384">
        <v>115</v>
      </c>
      <c r="K2384">
        <v>22</v>
      </c>
      <c r="L2384">
        <v>83</v>
      </c>
      <c r="M2384">
        <v>49</v>
      </c>
      <c r="O2384">
        <v>45</v>
      </c>
      <c r="P2384">
        <v>0.8</v>
      </c>
      <c r="S2384">
        <v>7</v>
      </c>
      <c r="T2384">
        <v>6.8</v>
      </c>
      <c r="W2384" t="b">
        <f>COUNT(LifeExpectancyData[[#This Row],[Life expectancy]:[Schooling]])=19</f>
        <v>0</v>
      </c>
    </row>
    <row r="2385" spans="1:23" x14ac:dyDescent="0.25">
      <c r="A2385" t="s">
        <v>527</v>
      </c>
      <c r="B2385">
        <v>2009</v>
      </c>
      <c r="C2385" t="s">
        <v>369</v>
      </c>
      <c r="D2385">
        <v>52.2</v>
      </c>
      <c r="E2385">
        <v>335</v>
      </c>
      <c r="F2385">
        <v>52</v>
      </c>
      <c r="G2385">
        <v>0.01</v>
      </c>
      <c r="H2385">
        <v>0</v>
      </c>
      <c r="J2385">
        <v>13</v>
      </c>
      <c r="K2385">
        <v>21.5</v>
      </c>
      <c r="L2385">
        <v>84</v>
      </c>
      <c r="M2385">
        <v>41</v>
      </c>
      <c r="O2385">
        <v>42</v>
      </c>
      <c r="P2385">
        <v>0.8</v>
      </c>
      <c r="S2385">
        <v>7.1</v>
      </c>
      <c r="T2385">
        <v>6.9</v>
      </c>
      <c r="W2385" t="b">
        <f>COUNT(LifeExpectancyData[[#This Row],[Life expectancy]:[Schooling]])=19</f>
        <v>0</v>
      </c>
    </row>
    <row r="2386" spans="1:23" x14ac:dyDescent="0.25">
      <c r="A2386" t="s">
        <v>527</v>
      </c>
      <c r="B2386">
        <v>2008</v>
      </c>
      <c r="C2386" t="s">
        <v>369</v>
      </c>
      <c r="D2386">
        <v>51.9</v>
      </c>
      <c r="E2386">
        <v>336</v>
      </c>
      <c r="F2386">
        <v>52</v>
      </c>
      <c r="G2386">
        <v>0.01</v>
      </c>
      <c r="H2386">
        <v>0</v>
      </c>
      <c r="J2386">
        <v>1081</v>
      </c>
      <c r="K2386">
        <v>21.1</v>
      </c>
      <c r="L2386">
        <v>84</v>
      </c>
      <c r="M2386">
        <v>4</v>
      </c>
      <c r="O2386">
        <v>31</v>
      </c>
      <c r="P2386">
        <v>0.9</v>
      </c>
      <c r="S2386">
        <v>7.2</v>
      </c>
      <c r="T2386">
        <v>7</v>
      </c>
      <c r="W2386" t="b">
        <f>COUNT(LifeExpectancyData[[#This Row],[Life expectancy]:[Schooling]])=19</f>
        <v>0</v>
      </c>
    </row>
    <row r="2387" spans="1:23" x14ac:dyDescent="0.25">
      <c r="A2387" t="s">
        <v>527</v>
      </c>
      <c r="B2387">
        <v>2007</v>
      </c>
      <c r="C2387" t="s">
        <v>369</v>
      </c>
      <c r="D2387">
        <v>51.5</v>
      </c>
      <c r="E2387">
        <v>34</v>
      </c>
      <c r="F2387">
        <v>52</v>
      </c>
      <c r="G2387">
        <v>0.01</v>
      </c>
      <c r="H2387">
        <v>0</v>
      </c>
      <c r="J2387">
        <v>1149</v>
      </c>
      <c r="K2387">
        <v>2.7</v>
      </c>
      <c r="L2387">
        <v>84</v>
      </c>
      <c r="M2387">
        <v>4</v>
      </c>
      <c r="O2387">
        <v>4</v>
      </c>
      <c r="P2387">
        <v>0.9</v>
      </c>
      <c r="S2387">
        <v>7.3</v>
      </c>
      <c r="T2387">
        <v>7.1</v>
      </c>
      <c r="W2387" t="b">
        <f>COUNT(LifeExpectancyData[[#This Row],[Life expectancy]:[Schooling]])=19</f>
        <v>0</v>
      </c>
    </row>
    <row r="2388" spans="1:23" x14ac:dyDescent="0.25">
      <c r="A2388" t="s">
        <v>527</v>
      </c>
      <c r="B2388">
        <v>2006</v>
      </c>
      <c r="C2388" t="s">
        <v>369</v>
      </c>
      <c r="D2388">
        <v>51.5</v>
      </c>
      <c r="E2388">
        <v>337</v>
      </c>
      <c r="F2388">
        <v>51</v>
      </c>
      <c r="G2388">
        <v>0.01</v>
      </c>
      <c r="H2388">
        <v>0</v>
      </c>
      <c r="J2388">
        <v>7</v>
      </c>
      <c r="K2388">
        <v>2.2000000000000002</v>
      </c>
      <c r="L2388">
        <v>83</v>
      </c>
      <c r="M2388">
        <v>26</v>
      </c>
      <c r="O2388">
        <v>26</v>
      </c>
      <c r="P2388">
        <v>0.9</v>
      </c>
      <c r="S2388">
        <v>7.4</v>
      </c>
      <c r="T2388">
        <v>7.2</v>
      </c>
      <c r="W2388" t="b">
        <f>COUNT(LifeExpectancyData[[#This Row],[Life expectancy]:[Schooling]])=19</f>
        <v>0</v>
      </c>
    </row>
    <row r="2389" spans="1:23" x14ac:dyDescent="0.25">
      <c r="A2389" t="s">
        <v>527</v>
      </c>
      <c r="B2389">
        <v>2005</v>
      </c>
      <c r="C2389" t="s">
        <v>369</v>
      </c>
      <c r="D2389">
        <v>51.6</v>
      </c>
      <c r="E2389">
        <v>334</v>
      </c>
      <c r="F2389">
        <v>50</v>
      </c>
      <c r="G2389">
        <v>0.01</v>
      </c>
      <c r="H2389">
        <v>0</v>
      </c>
      <c r="J2389">
        <v>0</v>
      </c>
      <c r="K2389">
        <v>19.8</v>
      </c>
      <c r="L2389">
        <v>82</v>
      </c>
      <c r="M2389">
        <v>35</v>
      </c>
      <c r="O2389">
        <v>35</v>
      </c>
      <c r="P2389">
        <v>0.9</v>
      </c>
      <c r="S2389">
        <v>7.5</v>
      </c>
      <c r="T2389">
        <v>7.3</v>
      </c>
      <c r="W2389" t="b">
        <f>COUNT(LifeExpectancyData[[#This Row],[Life expectancy]:[Schooling]])=19</f>
        <v>0</v>
      </c>
    </row>
    <row r="2390" spans="1:23" x14ac:dyDescent="0.25">
      <c r="A2390" t="s">
        <v>527</v>
      </c>
      <c r="B2390">
        <v>2004</v>
      </c>
      <c r="C2390" t="s">
        <v>369</v>
      </c>
      <c r="D2390">
        <v>51.2</v>
      </c>
      <c r="E2390">
        <v>341</v>
      </c>
      <c r="F2390">
        <v>49</v>
      </c>
      <c r="G2390">
        <v>0.01</v>
      </c>
      <c r="H2390">
        <v>0</v>
      </c>
      <c r="J2390">
        <v>12008</v>
      </c>
      <c r="K2390">
        <v>19.399999999999999</v>
      </c>
      <c r="L2390">
        <v>80</v>
      </c>
      <c r="M2390">
        <v>3</v>
      </c>
      <c r="O2390">
        <v>3</v>
      </c>
      <c r="P2390">
        <v>0.9</v>
      </c>
      <c r="S2390">
        <v>7.6</v>
      </c>
      <c r="T2390">
        <v>7.4</v>
      </c>
      <c r="W2390" t="b">
        <f>COUNT(LifeExpectancyData[[#This Row],[Life expectancy]:[Schooling]])=19</f>
        <v>0</v>
      </c>
    </row>
    <row r="2391" spans="1:23" x14ac:dyDescent="0.25">
      <c r="A2391" t="s">
        <v>527</v>
      </c>
      <c r="B2391">
        <v>2003</v>
      </c>
      <c r="C2391" t="s">
        <v>369</v>
      </c>
      <c r="D2391">
        <v>51.1</v>
      </c>
      <c r="E2391">
        <v>344</v>
      </c>
      <c r="F2391">
        <v>48</v>
      </c>
      <c r="G2391">
        <v>0.01</v>
      </c>
      <c r="H2391">
        <v>0</v>
      </c>
      <c r="J2391">
        <v>8257</v>
      </c>
      <c r="K2391">
        <v>19</v>
      </c>
      <c r="L2391">
        <v>78</v>
      </c>
      <c r="M2391">
        <v>4</v>
      </c>
      <c r="O2391">
        <v>4</v>
      </c>
      <c r="P2391">
        <v>0.9</v>
      </c>
      <c r="S2391">
        <v>7.7</v>
      </c>
      <c r="T2391">
        <v>7.5</v>
      </c>
      <c r="W2391" t="b">
        <f>COUNT(LifeExpectancyData[[#This Row],[Life expectancy]:[Schooling]])=19</f>
        <v>0</v>
      </c>
    </row>
    <row r="2392" spans="1:23" x14ac:dyDescent="0.25">
      <c r="A2392" t="s">
        <v>527</v>
      </c>
      <c r="B2392">
        <v>2002</v>
      </c>
      <c r="C2392" t="s">
        <v>369</v>
      </c>
      <c r="D2392">
        <v>58</v>
      </c>
      <c r="E2392">
        <v>348</v>
      </c>
      <c r="F2392">
        <v>47</v>
      </c>
      <c r="G2392">
        <v>0.01</v>
      </c>
      <c r="H2392">
        <v>0</v>
      </c>
      <c r="J2392">
        <v>9559</v>
      </c>
      <c r="K2392">
        <v>18.600000000000001</v>
      </c>
      <c r="L2392">
        <v>77</v>
      </c>
      <c r="M2392">
        <v>4</v>
      </c>
      <c r="O2392">
        <v>4</v>
      </c>
      <c r="P2392">
        <v>0.9</v>
      </c>
      <c r="S2392">
        <v>7.8</v>
      </c>
      <c r="T2392">
        <v>7.6</v>
      </c>
      <c r="W2392" t="b">
        <f>COUNT(LifeExpectancyData[[#This Row],[Life expectancy]:[Schooling]])=19</f>
        <v>0</v>
      </c>
    </row>
    <row r="2393" spans="1:23" x14ac:dyDescent="0.25">
      <c r="A2393" t="s">
        <v>527</v>
      </c>
      <c r="B2393">
        <v>2001</v>
      </c>
      <c r="C2393" t="s">
        <v>369</v>
      </c>
      <c r="D2393">
        <v>57</v>
      </c>
      <c r="E2393">
        <v>352</v>
      </c>
      <c r="F2393">
        <v>46</v>
      </c>
      <c r="G2393">
        <v>0.01</v>
      </c>
      <c r="H2393">
        <v>0</v>
      </c>
      <c r="J2393">
        <v>3571</v>
      </c>
      <c r="K2393">
        <v>18.2</v>
      </c>
      <c r="L2393">
        <v>75</v>
      </c>
      <c r="M2393">
        <v>33</v>
      </c>
      <c r="O2393">
        <v>33</v>
      </c>
      <c r="P2393">
        <v>0.8</v>
      </c>
      <c r="S2393">
        <v>7.9</v>
      </c>
      <c r="T2393">
        <v>7.7</v>
      </c>
      <c r="W2393" t="b">
        <f>COUNT(LifeExpectancyData[[#This Row],[Life expectancy]:[Schooling]])=19</f>
        <v>0</v>
      </c>
    </row>
    <row r="2394" spans="1:23" x14ac:dyDescent="0.25">
      <c r="A2394" t="s">
        <v>527</v>
      </c>
      <c r="B2394">
        <v>2000</v>
      </c>
      <c r="C2394" t="s">
        <v>369</v>
      </c>
      <c r="D2394">
        <v>55</v>
      </c>
      <c r="E2394">
        <v>355</v>
      </c>
      <c r="F2394">
        <v>45</v>
      </c>
      <c r="G2394">
        <v>0.01</v>
      </c>
      <c r="H2394">
        <v>0</v>
      </c>
      <c r="J2394">
        <v>3965</v>
      </c>
      <c r="K2394">
        <v>17.8</v>
      </c>
      <c r="L2394">
        <v>74</v>
      </c>
      <c r="M2394">
        <v>37</v>
      </c>
      <c r="O2394">
        <v>33</v>
      </c>
      <c r="P2394">
        <v>0.8</v>
      </c>
      <c r="S2394">
        <v>8</v>
      </c>
      <c r="T2394">
        <v>7.9</v>
      </c>
      <c r="W2394" t="b">
        <f>COUNT(LifeExpectancyData[[#This Row],[Life expectancy]:[Schooling]])=19</f>
        <v>0</v>
      </c>
    </row>
    <row r="2395" spans="1:23" x14ac:dyDescent="0.25">
      <c r="A2395" t="s">
        <v>528</v>
      </c>
      <c r="B2395">
        <v>2015</v>
      </c>
      <c r="C2395" t="s">
        <v>369</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COUNT(LifeExpectancyData[[#This Row],[Life expectancy]:[Schooling]])=19</f>
        <v>0</v>
      </c>
    </row>
    <row r="2396" spans="1:23" x14ac:dyDescent="0.25">
      <c r="A2396" t="s">
        <v>528</v>
      </c>
      <c r="B2396">
        <v>2014</v>
      </c>
      <c r="C2396" t="s">
        <v>369</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COUNT(LifeExpectancyData[[#This Row],[Life expectancy]:[Schooling]])=19</f>
        <v>1</v>
      </c>
    </row>
    <row r="2397" spans="1:23" x14ac:dyDescent="0.25">
      <c r="A2397" t="s">
        <v>528</v>
      </c>
      <c r="B2397">
        <v>2013</v>
      </c>
      <c r="C2397" t="s">
        <v>369</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COUNT(LifeExpectancyData[[#This Row],[Life expectancy]:[Schooling]])=19</f>
        <v>1</v>
      </c>
    </row>
    <row r="2398" spans="1:23" x14ac:dyDescent="0.25">
      <c r="A2398" t="s">
        <v>528</v>
      </c>
      <c r="B2398">
        <v>2012</v>
      </c>
      <c r="C2398" t="s">
        <v>369</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COUNT(LifeExpectancyData[[#This Row],[Life expectancy]:[Schooling]])=19</f>
        <v>1</v>
      </c>
    </row>
    <row r="2399" spans="1:23" x14ac:dyDescent="0.25">
      <c r="A2399" t="s">
        <v>528</v>
      </c>
      <c r="B2399">
        <v>2011</v>
      </c>
      <c r="C2399" t="s">
        <v>369</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COUNT(LifeExpectancyData[[#This Row],[Life expectancy]:[Schooling]])=19</f>
        <v>1</v>
      </c>
    </row>
    <row r="2400" spans="1:23" x14ac:dyDescent="0.25">
      <c r="A2400" t="s">
        <v>528</v>
      </c>
      <c r="B2400">
        <v>2010</v>
      </c>
      <c r="C2400" t="s">
        <v>369</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COUNT(LifeExpectancyData[[#This Row],[Life expectancy]:[Schooling]])=19</f>
        <v>1</v>
      </c>
    </row>
    <row r="2401" spans="1:23" x14ac:dyDescent="0.25">
      <c r="A2401" t="s">
        <v>528</v>
      </c>
      <c r="B2401">
        <v>2009</v>
      </c>
      <c r="C2401" t="s">
        <v>369</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COUNT(LifeExpectancyData[[#This Row],[Life expectancy]:[Schooling]])=19</f>
        <v>1</v>
      </c>
    </row>
    <row r="2402" spans="1:23" x14ac:dyDescent="0.25">
      <c r="A2402" t="s">
        <v>528</v>
      </c>
      <c r="B2402">
        <v>2008</v>
      </c>
      <c r="C2402" t="s">
        <v>369</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COUNT(LifeExpectancyData[[#This Row],[Life expectancy]:[Schooling]])=19</f>
        <v>1</v>
      </c>
    </row>
    <row r="2403" spans="1:23" x14ac:dyDescent="0.25">
      <c r="A2403" t="s">
        <v>528</v>
      </c>
      <c r="B2403">
        <v>2007</v>
      </c>
      <c r="C2403" t="s">
        <v>369</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COUNT(LifeExpectancyData[[#This Row],[Life expectancy]:[Schooling]])=19</f>
        <v>1</v>
      </c>
    </row>
    <row r="2404" spans="1:23" x14ac:dyDescent="0.25">
      <c r="A2404" t="s">
        <v>528</v>
      </c>
      <c r="B2404">
        <v>2006</v>
      </c>
      <c r="C2404" t="s">
        <v>369</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COUNT(LifeExpectancyData[[#This Row],[Life expectancy]:[Schooling]])=19</f>
        <v>1</v>
      </c>
    </row>
    <row r="2405" spans="1:23" x14ac:dyDescent="0.25">
      <c r="A2405" t="s">
        <v>528</v>
      </c>
      <c r="B2405">
        <v>2005</v>
      </c>
      <c r="C2405" t="s">
        <v>369</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COUNT(LifeExpectancyData[[#This Row],[Life expectancy]:[Schooling]])=19</f>
        <v>1</v>
      </c>
    </row>
    <row r="2406" spans="1:23" x14ac:dyDescent="0.25">
      <c r="A2406" t="s">
        <v>528</v>
      </c>
      <c r="B2406">
        <v>2004</v>
      </c>
      <c r="C2406" t="s">
        <v>369</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COUNT(LifeExpectancyData[[#This Row],[Life expectancy]:[Schooling]])=19</f>
        <v>1</v>
      </c>
    </row>
    <row r="2407" spans="1:23" x14ac:dyDescent="0.25">
      <c r="A2407" t="s">
        <v>528</v>
      </c>
      <c r="B2407">
        <v>2003</v>
      </c>
      <c r="C2407" t="s">
        <v>369</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COUNT(LifeExpectancyData[[#This Row],[Life expectancy]:[Schooling]])=19</f>
        <v>1</v>
      </c>
    </row>
    <row r="2408" spans="1:23" x14ac:dyDescent="0.25">
      <c r="A2408" t="s">
        <v>528</v>
      </c>
      <c r="B2408">
        <v>2002</v>
      </c>
      <c r="C2408" t="s">
        <v>369</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COUNT(LifeExpectancyData[[#This Row],[Life expectancy]:[Schooling]])=19</f>
        <v>1</v>
      </c>
    </row>
    <row r="2409" spans="1:23" x14ac:dyDescent="0.25">
      <c r="A2409" t="s">
        <v>528</v>
      </c>
      <c r="B2409">
        <v>2001</v>
      </c>
      <c r="C2409" t="s">
        <v>369</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COUNT(LifeExpectancyData[[#This Row],[Life expectancy]:[Schooling]])=19</f>
        <v>1</v>
      </c>
    </row>
    <row r="2410" spans="1:23" x14ac:dyDescent="0.25">
      <c r="A2410" t="s">
        <v>528</v>
      </c>
      <c r="B2410">
        <v>2000</v>
      </c>
      <c r="C2410" t="s">
        <v>369</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COUNT(LifeExpectancyData[[#This Row],[Life expectancy]:[Schooling]])=19</f>
        <v>1</v>
      </c>
    </row>
    <row r="2411" spans="1:23" x14ac:dyDescent="0.25">
      <c r="A2411" t="s">
        <v>529</v>
      </c>
      <c r="B2411">
        <v>2015</v>
      </c>
      <c r="C2411" t="s">
        <v>369</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COUNT(LifeExpectancyData[[#This Row],[Life expectancy]:[Schooling]])=19</f>
        <v>0</v>
      </c>
    </row>
    <row r="2412" spans="1:23" x14ac:dyDescent="0.25">
      <c r="A2412" t="s">
        <v>529</v>
      </c>
      <c r="B2412">
        <v>2014</v>
      </c>
      <c r="C2412" t="s">
        <v>369</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COUNT(LifeExpectancyData[[#This Row],[Life expectancy]:[Schooling]])=19</f>
        <v>0</v>
      </c>
    </row>
    <row r="2413" spans="1:23" x14ac:dyDescent="0.25">
      <c r="A2413" t="s">
        <v>529</v>
      </c>
      <c r="B2413">
        <v>2013</v>
      </c>
      <c r="C2413" t="s">
        <v>369</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COUNT(LifeExpectancyData[[#This Row],[Life expectancy]:[Schooling]])=19</f>
        <v>0</v>
      </c>
    </row>
    <row r="2414" spans="1:23" x14ac:dyDescent="0.25">
      <c r="A2414" t="s">
        <v>529</v>
      </c>
      <c r="B2414">
        <v>2012</v>
      </c>
      <c r="C2414" t="s">
        <v>369</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COUNT(LifeExpectancyData[[#This Row],[Life expectancy]:[Schooling]])=19</f>
        <v>0</v>
      </c>
    </row>
    <row r="2415" spans="1:23" x14ac:dyDescent="0.25">
      <c r="A2415" t="s">
        <v>529</v>
      </c>
      <c r="B2415">
        <v>2011</v>
      </c>
      <c r="C2415" t="s">
        <v>369</v>
      </c>
      <c r="D2415">
        <v>55.4</v>
      </c>
      <c r="E2415">
        <v>355</v>
      </c>
      <c r="F2415">
        <v>27</v>
      </c>
      <c r="H2415">
        <v>0</v>
      </c>
      <c r="J2415">
        <v>1256</v>
      </c>
      <c r="L2415">
        <v>41</v>
      </c>
      <c r="M2415">
        <v>66</v>
      </c>
      <c r="O2415">
        <v>61</v>
      </c>
      <c r="P2415">
        <v>3.9</v>
      </c>
      <c r="Q2415">
        <v>176.97130000000001</v>
      </c>
      <c r="R2415">
        <v>1448857</v>
      </c>
      <c r="U2415">
        <v>0.42899999999999999</v>
      </c>
      <c r="V2415">
        <v>4.9000000000000004</v>
      </c>
      <c r="W2415" t="b">
        <f>COUNT(LifeExpectancyData[[#This Row],[Life expectancy]:[Schooling]])=19</f>
        <v>0</v>
      </c>
    </row>
    <row r="2416" spans="1:23" x14ac:dyDescent="0.25">
      <c r="A2416" t="s">
        <v>529</v>
      </c>
      <c r="B2416">
        <v>2010</v>
      </c>
      <c r="C2416" t="s">
        <v>369</v>
      </c>
      <c r="D2416">
        <v>55</v>
      </c>
      <c r="E2416">
        <v>359</v>
      </c>
      <c r="F2416">
        <v>27</v>
      </c>
      <c r="H2416">
        <v>0</v>
      </c>
      <c r="J2416">
        <v>0</v>
      </c>
      <c r="L2416">
        <v>41</v>
      </c>
      <c r="P2416">
        <v>4</v>
      </c>
      <c r="Q2416">
        <v>1562.2393460000001</v>
      </c>
      <c r="R2416">
        <v>167192</v>
      </c>
      <c r="U2416">
        <v>0</v>
      </c>
      <c r="V2416">
        <v>0</v>
      </c>
      <c r="W2416" t="b">
        <f>COUNT(LifeExpectancyData[[#This Row],[Life expectancy]:[Schooling]])=19</f>
        <v>0</v>
      </c>
    </row>
    <row r="2417" spans="1:23" x14ac:dyDescent="0.25">
      <c r="A2417" t="s">
        <v>529</v>
      </c>
      <c r="B2417">
        <v>2009</v>
      </c>
      <c r="C2417" t="s">
        <v>369</v>
      </c>
      <c r="D2417">
        <v>54.3</v>
      </c>
      <c r="E2417">
        <v>369</v>
      </c>
      <c r="F2417">
        <v>27</v>
      </c>
      <c r="H2417">
        <v>0</v>
      </c>
      <c r="J2417">
        <v>0</v>
      </c>
      <c r="L2417">
        <v>42</v>
      </c>
      <c r="P2417">
        <v>4.2</v>
      </c>
      <c r="Q2417">
        <v>1264.78998</v>
      </c>
      <c r="R2417">
        <v>967667</v>
      </c>
      <c r="U2417">
        <v>0</v>
      </c>
      <c r="V2417">
        <v>0</v>
      </c>
      <c r="W2417" t="b">
        <f>COUNT(LifeExpectancyData[[#This Row],[Life expectancy]:[Schooling]])=19</f>
        <v>0</v>
      </c>
    </row>
    <row r="2418" spans="1:23" x14ac:dyDescent="0.25">
      <c r="A2418" t="s">
        <v>529</v>
      </c>
      <c r="B2418">
        <v>2008</v>
      </c>
      <c r="C2418" t="s">
        <v>369</v>
      </c>
      <c r="D2418">
        <v>53.6</v>
      </c>
      <c r="E2418">
        <v>377</v>
      </c>
      <c r="F2418">
        <v>27</v>
      </c>
      <c r="H2418">
        <v>0</v>
      </c>
      <c r="J2418">
        <v>0</v>
      </c>
      <c r="L2418">
        <v>42</v>
      </c>
      <c r="P2418">
        <v>4.2</v>
      </c>
      <c r="Q2418">
        <v>1678.7118620000001</v>
      </c>
      <c r="R2418">
        <v>9263136</v>
      </c>
      <c r="U2418">
        <v>0</v>
      </c>
      <c r="V2418">
        <v>0</v>
      </c>
      <c r="W2418" t="b">
        <f>COUNT(LifeExpectancyData[[#This Row],[Life expectancy]:[Schooling]])=19</f>
        <v>0</v>
      </c>
    </row>
    <row r="2419" spans="1:23" x14ac:dyDescent="0.25">
      <c r="A2419" t="s">
        <v>529</v>
      </c>
      <c r="B2419">
        <v>2007</v>
      </c>
      <c r="C2419" t="s">
        <v>369</v>
      </c>
      <c r="D2419">
        <v>53.1</v>
      </c>
      <c r="E2419">
        <v>381</v>
      </c>
      <c r="F2419">
        <v>27</v>
      </c>
      <c r="H2419">
        <v>0</v>
      </c>
      <c r="J2419">
        <v>0</v>
      </c>
      <c r="L2419">
        <v>43</v>
      </c>
      <c r="P2419">
        <v>4.2</v>
      </c>
      <c r="R2419">
        <v>88568</v>
      </c>
      <c r="U2419">
        <v>0</v>
      </c>
      <c r="V2419">
        <v>0</v>
      </c>
      <c r="W2419" t="b">
        <f>COUNT(LifeExpectancyData[[#This Row],[Life expectancy]:[Schooling]])=19</f>
        <v>0</v>
      </c>
    </row>
    <row r="2420" spans="1:23" x14ac:dyDescent="0.25">
      <c r="A2420" t="s">
        <v>529</v>
      </c>
      <c r="B2420">
        <v>2006</v>
      </c>
      <c r="C2420" t="s">
        <v>369</v>
      </c>
      <c r="D2420">
        <v>52.5</v>
      </c>
      <c r="E2420">
        <v>383</v>
      </c>
      <c r="F2420">
        <v>28</v>
      </c>
      <c r="H2420">
        <v>0</v>
      </c>
      <c r="J2420">
        <v>0</v>
      </c>
      <c r="L2420">
        <v>43</v>
      </c>
      <c r="P2420">
        <v>4.0999999999999996</v>
      </c>
      <c r="R2420">
        <v>8468152</v>
      </c>
      <c r="U2420">
        <v>0</v>
      </c>
      <c r="V2420">
        <v>0</v>
      </c>
      <c r="W2420" t="b">
        <f>COUNT(LifeExpectancyData[[#This Row],[Life expectancy]:[Schooling]])=19</f>
        <v>0</v>
      </c>
    </row>
    <row r="2421" spans="1:23" x14ac:dyDescent="0.25">
      <c r="A2421" t="s">
        <v>529</v>
      </c>
      <c r="B2421">
        <v>2005</v>
      </c>
      <c r="C2421" t="s">
        <v>369</v>
      </c>
      <c r="D2421">
        <v>51.9</v>
      </c>
      <c r="E2421">
        <v>383</v>
      </c>
      <c r="F2421">
        <v>28</v>
      </c>
      <c r="H2421">
        <v>0</v>
      </c>
      <c r="J2421">
        <v>0</v>
      </c>
      <c r="L2421">
        <v>44</v>
      </c>
      <c r="P2421">
        <v>3.9</v>
      </c>
      <c r="R2421">
        <v>818877</v>
      </c>
      <c r="U2421">
        <v>0</v>
      </c>
      <c r="V2421">
        <v>0</v>
      </c>
      <c r="W2421" t="b">
        <f>COUNT(LifeExpectancyData[[#This Row],[Life expectancy]:[Schooling]])=19</f>
        <v>0</v>
      </c>
    </row>
    <row r="2422" spans="1:23" x14ac:dyDescent="0.25">
      <c r="A2422" t="s">
        <v>529</v>
      </c>
      <c r="B2422">
        <v>2004</v>
      </c>
      <c r="C2422" t="s">
        <v>369</v>
      </c>
      <c r="D2422">
        <v>51.4</v>
      </c>
      <c r="E2422">
        <v>383</v>
      </c>
      <c r="F2422">
        <v>29</v>
      </c>
      <c r="H2422">
        <v>0</v>
      </c>
      <c r="J2422">
        <v>0</v>
      </c>
      <c r="L2422">
        <v>45</v>
      </c>
      <c r="P2422">
        <v>3.8</v>
      </c>
      <c r="R2422">
        <v>7787655</v>
      </c>
      <c r="U2422">
        <v>0</v>
      </c>
      <c r="V2422">
        <v>0</v>
      </c>
      <c r="W2422" t="b">
        <f>COUNT(LifeExpectancyData[[#This Row],[Life expectancy]:[Schooling]])=19</f>
        <v>0</v>
      </c>
    </row>
    <row r="2423" spans="1:23" x14ac:dyDescent="0.25">
      <c r="A2423" t="s">
        <v>529</v>
      </c>
      <c r="B2423">
        <v>2003</v>
      </c>
      <c r="C2423" t="s">
        <v>369</v>
      </c>
      <c r="D2423">
        <v>58</v>
      </c>
      <c r="E2423">
        <v>383</v>
      </c>
      <c r="F2423">
        <v>29</v>
      </c>
      <c r="H2423">
        <v>0</v>
      </c>
      <c r="J2423">
        <v>0</v>
      </c>
      <c r="L2423">
        <v>46</v>
      </c>
      <c r="P2423">
        <v>3.5</v>
      </c>
      <c r="R2423">
        <v>751642</v>
      </c>
      <c r="U2423">
        <v>0</v>
      </c>
      <c r="V2423">
        <v>0</v>
      </c>
      <c r="W2423" t="b">
        <f>COUNT(LifeExpectancyData[[#This Row],[Life expectancy]:[Schooling]])=19</f>
        <v>0</v>
      </c>
    </row>
    <row r="2424" spans="1:23" x14ac:dyDescent="0.25">
      <c r="A2424" t="s">
        <v>529</v>
      </c>
      <c r="B2424">
        <v>2002</v>
      </c>
      <c r="C2424" t="s">
        <v>369</v>
      </c>
      <c r="D2424">
        <v>52</v>
      </c>
      <c r="E2424">
        <v>382</v>
      </c>
      <c r="F2424">
        <v>30</v>
      </c>
      <c r="H2424">
        <v>0</v>
      </c>
      <c r="J2424">
        <v>0</v>
      </c>
      <c r="L2424">
        <v>48</v>
      </c>
      <c r="P2424">
        <v>3.3</v>
      </c>
      <c r="R2424">
        <v>7237276</v>
      </c>
      <c r="U2424">
        <v>0</v>
      </c>
      <c r="V2424">
        <v>0</v>
      </c>
      <c r="W2424" t="b">
        <f>COUNT(LifeExpectancyData[[#This Row],[Life expectancy]:[Schooling]])=19</f>
        <v>0</v>
      </c>
    </row>
    <row r="2425" spans="1:23" x14ac:dyDescent="0.25">
      <c r="A2425" t="s">
        <v>529</v>
      </c>
      <c r="B2425">
        <v>2001</v>
      </c>
      <c r="C2425" t="s">
        <v>369</v>
      </c>
      <c r="D2425">
        <v>49.6</v>
      </c>
      <c r="E2425">
        <v>381</v>
      </c>
      <c r="F2425">
        <v>30</v>
      </c>
      <c r="H2425">
        <v>0</v>
      </c>
      <c r="J2425">
        <v>0</v>
      </c>
      <c r="L2425">
        <v>49</v>
      </c>
      <c r="P2425">
        <v>3</v>
      </c>
      <c r="R2425">
        <v>6974442</v>
      </c>
      <c r="U2425">
        <v>0</v>
      </c>
      <c r="V2425">
        <v>0</v>
      </c>
      <c r="W2425" t="b">
        <f>COUNT(LifeExpectancyData[[#This Row],[Life expectancy]:[Schooling]])=19</f>
        <v>0</v>
      </c>
    </row>
    <row r="2426" spans="1:23" x14ac:dyDescent="0.25">
      <c r="A2426" t="s">
        <v>529</v>
      </c>
      <c r="B2426">
        <v>2000</v>
      </c>
      <c r="C2426" t="s">
        <v>369</v>
      </c>
      <c r="D2426">
        <v>48.9</v>
      </c>
      <c r="E2426">
        <v>38</v>
      </c>
      <c r="F2426">
        <v>31</v>
      </c>
      <c r="H2426">
        <v>0</v>
      </c>
      <c r="J2426">
        <v>0</v>
      </c>
      <c r="L2426">
        <v>50</v>
      </c>
      <c r="P2426">
        <v>2.7</v>
      </c>
      <c r="R2426">
        <v>67656</v>
      </c>
      <c r="U2426">
        <v>0</v>
      </c>
      <c r="V2426">
        <v>0</v>
      </c>
      <c r="W2426" t="b">
        <f>COUNT(LifeExpectancyData[[#This Row],[Life expectancy]:[Schooling]])=19</f>
        <v>0</v>
      </c>
    </row>
    <row r="2427" spans="1:23" x14ac:dyDescent="0.25">
      <c r="A2427" t="s">
        <v>530</v>
      </c>
      <c r="B2427">
        <v>2015</v>
      </c>
      <c r="C2427" t="s">
        <v>377</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COUNT(LifeExpectancyData[[#This Row],[Life expectancy]:[Schooling]])=19</f>
        <v>0</v>
      </c>
    </row>
    <row r="2428" spans="1:23" x14ac:dyDescent="0.25">
      <c r="A2428" t="s">
        <v>530</v>
      </c>
      <c r="B2428">
        <v>2014</v>
      </c>
      <c r="C2428" t="s">
        <v>377</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COUNT(LifeExpectancyData[[#This Row],[Life expectancy]:[Schooling]])=19</f>
        <v>1</v>
      </c>
    </row>
    <row r="2429" spans="1:23" x14ac:dyDescent="0.25">
      <c r="A2429" t="s">
        <v>530</v>
      </c>
      <c r="B2429">
        <v>2013</v>
      </c>
      <c r="C2429" t="s">
        <v>377</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COUNT(LifeExpectancyData[[#This Row],[Life expectancy]:[Schooling]])=19</f>
        <v>1</v>
      </c>
    </row>
    <row r="2430" spans="1:23" x14ac:dyDescent="0.25">
      <c r="A2430" t="s">
        <v>530</v>
      </c>
      <c r="B2430">
        <v>2012</v>
      </c>
      <c r="C2430" t="s">
        <v>377</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COUNT(LifeExpectancyData[[#This Row],[Life expectancy]:[Schooling]])=19</f>
        <v>1</v>
      </c>
    </row>
    <row r="2431" spans="1:23" x14ac:dyDescent="0.25">
      <c r="A2431" t="s">
        <v>530</v>
      </c>
      <c r="B2431">
        <v>2011</v>
      </c>
      <c r="C2431" t="s">
        <v>377</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COUNT(LifeExpectancyData[[#This Row],[Life expectancy]:[Schooling]])=19</f>
        <v>1</v>
      </c>
    </row>
    <row r="2432" spans="1:23" x14ac:dyDescent="0.25">
      <c r="A2432" t="s">
        <v>530</v>
      </c>
      <c r="B2432">
        <v>2010</v>
      </c>
      <c r="C2432" t="s">
        <v>377</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COUNT(LifeExpectancyData[[#This Row],[Life expectancy]:[Schooling]])=19</f>
        <v>1</v>
      </c>
    </row>
    <row r="2433" spans="1:23" x14ac:dyDescent="0.25">
      <c r="A2433" t="s">
        <v>530</v>
      </c>
      <c r="B2433">
        <v>2009</v>
      </c>
      <c r="C2433" t="s">
        <v>377</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COUNT(LifeExpectancyData[[#This Row],[Life expectancy]:[Schooling]])=19</f>
        <v>1</v>
      </c>
    </row>
    <row r="2434" spans="1:23" x14ac:dyDescent="0.25">
      <c r="A2434" t="s">
        <v>530</v>
      </c>
      <c r="B2434">
        <v>2008</v>
      </c>
      <c r="C2434" t="s">
        <v>377</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COUNT(LifeExpectancyData[[#This Row],[Life expectancy]:[Schooling]])=19</f>
        <v>1</v>
      </c>
    </row>
    <row r="2435" spans="1:23" x14ac:dyDescent="0.25">
      <c r="A2435" t="s">
        <v>530</v>
      </c>
      <c r="B2435">
        <v>2007</v>
      </c>
      <c r="C2435" t="s">
        <v>377</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COUNT(LifeExpectancyData[[#This Row],[Life expectancy]:[Schooling]])=19</f>
        <v>1</v>
      </c>
    </row>
    <row r="2436" spans="1:23" x14ac:dyDescent="0.25">
      <c r="A2436" t="s">
        <v>530</v>
      </c>
      <c r="B2436">
        <v>2006</v>
      </c>
      <c r="C2436" t="s">
        <v>377</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COUNT(LifeExpectancyData[[#This Row],[Life expectancy]:[Schooling]])=19</f>
        <v>1</v>
      </c>
    </row>
    <row r="2437" spans="1:23" x14ac:dyDescent="0.25">
      <c r="A2437" t="s">
        <v>530</v>
      </c>
      <c r="B2437">
        <v>2005</v>
      </c>
      <c r="C2437" t="s">
        <v>377</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COUNT(LifeExpectancyData[[#This Row],[Life expectancy]:[Schooling]])=19</f>
        <v>1</v>
      </c>
    </row>
    <row r="2438" spans="1:23" x14ac:dyDescent="0.25">
      <c r="A2438" t="s">
        <v>530</v>
      </c>
      <c r="B2438">
        <v>2004</v>
      </c>
      <c r="C2438" t="s">
        <v>377</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COUNT(LifeExpectancyData[[#This Row],[Life expectancy]:[Schooling]])=19</f>
        <v>1</v>
      </c>
    </row>
    <row r="2439" spans="1:23" x14ac:dyDescent="0.25">
      <c r="A2439" t="s">
        <v>530</v>
      </c>
      <c r="B2439">
        <v>2003</v>
      </c>
      <c r="C2439" t="s">
        <v>377</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COUNT(LifeExpectancyData[[#This Row],[Life expectancy]:[Schooling]])=19</f>
        <v>1</v>
      </c>
    </row>
    <row r="2440" spans="1:23" x14ac:dyDescent="0.25">
      <c r="A2440" t="s">
        <v>530</v>
      </c>
      <c r="B2440">
        <v>2002</v>
      </c>
      <c r="C2440" t="s">
        <v>377</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COUNT(LifeExpectancyData[[#This Row],[Life expectancy]:[Schooling]])=19</f>
        <v>1</v>
      </c>
    </row>
    <row r="2441" spans="1:23" x14ac:dyDescent="0.25">
      <c r="A2441" t="s">
        <v>530</v>
      </c>
      <c r="B2441">
        <v>2001</v>
      </c>
      <c r="C2441" t="s">
        <v>377</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COUNT(LifeExpectancyData[[#This Row],[Life expectancy]:[Schooling]])=19</f>
        <v>1</v>
      </c>
    </row>
    <row r="2442" spans="1:23" x14ac:dyDescent="0.25">
      <c r="A2442" t="s">
        <v>530</v>
      </c>
      <c r="B2442">
        <v>2000</v>
      </c>
      <c r="C2442" t="s">
        <v>377</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COUNT(LifeExpectancyData[[#This Row],[Life expectancy]:[Schooling]])=19</f>
        <v>1</v>
      </c>
    </row>
    <row r="2443" spans="1:23" x14ac:dyDescent="0.25">
      <c r="A2443" t="s">
        <v>531</v>
      </c>
      <c r="B2443">
        <v>2015</v>
      </c>
      <c r="C2443" t="s">
        <v>369</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COUNT(LifeExpectancyData[[#This Row],[Life expectancy]:[Schooling]])=19</f>
        <v>0</v>
      </c>
    </row>
    <row r="2444" spans="1:23" x14ac:dyDescent="0.25">
      <c r="A2444" t="s">
        <v>531</v>
      </c>
      <c r="B2444">
        <v>2014</v>
      </c>
      <c r="C2444" t="s">
        <v>369</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COUNT(LifeExpectancyData[[#This Row],[Life expectancy]:[Schooling]])=19</f>
        <v>1</v>
      </c>
    </row>
    <row r="2445" spans="1:23" x14ac:dyDescent="0.25">
      <c r="A2445" t="s">
        <v>531</v>
      </c>
      <c r="B2445">
        <v>2013</v>
      </c>
      <c r="C2445" t="s">
        <v>369</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COUNT(LifeExpectancyData[[#This Row],[Life expectancy]:[Schooling]])=19</f>
        <v>1</v>
      </c>
    </row>
    <row r="2446" spans="1:23" x14ac:dyDescent="0.25">
      <c r="A2446" t="s">
        <v>531</v>
      </c>
      <c r="B2446">
        <v>2012</v>
      </c>
      <c r="C2446" t="s">
        <v>369</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COUNT(LifeExpectancyData[[#This Row],[Life expectancy]:[Schooling]])=19</f>
        <v>1</v>
      </c>
    </row>
    <row r="2447" spans="1:23" x14ac:dyDescent="0.25">
      <c r="A2447" t="s">
        <v>531</v>
      </c>
      <c r="B2447">
        <v>2011</v>
      </c>
      <c r="C2447" t="s">
        <v>369</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COUNT(LifeExpectancyData[[#This Row],[Life expectancy]:[Schooling]])=19</f>
        <v>1</v>
      </c>
    </row>
    <row r="2448" spans="1:23" x14ac:dyDescent="0.25">
      <c r="A2448" t="s">
        <v>531</v>
      </c>
      <c r="B2448">
        <v>2010</v>
      </c>
      <c r="C2448" t="s">
        <v>369</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COUNT(LifeExpectancyData[[#This Row],[Life expectancy]:[Schooling]])=19</f>
        <v>1</v>
      </c>
    </row>
    <row r="2449" spans="1:23" x14ac:dyDescent="0.25">
      <c r="A2449" t="s">
        <v>531</v>
      </c>
      <c r="B2449">
        <v>2009</v>
      </c>
      <c r="C2449" t="s">
        <v>369</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COUNT(LifeExpectancyData[[#This Row],[Life expectancy]:[Schooling]])=19</f>
        <v>1</v>
      </c>
    </row>
    <row r="2450" spans="1:23" x14ac:dyDescent="0.25">
      <c r="A2450" t="s">
        <v>531</v>
      </c>
      <c r="B2450">
        <v>2008</v>
      </c>
      <c r="C2450" t="s">
        <v>369</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COUNT(LifeExpectancyData[[#This Row],[Life expectancy]:[Schooling]])=19</f>
        <v>1</v>
      </c>
    </row>
    <row r="2451" spans="1:23" x14ac:dyDescent="0.25">
      <c r="A2451" t="s">
        <v>531</v>
      </c>
      <c r="B2451">
        <v>2007</v>
      </c>
      <c r="C2451" t="s">
        <v>369</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COUNT(LifeExpectancyData[[#This Row],[Life expectancy]:[Schooling]])=19</f>
        <v>1</v>
      </c>
    </row>
    <row r="2452" spans="1:23" x14ac:dyDescent="0.25">
      <c r="A2452" t="s">
        <v>531</v>
      </c>
      <c r="B2452">
        <v>2006</v>
      </c>
      <c r="C2452" t="s">
        <v>369</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COUNT(LifeExpectancyData[[#This Row],[Life expectancy]:[Schooling]])=19</f>
        <v>1</v>
      </c>
    </row>
    <row r="2453" spans="1:23" x14ac:dyDescent="0.25">
      <c r="A2453" t="s">
        <v>531</v>
      </c>
      <c r="B2453">
        <v>2005</v>
      </c>
      <c r="C2453" t="s">
        <v>369</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COUNT(LifeExpectancyData[[#This Row],[Life expectancy]:[Schooling]])=19</f>
        <v>1</v>
      </c>
    </row>
    <row r="2454" spans="1:23" x14ac:dyDescent="0.25">
      <c r="A2454" t="s">
        <v>531</v>
      </c>
      <c r="B2454">
        <v>2004</v>
      </c>
      <c r="C2454" t="s">
        <v>369</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COUNT(LifeExpectancyData[[#This Row],[Life expectancy]:[Schooling]])=19</f>
        <v>1</v>
      </c>
    </row>
    <row r="2455" spans="1:23" x14ac:dyDescent="0.25">
      <c r="A2455" t="s">
        <v>531</v>
      </c>
      <c r="B2455">
        <v>2003</v>
      </c>
      <c r="C2455" t="s">
        <v>369</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COUNT(LifeExpectancyData[[#This Row],[Life expectancy]:[Schooling]])=19</f>
        <v>1</v>
      </c>
    </row>
    <row r="2456" spans="1:23" x14ac:dyDescent="0.25">
      <c r="A2456" t="s">
        <v>531</v>
      </c>
      <c r="B2456">
        <v>2002</v>
      </c>
      <c r="C2456" t="s">
        <v>369</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COUNT(LifeExpectancyData[[#This Row],[Life expectancy]:[Schooling]])=19</f>
        <v>0</v>
      </c>
    </row>
    <row r="2457" spans="1:23" x14ac:dyDescent="0.25">
      <c r="A2457" t="s">
        <v>531</v>
      </c>
      <c r="B2457">
        <v>2001</v>
      </c>
      <c r="C2457" t="s">
        <v>369</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COUNT(LifeExpectancyData[[#This Row],[Life expectancy]:[Schooling]])=19</f>
        <v>0</v>
      </c>
    </row>
    <row r="2458" spans="1:23" x14ac:dyDescent="0.25">
      <c r="A2458" t="s">
        <v>531</v>
      </c>
      <c r="B2458">
        <v>2000</v>
      </c>
      <c r="C2458" t="s">
        <v>369</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COUNT(LifeExpectancyData[[#This Row],[Life expectancy]:[Schooling]])=19</f>
        <v>0</v>
      </c>
    </row>
    <row r="2459" spans="1:23" x14ac:dyDescent="0.25">
      <c r="A2459" t="s">
        <v>532</v>
      </c>
      <c r="B2459">
        <v>2015</v>
      </c>
      <c r="C2459" t="s">
        <v>369</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COUNT(LifeExpectancyData[[#This Row],[Life expectancy]:[Schooling]])=19</f>
        <v>0</v>
      </c>
    </row>
    <row r="2460" spans="1:23" x14ac:dyDescent="0.25">
      <c r="A2460" t="s">
        <v>532</v>
      </c>
      <c r="B2460">
        <v>2014</v>
      </c>
      <c r="C2460" t="s">
        <v>369</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COUNT(LifeExpectancyData[[#This Row],[Life expectancy]:[Schooling]])=19</f>
        <v>0</v>
      </c>
    </row>
    <row r="2461" spans="1:23" x14ac:dyDescent="0.25">
      <c r="A2461" t="s">
        <v>532</v>
      </c>
      <c r="B2461">
        <v>2013</v>
      </c>
      <c r="C2461" t="s">
        <v>369</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COUNT(LifeExpectancyData[[#This Row],[Life expectancy]:[Schooling]])=19</f>
        <v>0</v>
      </c>
    </row>
    <row r="2462" spans="1:23" x14ac:dyDescent="0.25">
      <c r="A2462" t="s">
        <v>532</v>
      </c>
      <c r="B2462">
        <v>2012</v>
      </c>
      <c r="C2462" t="s">
        <v>369</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COUNT(LifeExpectancyData[[#This Row],[Life expectancy]:[Schooling]])=19</f>
        <v>0</v>
      </c>
    </row>
    <row r="2463" spans="1:23" x14ac:dyDescent="0.25">
      <c r="A2463" t="s">
        <v>532</v>
      </c>
      <c r="B2463">
        <v>2011</v>
      </c>
      <c r="C2463" t="s">
        <v>369</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COUNT(LifeExpectancyData[[#This Row],[Life expectancy]:[Schooling]])=19</f>
        <v>0</v>
      </c>
    </row>
    <row r="2464" spans="1:23" x14ac:dyDescent="0.25">
      <c r="A2464" t="s">
        <v>532</v>
      </c>
      <c r="B2464">
        <v>2010</v>
      </c>
      <c r="C2464" t="s">
        <v>369</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COUNT(LifeExpectancyData[[#This Row],[Life expectancy]:[Schooling]])=19</f>
        <v>0</v>
      </c>
    </row>
    <row r="2465" spans="1:23" x14ac:dyDescent="0.25">
      <c r="A2465" t="s">
        <v>532</v>
      </c>
      <c r="B2465">
        <v>2009</v>
      </c>
      <c r="C2465" t="s">
        <v>369</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COUNT(LifeExpectancyData[[#This Row],[Life expectancy]:[Schooling]])=19</f>
        <v>0</v>
      </c>
    </row>
    <row r="2466" spans="1:23" x14ac:dyDescent="0.25">
      <c r="A2466" t="s">
        <v>532</v>
      </c>
      <c r="B2466">
        <v>2008</v>
      </c>
      <c r="C2466" t="s">
        <v>369</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COUNT(LifeExpectancyData[[#This Row],[Life expectancy]:[Schooling]])=19</f>
        <v>0</v>
      </c>
    </row>
    <row r="2467" spans="1:23" x14ac:dyDescent="0.25">
      <c r="A2467" t="s">
        <v>532</v>
      </c>
      <c r="B2467">
        <v>2007</v>
      </c>
      <c r="C2467" t="s">
        <v>369</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COUNT(LifeExpectancyData[[#This Row],[Life expectancy]:[Schooling]])=19</f>
        <v>0</v>
      </c>
    </row>
    <row r="2468" spans="1:23" x14ac:dyDescent="0.25">
      <c r="A2468" t="s">
        <v>532</v>
      </c>
      <c r="B2468">
        <v>2006</v>
      </c>
      <c r="C2468" t="s">
        <v>369</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COUNT(LifeExpectancyData[[#This Row],[Life expectancy]:[Schooling]])=19</f>
        <v>0</v>
      </c>
    </row>
    <row r="2469" spans="1:23" x14ac:dyDescent="0.25">
      <c r="A2469" t="s">
        <v>532</v>
      </c>
      <c r="B2469">
        <v>2005</v>
      </c>
      <c r="C2469" t="s">
        <v>369</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COUNT(LifeExpectancyData[[#This Row],[Life expectancy]:[Schooling]])=19</f>
        <v>0</v>
      </c>
    </row>
    <row r="2470" spans="1:23" x14ac:dyDescent="0.25">
      <c r="A2470" t="s">
        <v>532</v>
      </c>
      <c r="B2470">
        <v>2004</v>
      </c>
      <c r="C2470" t="s">
        <v>369</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COUNT(LifeExpectancyData[[#This Row],[Life expectancy]:[Schooling]])=19</f>
        <v>0</v>
      </c>
    </row>
    <row r="2471" spans="1:23" x14ac:dyDescent="0.25">
      <c r="A2471" t="s">
        <v>532</v>
      </c>
      <c r="B2471">
        <v>2003</v>
      </c>
      <c r="C2471" t="s">
        <v>369</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COUNT(LifeExpectancyData[[#This Row],[Life expectancy]:[Schooling]])=19</f>
        <v>0</v>
      </c>
    </row>
    <row r="2472" spans="1:23" x14ac:dyDescent="0.25">
      <c r="A2472" t="s">
        <v>532</v>
      </c>
      <c r="B2472">
        <v>2002</v>
      </c>
      <c r="C2472" t="s">
        <v>369</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COUNT(LifeExpectancyData[[#This Row],[Life expectancy]:[Schooling]])=19</f>
        <v>0</v>
      </c>
    </row>
    <row r="2473" spans="1:23" x14ac:dyDescent="0.25">
      <c r="A2473" t="s">
        <v>532</v>
      </c>
      <c r="B2473">
        <v>2001</v>
      </c>
      <c r="C2473" t="s">
        <v>369</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COUNT(LifeExpectancyData[[#This Row],[Life expectancy]:[Schooling]])=19</f>
        <v>0</v>
      </c>
    </row>
    <row r="2474" spans="1:23" x14ac:dyDescent="0.25">
      <c r="A2474" t="s">
        <v>532</v>
      </c>
      <c r="B2474">
        <v>2000</v>
      </c>
      <c r="C2474" t="s">
        <v>369</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COUNT(LifeExpectancyData[[#This Row],[Life expectancy]:[Schooling]])=19</f>
        <v>0</v>
      </c>
    </row>
    <row r="2475" spans="1:23" x14ac:dyDescent="0.25">
      <c r="A2475" t="s">
        <v>533</v>
      </c>
      <c r="B2475">
        <v>2015</v>
      </c>
      <c r="C2475" t="s">
        <v>369</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COUNT(LifeExpectancyData[[#This Row],[Life expectancy]:[Schooling]])=19</f>
        <v>0</v>
      </c>
    </row>
    <row r="2476" spans="1:23" x14ac:dyDescent="0.25">
      <c r="A2476" t="s">
        <v>533</v>
      </c>
      <c r="B2476">
        <v>2014</v>
      </c>
      <c r="C2476" t="s">
        <v>369</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COUNT(LifeExpectancyData[[#This Row],[Life expectancy]:[Schooling]])=19</f>
        <v>1</v>
      </c>
    </row>
    <row r="2477" spans="1:23" x14ac:dyDescent="0.25">
      <c r="A2477" t="s">
        <v>533</v>
      </c>
      <c r="B2477">
        <v>2013</v>
      </c>
      <c r="C2477" t="s">
        <v>369</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COUNT(LifeExpectancyData[[#This Row],[Life expectancy]:[Schooling]])=19</f>
        <v>1</v>
      </c>
    </row>
    <row r="2478" spans="1:23" x14ac:dyDescent="0.25">
      <c r="A2478" t="s">
        <v>533</v>
      </c>
      <c r="B2478">
        <v>2012</v>
      </c>
      <c r="C2478" t="s">
        <v>369</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COUNT(LifeExpectancyData[[#This Row],[Life expectancy]:[Schooling]])=19</f>
        <v>1</v>
      </c>
    </row>
    <row r="2479" spans="1:23" x14ac:dyDescent="0.25">
      <c r="A2479" t="s">
        <v>533</v>
      </c>
      <c r="B2479">
        <v>2011</v>
      </c>
      <c r="C2479" t="s">
        <v>369</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COUNT(LifeExpectancyData[[#This Row],[Life expectancy]:[Schooling]])=19</f>
        <v>1</v>
      </c>
    </row>
    <row r="2480" spans="1:23" x14ac:dyDescent="0.25">
      <c r="A2480" t="s">
        <v>533</v>
      </c>
      <c r="B2480">
        <v>2010</v>
      </c>
      <c r="C2480" t="s">
        <v>369</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COUNT(LifeExpectancyData[[#This Row],[Life expectancy]:[Schooling]])=19</f>
        <v>1</v>
      </c>
    </row>
    <row r="2481" spans="1:23" x14ac:dyDescent="0.25">
      <c r="A2481" t="s">
        <v>533</v>
      </c>
      <c r="B2481">
        <v>2009</v>
      </c>
      <c r="C2481" t="s">
        <v>369</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COUNT(LifeExpectancyData[[#This Row],[Life expectancy]:[Schooling]])=19</f>
        <v>1</v>
      </c>
    </row>
    <row r="2482" spans="1:23" x14ac:dyDescent="0.25">
      <c r="A2482" t="s">
        <v>533</v>
      </c>
      <c r="B2482">
        <v>2008</v>
      </c>
      <c r="C2482" t="s">
        <v>369</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COUNT(LifeExpectancyData[[#This Row],[Life expectancy]:[Schooling]])=19</f>
        <v>1</v>
      </c>
    </row>
    <row r="2483" spans="1:23" x14ac:dyDescent="0.25">
      <c r="A2483" t="s">
        <v>533</v>
      </c>
      <c r="B2483">
        <v>2007</v>
      </c>
      <c r="C2483" t="s">
        <v>369</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COUNT(LifeExpectancyData[[#This Row],[Life expectancy]:[Schooling]])=19</f>
        <v>1</v>
      </c>
    </row>
    <row r="2484" spans="1:23" x14ac:dyDescent="0.25">
      <c r="A2484" t="s">
        <v>533</v>
      </c>
      <c r="B2484">
        <v>2006</v>
      </c>
      <c r="C2484" t="s">
        <v>369</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COUNT(LifeExpectancyData[[#This Row],[Life expectancy]:[Schooling]])=19</f>
        <v>1</v>
      </c>
    </row>
    <row r="2485" spans="1:23" x14ac:dyDescent="0.25">
      <c r="A2485" t="s">
        <v>533</v>
      </c>
      <c r="B2485">
        <v>2005</v>
      </c>
      <c r="C2485" t="s">
        <v>369</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COUNT(LifeExpectancyData[[#This Row],[Life expectancy]:[Schooling]])=19</f>
        <v>1</v>
      </c>
    </row>
    <row r="2486" spans="1:23" x14ac:dyDescent="0.25">
      <c r="A2486" t="s">
        <v>533</v>
      </c>
      <c r="B2486">
        <v>2004</v>
      </c>
      <c r="C2486" t="s">
        <v>369</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COUNT(LifeExpectancyData[[#This Row],[Life expectancy]:[Schooling]])=19</f>
        <v>0</v>
      </c>
    </row>
    <row r="2487" spans="1:23" x14ac:dyDescent="0.25">
      <c r="A2487" t="s">
        <v>533</v>
      </c>
      <c r="B2487">
        <v>2003</v>
      </c>
      <c r="C2487" t="s">
        <v>369</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COUNT(LifeExpectancyData[[#This Row],[Life expectancy]:[Schooling]])=19</f>
        <v>0</v>
      </c>
    </row>
    <row r="2488" spans="1:23" x14ac:dyDescent="0.25">
      <c r="A2488" t="s">
        <v>533</v>
      </c>
      <c r="B2488">
        <v>2002</v>
      </c>
      <c r="C2488" t="s">
        <v>369</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COUNT(LifeExpectancyData[[#This Row],[Life expectancy]:[Schooling]])=19</f>
        <v>0</v>
      </c>
    </row>
    <row r="2489" spans="1:23" x14ac:dyDescent="0.25">
      <c r="A2489" t="s">
        <v>533</v>
      </c>
      <c r="B2489">
        <v>2001</v>
      </c>
      <c r="C2489" t="s">
        <v>369</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COUNT(LifeExpectancyData[[#This Row],[Life expectancy]:[Schooling]])=19</f>
        <v>0</v>
      </c>
    </row>
    <row r="2490" spans="1:23" x14ac:dyDescent="0.25">
      <c r="A2490" t="s">
        <v>533</v>
      </c>
      <c r="B2490">
        <v>2000</v>
      </c>
      <c r="C2490" t="s">
        <v>369</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COUNT(LifeExpectancyData[[#This Row],[Life expectancy]:[Schooling]])=19</f>
        <v>0</v>
      </c>
    </row>
    <row r="2491" spans="1:23" x14ac:dyDescent="0.25">
      <c r="A2491" t="s">
        <v>534</v>
      </c>
      <c r="B2491">
        <v>2015</v>
      </c>
      <c r="C2491" t="s">
        <v>369</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COUNT(LifeExpectancyData[[#This Row],[Life expectancy]:[Schooling]])=19</f>
        <v>0</v>
      </c>
    </row>
    <row r="2492" spans="1:23" x14ac:dyDescent="0.25">
      <c r="A2492" t="s">
        <v>534</v>
      </c>
      <c r="B2492">
        <v>2014</v>
      </c>
      <c r="C2492" t="s">
        <v>369</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COUNT(LifeExpectancyData[[#This Row],[Life expectancy]:[Schooling]])=19</f>
        <v>1</v>
      </c>
    </row>
    <row r="2493" spans="1:23" x14ac:dyDescent="0.25">
      <c r="A2493" t="s">
        <v>534</v>
      </c>
      <c r="B2493">
        <v>2013</v>
      </c>
      <c r="C2493" t="s">
        <v>369</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COUNT(LifeExpectancyData[[#This Row],[Life expectancy]:[Schooling]])=19</f>
        <v>1</v>
      </c>
    </row>
    <row r="2494" spans="1:23" x14ac:dyDescent="0.25">
      <c r="A2494" t="s">
        <v>534</v>
      </c>
      <c r="B2494">
        <v>2012</v>
      </c>
      <c r="C2494" t="s">
        <v>369</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COUNT(LifeExpectancyData[[#This Row],[Life expectancy]:[Schooling]])=19</f>
        <v>1</v>
      </c>
    </row>
    <row r="2495" spans="1:23" x14ac:dyDescent="0.25">
      <c r="A2495" t="s">
        <v>534</v>
      </c>
      <c r="B2495">
        <v>2011</v>
      </c>
      <c r="C2495" t="s">
        <v>369</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COUNT(LifeExpectancyData[[#This Row],[Life expectancy]:[Schooling]])=19</f>
        <v>1</v>
      </c>
    </row>
    <row r="2496" spans="1:23" x14ac:dyDescent="0.25">
      <c r="A2496" t="s">
        <v>534</v>
      </c>
      <c r="B2496">
        <v>2010</v>
      </c>
      <c r="C2496" t="s">
        <v>369</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COUNT(LifeExpectancyData[[#This Row],[Life expectancy]:[Schooling]])=19</f>
        <v>1</v>
      </c>
    </row>
    <row r="2497" spans="1:23" x14ac:dyDescent="0.25">
      <c r="A2497" t="s">
        <v>534</v>
      </c>
      <c r="B2497">
        <v>2009</v>
      </c>
      <c r="C2497" t="s">
        <v>369</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COUNT(LifeExpectancyData[[#This Row],[Life expectancy]:[Schooling]])=19</f>
        <v>1</v>
      </c>
    </row>
    <row r="2498" spans="1:23" x14ac:dyDescent="0.25">
      <c r="A2498" t="s">
        <v>534</v>
      </c>
      <c r="B2498">
        <v>2008</v>
      </c>
      <c r="C2498" t="s">
        <v>369</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COUNT(LifeExpectancyData[[#This Row],[Life expectancy]:[Schooling]])=19</f>
        <v>1</v>
      </c>
    </row>
    <row r="2499" spans="1:23" x14ac:dyDescent="0.25">
      <c r="A2499" t="s">
        <v>534</v>
      </c>
      <c r="B2499">
        <v>2007</v>
      </c>
      <c r="C2499" t="s">
        <v>369</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COUNT(LifeExpectancyData[[#This Row],[Life expectancy]:[Schooling]])=19</f>
        <v>1</v>
      </c>
    </row>
    <row r="2500" spans="1:23" x14ac:dyDescent="0.25">
      <c r="A2500" t="s">
        <v>534</v>
      </c>
      <c r="B2500">
        <v>2006</v>
      </c>
      <c r="C2500" t="s">
        <v>369</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COUNT(LifeExpectancyData[[#This Row],[Life expectancy]:[Schooling]])=19</f>
        <v>1</v>
      </c>
    </row>
    <row r="2501" spans="1:23" x14ac:dyDescent="0.25">
      <c r="A2501" t="s">
        <v>534</v>
      </c>
      <c r="B2501">
        <v>2005</v>
      </c>
      <c r="C2501" t="s">
        <v>369</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COUNT(LifeExpectancyData[[#This Row],[Life expectancy]:[Schooling]])=19</f>
        <v>1</v>
      </c>
    </row>
    <row r="2502" spans="1:23" x14ac:dyDescent="0.25">
      <c r="A2502" t="s">
        <v>534</v>
      </c>
      <c r="B2502">
        <v>2004</v>
      </c>
      <c r="C2502" t="s">
        <v>369</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COUNT(LifeExpectancyData[[#This Row],[Life expectancy]:[Schooling]])=19</f>
        <v>1</v>
      </c>
    </row>
    <row r="2503" spans="1:23" x14ac:dyDescent="0.25">
      <c r="A2503" t="s">
        <v>534</v>
      </c>
      <c r="B2503">
        <v>2003</v>
      </c>
      <c r="C2503" t="s">
        <v>369</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COUNT(LifeExpectancyData[[#This Row],[Life expectancy]:[Schooling]])=19</f>
        <v>1</v>
      </c>
    </row>
    <row r="2504" spans="1:23" x14ac:dyDescent="0.25">
      <c r="A2504" t="s">
        <v>534</v>
      </c>
      <c r="B2504">
        <v>2002</v>
      </c>
      <c r="C2504" t="s">
        <v>369</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COUNT(LifeExpectancyData[[#This Row],[Life expectancy]:[Schooling]])=19</f>
        <v>1</v>
      </c>
    </row>
    <row r="2505" spans="1:23" x14ac:dyDescent="0.25">
      <c r="A2505" t="s">
        <v>534</v>
      </c>
      <c r="B2505">
        <v>2001</v>
      </c>
      <c r="C2505" t="s">
        <v>369</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COUNT(LifeExpectancyData[[#This Row],[Life expectancy]:[Schooling]])=19</f>
        <v>1</v>
      </c>
    </row>
    <row r="2506" spans="1:23" x14ac:dyDescent="0.25">
      <c r="A2506" t="s">
        <v>534</v>
      </c>
      <c r="B2506">
        <v>2000</v>
      </c>
      <c r="C2506" t="s">
        <v>369</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COUNT(LifeExpectancyData[[#This Row],[Life expectancy]:[Schooling]])=19</f>
        <v>1</v>
      </c>
    </row>
    <row r="2507" spans="1:23" x14ac:dyDescent="0.25">
      <c r="A2507" t="s">
        <v>535</v>
      </c>
      <c r="B2507">
        <v>2015</v>
      </c>
      <c r="C2507" t="s">
        <v>377</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COUNT(LifeExpectancyData[[#This Row],[Life expectancy]:[Schooling]])=19</f>
        <v>0</v>
      </c>
    </row>
    <row r="2508" spans="1:23" x14ac:dyDescent="0.25">
      <c r="A2508" t="s">
        <v>535</v>
      </c>
      <c r="B2508">
        <v>2014</v>
      </c>
      <c r="C2508" t="s">
        <v>377</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COUNT(LifeExpectancyData[[#This Row],[Life expectancy]:[Schooling]])=19</f>
        <v>1</v>
      </c>
    </row>
    <row r="2509" spans="1:23" x14ac:dyDescent="0.25">
      <c r="A2509" t="s">
        <v>535</v>
      </c>
      <c r="B2509">
        <v>2013</v>
      </c>
      <c r="C2509" t="s">
        <v>377</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COUNT(LifeExpectancyData[[#This Row],[Life expectancy]:[Schooling]])=19</f>
        <v>1</v>
      </c>
    </row>
    <row r="2510" spans="1:23" x14ac:dyDescent="0.25">
      <c r="A2510" t="s">
        <v>535</v>
      </c>
      <c r="B2510">
        <v>2012</v>
      </c>
      <c r="C2510" t="s">
        <v>377</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COUNT(LifeExpectancyData[[#This Row],[Life expectancy]:[Schooling]])=19</f>
        <v>1</v>
      </c>
    </row>
    <row r="2511" spans="1:23" x14ac:dyDescent="0.25">
      <c r="A2511" t="s">
        <v>535</v>
      </c>
      <c r="B2511">
        <v>2011</v>
      </c>
      <c r="C2511" t="s">
        <v>377</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COUNT(LifeExpectancyData[[#This Row],[Life expectancy]:[Schooling]])=19</f>
        <v>1</v>
      </c>
    </row>
    <row r="2512" spans="1:23" x14ac:dyDescent="0.25">
      <c r="A2512" t="s">
        <v>535</v>
      </c>
      <c r="B2512">
        <v>2010</v>
      </c>
      <c r="C2512" t="s">
        <v>377</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COUNT(LifeExpectancyData[[#This Row],[Life expectancy]:[Schooling]])=19</f>
        <v>0</v>
      </c>
    </row>
    <row r="2513" spans="1:23" x14ac:dyDescent="0.25">
      <c r="A2513" t="s">
        <v>535</v>
      </c>
      <c r="B2513">
        <v>2009</v>
      </c>
      <c r="C2513" t="s">
        <v>377</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COUNT(LifeExpectancyData[[#This Row],[Life expectancy]:[Schooling]])=19</f>
        <v>0</v>
      </c>
    </row>
    <row r="2514" spans="1:23" x14ac:dyDescent="0.25">
      <c r="A2514" t="s">
        <v>535</v>
      </c>
      <c r="B2514">
        <v>2008</v>
      </c>
      <c r="C2514" t="s">
        <v>377</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COUNT(LifeExpectancyData[[#This Row],[Life expectancy]:[Schooling]])=19</f>
        <v>0</v>
      </c>
    </row>
    <row r="2515" spans="1:23" x14ac:dyDescent="0.25">
      <c r="A2515" t="s">
        <v>535</v>
      </c>
      <c r="B2515">
        <v>2007</v>
      </c>
      <c r="C2515" t="s">
        <v>377</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COUNT(LifeExpectancyData[[#This Row],[Life expectancy]:[Schooling]])=19</f>
        <v>0</v>
      </c>
    </row>
    <row r="2516" spans="1:23" x14ac:dyDescent="0.25">
      <c r="A2516" t="s">
        <v>535</v>
      </c>
      <c r="B2516">
        <v>2006</v>
      </c>
      <c r="C2516" t="s">
        <v>377</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COUNT(LifeExpectancyData[[#This Row],[Life expectancy]:[Schooling]])=19</f>
        <v>0</v>
      </c>
    </row>
    <row r="2517" spans="1:23" x14ac:dyDescent="0.25">
      <c r="A2517" t="s">
        <v>535</v>
      </c>
      <c r="B2517">
        <v>2005</v>
      </c>
      <c r="C2517" t="s">
        <v>377</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COUNT(LifeExpectancyData[[#This Row],[Life expectancy]:[Schooling]])=19</f>
        <v>0</v>
      </c>
    </row>
    <row r="2518" spans="1:23" x14ac:dyDescent="0.25">
      <c r="A2518" t="s">
        <v>535</v>
      </c>
      <c r="B2518">
        <v>2004</v>
      </c>
      <c r="C2518" t="s">
        <v>377</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COUNT(LifeExpectancyData[[#This Row],[Life expectancy]:[Schooling]])=19</f>
        <v>0</v>
      </c>
    </row>
    <row r="2519" spans="1:23" x14ac:dyDescent="0.25">
      <c r="A2519" t="s">
        <v>535</v>
      </c>
      <c r="B2519">
        <v>2003</v>
      </c>
      <c r="C2519" t="s">
        <v>377</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COUNT(LifeExpectancyData[[#This Row],[Life expectancy]:[Schooling]])=19</f>
        <v>0</v>
      </c>
    </row>
    <row r="2520" spans="1:23" x14ac:dyDescent="0.25">
      <c r="A2520" t="s">
        <v>535</v>
      </c>
      <c r="B2520">
        <v>2002</v>
      </c>
      <c r="C2520" t="s">
        <v>377</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COUNT(LifeExpectancyData[[#This Row],[Life expectancy]:[Schooling]])=19</f>
        <v>0</v>
      </c>
    </row>
    <row r="2521" spans="1:23" x14ac:dyDescent="0.25">
      <c r="A2521" t="s">
        <v>535</v>
      </c>
      <c r="B2521">
        <v>2001</v>
      </c>
      <c r="C2521" t="s">
        <v>377</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COUNT(LifeExpectancyData[[#This Row],[Life expectancy]:[Schooling]])=19</f>
        <v>0</v>
      </c>
    </row>
    <row r="2522" spans="1:23" x14ac:dyDescent="0.25">
      <c r="A2522" t="s">
        <v>535</v>
      </c>
      <c r="B2522">
        <v>2000</v>
      </c>
      <c r="C2522" t="s">
        <v>377</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COUNT(LifeExpectancyData[[#This Row],[Life expectancy]:[Schooling]])=19</f>
        <v>0</v>
      </c>
    </row>
    <row r="2523" spans="1:23" x14ac:dyDescent="0.25">
      <c r="A2523" t="s">
        <v>536</v>
      </c>
      <c r="B2523">
        <v>2015</v>
      </c>
      <c r="C2523" t="s">
        <v>377</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COUNT(LifeExpectancyData[[#This Row],[Life expectancy]:[Schooling]])=19</f>
        <v>0</v>
      </c>
    </row>
    <row r="2524" spans="1:23" x14ac:dyDescent="0.25">
      <c r="A2524" t="s">
        <v>536</v>
      </c>
      <c r="B2524">
        <v>2014</v>
      </c>
      <c r="C2524" t="s">
        <v>377</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COUNT(LifeExpectancyData[[#This Row],[Life expectancy]:[Schooling]])=19</f>
        <v>0</v>
      </c>
    </row>
    <row r="2525" spans="1:23" x14ac:dyDescent="0.25">
      <c r="A2525" t="s">
        <v>536</v>
      </c>
      <c r="B2525">
        <v>2013</v>
      </c>
      <c r="C2525" t="s">
        <v>377</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COUNT(LifeExpectancyData[[#This Row],[Life expectancy]:[Schooling]])=19</f>
        <v>0</v>
      </c>
    </row>
    <row r="2526" spans="1:23" x14ac:dyDescent="0.25">
      <c r="A2526" t="s">
        <v>536</v>
      </c>
      <c r="B2526">
        <v>2012</v>
      </c>
      <c r="C2526" t="s">
        <v>377</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COUNT(LifeExpectancyData[[#This Row],[Life expectancy]:[Schooling]])=19</f>
        <v>0</v>
      </c>
    </row>
    <row r="2527" spans="1:23" x14ac:dyDescent="0.25">
      <c r="A2527" t="s">
        <v>536</v>
      </c>
      <c r="B2527">
        <v>2011</v>
      </c>
      <c r="C2527" t="s">
        <v>377</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COUNT(LifeExpectancyData[[#This Row],[Life expectancy]:[Schooling]])=19</f>
        <v>0</v>
      </c>
    </row>
    <row r="2528" spans="1:23" x14ac:dyDescent="0.25">
      <c r="A2528" t="s">
        <v>536</v>
      </c>
      <c r="B2528">
        <v>2010</v>
      </c>
      <c r="C2528" t="s">
        <v>377</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COUNT(LifeExpectancyData[[#This Row],[Life expectancy]:[Schooling]])=19</f>
        <v>0</v>
      </c>
    </row>
    <row r="2529" spans="1:23" x14ac:dyDescent="0.25">
      <c r="A2529" t="s">
        <v>536</v>
      </c>
      <c r="B2529">
        <v>2009</v>
      </c>
      <c r="C2529" t="s">
        <v>377</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COUNT(LifeExpectancyData[[#This Row],[Life expectancy]:[Schooling]])=19</f>
        <v>0</v>
      </c>
    </row>
    <row r="2530" spans="1:23" x14ac:dyDescent="0.25">
      <c r="A2530" t="s">
        <v>536</v>
      </c>
      <c r="B2530">
        <v>2008</v>
      </c>
      <c r="C2530" t="s">
        <v>377</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COUNT(LifeExpectancyData[[#This Row],[Life expectancy]:[Schooling]])=19</f>
        <v>0</v>
      </c>
    </row>
    <row r="2531" spans="1:23" x14ac:dyDescent="0.25">
      <c r="A2531" t="s">
        <v>536</v>
      </c>
      <c r="B2531">
        <v>2007</v>
      </c>
      <c r="C2531" t="s">
        <v>377</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COUNT(LifeExpectancyData[[#This Row],[Life expectancy]:[Schooling]])=19</f>
        <v>0</v>
      </c>
    </row>
    <row r="2532" spans="1:23" x14ac:dyDescent="0.25">
      <c r="A2532" t="s">
        <v>536</v>
      </c>
      <c r="B2532">
        <v>2006</v>
      </c>
      <c r="C2532" t="s">
        <v>377</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COUNT(LifeExpectancyData[[#This Row],[Life expectancy]:[Schooling]])=19</f>
        <v>0</v>
      </c>
    </row>
    <row r="2533" spans="1:23" x14ac:dyDescent="0.25">
      <c r="A2533" t="s">
        <v>536</v>
      </c>
      <c r="B2533">
        <v>2005</v>
      </c>
      <c r="C2533" t="s">
        <v>377</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COUNT(LifeExpectancyData[[#This Row],[Life expectancy]:[Schooling]])=19</f>
        <v>0</v>
      </c>
    </row>
    <row r="2534" spans="1:23" x14ac:dyDescent="0.25">
      <c r="A2534" t="s">
        <v>536</v>
      </c>
      <c r="B2534">
        <v>2004</v>
      </c>
      <c r="C2534" t="s">
        <v>377</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COUNT(LifeExpectancyData[[#This Row],[Life expectancy]:[Schooling]])=19</f>
        <v>0</v>
      </c>
    </row>
    <row r="2535" spans="1:23" x14ac:dyDescent="0.25">
      <c r="A2535" t="s">
        <v>536</v>
      </c>
      <c r="B2535">
        <v>2003</v>
      </c>
      <c r="C2535" t="s">
        <v>377</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COUNT(LifeExpectancyData[[#This Row],[Life expectancy]:[Schooling]])=19</f>
        <v>0</v>
      </c>
    </row>
    <row r="2536" spans="1:23" x14ac:dyDescent="0.25">
      <c r="A2536" t="s">
        <v>536</v>
      </c>
      <c r="B2536">
        <v>2002</v>
      </c>
      <c r="C2536" t="s">
        <v>377</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COUNT(LifeExpectancyData[[#This Row],[Life expectancy]:[Schooling]])=19</f>
        <v>0</v>
      </c>
    </row>
    <row r="2537" spans="1:23" x14ac:dyDescent="0.25">
      <c r="A2537" t="s">
        <v>536</v>
      </c>
      <c r="B2537">
        <v>2001</v>
      </c>
      <c r="C2537" t="s">
        <v>377</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COUNT(LifeExpectancyData[[#This Row],[Life expectancy]:[Schooling]])=19</f>
        <v>0</v>
      </c>
    </row>
    <row r="2538" spans="1:23" x14ac:dyDescent="0.25">
      <c r="A2538" t="s">
        <v>536</v>
      </c>
      <c r="B2538">
        <v>2000</v>
      </c>
      <c r="C2538" t="s">
        <v>377</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COUNT(LifeExpectancyData[[#This Row],[Life expectancy]:[Schooling]])=19</f>
        <v>0</v>
      </c>
    </row>
    <row r="2539" spans="1:23" x14ac:dyDescent="0.25">
      <c r="A2539" t="s">
        <v>537</v>
      </c>
      <c r="B2539">
        <v>2015</v>
      </c>
      <c r="C2539" t="s">
        <v>369</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COUNT(LifeExpectancyData[[#This Row],[Life expectancy]:[Schooling]])=19</f>
        <v>0</v>
      </c>
    </row>
    <row r="2540" spans="1:23" x14ac:dyDescent="0.25">
      <c r="A2540" t="s">
        <v>537</v>
      </c>
      <c r="B2540">
        <v>2014</v>
      </c>
      <c r="C2540" t="s">
        <v>369</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COUNT(LifeExpectancyData[[#This Row],[Life expectancy]:[Schooling]])=19</f>
        <v>0</v>
      </c>
    </row>
    <row r="2541" spans="1:23" x14ac:dyDescent="0.25">
      <c r="A2541" t="s">
        <v>537</v>
      </c>
      <c r="B2541">
        <v>2013</v>
      </c>
      <c r="C2541" t="s">
        <v>369</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COUNT(LifeExpectancyData[[#This Row],[Life expectancy]:[Schooling]])=19</f>
        <v>0</v>
      </c>
    </row>
    <row r="2542" spans="1:23" x14ac:dyDescent="0.25">
      <c r="A2542" t="s">
        <v>537</v>
      </c>
      <c r="B2542">
        <v>2012</v>
      </c>
      <c r="C2542" t="s">
        <v>369</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COUNT(LifeExpectancyData[[#This Row],[Life expectancy]:[Schooling]])=19</f>
        <v>0</v>
      </c>
    </row>
    <row r="2543" spans="1:23" x14ac:dyDescent="0.25">
      <c r="A2543" t="s">
        <v>537</v>
      </c>
      <c r="B2543">
        <v>2011</v>
      </c>
      <c r="C2543" t="s">
        <v>369</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COUNT(LifeExpectancyData[[#This Row],[Life expectancy]:[Schooling]])=19</f>
        <v>0</v>
      </c>
    </row>
    <row r="2544" spans="1:23" x14ac:dyDescent="0.25">
      <c r="A2544" t="s">
        <v>537</v>
      </c>
      <c r="B2544">
        <v>2010</v>
      </c>
      <c r="C2544" t="s">
        <v>369</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COUNT(LifeExpectancyData[[#This Row],[Life expectancy]:[Schooling]])=19</f>
        <v>0</v>
      </c>
    </row>
    <row r="2545" spans="1:23" x14ac:dyDescent="0.25">
      <c r="A2545" t="s">
        <v>537</v>
      </c>
      <c r="B2545">
        <v>2009</v>
      </c>
      <c r="C2545" t="s">
        <v>369</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COUNT(LifeExpectancyData[[#This Row],[Life expectancy]:[Schooling]])=19</f>
        <v>0</v>
      </c>
    </row>
    <row r="2546" spans="1:23" x14ac:dyDescent="0.25">
      <c r="A2546" t="s">
        <v>537</v>
      </c>
      <c r="B2546">
        <v>2008</v>
      </c>
      <c r="C2546" t="s">
        <v>369</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COUNT(LifeExpectancyData[[#This Row],[Life expectancy]:[Schooling]])=19</f>
        <v>0</v>
      </c>
    </row>
    <row r="2547" spans="1:23" x14ac:dyDescent="0.25">
      <c r="A2547" t="s">
        <v>537</v>
      </c>
      <c r="B2547">
        <v>2007</v>
      </c>
      <c r="C2547" t="s">
        <v>369</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COUNT(LifeExpectancyData[[#This Row],[Life expectancy]:[Schooling]])=19</f>
        <v>1</v>
      </c>
    </row>
    <row r="2548" spans="1:23" x14ac:dyDescent="0.25">
      <c r="A2548" t="s">
        <v>537</v>
      </c>
      <c r="B2548">
        <v>2006</v>
      </c>
      <c r="C2548" t="s">
        <v>369</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COUNT(LifeExpectancyData[[#This Row],[Life expectancy]:[Schooling]])=19</f>
        <v>1</v>
      </c>
    </row>
    <row r="2549" spans="1:23" x14ac:dyDescent="0.25">
      <c r="A2549" t="s">
        <v>537</v>
      </c>
      <c r="B2549">
        <v>2005</v>
      </c>
      <c r="C2549" t="s">
        <v>369</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COUNT(LifeExpectancyData[[#This Row],[Life expectancy]:[Schooling]])=19</f>
        <v>1</v>
      </c>
    </row>
    <row r="2550" spans="1:23" x14ac:dyDescent="0.25">
      <c r="A2550" t="s">
        <v>537</v>
      </c>
      <c r="B2550">
        <v>2004</v>
      </c>
      <c r="C2550" t="s">
        <v>369</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COUNT(LifeExpectancyData[[#This Row],[Life expectancy]:[Schooling]])=19</f>
        <v>1</v>
      </c>
    </row>
    <row r="2551" spans="1:23" x14ac:dyDescent="0.25">
      <c r="A2551" t="s">
        <v>537</v>
      </c>
      <c r="B2551">
        <v>2003</v>
      </c>
      <c r="C2551" t="s">
        <v>369</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COUNT(LifeExpectancyData[[#This Row],[Life expectancy]:[Schooling]])=19</f>
        <v>1</v>
      </c>
    </row>
    <row r="2552" spans="1:23" x14ac:dyDescent="0.25">
      <c r="A2552" t="s">
        <v>537</v>
      </c>
      <c r="B2552">
        <v>2002</v>
      </c>
      <c r="C2552" t="s">
        <v>369</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COUNT(LifeExpectancyData[[#This Row],[Life expectancy]:[Schooling]])=19</f>
        <v>1</v>
      </c>
    </row>
    <row r="2553" spans="1:23" x14ac:dyDescent="0.25">
      <c r="A2553" t="s">
        <v>537</v>
      </c>
      <c r="B2553">
        <v>2001</v>
      </c>
      <c r="C2553" t="s">
        <v>369</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COUNT(LifeExpectancyData[[#This Row],[Life expectancy]:[Schooling]])=19</f>
        <v>1</v>
      </c>
    </row>
    <row r="2554" spans="1:23" x14ac:dyDescent="0.25">
      <c r="A2554" t="s">
        <v>537</v>
      </c>
      <c r="B2554">
        <v>2000</v>
      </c>
      <c r="C2554" t="s">
        <v>369</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COUNT(LifeExpectancyData[[#This Row],[Life expectancy]:[Schooling]])=19</f>
        <v>1</v>
      </c>
    </row>
    <row r="2555" spans="1:23" x14ac:dyDescent="0.25">
      <c r="A2555" t="s">
        <v>538</v>
      </c>
      <c r="B2555">
        <v>2015</v>
      </c>
      <c r="C2555" t="s">
        <v>369</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COUNT(LifeExpectancyData[[#This Row],[Life expectancy]:[Schooling]])=19</f>
        <v>0</v>
      </c>
    </row>
    <row r="2556" spans="1:23" x14ac:dyDescent="0.25">
      <c r="A2556" t="s">
        <v>538</v>
      </c>
      <c r="B2556">
        <v>2014</v>
      </c>
      <c r="C2556" t="s">
        <v>369</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COUNT(LifeExpectancyData[[#This Row],[Life expectancy]:[Schooling]])=19</f>
        <v>1</v>
      </c>
    </row>
    <row r="2557" spans="1:23" x14ac:dyDescent="0.25">
      <c r="A2557" t="s">
        <v>538</v>
      </c>
      <c r="B2557">
        <v>2013</v>
      </c>
      <c r="C2557" t="s">
        <v>369</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COUNT(LifeExpectancyData[[#This Row],[Life expectancy]:[Schooling]])=19</f>
        <v>1</v>
      </c>
    </row>
    <row r="2558" spans="1:23" x14ac:dyDescent="0.25">
      <c r="A2558" t="s">
        <v>538</v>
      </c>
      <c r="B2558">
        <v>2012</v>
      </c>
      <c r="C2558" t="s">
        <v>369</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COUNT(LifeExpectancyData[[#This Row],[Life expectancy]:[Schooling]])=19</f>
        <v>1</v>
      </c>
    </row>
    <row r="2559" spans="1:23" x14ac:dyDescent="0.25">
      <c r="A2559" t="s">
        <v>538</v>
      </c>
      <c r="B2559">
        <v>2011</v>
      </c>
      <c r="C2559" t="s">
        <v>369</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COUNT(LifeExpectancyData[[#This Row],[Life expectancy]:[Schooling]])=19</f>
        <v>1</v>
      </c>
    </row>
    <row r="2560" spans="1:23" x14ac:dyDescent="0.25">
      <c r="A2560" t="s">
        <v>538</v>
      </c>
      <c r="B2560">
        <v>2010</v>
      </c>
      <c r="C2560" t="s">
        <v>369</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COUNT(LifeExpectancyData[[#This Row],[Life expectancy]:[Schooling]])=19</f>
        <v>1</v>
      </c>
    </row>
    <row r="2561" spans="1:23" x14ac:dyDescent="0.25">
      <c r="A2561" t="s">
        <v>538</v>
      </c>
      <c r="B2561">
        <v>2009</v>
      </c>
      <c r="C2561" t="s">
        <v>369</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COUNT(LifeExpectancyData[[#This Row],[Life expectancy]:[Schooling]])=19</f>
        <v>1</v>
      </c>
    </row>
    <row r="2562" spans="1:23" x14ac:dyDescent="0.25">
      <c r="A2562" t="s">
        <v>538</v>
      </c>
      <c r="B2562">
        <v>2008</v>
      </c>
      <c r="C2562" t="s">
        <v>369</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COUNT(LifeExpectancyData[[#This Row],[Life expectancy]:[Schooling]])=19</f>
        <v>1</v>
      </c>
    </row>
    <row r="2563" spans="1:23" x14ac:dyDescent="0.25">
      <c r="A2563" t="s">
        <v>538</v>
      </c>
      <c r="B2563">
        <v>2007</v>
      </c>
      <c r="C2563" t="s">
        <v>369</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COUNT(LifeExpectancyData[[#This Row],[Life expectancy]:[Schooling]])=19</f>
        <v>1</v>
      </c>
    </row>
    <row r="2564" spans="1:23" x14ac:dyDescent="0.25">
      <c r="A2564" t="s">
        <v>538</v>
      </c>
      <c r="B2564">
        <v>2006</v>
      </c>
      <c r="C2564" t="s">
        <v>369</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COUNT(LifeExpectancyData[[#This Row],[Life expectancy]:[Schooling]])=19</f>
        <v>1</v>
      </c>
    </row>
    <row r="2565" spans="1:23" x14ac:dyDescent="0.25">
      <c r="A2565" t="s">
        <v>538</v>
      </c>
      <c r="B2565">
        <v>2005</v>
      </c>
      <c r="C2565" t="s">
        <v>369</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COUNT(LifeExpectancyData[[#This Row],[Life expectancy]:[Schooling]])=19</f>
        <v>1</v>
      </c>
    </row>
    <row r="2566" spans="1:23" x14ac:dyDescent="0.25">
      <c r="A2566" t="s">
        <v>538</v>
      </c>
      <c r="B2566">
        <v>2004</v>
      </c>
      <c r="C2566" t="s">
        <v>369</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COUNT(LifeExpectancyData[[#This Row],[Life expectancy]:[Schooling]])=19</f>
        <v>1</v>
      </c>
    </row>
    <row r="2567" spans="1:23" x14ac:dyDescent="0.25">
      <c r="A2567" t="s">
        <v>538</v>
      </c>
      <c r="B2567">
        <v>2003</v>
      </c>
      <c r="C2567" t="s">
        <v>369</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COUNT(LifeExpectancyData[[#This Row],[Life expectancy]:[Schooling]])=19</f>
        <v>1</v>
      </c>
    </row>
    <row r="2568" spans="1:23" x14ac:dyDescent="0.25">
      <c r="A2568" t="s">
        <v>538</v>
      </c>
      <c r="B2568">
        <v>2002</v>
      </c>
      <c r="C2568" t="s">
        <v>369</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COUNT(LifeExpectancyData[[#This Row],[Life expectancy]:[Schooling]])=19</f>
        <v>1</v>
      </c>
    </row>
    <row r="2569" spans="1:23" x14ac:dyDescent="0.25">
      <c r="A2569" t="s">
        <v>538</v>
      </c>
      <c r="B2569">
        <v>2001</v>
      </c>
      <c r="C2569" t="s">
        <v>369</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COUNT(LifeExpectancyData[[#This Row],[Life expectancy]:[Schooling]])=19</f>
        <v>0</v>
      </c>
    </row>
    <row r="2570" spans="1:23" x14ac:dyDescent="0.25">
      <c r="A2570" t="s">
        <v>538</v>
      </c>
      <c r="B2570">
        <v>2000</v>
      </c>
      <c r="C2570" t="s">
        <v>369</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COUNT(LifeExpectancyData[[#This Row],[Life expectancy]:[Schooling]])=19</f>
        <v>0</v>
      </c>
    </row>
    <row r="2571" spans="1:23" x14ac:dyDescent="0.25">
      <c r="A2571" t="s">
        <v>539</v>
      </c>
      <c r="B2571">
        <v>2015</v>
      </c>
      <c r="C2571" t="s">
        <v>369</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COUNT(LifeExpectancyData[[#This Row],[Life expectancy]:[Schooling]])=19</f>
        <v>0</v>
      </c>
    </row>
    <row r="2572" spans="1:23" x14ac:dyDescent="0.25">
      <c r="A2572" t="s">
        <v>539</v>
      </c>
      <c r="B2572">
        <v>2014</v>
      </c>
      <c r="C2572" t="s">
        <v>369</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COUNT(LifeExpectancyData[[#This Row],[Life expectancy]:[Schooling]])=19</f>
        <v>1</v>
      </c>
    </row>
    <row r="2573" spans="1:23" x14ac:dyDescent="0.25">
      <c r="A2573" t="s">
        <v>539</v>
      </c>
      <c r="B2573">
        <v>2013</v>
      </c>
      <c r="C2573" t="s">
        <v>369</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COUNT(LifeExpectancyData[[#This Row],[Life expectancy]:[Schooling]])=19</f>
        <v>1</v>
      </c>
    </row>
    <row r="2574" spans="1:23" x14ac:dyDescent="0.25">
      <c r="A2574" t="s">
        <v>539</v>
      </c>
      <c r="B2574">
        <v>2012</v>
      </c>
      <c r="C2574" t="s">
        <v>369</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COUNT(LifeExpectancyData[[#This Row],[Life expectancy]:[Schooling]])=19</f>
        <v>1</v>
      </c>
    </row>
    <row r="2575" spans="1:23" x14ac:dyDescent="0.25">
      <c r="A2575" t="s">
        <v>539</v>
      </c>
      <c r="B2575">
        <v>2011</v>
      </c>
      <c r="C2575" t="s">
        <v>369</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COUNT(LifeExpectancyData[[#This Row],[Life expectancy]:[Schooling]])=19</f>
        <v>1</v>
      </c>
    </row>
    <row r="2576" spans="1:23" x14ac:dyDescent="0.25">
      <c r="A2576" t="s">
        <v>539</v>
      </c>
      <c r="B2576">
        <v>2010</v>
      </c>
      <c r="C2576" t="s">
        <v>369</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COUNT(LifeExpectancyData[[#This Row],[Life expectancy]:[Schooling]])=19</f>
        <v>1</v>
      </c>
    </row>
    <row r="2577" spans="1:23" x14ac:dyDescent="0.25">
      <c r="A2577" t="s">
        <v>539</v>
      </c>
      <c r="B2577">
        <v>2009</v>
      </c>
      <c r="C2577" t="s">
        <v>369</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COUNT(LifeExpectancyData[[#This Row],[Life expectancy]:[Schooling]])=19</f>
        <v>1</v>
      </c>
    </row>
    <row r="2578" spans="1:23" x14ac:dyDescent="0.25">
      <c r="A2578" t="s">
        <v>539</v>
      </c>
      <c r="B2578">
        <v>2008</v>
      </c>
      <c r="C2578" t="s">
        <v>369</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COUNT(LifeExpectancyData[[#This Row],[Life expectancy]:[Schooling]])=19</f>
        <v>1</v>
      </c>
    </row>
    <row r="2579" spans="1:23" x14ac:dyDescent="0.25">
      <c r="A2579" t="s">
        <v>539</v>
      </c>
      <c r="B2579">
        <v>2007</v>
      </c>
      <c r="C2579" t="s">
        <v>369</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COUNT(LifeExpectancyData[[#This Row],[Life expectancy]:[Schooling]])=19</f>
        <v>1</v>
      </c>
    </row>
    <row r="2580" spans="1:23" x14ac:dyDescent="0.25">
      <c r="A2580" t="s">
        <v>539</v>
      </c>
      <c r="B2580">
        <v>2006</v>
      </c>
      <c r="C2580" t="s">
        <v>369</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COUNT(LifeExpectancyData[[#This Row],[Life expectancy]:[Schooling]])=19</f>
        <v>1</v>
      </c>
    </row>
    <row r="2581" spans="1:23" x14ac:dyDescent="0.25">
      <c r="A2581" t="s">
        <v>539</v>
      </c>
      <c r="B2581">
        <v>2005</v>
      </c>
      <c r="C2581" t="s">
        <v>369</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COUNT(LifeExpectancyData[[#This Row],[Life expectancy]:[Schooling]])=19</f>
        <v>1</v>
      </c>
    </row>
    <row r="2582" spans="1:23" x14ac:dyDescent="0.25">
      <c r="A2582" t="s">
        <v>539</v>
      </c>
      <c r="B2582">
        <v>2004</v>
      </c>
      <c r="C2582" t="s">
        <v>369</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COUNT(LifeExpectancyData[[#This Row],[Life expectancy]:[Schooling]])=19</f>
        <v>1</v>
      </c>
    </row>
    <row r="2583" spans="1:23" x14ac:dyDescent="0.25">
      <c r="A2583" t="s">
        <v>539</v>
      </c>
      <c r="B2583">
        <v>2003</v>
      </c>
      <c r="C2583" t="s">
        <v>369</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COUNT(LifeExpectancyData[[#This Row],[Life expectancy]:[Schooling]])=19</f>
        <v>1</v>
      </c>
    </row>
    <row r="2584" spans="1:23" x14ac:dyDescent="0.25">
      <c r="A2584" t="s">
        <v>539</v>
      </c>
      <c r="B2584">
        <v>2002</v>
      </c>
      <c r="C2584" t="s">
        <v>369</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COUNT(LifeExpectancyData[[#This Row],[Life expectancy]:[Schooling]])=19</f>
        <v>1</v>
      </c>
    </row>
    <row r="2585" spans="1:23" x14ac:dyDescent="0.25">
      <c r="A2585" t="s">
        <v>539</v>
      </c>
      <c r="B2585">
        <v>2001</v>
      </c>
      <c r="C2585" t="s">
        <v>369</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COUNT(LifeExpectancyData[[#This Row],[Life expectancy]:[Schooling]])=19</f>
        <v>1</v>
      </c>
    </row>
    <row r="2586" spans="1:23" x14ac:dyDescent="0.25">
      <c r="A2586" t="s">
        <v>539</v>
      </c>
      <c r="B2586">
        <v>2000</v>
      </c>
      <c r="C2586" t="s">
        <v>369</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COUNT(LifeExpectancyData[[#This Row],[Life expectancy]:[Schooling]])=19</f>
        <v>1</v>
      </c>
    </row>
    <row r="2587" spans="1:23" x14ac:dyDescent="0.25">
      <c r="A2587" t="s">
        <v>540</v>
      </c>
      <c r="B2587">
        <v>2015</v>
      </c>
      <c r="C2587" t="s">
        <v>369</v>
      </c>
      <c r="D2587">
        <v>75.7</v>
      </c>
      <c r="E2587">
        <v>12</v>
      </c>
      <c r="F2587">
        <v>0</v>
      </c>
      <c r="H2587">
        <v>0</v>
      </c>
      <c r="I2587">
        <v>92</v>
      </c>
      <c r="J2587">
        <v>1</v>
      </c>
      <c r="K2587">
        <v>6.3</v>
      </c>
      <c r="L2587">
        <v>0</v>
      </c>
      <c r="M2587">
        <v>92</v>
      </c>
      <c r="O2587">
        <v>91</v>
      </c>
      <c r="P2587">
        <v>0.1</v>
      </c>
      <c r="S2587">
        <v>2.1</v>
      </c>
      <c r="T2587">
        <v>2.1</v>
      </c>
      <c r="U2587">
        <v>0.746</v>
      </c>
      <c r="V2587">
        <v>12.9</v>
      </c>
      <c r="W2587" t="b">
        <f>COUNT(LifeExpectancyData[[#This Row],[Life expectancy]:[Schooling]])=19</f>
        <v>0</v>
      </c>
    </row>
    <row r="2588" spans="1:23" x14ac:dyDescent="0.25">
      <c r="A2588" t="s">
        <v>540</v>
      </c>
      <c r="B2588">
        <v>2014</v>
      </c>
      <c r="C2588" t="s">
        <v>369</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COUNT(LifeExpectancyData[[#This Row],[Life expectancy]:[Schooling]])=19</f>
        <v>0</v>
      </c>
    </row>
    <row r="2589" spans="1:23" x14ac:dyDescent="0.25">
      <c r="A2589" t="s">
        <v>540</v>
      </c>
      <c r="B2589">
        <v>2013</v>
      </c>
      <c r="C2589" t="s">
        <v>369</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COUNT(LifeExpectancyData[[#This Row],[Life expectancy]:[Schooling]])=19</f>
        <v>0</v>
      </c>
    </row>
    <row r="2590" spans="1:23" x14ac:dyDescent="0.25">
      <c r="A2590" t="s">
        <v>540</v>
      </c>
      <c r="B2590">
        <v>2012</v>
      </c>
      <c r="C2590" t="s">
        <v>369</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COUNT(LifeExpectancyData[[#This Row],[Life expectancy]:[Schooling]])=19</f>
        <v>0</v>
      </c>
    </row>
    <row r="2591" spans="1:23" x14ac:dyDescent="0.25">
      <c r="A2591" t="s">
        <v>540</v>
      </c>
      <c r="B2591">
        <v>2011</v>
      </c>
      <c r="C2591" t="s">
        <v>369</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COUNT(LifeExpectancyData[[#This Row],[Life expectancy]:[Schooling]])=19</f>
        <v>0</v>
      </c>
    </row>
    <row r="2592" spans="1:23" x14ac:dyDescent="0.25">
      <c r="A2592" t="s">
        <v>540</v>
      </c>
      <c r="B2592">
        <v>2010</v>
      </c>
      <c r="C2592" t="s">
        <v>369</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COUNT(LifeExpectancyData[[#This Row],[Life expectancy]:[Schooling]])=19</f>
        <v>0</v>
      </c>
    </row>
    <row r="2593" spans="1:23" x14ac:dyDescent="0.25">
      <c r="A2593" t="s">
        <v>540</v>
      </c>
      <c r="B2593">
        <v>2009</v>
      </c>
      <c r="C2593" t="s">
        <v>369</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COUNT(LifeExpectancyData[[#This Row],[Life expectancy]:[Schooling]])=19</f>
        <v>0</v>
      </c>
    </row>
    <row r="2594" spans="1:23" x14ac:dyDescent="0.25">
      <c r="A2594" t="s">
        <v>540</v>
      </c>
      <c r="B2594">
        <v>2008</v>
      </c>
      <c r="C2594" t="s">
        <v>369</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COUNT(LifeExpectancyData[[#This Row],[Life expectancy]:[Schooling]])=19</f>
        <v>0</v>
      </c>
    </row>
    <row r="2595" spans="1:23" x14ac:dyDescent="0.25">
      <c r="A2595" t="s">
        <v>540</v>
      </c>
      <c r="B2595">
        <v>2007</v>
      </c>
      <c r="C2595" t="s">
        <v>369</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COUNT(LifeExpectancyData[[#This Row],[Life expectancy]:[Schooling]])=19</f>
        <v>0</v>
      </c>
    </row>
    <row r="2596" spans="1:23" x14ac:dyDescent="0.25">
      <c r="A2596" t="s">
        <v>540</v>
      </c>
      <c r="B2596">
        <v>2006</v>
      </c>
      <c r="C2596" t="s">
        <v>369</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COUNT(LifeExpectancyData[[#This Row],[Life expectancy]:[Schooling]])=19</f>
        <v>0</v>
      </c>
    </row>
    <row r="2597" spans="1:23" x14ac:dyDescent="0.25">
      <c r="A2597" t="s">
        <v>540</v>
      </c>
      <c r="B2597">
        <v>2005</v>
      </c>
      <c r="C2597" t="s">
        <v>369</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COUNT(LifeExpectancyData[[#This Row],[Life expectancy]:[Schooling]])=19</f>
        <v>0</v>
      </c>
    </row>
    <row r="2598" spans="1:23" x14ac:dyDescent="0.25">
      <c r="A2598" t="s">
        <v>540</v>
      </c>
      <c r="B2598">
        <v>2004</v>
      </c>
      <c r="C2598" t="s">
        <v>369</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COUNT(LifeExpectancyData[[#This Row],[Life expectancy]:[Schooling]])=19</f>
        <v>0</v>
      </c>
    </row>
    <row r="2599" spans="1:23" x14ac:dyDescent="0.25">
      <c r="A2599" t="s">
        <v>540</v>
      </c>
      <c r="B2599">
        <v>2003</v>
      </c>
      <c r="C2599" t="s">
        <v>369</v>
      </c>
      <c r="D2599">
        <v>73.2</v>
      </c>
      <c r="E2599">
        <v>126</v>
      </c>
      <c r="F2599">
        <v>0</v>
      </c>
      <c r="G2599">
        <v>2.4</v>
      </c>
      <c r="H2599">
        <v>0</v>
      </c>
      <c r="J2599">
        <v>18</v>
      </c>
      <c r="K2599">
        <v>54.1</v>
      </c>
      <c r="L2599">
        <v>0</v>
      </c>
      <c r="M2599">
        <v>96</v>
      </c>
      <c r="N2599">
        <v>9.17</v>
      </c>
      <c r="O2599">
        <v>96</v>
      </c>
      <c r="P2599">
        <v>0.1</v>
      </c>
      <c r="S2599">
        <v>2.7</v>
      </c>
      <c r="T2599">
        <v>2.7</v>
      </c>
      <c r="U2599">
        <v>0</v>
      </c>
      <c r="V2599">
        <v>11.9</v>
      </c>
      <c r="W2599" t="b">
        <f>COUNT(LifeExpectancyData[[#This Row],[Life expectancy]:[Schooling]])=19</f>
        <v>0</v>
      </c>
    </row>
    <row r="2600" spans="1:23" x14ac:dyDescent="0.25">
      <c r="A2600" t="s">
        <v>540</v>
      </c>
      <c r="B2600">
        <v>2002</v>
      </c>
      <c r="C2600" t="s">
        <v>369</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COUNT(LifeExpectancyData[[#This Row],[Life expectancy]:[Schooling]])=19</f>
        <v>0</v>
      </c>
    </row>
    <row r="2601" spans="1:23" x14ac:dyDescent="0.25">
      <c r="A2601" t="s">
        <v>540</v>
      </c>
      <c r="B2601">
        <v>2001</v>
      </c>
      <c r="C2601" t="s">
        <v>369</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COUNT(LifeExpectancyData[[#This Row],[Life expectancy]:[Schooling]])=19</f>
        <v>0</v>
      </c>
    </row>
    <row r="2602" spans="1:23" x14ac:dyDescent="0.25">
      <c r="A2602" t="s">
        <v>540</v>
      </c>
      <c r="B2602">
        <v>2000</v>
      </c>
      <c r="C2602" t="s">
        <v>369</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COUNT(LifeExpectancyData[[#This Row],[Life expectancy]:[Schooling]])=19</f>
        <v>0</v>
      </c>
    </row>
    <row r="2603" spans="1:23" x14ac:dyDescent="0.25">
      <c r="A2603" t="s">
        <v>541</v>
      </c>
      <c r="B2603">
        <v>2015</v>
      </c>
      <c r="C2603" t="s">
        <v>369</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COUNT(LifeExpectancyData[[#This Row],[Life expectancy]:[Schooling]])=19</f>
        <v>0</v>
      </c>
    </row>
    <row r="2604" spans="1:23" x14ac:dyDescent="0.25">
      <c r="A2604" t="s">
        <v>541</v>
      </c>
      <c r="B2604">
        <v>2014</v>
      </c>
      <c r="C2604" t="s">
        <v>369</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COUNT(LifeExpectancyData[[#This Row],[Life expectancy]:[Schooling]])=19</f>
        <v>1</v>
      </c>
    </row>
    <row r="2605" spans="1:23" x14ac:dyDescent="0.25">
      <c r="A2605" t="s">
        <v>541</v>
      </c>
      <c r="B2605">
        <v>2013</v>
      </c>
      <c r="C2605" t="s">
        <v>369</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COUNT(LifeExpectancyData[[#This Row],[Life expectancy]:[Schooling]])=19</f>
        <v>1</v>
      </c>
    </row>
    <row r="2606" spans="1:23" x14ac:dyDescent="0.25">
      <c r="A2606" t="s">
        <v>541</v>
      </c>
      <c r="B2606">
        <v>2012</v>
      </c>
      <c r="C2606" t="s">
        <v>369</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COUNT(LifeExpectancyData[[#This Row],[Life expectancy]:[Schooling]])=19</f>
        <v>1</v>
      </c>
    </row>
    <row r="2607" spans="1:23" x14ac:dyDescent="0.25">
      <c r="A2607" t="s">
        <v>541</v>
      </c>
      <c r="B2607">
        <v>2011</v>
      </c>
      <c r="C2607" t="s">
        <v>369</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COUNT(LifeExpectancyData[[#This Row],[Life expectancy]:[Schooling]])=19</f>
        <v>1</v>
      </c>
    </row>
    <row r="2608" spans="1:23" x14ac:dyDescent="0.25">
      <c r="A2608" t="s">
        <v>541</v>
      </c>
      <c r="B2608">
        <v>2010</v>
      </c>
      <c r="C2608" t="s">
        <v>369</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COUNT(LifeExpectancyData[[#This Row],[Life expectancy]:[Schooling]])=19</f>
        <v>1</v>
      </c>
    </row>
    <row r="2609" spans="1:23" x14ac:dyDescent="0.25">
      <c r="A2609" t="s">
        <v>541</v>
      </c>
      <c r="B2609">
        <v>2009</v>
      </c>
      <c r="C2609" t="s">
        <v>369</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COUNT(LifeExpectancyData[[#This Row],[Life expectancy]:[Schooling]])=19</f>
        <v>1</v>
      </c>
    </row>
    <row r="2610" spans="1:23" x14ac:dyDescent="0.25">
      <c r="A2610" t="s">
        <v>541</v>
      </c>
      <c r="B2610">
        <v>2008</v>
      </c>
      <c r="C2610" t="s">
        <v>369</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COUNT(LifeExpectancyData[[#This Row],[Life expectancy]:[Schooling]])=19</f>
        <v>1</v>
      </c>
    </row>
    <row r="2611" spans="1:23" x14ac:dyDescent="0.25">
      <c r="A2611" t="s">
        <v>541</v>
      </c>
      <c r="B2611">
        <v>2007</v>
      </c>
      <c r="C2611" t="s">
        <v>369</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COUNT(LifeExpectancyData[[#This Row],[Life expectancy]:[Schooling]])=19</f>
        <v>0</v>
      </c>
    </row>
    <row r="2612" spans="1:23" x14ac:dyDescent="0.25">
      <c r="A2612" t="s">
        <v>541</v>
      </c>
      <c r="B2612">
        <v>2006</v>
      </c>
      <c r="C2612" t="s">
        <v>369</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COUNT(LifeExpectancyData[[#This Row],[Life expectancy]:[Schooling]])=19</f>
        <v>0</v>
      </c>
    </row>
    <row r="2613" spans="1:23" x14ac:dyDescent="0.25">
      <c r="A2613" t="s">
        <v>541</v>
      </c>
      <c r="B2613">
        <v>2005</v>
      </c>
      <c r="C2613" t="s">
        <v>369</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COUNT(LifeExpectancyData[[#This Row],[Life expectancy]:[Schooling]])=19</f>
        <v>0</v>
      </c>
    </row>
    <row r="2614" spans="1:23" x14ac:dyDescent="0.25">
      <c r="A2614" t="s">
        <v>541</v>
      </c>
      <c r="B2614">
        <v>2004</v>
      </c>
      <c r="C2614" t="s">
        <v>369</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COUNT(LifeExpectancyData[[#This Row],[Life expectancy]:[Schooling]])=19</f>
        <v>0</v>
      </c>
    </row>
    <row r="2615" spans="1:23" x14ac:dyDescent="0.25">
      <c r="A2615" t="s">
        <v>541</v>
      </c>
      <c r="B2615">
        <v>2003</v>
      </c>
      <c r="C2615" t="s">
        <v>369</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COUNT(LifeExpectancyData[[#This Row],[Life expectancy]:[Schooling]])=19</f>
        <v>0</v>
      </c>
    </row>
    <row r="2616" spans="1:23" x14ac:dyDescent="0.25">
      <c r="A2616" t="s">
        <v>541</v>
      </c>
      <c r="B2616">
        <v>2002</v>
      </c>
      <c r="C2616" t="s">
        <v>369</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COUNT(LifeExpectancyData[[#This Row],[Life expectancy]:[Schooling]])=19</f>
        <v>0</v>
      </c>
    </row>
    <row r="2617" spans="1:23" x14ac:dyDescent="0.25">
      <c r="A2617" t="s">
        <v>541</v>
      </c>
      <c r="B2617">
        <v>2001</v>
      </c>
      <c r="C2617" t="s">
        <v>369</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COUNT(LifeExpectancyData[[#This Row],[Life expectancy]:[Schooling]])=19</f>
        <v>0</v>
      </c>
    </row>
    <row r="2618" spans="1:23" x14ac:dyDescent="0.25">
      <c r="A2618" t="s">
        <v>541</v>
      </c>
      <c r="B2618">
        <v>2000</v>
      </c>
      <c r="C2618" t="s">
        <v>369</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COUNT(LifeExpectancyData[[#This Row],[Life expectancy]:[Schooling]])=19</f>
        <v>0</v>
      </c>
    </row>
    <row r="2619" spans="1:23" x14ac:dyDescent="0.25">
      <c r="A2619" t="s">
        <v>542</v>
      </c>
      <c r="B2619">
        <v>2015</v>
      </c>
      <c r="C2619" t="s">
        <v>369</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COUNT(LifeExpectancyData[[#This Row],[Life expectancy]:[Schooling]])=19</f>
        <v>0</v>
      </c>
    </row>
    <row r="2620" spans="1:23" x14ac:dyDescent="0.25">
      <c r="A2620" t="s">
        <v>542</v>
      </c>
      <c r="B2620">
        <v>2014</v>
      </c>
      <c r="C2620" t="s">
        <v>369</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COUNT(LifeExpectancyData[[#This Row],[Life expectancy]:[Schooling]])=19</f>
        <v>1</v>
      </c>
    </row>
    <row r="2621" spans="1:23" x14ac:dyDescent="0.25">
      <c r="A2621" t="s">
        <v>542</v>
      </c>
      <c r="B2621">
        <v>2013</v>
      </c>
      <c r="C2621" t="s">
        <v>369</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COUNT(LifeExpectancyData[[#This Row],[Life expectancy]:[Schooling]])=19</f>
        <v>1</v>
      </c>
    </row>
    <row r="2622" spans="1:23" x14ac:dyDescent="0.25">
      <c r="A2622" t="s">
        <v>542</v>
      </c>
      <c r="B2622">
        <v>2012</v>
      </c>
      <c r="C2622" t="s">
        <v>369</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COUNT(LifeExpectancyData[[#This Row],[Life expectancy]:[Schooling]])=19</f>
        <v>1</v>
      </c>
    </row>
    <row r="2623" spans="1:23" x14ac:dyDescent="0.25">
      <c r="A2623" t="s">
        <v>542</v>
      </c>
      <c r="B2623">
        <v>2011</v>
      </c>
      <c r="C2623" t="s">
        <v>369</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COUNT(LifeExpectancyData[[#This Row],[Life expectancy]:[Schooling]])=19</f>
        <v>1</v>
      </c>
    </row>
    <row r="2624" spans="1:23" x14ac:dyDescent="0.25">
      <c r="A2624" t="s">
        <v>542</v>
      </c>
      <c r="B2624">
        <v>2010</v>
      </c>
      <c r="C2624" t="s">
        <v>369</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COUNT(LifeExpectancyData[[#This Row],[Life expectancy]:[Schooling]])=19</f>
        <v>1</v>
      </c>
    </row>
    <row r="2625" spans="1:23" x14ac:dyDescent="0.25">
      <c r="A2625" t="s">
        <v>542</v>
      </c>
      <c r="B2625">
        <v>2009</v>
      </c>
      <c r="C2625" t="s">
        <v>369</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COUNT(LifeExpectancyData[[#This Row],[Life expectancy]:[Schooling]])=19</f>
        <v>1</v>
      </c>
    </row>
    <row r="2626" spans="1:23" x14ac:dyDescent="0.25">
      <c r="A2626" t="s">
        <v>542</v>
      </c>
      <c r="B2626">
        <v>2008</v>
      </c>
      <c r="C2626" t="s">
        <v>369</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COUNT(LifeExpectancyData[[#This Row],[Life expectancy]:[Schooling]])=19</f>
        <v>1</v>
      </c>
    </row>
    <row r="2627" spans="1:23" x14ac:dyDescent="0.25">
      <c r="A2627" t="s">
        <v>542</v>
      </c>
      <c r="B2627">
        <v>2007</v>
      </c>
      <c r="C2627" t="s">
        <v>369</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COUNT(LifeExpectancyData[[#This Row],[Life expectancy]:[Schooling]])=19</f>
        <v>0</v>
      </c>
    </row>
    <row r="2628" spans="1:23" x14ac:dyDescent="0.25">
      <c r="A2628" t="s">
        <v>542</v>
      </c>
      <c r="B2628">
        <v>2006</v>
      </c>
      <c r="C2628" t="s">
        <v>369</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COUNT(LifeExpectancyData[[#This Row],[Life expectancy]:[Schooling]])=19</f>
        <v>0</v>
      </c>
    </row>
    <row r="2629" spans="1:23" x14ac:dyDescent="0.25">
      <c r="A2629" t="s">
        <v>542</v>
      </c>
      <c r="B2629">
        <v>2005</v>
      </c>
      <c r="C2629" t="s">
        <v>369</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COUNT(LifeExpectancyData[[#This Row],[Life expectancy]:[Schooling]])=19</f>
        <v>0</v>
      </c>
    </row>
    <row r="2630" spans="1:23" x14ac:dyDescent="0.25">
      <c r="A2630" t="s">
        <v>542</v>
      </c>
      <c r="B2630">
        <v>2004</v>
      </c>
      <c r="C2630" t="s">
        <v>369</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COUNT(LifeExpectancyData[[#This Row],[Life expectancy]:[Schooling]])=19</f>
        <v>0</v>
      </c>
    </row>
    <row r="2631" spans="1:23" x14ac:dyDescent="0.25">
      <c r="A2631" t="s">
        <v>542</v>
      </c>
      <c r="B2631">
        <v>2003</v>
      </c>
      <c r="C2631" t="s">
        <v>369</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COUNT(LifeExpectancyData[[#This Row],[Life expectancy]:[Schooling]])=19</f>
        <v>0</v>
      </c>
    </row>
    <row r="2632" spans="1:23" x14ac:dyDescent="0.25">
      <c r="A2632" t="s">
        <v>542</v>
      </c>
      <c r="B2632">
        <v>2002</v>
      </c>
      <c r="C2632" t="s">
        <v>369</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COUNT(LifeExpectancyData[[#This Row],[Life expectancy]:[Schooling]])=19</f>
        <v>0</v>
      </c>
    </row>
    <row r="2633" spans="1:23" x14ac:dyDescent="0.25">
      <c r="A2633" t="s">
        <v>542</v>
      </c>
      <c r="B2633">
        <v>2001</v>
      </c>
      <c r="C2633" t="s">
        <v>369</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COUNT(LifeExpectancyData[[#This Row],[Life expectancy]:[Schooling]])=19</f>
        <v>0</v>
      </c>
    </row>
    <row r="2634" spans="1:23" x14ac:dyDescent="0.25">
      <c r="A2634" t="s">
        <v>542</v>
      </c>
      <c r="B2634">
        <v>2000</v>
      </c>
      <c r="C2634" t="s">
        <v>369</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COUNT(LifeExpectancyData[[#This Row],[Life expectancy]:[Schooling]])=19</f>
        <v>0</v>
      </c>
    </row>
    <row r="2635" spans="1:23" x14ac:dyDescent="0.25">
      <c r="A2635" t="s">
        <v>543</v>
      </c>
      <c r="B2635">
        <v>2015</v>
      </c>
      <c r="C2635" t="s">
        <v>369</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COUNT(LifeExpectancyData[[#This Row],[Life expectancy]:[Schooling]])=19</f>
        <v>0</v>
      </c>
    </row>
    <row r="2636" spans="1:23" x14ac:dyDescent="0.25">
      <c r="A2636" t="s">
        <v>543</v>
      </c>
      <c r="B2636">
        <v>2014</v>
      </c>
      <c r="C2636" t="s">
        <v>369</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COUNT(LifeExpectancyData[[#This Row],[Life expectancy]:[Schooling]])=19</f>
        <v>1</v>
      </c>
    </row>
    <row r="2637" spans="1:23" x14ac:dyDescent="0.25">
      <c r="A2637" t="s">
        <v>543</v>
      </c>
      <c r="B2637">
        <v>2013</v>
      </c>
      <c r="C2637" t="s">
        <v>369</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COUNT(LifeExpectancyData[[#This Row],[Life expectancy]:[Schooling]])=19</f>
        <v>1</v>
      </c>
    </row>
    <row r="2638" spans="1:23" x14ac:dyDescent="0.25">
      <c r="A2638" t="s">
        <v>543</v>
      </c>
      <c r="B2638">
        <v>2012</v>
      </c>
      <c r="C2638" t="s">
        <v>369</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COUNT(LifeExpectancyData[[#This Row],[Life expectancy]:[Schooling]])=19</f>
        <v>1</v>
      </c>
    </row>
    <row r="2639" spans="1:23" x14ac:dyDescent="0.25">
      <c r="A2639" t="s">
        <v>543</v>
      </c>
      <c r="B2639">
        <v>2011</v>
      </c>
      <c r="C2639" t="s">
        <v>369</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COUNT(LifeExpectancyData[[#This Row],[Life expectancy]:[Schooling]])=19</f>
        <v>1</v>
      </c>
    </row>
    <row r="2640" spans="1:23" x14ac:dyDescent="0.25">
      <c r="A2640" t="s">
        <v>543</v>
      </c>
      <c r="B2640">
        <v>2010</v>
      </c>
      <c r="C2640" t="s">
        <v>369</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COUNT(LifeExpectancyData[[#This Row],[Life expectancy]:[Schooling]])=19</f>
        <v>1</v>
      </c>
    </row>
    <row r="2641" spans="1:23" x14ac:dyDescent="0.25">
      <c r="A2641" t="s">
        <v>543</v>
      </c>
      <c r="B2641">
        <v>2009</v>
      </c>
      <c r="C2641" t="s">
        <v>369</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COUNT(LifeExpectancyData[[#This Row],[Life expectancy]:[Schooling]])=19</f>
        <v>1</v>
      </c>
    </row>
    <row r="2642" spans="1:23" x14ac:dyDescent="0.25">
      <c r="A2642" t="s">
        <v>543</v>
      </c>
      <c r="B2642">
        <v>2008</v>
      </c>
      <c r="C2642" t="s">
        <v>369</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COUNT(LifeExpectancyData[[#This Row],[Life expectancy]:[Schooling]])=19</f>
        <v>1</v>
      </c>
    </row>
    <row r="2643" spans="1:23" x14ac:dyDescent="0.25">
      <c r="A2643" t="s">
        <v>543</v>
      </c>
      <c r="B2643">
        <v>2007</v>
      </c>
      <c r="C2643" t="s">
        <v>369</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COUNT(LifeExpectancyData[[#This Row],[Life expectancy]:[Schooling]])=19</f>
        <v>1</v>
      </c>
    </row>
    <row r="2644" spans="1:23" x14ac:dyDescent="0.25">
      <c r="A2644" t="s">
        <v>543</v>
      </c>
      <c r="B2644">
        <v>2006</v>
      </c>
      <c r="C2644" t="s">
        <v>369</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COUNT(LifeExpectancyData[[#This Row],[Life expectancy]:[Schooling]])=19</f>
        <v>1</v>
      </c>
    </row>
    <row r="2645" spans="1:23" x14ac:dyDescent="0.25">
      <c r="A2645" t="s">
        <v>543</v>
      </c>
      <c r="B2645">
        <v>2005</v>
      </c>
      <c r="C2645" t="s">
        <v>369</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COUNT(LifeExpectancyData[[#This Row],[Life expectancy]:[Schooling]])=19</f>
        <v>1</v>
      </c>
    </row>
    <row r="2646" spans="1:23" x14ac:dyDescent="0.25">
      <c r="A2646" t="s">
        <v>543</v>
      </c>
      <c r="B2646">
        <v>2004</v>
      </c>
      <c r="C2646" t="s">
        <v>369</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COUNT(LifeExpectancyData[[#This Row],[Life expectancy]:[Schooling]])=19</f>
        <v>1</v>
      </c>
    </row>
    <row r="2647" spans="1:23" x14ac:dyDescent="0.25">
      <c r="A2647" t="s">
        <v>543</v>
      </c>
      <c r="B2647">
        <v>2003</v>
      </c>
      <c r="C2647" t="s">
        <v>369</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COUNT(LifeExpectancyData[[#This Row],[Life expectancy]:[Schooling]])=19</f>
        <v>1</v>
      </c>
    </row>
    <row r="2648" spans="1:23" x14ac:dyDescent="0.25">
      <c r="A2648" t="s">
        <v>543</v>
      </c>
      <c r="B2648">
        <v>2002</v>
      </c>
      <c r="C2648" t="s">
        <v>369</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COUNT(LifeExpectancyData[[#This Row],[Life expectancy]:[Schooling]])=19</f>
        <v>1</v>
      </c>
    </row>
    <row r="2649" spans="1:23" x14ac:dyDescent="0.25">
      <c r="A2649" t="s">
        <v>543</v>
      </c>
      <c r="B2649">
        <v>2001</v>
      </c>
      <c r="C2649" t="s">
        <v>369</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COUNT(LifeExpectancyData[[#This Row],[Life expectancy]:[Schooling]])=19</f>
        <v>1</v>
      </c>
    </row>
    <row r="2650" spans="1:23" x14ac:dyDescent="0.25">
      <c r="A2650" t="s">
        <v>543</v>
      </c>
      <c r="B2650">
        <v>2000</v>
      </c>
      <c r="C2650" t="s">
        <v>369</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COUNT(LifeExpectancyData[[#This Row],[Life expectancy]:[Schooling]])=19</f>
        <v>1</v>
      </c>
    </row>
    <row r="2651" spans="1:23" x14ac:dyDescent="0.25">
      <c r="A2651" t="s">
        <v>544</v>
      </c>
      <c r="B2651">
        <v>2015</v>
      </c>
      <c r="C2651" t="s">
        <v>369</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COUNT(LifeExpectancyData[[#This Row],[Life expectancy]:[Schooling]])=19</f>
        <v>0</v>
      </c>
    </row>
    <row r="2652" spans="1:23" x14ac:dyDescent="0.25">
      <c r="A2652" t="s">
        <v>544</v>
      </c>
      <c r="B2652">
        <v>2014</v>
      </c>
      <c r="C2652" t="s">
        <v>369</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COUNT(LifeExpectancyData[[#This Row],[Life expectancy]:[Schooling]])=19</f>
        <v>1</v>
      </c>
    </row>
    <row r="2653" spans="1:23" x14ac:dyDescent="0.25">
      <c r="A2653" t="s">
        <v>544</v>
      </c>
      <c r="B2653">
        <v>2013</v>
      </c>
      <c r="C2653" t="s">
        <v>369</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COUNT(LifeExpectancyData[[#This Row],[Life expectancy]:[Schooling]])=19</f>
        <v>1</v>
      </c>
    </row>
    <row r="2654" spans="1:23" x14ac:dyDescent="0.25">
      <c r="A2654" t="s">
        <v>544</v>
      </c>
      <c r="B2654">
        <v>2012</v>
      </c>
      <c r="C2654" t="s">
        <v>369</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COUNT(LifeExpectancyData[[#This Row],[Life expectancy]:[Schooling]])=19</f>
        <v>1</v>
      </c>
    </row>
    <row r="2655" spans="1:23" x14ac:dyDescent="0.25">
      <c r="A2655" t="s">
        <v>544</v>
      </c>
      <c r="B2655">
        <v>2011</v>
      </c>
      <c r="C2655" t="s">
        <v>369</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COUNT(LifeExpectancyData[[#This Row],[Life expectancy]:[Schooling]])=19</f>
        <v>1</v>
      </c>
    </row>
    <row r="2656" spans="1:23" x14ac:dyDescent="0.25">
      <c r="A2656" t="s">
        <v>544</v>
      </c>
      <c r="B2656">
        <v>2010</v>
      </c>
      <c r="C2656" t="s">
        <v>369</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COUNT(LifeExpectancyData[[#This Row],[Life expectancy]:[Schooling]])=19</f>
        <v>1</v>
      </c>
    </row>
    <row r="2657" spans="1:23" x14ac:dyDescent="0.25">
      <c r="A2657" t="s">
        <v>544</v>
      </c>
      <c r="B2657">
        <v>2009</v>
      </c>
      <c r="C2657" t="s">
        <v>369</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COUNT(LifeExpectancyData[[#This Row],[Life expectancy]:[Schooling]])=19</f>
        <v>1</v>
      </c>
    </row>
    <row r="2658" spans="1:23" x14ac:dyDescent="0.25">
      <c r="A2658" t="s">
        <v>544</v>
      </c>
      <c r="B2658">
        <v>2008</v>
      </c>
      <c r="C2658" t="s">
        <v>369</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COUNT(LifeExpectancyData[[#This Row],[Life expectancy]:[Schooling]])=19</f>
        <v>1</v>
      </c>
    </row>
    <row r="2659" spans="1:23" x14ac:dyDescent="0.25">
      <c r="A2659" t="s">
        <v>544</v>
      </c>
      <c r="B2659">
        <v>2007</v>
      </c>
      <c r="C2659" t="s">
        <v>369</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COUNT(LifeExpectancyData[[#This Row],[Life expectancy]:[Schooling]])=19</f>
        <v>1</v>
      </c>
    </row>
    <row r="2660" spans="1:23" x14ac:dyDescent="0.25">
      <c r="A2660" t="s">
        <v>544</v>
      </c>
      <c r="B2660">
        <v>2006</v>
      </c>
      <c r="C2660" t="s">
        <v>369</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COUNT(LifeExpectancyData[[#This Row],[Life expectancy]:[Schooling]])=19</f>
        <v>1</v>
      </c>
    </row>
    <row r="2661" spans="1:23" x14ac:dyDescent="0.25">
      <c r="A2661" t="s">
        <v>544</v>
      </c>
      <c r="B2661">
        <v>2005</v>
      </c>
      <c r="C2661" t="s">
        <v>369</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COUNT(LifeExpectancyData[[#This Row],[Life expectancy]:[Schooling]])=19</f>
        <v>1</v>
      </c>
    </row>
    <row r="2662" spans="1:23" x14ac:dyDescent="0.25">
      <c r="A2662" t="s">
        <v>544</v>
      </c>
      <c r="B2662">
        <v>2004</v>
      </c>
      <c r="C2662" t="s">
        <v>369</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COUNT(LifeExpectancyData[[#This Row],[Life expectancy]:[Schooling]])=19</f>
        <v>1</v>
      </c>
    </row>
    <row r="2663" spans="1:23" x14ac:dyDescent="0.25">
      <c r="A2663" t="s">
        <v>544</v>
      </c>
      <c r="B2663">
        <v>2003</v>
      </c>
      <c r="C2663" t="s">
        <v>369</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COUNT(LifeExpectancyData[[#This Row],[Life expectancy]:[Schooling]])=19</f>
        <v>1</v>
      </c>
    </row>
    <row r="2664" spans="1:23" x14ac:dyDescent="0.25">
      <c r="A2664" t="s">
        <v>544</v>
      </c>
      <c r="B2664">
        <v>2002</v>
      </c>
      <c r="C2664" t="s">
        <v>369</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COUNT(LifeExpectancyData[[#This Row],[Life expectancy]:[Schooling]])=19</f>
        <v>1</v>
      </c>
    </row>
    <row r="2665" spans="1:23" x14ac:dyDescent="0.25">
      <c r="A2665" t="s">
        <v>544</v>
      </c>
      <c r="B2665">
        <v>2001</v>
      </c>
      <c r="C2665" t="s">
        <v>369</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COUNT(LifeExpectancyData[[#This Row],[Life expectancy]:[Schooling]])=19</f>
        <v>0</v>
      </c>
    </row>
    <row r="2666" spans="1:23" x14ac:dyDescent="0.25">
      <c r="A2666" t="s">
        <v>544</v>
      </c>
      <c r="B2666">
        <v>2000</v>
      </c>
      <c r="C2666" t="s">
        <v>369</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COUNT(LifeExpectancyData[[#This Row],[Life expectancy]:[Schooling]])=19</f>
        <v>0</v>
      </c>
    </row>
    <row r="2667" spans="1:23" x14ac:dyDescent="0.25">
      <c r="A2667" t="s">
        <v>545</v>
      </c>
      <c r="B2667">
        <v>2015</v>
      </c>
      <c r="C2667" t="s">
        <v>369</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COUNT(LifeExpectancyData[[#This Row],[Life expectancy]:[Schooling]])=19</f>
        <v>0</v>
      </c>
    </row>
    <row r="2668" spans="1:23" x14ac:dyDescent="0.25">
      <c r="A2668" t="s">
        <v>545</v>
      </c>
      <c r="B2668">
        <v>2014</v>
      </c>
      <c r="C2668" t="s">
        <v>369</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COUNT(LifeExpectancyData[[#This Row],[Life expectancy]:[Schooling]])=19</f>
        <v>1</v>
      </c>
    </row>
    <row r="2669" spans="1:23" x14ac:dyDescent="0.25">
      <c r="A2669" t="s">
        <v>545</v>
      </c>
      <c r="B2669">
        <v>2013</v>
      </c>
      <c r="C2669" t="s">
        <v>369</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COUNT(LifeExpectancyData[[#This Row],[Life expectancy]:[Schooling]])=19</f>
        <v>1</v>
      </c>
    </row>
    <row r="2670" spans="1:23" x14ac:dyDescent="0.25">
      <c r="A2670" t="s">
        <v>545</v>
      </c>
      <c r="B2670">
        <v>2012</v>
      </c>
      <c r="C2670" t="s">
        <v>369</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COUNT(LifeExpectancyData[[#This Row],[Life expectancy]:[Schooling]])=19</f>
        <v>1</v>
      </c>
    </row>
    <row r="2671" spans="1:23" x14ac:dyDescent="0.25">
      <c r="A2671" t="s">
        <v>545</v>
      </c>
      <c r="B2671">
        <v>2011</v>
      </c>
      <c r="C2671" t="s">
        <v>369</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COUNT(LifeExpectancyData[[#This Row],[Life expectancy]:[Schooling]])=19</f>
        <v>1</v>
      </c>
    </row>
    <row r="2672" spans="1:23" x14ac:dyDescent="0.25">
      <c r="A2672" t="s">
        <v>545</v>
      </c>
      <c r="B2672">
        <v>2010</v>
      </c>
      <c r="C2672" t="s">
        <v>369</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COUNT(LifeExpectancyData[[#This Row],[Life expectancy]:[Schooling]])=19</f>
        <v>1</v>
      </c>
    </row>
    <row r="2673" spans="1:23" x14ac:dyDescent="0.25">
      <c r="A2673" t="s">
        <v>545</v>
      </c>
      <c r="B2673">
        <v>2009</v>
      </c>
      <c r="C2673" t="s">
        <v>369</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COUNT(LifeExpectancyData[[#This Row],[Life expectancy]:[Schooling]])=19</f>
        <v>1</v>
      </c>
    </row>
    <row r="2674" spans="1:23" x14ac:dyDescent="0.25">
      <c r="A2674" t="s">
        <v>545</v>
      </c>
      <c r="B2674">
        <v>2008</v>
      </c>
      <c r="C2674" t="s">
        <v>369</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COUNT(LifeExpectancyData[[#This Row],[Life expectancy]:[Schooling]])=19</f>
        <v>1</v>
      </c>
    </row>
    <row r="2675" spans="1:23" x14ac:dyDescent="0.25">
      <c r="A2675" t="s">
        <v>545</v>
      </c>
      <c r="B2675">
        <v>2007</v>
      </c>
      <c r="C2675" t="s">
        <v>369</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COUNT(LifeExpectancyData[[#This Row],[Life expectancy]:[Schooling]])=19</f>
        <v>1</v>
      </c>
    </row>
    <row r="2676" spans="1:23" x14ac:dyDescent="0.25">
      <c r="A2676" t="s">
        <v>545</v>
      </c>
      <c r="B2676">
        <v>2006</v>
      </c>
      <c r="C2676" t="s">
        <v>369</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COUNT(LifeExpectancyData[[#This Row],[Life expectancy]:[Schooling]])=19</f>
        <v>1</v>
      </c>
    </row>
    <row r="2677" spans="1:23" x14ac:dyDescent="0.25">
      <c r="A2677" t="s">
        <v>545</v>
      </c>
      <c r="B2677">
        <v>2005</v>
      </c>
      <c r="C2677" t="s">
        <v>369</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COUNT(LifeExpectancyData[[#This Row],[Life expectancy]:[Schooling]])=19</f>
        <v>1</v>
      </c>
    </row>
    <row r="2678" spans="1:23" x14ac:dyDescent="0.25">
      <c r="A2678" t="s">
        <v>545</v>
      </c>
      <c r="B2678">
        <v>2004</v>
      </c>
      <c r="C2678" t="s">
        <v>369</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COUNT(LifeExpectancyData[[#This Row],[Life expectancy]:[Schooling]])=19</f>
        <v>1</v>
      </c>
    </row>
    <row r="2679" spans="1:23" x14ac:dyDescent="0.25">
      <c r="A2679" t="s">
        <v>545</v>
      </c>
      <c r="B2679">
        <v>2003</v>
      </c>
      <c r="C2679" t="s">
        <v>369</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COUNT(LifeExpectancyData[[#This Row],[Life expectancy]:[Schooling]])=19</f>
        <v>1</v>
      </c>
    </row>
    <row r="2680" spans="1:23" x14ac:dyDescent="0.25">
      <c r="A2680" t="s">
        <v>545</v>
      </c>
      <c r="B2680">
        <v>2002</v>
      </c>
      <c r="C2680" t="s">
        <v>369</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COUNT(LifeExpectancyData[[#This Row],[Life expectancy]:[Schooling]])=19</f>
        <v>1</v>
      </c>
    </row>
    <row r="2681" spans="1:23" x14ac:dyDescent="0.25">
      <c r="A2681" t="s">
        <v>545</v>
      </c>
      <c r="B2681">
        <v>2001</v>
      </c>
      <c r="C2681" t="s">
        <v>369</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COUNT(LifeExpectancyData[[#This Row],[Life expectancy]:[Schooling]])=19</f>
        <v>1</v>
      </c>
    </row>
    <row r="2682" spans="1:23" x14ac:dyDescent="0.25">
      <c r="A2682" t="s">
        <v>545</v>
      </c>
      <c r="B2682">
        <v>2000</v>
      </c>
      <c r="C2682" t="s">
        <v>369</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COUNT(LifeExpectancyData[[#This Row],[Life expectancy]:[Schooling]])=19</f>
        <v>1</v>
      </c>
    </row>
    <row r="2683" spans="1:23" x14ac:dyDescent="0.25">
      <c r="A2683" t="s">
        <v>546</v>
      </c>
      <c r="B2683">
        <v>2015</v>
      </c>
      <c r="C2683" t="s">
        <v>369</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COUNT(LifeExpectancyData[[#This Row],[Life expectancy]:[Schooling]])=19</f>
        <v>0</v>
      </c>
    </row>
    <row r="2684" spans="1:23" x14ac:dyDescent="0.25">
      <c r="A2684" t="s">
        <v>546</v>
      </c>
      <c r="B2684">
        <v>2014</v>
      </c>
      <c r="C2684" t="s">
        <v>369</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COUNT(LifeExpectancyData[[#This Row],[Life expectancy]:[Schooling]])=19</f>
        <v>1</v>
      </c>
    </row>
    <row r="2685" spans="1:23" x14ac:dyDescent="0.25">
      <c r="A2685" t="s">
        <v>546</v>
      </c>
      <c r="B2685">
        <v>2013</v>
      </c>
      <c r="C2685" t="s">
        <v>369</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COUNT(LifeExpectancyData[[#This Row],[Life expectancy]:[Schooling]])=19</f>
        <v>1</v>
      </c>
    </row>
    <row r="2686" spans="1:23" x14ac:dyDescent="0.25">
      <c r="A2686" t="s">
        <v>546</v>
      </c>
      <c r="B2686">
        <v>2012</v>
      </c>
      <c r="C2686" t="s">
        <v>369</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COUNT(LifeExpectancyData[[#This Row],[Life expectancy]:[Schooling]])=19</f>
        <v>1</v>
      </c>
    </row>
    <row r="2687" spans="1:23" x14ac:dyDescent="0.25">
      <c r="A2687" t="s">
        <v>546</v>
      </c>
      <c r="B2687">
        <v>2011</v>
      </c>
      <c r="C2687" t="s">
        <v>369</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COUNT(LifeExpectancyData[[#This Row],[Life expectancy]:[Schooling]])=19</f>
        <v>1</v>
      </c>
    </row>
    <row r="2688" spans="1:23" x14ac:dyDescent="0.25">
      <c r="A2688" t="s">
        <v>546</v>
      </c>
      <c r="B2688">
        <v>2010</v>
      </c>
      <c r="C2688" t="s">
        <v>369</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COUNT(LifeExpectancyData[[#This Row],[Life expectancy]:[Schooling]])=19</f>
        <v>1</v>
      </c>
    </row>
    <row r="2689" spans="1:23" x14ac:dyDescent="0.25">
      <c r="A2689" t="s">
        <v>546</v>
      </c>
      <c r="B2689">
        <v>2009</v>
      </c>
      <c r="C2689" t="s">
        <v>369</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COUNT(LifeExpectancyData[[#This Row],[Life expectancy]:[Schooling]])=19</f>
        <v>1</v>
      </c>
    </row>
    <row r="2690" spans="1:23" x14ac:dyDescent="0.25">
      <c r="A2690" t="s">
        <v>546</v>
      </c>
      <c r="B2690">
        <v>2008</v>
      </c>
      <c r="C2690" t="s">
        <v>369</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COUNT(LifeExpectancyData[[#This Row],[Life expectancy]:[Schooling]])=19</f>
        <v>1</v>
      </c>
    </row>
    <row r="2691" spans="1:23" x14ac:dyDescent="0.25">
      <c r="A2691" t="s">
        <v>546</v>
      </c>
      <c r="B2691">
        <v>2007</v>
      </c>
      <c r="C2691" t="s">
        <v>369</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COUNT(LifeExpectancyData[[#This Row],[Life expectancy]:[Schooling]])=19</f>
        <v>1</v>
      </c>
    </row>
    <row r="2692" spans="1:23" x14ac:dyDescent="0.25">
      <c r="A2692" t="s">
        <v>546</v>
      </c>
      <c r="B2692">
        <v>2006</v>
      </c>
      <c r="C2692" t="s">
        <v>369</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COUNT(LifeExpectancyData[[#This Row],[Life expectancy]:[Schooling]])=19</f>
        <v>1</v>
      </c>
    </row>
    <row r="2693" spans="1:23" x14ac:dyDescent="0.25">
      <c r="A2693" t="s">
        <v>546</v>
      </c>
      <c r="B2693">
        <v>2005</v>
      </c>
      <c r="C2693" t="s">
        <v>369</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COUNT(LifeExpectancyData[[#This Row],[Life expectancy]:[Schooling]])=19</f>
        <v>1</v>
      </c>
    </row>
    <row r="2694" spans="1:23" x14ac:dyDescent="0.25">
      <c r="A2694" t="s">
        <v>546</v>
      </c>
      <c r="B2694">
        <v>2004</v>
      </c>
      <c r="C2694" t="s">
        <v>369</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COUNT(LifeExpectancyData[[#This Row],[Life expectancy]:[Schooling]])=19</f>
        <v>1</v>
      </c>
    </row>
    <row r="2695" spans="1:23" x14ac:dyDescent="0.25">
      <c r="A2695" t="s">
        <v>546</v>
      </c>
      <c r="B2695">
        <v>2003</v>
      </c>
      <c r="C2695" t="s">
        <v>369</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COUNT(LifeExpectancyData[[#This Row],[Life expectancy]:[Schooling]])=19</f>
        <v>1</v>
      </c>
    </row>
    <row r="2696" spans="1:23" x14ac:dyDescent="0.25">
      <c r="A2696" t="s">
        <v>546</v>
      </c>
      <c r="B2696">
        <v>2002</v>
      </c>
      <c r="C2696" t="s">
        <v>369</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COUNT(LifeExpectancyData[[#This Row],[Life expectancy]:[Schooling]])=19</f>
        <v>1</v>
      </c>
    </row>
    <row r="2697" spans="1:23" x14ac:dyDescent="0.25">
      <c r="A2697" t="s">
        <v>546</v>
      </c>
      <c r="B2697">
        <v>2001</v>
      </c>
      <c r="C2697" t="s">
        <v>369</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COUNT(LifeExpectancyData[[#This Row],[Life expectancy]:[Schooling]])=19</f>
        <v>1</v>
      </c>
    </row>
    <row r="2698" spans="1:23" x14ac:dyDescent="0.25">
      <c r="A2698" t="s">
        <v>546</v>
      </c>
      <c r="B2698">
        <v>2000</v>
      </c>
      <c r="C2698" t="s">
        <v>369</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COUNT(LifeExpectancyData[[#This Row],[Life expectancy]:[Schooling]])=19</f>
        <v>1</v>
      </c>
    </row>
    <row r="2699" spans="1:23" x14ac:dyDescent="0.25">
      <c r="A2699" t="s">
        <v>547</v>
      </c>
      <c r="B2699">
        <v>2015</v>
      </c>
      <c r="C2699" t="s">
        <v>369</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COUNT(LifeExpectancyData[[#This Row],[Life expectancy]:[Schooling]])=19</f>
        <v>0</v>
      </c>
    </row>
    <row r="2700" spans="1:23" x14ac:dyDescent="0.25">
      <c r="A2700" t="s">
        <v>547</v>
      </c>
      <c r="B2700">
        <v>2014</v>
      </c>
      <c r="C2700" t="s">
        <v>369</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COUNT(LifeExpectancyData[[#This Row],[Life expectancy]:[Schooling]])=19</f>
        <v>1</v>
      </c>
    </row>
    <row r="2701" spans="1:23" x14ac:dyDescent="0.25">
      <c r="A2701" t="s">
        <v>547</v>
      </c>
      <c r="B2701">
        <v>2013</v>
      </c>
      <c r="C2701" t="s">
        <v>369</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COUNT(LifeExpectancyData[[#This Row],[Life expectancy]:[Schooling]])=19</f>
        <v>1</v>
      </c>
    </row>
    <row r="2702" spans="1:23" x14ac:dyDescent="0.25">
      <c r="A2702" t="s">
        <v>547</v>
      </c>
      <c r="B2702">
        <v>2012</v>
      </c>
      <c r="C2702" t="s">
        <v>369</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COUNT(LifeExpectancyData[[#This Row],[Life expectancy]:[Schooling]])=19</f>
        <v>1</v>
      </c>
    </row>
    <row r="2703" spans="1:23" x14ac:dyDescent="0.25">
      <c r="A2703" t="s">
        <v>547</v>
      </c>
      <c r="B2703">
        <v>2011</v>
      </c>
      <c r="C2703" t="s">
        <v>369</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COUNT(LifeExpectancyData[[#This Row],[Life expectancy]:[Schooling]])=19</f>
        <v>1</v>
      </c>
    </row>
    <row r="2704" spans="1:23" x14ac:dyDescent="0.25">
      <c r="A2704" t="s">
        <v>547</v>
      </c>
      <c r="B2704">
        <v>2010</v>
      </c>
      <c r="C2704" t="s">
        <v>369</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COUNT(LifeExpectancyData[[#This Row],[Life expectancy]:[Schooling]])=19</f>
        <v>1</v>
      </c>
    </row>
    <row r="2705" spans="1:23" x14ac:dyDescent="0.25">
      <c r="A2705" t="s">
        <v>547</v>
      </c>
      <c r="B2705">
        <v>2009</v>
      </c>
      <c r="C2705" t="s">
        <v>369</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COUNT(LifeExpectancyData[[#This Row],[Life expectancy]:[Schooling]])=19</f>
        <v>1</v>
      </c>
    </row>
    <row r="2706" spans="1:23" x14ac:dyDescent="0.25">
      <c r="A2706" t="s">
        <v>547</v>
      </c>
      <c r="B2706">
        <v>2008</v>
      </c>
      <c r="C2706" t="s">
        <v>369</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COUNT(LifeExpectancyData[[#This Row],[Life expectancy]:[Schooling]])=19</f>
        <v>1</v>
      </c>
    </row>
    <row r="2707" spans="1:23" x14ac:dyDescent="0.25">
      <c r="A2707" t="s">
        <v>547</v>
      </c>
      <c r="B2707">
        <v>2007</v>
      </c>
      <c r="C2707" t="s">
        <v>369</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COUNT(LifeExpectancyData[[#This Row],[Life expectancy]:[Schooling]])=19</f>
        <v>1</v>
      </c>
    </row>
    <row r="2708" spans="1:23" x14ac:dyDescent="0.25">
      <c r="A2708" t="s">
        <v>547</v>
      </c>
      <c r="B2708">
        <v>2006</v>
      </c>
      <c r="C2708" t="s">
        <v>369</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COUNT(LifeExpectancyData[[#This Row],[Life expectancy]:[Schooling]])=19</f>
        <v>1</v>
      </c>
    </row>
    <row r="2709" spans="1:23" x14ac:dyDescent="0.25">
      <c r="A2709" t="s">
        <v>547</v>
      </c>
      <c r="B2709">
        <v>2005</v>
      </c>
      <c r="C2709" t="s">
        <v>369</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COUNT(LifeExpectancyData[[#This Row],[Life expectancy]:[Schooling]])=19</f>
        <v>1</v>
      </c>
    </row>
    <row r="2710" spans="1:23" x14ac:dyDescent="0.25">
      <c r="A2710" t="s">
        <v>547</v>
      </c>
      <c r="B2710">
        <v>2004</v>
      </c>
      <c r="C2710" t="s">
        <v>369</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COUNT(LifeExpectancyData[[#This Row],[Life expectancy]:[Schooling]])=19</f>
        <v>1</v>
      </c>
    </row>
    <row r="2711" spans="1:23" x14ac:dyDescent="0.25">
      <c r="A2711" t="s">
        <v>547</v>
      </c>
      <c r="B2711">
        <v>2003</v>
      </c>
      <c r="C2711" t="s">
        <v>369</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COUNT(LifeExpectancyData[[#This Row],[Life expectancy]:[Schooling]])=19</f>
        <v>1</v>
      </c>
    </row>
    <row r="2712" spans="1:23" x14ac:dyDescent="0.25">
      <c r="A2712" t="s">
        <v>547</v>
      </c>
      <c r="B2712">
        <v>2002</v>
      </c>
      <c r="C2712" t="s">
        <v>369</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COUNT(LifeExpectancyData[[#This Row],[Life expectancy]:[Schooling]])=19</f>
        <v>1</v>
      </c>
    </row>
    <row r="2713" spans="1:23" x14ac:dyDescent="0.25">
      <c r="A2713" t="s">
        <v>547</v>
      </c>
      <c r="B2713">
        <v>2001</v>
      </c>
      <c r="C2713" t="s">
        <v>369</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COUNT(LifeExpectancyData[[#This Row],[Life expectancy]:[Schooling]])=19</f>
        <v>0</v>
      </c>
    </row>
    <row r="2714" spans="1:23" x14ac:dyDescent="0.25">
      <c r="A2714" t="s">
        <v>547</v>
      </c>
      <c r="B2714">
        <v>2000</v>
      </c>
      <c r="C2714" t="s">
        <v>369</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COUNT(LifeExpectancyData[[#This Row],[Life expectancy]:[Schooling]])=19</f>
        <v>0</v>
      </c>
    </row>
    <row r="2715" spans="1:23" x14ac:dyDescent="0.25">
      <c r="A2715" t="s">
        <v>548</v>
      </c>
      <c r="B2715">
        <v>2013</v>
      </c>
      <c r="C2715" t="s">
        <v>369</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COUNT(LifeExpectancyData[[#This Row],[Life expectancy]:[Schooling]])=19</f>
        <v>0</v>
      </c>
    </row>
    <row r="2716" spans="1:23" x14ac:dyDescent="0.25">
      <c r="A2716" t="s">
        <v>549</v>
      </c>
      <c r="B2716">
        <v>2015</v>
      </c>
      <c r="C2716" t="s">
        <v>369</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COUNT(LifeExpectancyData[[#This Row],[Life expectancy]:[Schooling]])=19</f>
        <v>0</v>
      </c>
    </row>
    <row r="2717" spans="1:23" x14ac:dyDescent="0.25">
      <c r="A2717" t="s">
        <v>549</v>
      </c>
      <c r="B2717">
        <v>2014</v>
      </c>
      <c r="C2717" t="s">
        <v>369</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COUNT(LifeExpectancyData[[#This Row],[Life expectancy]:[Schooling]])=19</f>
        <v>1</v>
      </c>
    </row>
    <row r="2718" spans="1:23" x14ac:dyDescent="0.25">
      <c r="A2718" t="s">
        <v>549</v>
      </c>
      <c r="B2718">
        <v>2013</v>
      </c>
      <c r="C2718" t="s">
        <v>369</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COUNT(LifeExpectancyData[[#This Row],[Life expectancy]:[Schooling]])=19</f>
        <v>1</v>
      </c>
    </row>
    <row r="2719" spans="1:23" x14ac:dyDescent="0.25">
      <c r="A2719" t="s">
        <v>549</v>
      </c>
      <c r="B2719">
        <v>2012</v>
      </c>
      <c r="C2719" t="s">
        <v>369</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COUNT(LifeExpectancyData[[#This Row],[Life expectancy]:[Schooling]])=19</f>
        <v>1</v>
      </c>
    </row>
    <row r="2720" spans="1:23" x14ac:dyDescent="0.25">
      <c r="A2720" t="s">
        <v>549</v>
      </c>
      <c r="B2720">
        <v>2011</v>
      </c>
      <c r="C2720" t="s">
        <v>369</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COUNT(LifeExpectancyData[[#This Row],[Life expectancy]:[Schooling]])=19</f>
        <v>1</v>
      </c>
    </row>
    <row r="2721" spans="1:23" x14ac:dyDescent="0.25">
      <c r="A2721" t="s">
        <v>549</v>
      </c>
      <c r="B2721">
        <v>2010</v>
      </c>
      <c r="C2721" t="s">
        <v>369</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COUNT(LifeExpectancyData[[#This Row],[Life expectancy]:[Schooling]])=19</f>
        <v>1</v>
      </c>
    </row>
    <row r="2722" spans="1:23" x14ac:dyDescent="0.25">
      <c r="A2722" t="s">
        <v>549</v>
      </c>
      <c r="B2722">
        <v>2009</v>
      </c>
      <c r="C2722" t="s">
        <v>369</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COUNT(LifeExpectancyData[[#This Row],[Life expectancy]:[Schooling]])=19</f>
        <v>1</v>
      </c>
    </row>
    <row r="2723" spans="1:23" x14ac:dyDescent="0.25">
      <c r="A2723" t="s">
        <v>549</v>
      </c>
      <c r="B2723">
        <v>2008</v>
      </c>
      <c r="C2723" t="s">
        <v>369</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COUNT(LifeExpectancyData[[#This Row],[Life expectancy]:[Schooling]])=19</f>
        <v>1</v>
      </c>
    </row>
    <row r="2724" spans="1:23" x14ac:dyDescent="0.25">
      <c r="A2724" t="s">
        <v>549</v>
      </c>
      <c r="B2724">
        <v>2007</v>
      </c>
      <c r="C2724" t="s">
        <v>369</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COUNT(LifeExpectancyData[[#This Row],[Life expectancy]:[Schooling]])=19</f>
        <v>1</v>
      </c>
    </row>
    <row r="2725" spans="1:23" x14ac:dyDescent="0.25">
      <c r="A2725" t="s">
        <v>549</v>
      </c>
      <c r="B2725">
        <v>2006</v>
      </c>
      <c r="C2725" t="s">
        <v>369</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COUNT(LifeExpectancyData[[#This Row],[Life expectancy]:[Schooling]])=19</f>
        <v>1</v>
      </c>
    </row>
    <row r="2726" spans="1:23" x14ac:dyDescent="0.25">
      <c r="A2726" t="s">
        <v>549</v>
      </c>
      <c r="B2726">
        <v>2005</v>
      </c>
      <c r="C2726" t="s">
        <v>369</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COUNT(LifeExpectancyData[[#This Row],[Life expectancy]:[Schooling]])=19</f>
        <v>1</v>
      </c>
    </row>
    <row r="2727" spans="1:23" x14ac:dyDescent="0.25">
      <c r="A2727" t="s">
        <v>549</v>
      </c>
      <c r="B2727">
        <v>2004</v>
      </c>
      <c r="C2727" t="s">
        <v>369</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COUNT(LifeExpectancyData[[#This Row],[Life expectancy]:[Schooling]])=19</f>
        <v>1</v>
      </c>
    </row>
    <row r="2728" spans="1:23" x14ac:dyDescent="0.25">
      <c r="A2728" t="s">
        <v>549</v>
      </c>
      <c r="B2728">
        <v>2003</v>
      </c>
      <c r="C2728" t="s">
        <v>369</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COUNT(LifeExpectancyData[[#This Row],[Life expectancy]:[Schooling]])=19</f>
        <v>1</v>
      </c>
    </row>
    <row r="2729" spans="1:23" x14ac:dyDescent="0.25">
      <c r="A2729" t="s">
        <v>549</v>
      </c>
      <c r="B2729">
        <v>2002</v>
      </c>
      <c r="C2729" t="s">
        <v>369</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COUNT(LifeExpectancyData[[#This Row],[Life expectancy]:[Schooling]])=19</f>
        <v>1</v>
      </c>
    </row>
    <row r="2730" spans="1:23" x14ac:dyDescent="0.25">
      <c r="A2730" t="s">
        <v>549</v>
      </c>
      <c r="B2730">
        <v>2001</v>
      </c>
      <c r="C2730" t="s">
        <v>369</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COUNT(LifeExpectancyData[[#This Row],[Life expectancy]:[Schooling]])=19</f>
        <v>0</v>
      </c>
    </row>
    <row r="2731" spans="1:23" x14ac:dyDescent="0.25">
      <c r="A2731" t="s">
        <v>549</v>
      </c>
      <c r="B2731">
        <v>2000</v>
      </c>
      <c r="C2731" t="s">
        <v>369</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COUNT(LifeExpectancyData[[#This Row],[Life expectancy]:[Schooling]])=19</f>
        <v>0</v>
      </c>
    </row>
    <row r="2732" spans="1:23" x14ac:dyDescent="0.25">
      <c r="A2732" t="s">
        <v>550</v>
      </c>
      <c r="B2732">
        <v>2015</v>
      </c>
      <c r="C2732" t="s">
        <v>369</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COUNT(LifeExpectancyData[[#This Row],[Life expectancy]:[Schooling]])=19</f>
        <v>0</v>
      </c>
    </row>
    <row r="2733" spans="1:23" x14ac:dyDescent="0.25">
      <c r="A2733" t="s">
        <v>550</v>
      </c>
      <c r="B2733">
        <v>2014</v>
      </c>
      <c r="C2733" t="s">
        <v>369</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COUNT(LifeExpectancyData[[#This Row],[Life expectancy]:[Schooling]])=19</f>
        <v>1</v>
      </c>
    </row>
    <row r="2734" spans="1:23" x14ac:dyDescent="0.25">
      <c r="A2734" t="s">
        <v>550</v>
      </c>
      <c r="B2734">
        <v>2013</v>
      </c>
      <c r="C2734" t="s">
        <v>369</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COUNT(LifeExpectancyData[[#This Row],[Life expectancy]:[Schooling]])=19</f>
        <v>1</v>
      </c>
    </row>
    <row r="2735" spans="1:23" x14ac:dyDescent="0.25">
      <c r="A2735" t="s">
        <v>550</v>
      </c>
      <c r="B2735">
        <v>2012</v>
      </c>
      <c r="C2735" t="s">
        <v>369</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COUNT(LifeExpectancyData[[#This Row],[Life expectancy]:[Schooling]])=19</f>
        <v>1</v>
      </c>
    </row>
    <row r="2736" spans="1:23" x14ac:dyDescent="0.25">
      <c r="A2736" t="s">
        <v>550</v>
      </c>
      <c r="B2736">
        <v>2011</v>
      </c>
      <c r="C2736" t="s">
        <v>369</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COUNT(LifeExpectancyData[[#This Row],[Life expectancy]:[Schooling]])=19</f>
        <v>1</v>
      </c>
    </row>
    <row r="2737" spans="1:23" x14ac:dyDescent="0.25">
      <c r="A2737" t="s">
        <v>550</v>
      </c>
      <c r="B2737">
        <v>2010</v>
      </c>
      <c r="C2737" t="s">
        <v>369</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COUNT(LifeExpectancyData[[#This Row],[Life expectancy]:[Schooling]])=19</f>
        <v>1</v>
      </c>
    </row>
    <row r="2738" spans="1:23" x14ac:dyDescent="0.25">
      <c r="A2738" t="s">
        <v>550</v>
      </c>
      <c r="B2738">
        <v>2009</v>
      </c>
      <c r="C2738" t="s">
        <v>369</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COUNT(LifeExpectancyData[[#This Row],[Life expectancy]:[Schooling]])=19</f>
        <v>1</v>
      </c>
    </row>
    <row r="2739" spans="1:23" x14ac:dyDescent="0.25">
      <c r="A2739" t="s">
        <v>550</v>
      </c>
      <c r="B2739">
        <v>2008</v>
      </c>
      <c r="C2739" t="s">
        <v>369</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COUNT(LifeExpectancyData[[#This Row],[Life expectancy]:[Schooling]])=19</f>
        <v>1</v>
      </c>
    </row>
    <row r="2740" spans="1:23" x14ac:dyDescent="0.25">
      <c r="A2740" t="s">
        <v>550</v>
      </c>
      <c r="B2740">
        <v>2007</v>
      </c>
      <c r="C2740" t="s">
        <v>369</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COUNT(LifeExpectancyData[[#This Row],[Life expectancy]:[Schooling]])=19</f>
        <v>1</v>
      </c>
    </row>
    <row r="2741" spans="1:23" x14ac:dyDescent="0.25">
      <c r="A2741" t="s">
        <v>550</v>
      </c>
      <c r="B2741">
        <v>2006</v>
      </c>
      <c r="C2741" t="s">
        <v>369</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COUNT(LifeExpectancyData[[#This Row],[Life expectancy]:[Schooling]])=19</f>
        <v>1</v>
      </c>
    </row>
    <row r="2742" spans="1:23" x14ac:dyDescent="0.25">
      <c r="A2742" t="s">
        <v>550</v>
      </c>
      <c r="B2742">
        <v>2005</v>
      </c>
      <c r="C2742" t="s">
        <v>369</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COUNT(LifeExpectancyData[[#This Row],[Life expectancy]:[Schooling]])=19</f>
        <v>1</v>
      </c>
    </row>
    <row r="2743" spans="1:23" x14ac:dyDescent="0.25">
      <c r="A2743" t="s">
        <v>550</v>
      </c>
      <c r="B2743">
        <v>2004</v>
      </c>
      <c r="C2743" t="s">
        <v>369</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COUNT(LifeExpectancyData[[#This Row],[Life expectancy]:[Schooling]])=19</f>
        <v>1</v>
      </c>
    </row>
    <row r="2744" spans="1:23" x14ac:dyDescent="0.25">
      <c r="A2744" t="s">
        <v>550</v>
      </c>
      <c r="B2744">
        <v>2003</v>
      </c>
      <c r="C2744" t="s">
        <v>369</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COUNT(LifeExpectancyData[[#This Row],[Life expectancy]:[Schooling]])=19</f>
        <v>1</v>
      </c>
    </row>
    <row r="2745" spans="1:23" x14ac:dyDescent="0.25">
      <c r="A2745" t="s">
        <v>550</v>
      </c>
      <c r="B2745">
        <v>2002</v>
      </c>
      <c r="C2745" t="s">
        <v>369</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COUNT(LifeExpectancyData[[#This Row],[Life expectancy]:[Schooling]])=19</f>
        <v>1</v>
      </c>
    </row>
    <row r="2746" spans="1:23" x14ac:dyDescent="0.25">
      <c r="A2746" t="s">
        <v>550</v>
      </c>
      <c r="B2746">
        <v>2001</v>
      </c>
      <c r="C2746" t="s">
        <v>369</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COUNT(LifeExpectancyData[[#This Row],[Life expectancy]:[Schooling]])=19</f>
        <v>1</v>
      </c>
    </row>
    <row r="2747" spans="1:23" x14ac:dyDescent="0.25">
      <c r="A2747" t="s">
        <v>550</v>
      </c>
      <c r="B2747">
        <v>2000</v>
      </c>
      <c r="C2747" t="s">
        <v>369</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COUNT(LifeExpectancyData[[#This Row],[Life expectancy]:[Schooling]])=19</f>
        <v>1</v>
      </c>
    </row>
    <row r="2748" spans="1:23" x14ac:dyDescent="0.25">
      <c r="A2748" t="s">
        <v>551</v>
      </c>
      <c r="B2748">
        <v>2015</v>
      </c>
      <c r="C2748" t="s">
        <v>369</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COUNT(LifeExpectancyData[[#This Row],[Life expectancy]:[Schooling]])=19</f>
        <v>0</v>
      </c>
    </row>
    <row r="2749" spans="1:23" x14ac:dyDescent="0.25">
      <c r="A2749" t="s">
        <v>551</v>
      </c>
      <c r="B2749">
        <v>2014</v>
      </c>
      <c r="C2749" t="s">
        <v>369</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COUNT(LifeExpectancyData[[#This Row],[Life expectancy]:[Schooling]])=19</f>
        <v>0</v>
      </c>
    </row>
    <row r="2750" spans="1:23" x14ac:dyDescent="0.25">
      <c r="A2750" t="s">
        <v>551</v>
      </c>
      <c r="B2750">
        <v>2013</v>
      </c>
      <c r="C2750" t="s">
        <v>369</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COUNT(LifeExpectancyData[[#This Row],[Life expectancy]:[Schooling]])=19</f>
        <v>0</v>
      </c>
    </row>
    <row r="2751" spans="1:23" x14ac:dyDescent="0.25">
      <c r="A2751" t="s">
        <v>551</v>
      </c>
      <c r="B2751">
        <v>2012</v>
      </c>
      <c r="C2751" t="s">
        <v>369</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COUNT(LifeExpectancyData[[#This Row],[Life expectancy]:[Schooling]])=19</f>
        <v>0</v>
      </c>
    </row>
    <row r="2752" spans="1:23" x14ac:dyDescent="0.25">
      <c r="A2752" t="s">
        <v>551</v>
      </c>
      <c r="B2752">
        <v>2011</v>
      </c>
      <c r="C2752" t="s">
        <v>369</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COUNT(LifeExpectancyData[[#This Row],[Life expectancy]:[Schooling]])=19</f>
        <v>0</v>
      </c>
    </row>
    <row r="2753" spans="1:23" x14ac:dyDescent="0.25">
      <c r="A2753" t="s">
        <v>551</v>
      </c>
      <c r="B2753">
        <v>2010</v>
      </c>
      <c r="C2753" t="s">
        <v>369</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COUNT(LifeExpectancyData[[#This Row],[Life expectancy]:[Schooling]])=19</f>
        <v>0</v>
      </c>
    </row>
    <row r="2754" spans="1:23" x14ac:dyDescent="0.25">
      <c r="A2754" t="s">
        <v>551</v>
      </c>
      <c r="B2754">
        <v>2009</v>
      </c>
      <c r="C2754" t="s">
        <v>369</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COUNT(LifeExpectancyData[[#This Row],[Life expectancy]:[Schooling]])=19</f>
        <v>0</v>
      </c>
    </row>
    <row r="2755" spans="1:23" x14ac:dyDescent="0.25">
      <c r="A2755" t="s">
        <v>551</v>
      </c>
      <c r="B2755">
        <v>2008</v>
      </c>
      <c r="C2755" t="s">
        <v>369</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COUNT(LifeExpectancyData[[#This Row],[Life expectancy]:[Schooling]])=19</f>
        <v>0</v>
      </c>
    </row>
    <row r="2756" spans="1:23" x14ac:dyDescent="0.25">
      <c r="A2756" t="s">
        <v>551</v>
      </c>
      <c r="B2756">
        <v>2007</v>
      </c>
      <c r="C2756" t="s">
        <v>369</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COUNT(LifeExpectancyData[[#This Row],[Life expectancy]:[Schooling]])=19</f>
        <v>0</v>
      </c>
    </row>
    <row r="2757" spans="1:23" x14ac:dyDescent="0.25">
      <c r="A2757" t="s">
        <v>551</v>
      </c>
      <c r="B2757">
        <v>2006</v>
      </c>
      <c r="C2757" t="s">
        <v>369</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COUNT(LifeExpectancyData[[#This Row],[Life expectancy]:[Schooling]])=19</f>
        <v>0</v>
      </c>
    </row>
    <row r="2758" spans="1:23" x14ac:dyDescent="0.25">
      <c r="A2758" t="s">
        <v>551</v>
      </c>
      <c r="B2758">
        <v>2005</v>
      </c>
      <c r="C2758" t="s">
        <v>369</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COUNT(LifeExpectancyData[[#This Row],[Life expectancy]:[Schooling]])=19</f>
        <v>0</v>
      </c>
    </row>
    <row r="2759" spans="1:23" x14ac:dyDescent="0.25">
      <c r="A2759" t="s">
        <v>551</v>
      </c>
      <c r="B2759">
        <v>2004</v>
      </c>
      <c r="C2759" t="s">
        <v>369</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COUNT(LifeExpectancyData[[#This Row],[Life expectancy]:[Schooling]])=19</f>
        <v>0</v>
      </c>
    </row>
    <row r="2760" spans="1:23" x14ac:dyDescent="0.25">
      <c r="A2760" t="s">
        <v>551</v>
      </c>
      <c r="B2760">
        <v>2003</v>
      </c>
      <c r="C2760" t="s">
        <v>369</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COUNT(LifeExpectancyData[[#This Row],[Life expectancy]:[Schooling]])=19</f>
        <v>0</v>
      </c>
    </row>
    <row r="2761" spans="1:23" x14ac:dyDescent="0.25">
      <c r="A2761" t="s">
        <v>551</v>
      </c>
      <c r="B2761">
        <v>2002</v>
      </c>
      <c r="C2761" t="s">
        <v>369</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COUNT(LifeExpectancyData[[#This Row],[Life expectancy]:[Schooling]])=19</f>
        <v>0</v>
      </c>
    </row>
    <row r="2762" spans="1:23" x14ac:dyDescent="0.25">
      <c r="A2762" t="s">
        <v>551</v>
      </c>
      <c r="B2762">
        <v>2001</v>
      </c>
      <c r="C2762" t="s">
        <v>369</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COUNT(LifeExpectancyData[[#This Row],[Life expectancy]:[Schooling]])=19</f>
        <v>0</v>
      </c>
    </row>
    <row r="2763" spans="1:23" x14ac:dyDescent="0.25">
      <c r="A2763" t="s">
        <v>551</v>
      </c>
      <c r="B2763">
        <v>2000</v>
      </c>
      <c r="C2763" t="s">
        <v>369</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COUNT(LifeExpectancyData[[#This Row],[Life expectancy]:[Schooling]])=19</f>
        <v>0</v>
      </c>
    </row>
    <row r="2764" spans="1:23" x14ac:dyDescent="0.25">
      <c r="A2764" t="s">
        <v>552</v>
      </c>
      <c r="B2764">
        <v>2015</v>
      </c>
      <c r="C2764" t="s">
        <v>377</v>
      </c>
      <c r="D2764">
        <v>81.2</v>
      </c>
      <c r="E2764">
        <v>69</v>
      </c>
      <c r="F2764">
        <v>3</v>
      </c>
      <c r="G2764">
        <v>10.66</v>
      </c>
      <c r="H2764">
        <v>0</v>
      </c>
      <c r="J2764">
        <v>91</v>
      </c>
      <c r="K2764">
        <v>66.599999999999994</v>
      </c>
      <c r="L2764">
        <v>4</v>
      </c>
      <c r="M2764">
        <v>96</v>
      </c>
      <c r="O2764">
        <v>96</v>
      </c>
      <c r="P2764">
        <v>0.1</v>
      </c>
      <c r="S2764">
        <v>0.8</v>
      </c>
      <c r="T2764">
        <v>0.6</v>
      </c>
      <c r="W2764" t="b">
        <f>COUNT(LifeExpectancyData[[#This Row],[Life expectancy]:[Schooling]])=19</f>
        <v>0</v>
      </c>
    </row>
    <row r="2765" spans="1:23" x14ac:dyDescent="0.25">
      <c r="A2765" t="s">
        <v>552</v>
      </c>
      <c r="B2765">
        <v>2014</v>
      </c>
      <c r="C2765" t="s">
        <v>377</v>
      </c>
      <c r="D2765">
        <v>81</v>
      </c>
      <c r="E2765">
        <v>71</v>
      </c>
      <c r="F2765">
        <v>3</v>
      </c>
      <c r="G2765">
        <v>10.37</v>
      </c>
      <c r="H2765">
        <v>0</v>
      </c>
      <c r="J2765">
        <v>133</v>
      </c>
      <c r="K2765">
        <v>66</v>
      </c>
      <c r="L2765">
        <v>4</v>
      </c>
      <c r="M2765">
        <v>95</v>
      </c>
      <c r="N2765">
        <v>9.1199999999999992</v>
      </c>
      <c r="O2765">
        <v>95</v>
      </c>
      <c r="P2765">
        <v>0.1</v>
      </c>
      <c r="S2765">
        <v>0.8</v>
      </c>
      <c r="T2765">
        <v>0.5</v>
      </c>
      <c r="W2765" t="b">
        <f>COUNT(LifeExpectancyData[[#This Row],[Life expectancy]:[Schooling]])=19</f>
        <v>0</v>
      </c>
    </row>
    <row r="2766" spans="1:23" x14ac:dyDescent="0.25">
      <c r="A2766" t="s">
        <v>552</v>
      </c>
      <c r="B2766">
        <v>2013</v>
      </c>
      <c r="C2766" t="s">
        <v>377</v>
      </c>
      <c r="D2766">
        <v>87</v>
      </c>
      <c r="E2766">
        <v>72</v>
      </c>
      <c r="F2766">
        <v>3</v>
      </c>
      <c r="G2766">
        <v>10.32</v>
      </c>
      <c r="H2766">
        <v>0</v>
      </c>
      <c r="J2766">
        <v>1919</v>
      </c>
      <c r="K2766">
        <v>65.400000000000006</v>
      </c>
      <c r="L2766">
        <v>4</v>
      </c>
      <c r="M2766">
        <v>95</v>
      </c>
      <c r="N2766">
        <v>9.34</v>
      </c>
      <c r="O2766">
        <v>95</v>
      </c>
      <c r="P2766">
        <v>0.1</v>
      </c>
      <c r="S2766">
        <v>0.8</v>
      </c>
      <c r="T2766">
        <v>0.5</v>
      </c>
      <c r="W2766" t="b">
        <f>COUNT(LifeExpectancyData[[#This Row],[Life expectancy]:[Schooling]])=19</f>
        <v>0</v>
      </c>
    </row>
    <row r="2767" spans="1:23" x14ac:dyDescent="0.25">
      <c r="A2767" t="s">
        <v>552</v>
      </c>
      <c r="B2767">
        <v>2012</v>
      </c>
      <c r="C2767" t="s">
        <v>377</v>
      </c>
      <c r="D2767">
        <v>86</v>
      </c>
      <c r="E2767">
        <v>72</v>
      </c>
      <c r="F2767">
        <v>3</v>
      </c>
      <c r="G2767">
        <v>10.42</v>
      </c>
      <c r="H2767">
        <v>0</v>
      </c>
      <c r="J2767">
        <v>2092</v>
      </c>
      <c r="K2767">
        <v>64.8</v>
      </c>
      <c r="L2767">
        <v>4</v>
      </c>
      <c r="M2767">
        <v>95</v>
      </c>
      <c r="N2767">
        <v>9.41</v>
      </c>
      <c r="O2767">
        <v>95</v>
      </c>
      <c r="P2767">
        <v>0.1</v>
      </c>
      <c r="S2767">
        <v>0.8</v>
      </c>
      <c r="T2767">
        <v>0.5</v>
      </c>
      <c r="W2767" t="b">
        <f>COUNT(LifeExpectancyData[[#This Row],[Life expectancy]:[Schooling]])=19</f>
        <v>0</v>
      </c>
    </row>
    <row r="2768" spans="1:23" x14ac:dyDescent="0.25">
      <c r="A2768" t="s">
        <v>552</v>
      </c>
      <c r="B2768">
        <v>2011</v>
      </c>
      <c r="C2768" t="s">
        <v>377</v>
      </c>
      <c r="D2768">
        <v>86</v>
      </c>
      <c r="E2768">
        <v>74</v>
      </c>
      <c r="F2768">
        <v>3</v>
      </c>
      <c r="G2768">
        <v>10.68</v>
      </c>
      <c r="H2768">
        <v>0</v>
      </c>
      <c r="J2768">
        <v>1112</v>
      </c>
      <c r="K2768">
        <v>64.2</v>
      </c>
      <c r="L2768">
        <v>4</v>
      </c>
      <c r="M2768">
        <v>95</v>
      </c>
      <c r="N2768">
        <v>9.34</v>
      </c>
      <c r="O2768">
        <v>95</v>
      </c>
      <c r="P2768">
        <v>0.1</v>
      </c>
      <c r="S2768">
        <v>0.8</v>
      </c>
      <c r="T2768">
        <v>0.5</v>
      </c>
      <c r="W2768" t="b">
        <f>COUNT(LifeExpectancyData[[#This Row],[Life expectancy]:[Schooling]])=19</f>
        <v>0</v>
      </c>
    </row>
    <row r="2769" spans="1:23" x14ac:dyDescent="0.25">
      <c r="A2769" t="s">
        <v>552</v>
      </c>
      <c r="B2769">
        <v>2010</v>
      </c>
      <c r="C2769" t="s">
        <v>377</v>
      </c>
      <c r="D2769">
        <v>82</v>
      </c>
      <c r="E2769">
        <v>77</v>
      </c>
      <c r="F2769">
        <v>3</v>
      </c>
      <c r="G2769">
        <v>10.88</v>
      </c>
      <c r="H2769">
        <v>0</v>
      </c>
      <c r="J2769">
        <v>443</v>
      </c>
      <c r="K2769">
        <v>63.6</v>
      </c>
      <c r="L2769">
        <v>4</v>
      </c>
      <c r="M2769">
        <v>94</v>
      </c>
      <c r="N2769">
        <v>9.51</v>
      </c>
      <c r="O2769">
        <v>94</v>
      </c>
      <c r="P2769">
        <v>0.1</v>
      </c>
      <c r="S2769">
        <v>0.8</v>
      </c>
      <c r="T2769">
        <v>0.5</v>
      </c>
      <c r="W2769" t="b">
        <f>COUNT(LifeExpectancyData[[#This Row],[Life expectancy]:[Schooling]])=19</f>
        <v>0</v>
      </c>
    </row>
    <row r="2770" spans="1:23" x14ac:dyDescent="0.25">
      <c r="A2770" t="s">
        <v>552</v>
      </c>
      <c r="B2770">
        <v>2009</v>
      </c>
      <c r="C2770" t="s">
        <v>377</v>
      </c>
      <c r="D2770">
        <v>81</v>
      </c>
      <c r="E2770">
        <v>78</v>
      </c>
      <c r="F2770">
        <v>4</v>
      </c>
      <c r="G2770">
        <v>10.79</v>
      </c>
      <c r="H2770">
        <v>0</v>
      </c>
      <c r="J2770">
        <v>1212</v>
      </c>
      <c r="K2770">
        <v>63.1</v>
      </c>
      <c r="L2770">
        <v>4</v>
      </c>
      <c r="M2770">
        <v>93</v>
      </c>
      <c r="N2770">
        <v>9.81</v>
      </c>
      <c r="O2770">
        <v>93</v>
      </c>
      <c r="P2770">
        <v>0.1</v>
      </c>
      <c r="S2770">
        <v>0.8</v>
      </c>
      <c r="T2770">
        <v>0.5</v>
      </c>
      <c r="W2770" t="b">
        <f>COUNT(LifeExpectancyData[[#This Row],[Life expectancy]:[Schooling]])=19</f>
        <v>0</v>
      </c>
    </row>
    <row r="2771" spans="1:23" x14ac:dyDescent="0.25">
      <c r="A2771" t="s">
        <v>552</v>
      </c>
      <c r="B2771">
        <v>2008</v>
      </c>
      <c r="C2771" t="s">
        <v>377</v>
      </c>
      <c r="D2771">
        <v>79.599999999999994</v>
      </c>
      <c r="E2771">
        <v>8</v>
      </c>
      <c r="F2771">
        <v>4</v>
      </c>
      <c r="G2771">
        <v>11.47</v>
      </c>
      <c r="H2771">
        <v>0</v>
      </c>
      <c r="J2771">
        <v>1445</v>
      </c>
      <c r="K2771">
        <v>62.5</v>
      </c>
      <c r="L2771">
        <v>4</v>
      </c>
      <c r="M2771">
        <v>92</v>
      </c>
      <c r="N2771">
        <v>8.85</v>
      </c>
      <c r="O2771">
        <v>92</v>
      </c>
      <c r="P2771">
        <v>0.1</v>
      </c>
      <c r="S2771">
        <v>0.8</v>
      </c>
      <c r="T2771">
        <v>0.5</v>
      </c>
      <c r="W2771" t="b">
        <f>COUNT(LifeExpectancyData[[#This Row],[Life expectancy]:[Schooling]])=19</f>
        <v>0</v>
      </c>
    </row>
    <row r="2772" spans="1:23" x14ac:dyDescent="0.25">
      <c r="A2772" t="s">
        <v>552</v>
      </c>
      <c r="B2772">
        <v>2007</v>
      </c>
      <c r="C2772" t="s">
        <v>377</v>
      </c>
      <c r="D2772">
        <v>79.5</v>
      </c>
      <c r="E2772">
        <v>8</v>
      </c>
      <c r="F2772">
        <v>4</v>
      </c>
      <c r="G2772">
        <v>11.84</v>
      </c>
      <c r="H2772">
        <v>0</v>
      </c>
      <c r="J2772">
        <v>1022</v>
      </c>
      <c r="K2772">
        <v>61.9</v>
      </c>
      <c r="L2772">
        <v>4</v>
      </c>
      <c r="M2772">
        <v>92</v>
      </c>
      <c r="N2772">
        <v>8.42</v>
      </c>
      <c r="O2772">
        <v>92</v>
      </c>
      <c r="P2772">
        <v>0.1</v>
      </c>
      <c r="S2772">
        <v>0.7</v>
      </c>
      <c r="T2772">
        <v>0.5</v>
      </c>
      <c r="W2772" t="b">
        <f>COUNT(LifeExpectancyData[[#This Row],[Life expectancy]:[Schooling]])=19</f>
        <v>0</v>
      </c>
    </row>
    <row r="2773" spans="1:23" x14ac:dyDescent="0.25">
      <c r="A2773" t="s">
        <v>552</v>
      </c>
      <c r="B2773">
        <v>2006</v>
      </c>
      <c r="C2773" t="s">
        <v>377</v>
      </c>
      <c r="D2773">
        <v>79.3</v>
      </c>
      <c r="E2773">
        <v>82</v>
      </c>
      <c r="F2773">
        <v>4</v>
      </c>
      <c r="G2773">
        <v>11.61</v>
      </c>
      <c r="H2773">
        <v>0</v>
      </c>
      <c r="J2773">
        <v>764</v>
      </c>
      <c r="K2773">
        <v>61.3</v>
      </c>
      <c r="L2773">
        <v>4</v>
      </c>
      <c r="M2773">
        <v>92</v>
      </c>
      <c r="N2773">
        <v>8.36</v>
      </c>
      <c r="O2773">
        <v>92</v>
      </c>
      <c r="P2773">
        <v>0.1</v>
      </c>
      <c r="S2773">
        <v>0.7</v>
      </c>
      <c r="T2773">
        <v>0.5</v>
      </c>
      <c r="W2773" t="b">
        <f>COUNT(LifeExpectancyData[[#This Row],[Life expectancy]:[Schooling]])=19</f>
        <v>0</v>
      </c>
    </row>
    <row r="2774" spans="1:23" x14ac:dyDescent="0.25">
      <c r="A2774" t="s">
        <v>552</v>
      </c>
      <c r="B2774">
        <v>2005</v>
      </c>
      <c r="C2774" t="s">
        <v>377</v>
      </c>
      <c r="D2774">
        <v>79</v>
      </c>
      <c r="E2774">
        <v>82</v>
      </c>
      <c r="F2774">
        <v>4</v>
      </c>
      <c r="G2774">
        <v>12.05</v>
      </c>
      <c r="H2774">
        <v>0</v>
      </c>
      <c r="J2774">
        <v>79</v>
      </c>
      <c r="K2774">
        <v>6.7</v>
      </c>
      <c r="L2774">
        <v>4</v>
      </c>
      <c r="M2774">
        <v>91</v>
      </c>
      <c r="N2774">
        <v>8.24</v>
      </c>
      <c r="O2774">
        <v>91</v>
      </c>
      <c r="P2774">
        <v>0.1</v>
      </c>
      <c r="S2774">
        <v>0.7</v>
      </c>
      <c r="T2774">
        <v>0.5</v>
      </c>
      <c r="W2774" t="b">
        <f>COUNT(LifeExpectancyData[[#This Row],[Life expectancy]:[Schooling]])=19</f>
        <v>0</v>
      </c>
    </row>
    <row r="2775" spans="1:23" x14ac:dyDescent="0.25">
      <c r="A2775" t="s">
        <v>552</v>
      </c>
      <c r="B2775">
        <v>2004</v>
      </c>
      <c r="C2775" t="s">
        <v>377</v>
      </c>
      <c r="D2775">
        <v>78.8</v>
      </c>
      <c r="E2775">
        <v>83</v>
      </c>
      <c r="F2775">
        <v>4</v>
      </c>
      <c r="G2775">
        <v>12.22</v>
      </c>
      <c r="H2775">
        <v>0</v>
      </c>
      <c r="J2775">
        <v>189</v>
      </c>
      <c r="K2775">
        <v>6.1</v>
      </c>
      <c r="L2775">
        <v>4</v>
      </c>
      <c r="M2775">
        <v>92</v>
      </c>
      <c r="N2775">
        <v>7.98</v>
      </c>
      <c r="O2775">
        <v>92</v>
      </c>
      <c r="P2775">
        <v>0.1</v>
      </c>
      <c r="S2775">
        <v>0.7</v>
      </c>
      <c r="T2775">
        <v>0.5</v>
      </c>
      <c r="W2775" t="b">
        <f>COUNT(LifeExpectancyData[[#This Row],[Life expectancy]:[Schooling]])=19</f>
        <v>0</v>
      </c>
    </row>
    <row r="2776" spans="1:23" x14ac:dyDescent="0.25">
      <c r="A2776" t="s">
        <v>552</v>
      </c>
      <c r="B2776">
        <v>2003</v>
      </c>
      <c r="C2776" t="s">
        <v>377</v>
      </c>
      <c r="D2776">
        <v>78.3</v>
      </c>
      <c r="E2776">
        <v>86</v>
      </c>
      <c r="F2776">
        <v>4</v>
      </c>
      <c r="G2776">
        <v>11.85</v>
      </c>
      <c r="H2776">
        <v>0</v>
      </c>
      <c r="J2776">
        <v>460</v>
      </c>
      <c r="K2776">
        <v>59.5</v>
      </c>
      <c r="L2776">
        <v>4</v>
      </c>
      <c r="M2776">
        <v>91</v>
      </c>
      <c r="N2776">
        <v>7.81</v>
      </c>
      <c r="O2776">
        <v>91</v>
      </c>
      <c r="P2776">
        <v>0.1</v>
      </c>
      <c r="S2776">
        <v>0.7</v>
      </c>
      <c r="T2776">
        <v>0.5</v>
      </c>
      <c r="W2776" t="b">
        <f>COUNT(LifeExpectancyData[[#This Row],[Life expectancy]:[Schooling]])=19</f>
        <v>0</v>
      </c>
    </row>
    <row r="2777" spans="1:23" x14ac:dyDescent="0.25">
      <c r="A2777" t="s">
        <v>552</v>
      </c>
      <c r="B2777">
        <v>2002</v>
      </c>
      <c r="C2777" t="s">
        <v>377</v>
      </c>
      <c r="D2777">
        <v>78.2</v>
      </c>
      <c r="E2777">
        <v>87</v>
      </c>
      <c r="F2777">
        <v>4</v>
      </c>
      <c r="G2777">
        <v>11.44</v>
      </c>
      <c r="H2777">
        <v>0</v>
      </c>
      <c r="J2777">
        <v>314</v>
      </c>
      <c r="K2777">
        <v>58.8</v>
      </c>
      <c r="L2777">
        <v>4</v>
      </c>
      <c r="M2777">
        <v>91</v>
      </c>
      <c r="N2777">
        <v>7.57</v>
      </c>
      <c r="O2777">
        <v>91</v>
      </c>
      <c r="P2777">
        <v>0.1</v>
      </c>
      <c r="S2777">
        <v>0.7</v>
      </c>
      <c r="T2777">
        <v>0.5</v>
      </c>
      <c r="W2777" t="b">
        <f>COUNT(LifeExpectancyData[[#This Row],[Life expectancy]:[Schooling]])=19</f>
        <v>0</v>
      </c>
    </row>
    <row r="2778" spans="1:23" x14ac:dyDescent="0.25">
      <c r="A2778" t="s">
        <v>552</v>
      </c>
      <c r="B2778">
        <v>2001</v>
      </c>
      <c r="C2778" t="s">
        <v>377</v>
      </c>
      <c r="D2778">
        <v>78</v>
      </c>
      <c r="E2778">
        <v>88</v>
      </c>
      <c r="F2778">
        <v>4</v>
      </c>
      <c r="G2778">
        <v>10.91</v>
      </c>
      <c r="H2778">
        <v>0</v>
      </c>
      <c r="J2778">
        <v>73</v>
      </c>
      <c r="K2778">
        <v>58.2</v>
      </c>
      <c r="L2778">
        <v>4</v>
      </c>
      <c r="M2778">
        <v>91</v>
      </c>
      <c r="N2778">
        <v>7.31</v>
      </c>
      <c r="O2778">
        <v>91</v>
      </c>
      <c r="P2778">
        <v>0.1</v>
      </c>
      <c r="S2778">
        <v>0.7</v>
      </c>
      <c r="T2778">
        <v>0.5</v>
      </c>
      <c r="W2778" t="b">
        <f>COUNT(LifeExpectancyData[[#This Row],[Life expectancy]:[Schooling]])=19</f>
        <v>0</v>
      </c>
    </row>
    <row r="2779" spans="1:23" x14ac:dyDescent="0.25">
      <c r="A2779" t="s">
        <v>552</v>
      </c>
      <c r="B2779">
        <v>2000</v>
      </c>
      <c r="C2779" t="s">
        <v>377</v>
      </c>
      <c r="D2779">
        <v>77.8</v>
      </c>
      <c r="E2779">
        <v>89</v>
      </c>
      <c r="F2779">
        <v>4</v>
      </c>
      <c r="G2779">
        <v>10.59</v>
      </c>
      <c r="H2779">
        <v>0</v>
      </c>
      <c r="J2779">
        <v>104</v>
      </c>
      <c r="K2779">
        <v>57.5</v>
      </c>
      <c r="L2779">
        <v>5</v>
      </c>
      <c r="M2779">
        <v>91</v>
      </c>
      <c r="N2779">
        <v>6.94</v>
      </c>
      <c r="O2779">
        <v>91</v>
      </c>
      <c r="P2779">
        <v>0.1</v>
      </c>
      <c r="S2779">
        <v>0.7</v>
      </c>
      <c r="T2779">
        <v>0.5</v>
      </c>
      <c r="W2779" t="b">
        <f>COUNT(LifeExpectancyData[[#This Row],[Life expectancy]:[Schooling]])=19</f>
        <v>0</v>
      </c>
    </row>
    <row r="2780" spans="1:23" x14ac:dyDescent="0.25">
      <c r="A2780" t="s">
        <v>553</v>
      </c>
      <c r="B2780">
        <v>2015</v>
      </c>
      <c r="C2780" t="s">
        <v>369</v>
      </c>
      <c r="D2780">
        <v>61.8</v>
      </c>
      <c r="E2780">
        <v>279</v>
      </c>
      <c r="F2780">
        <v>85</v>
      </c>
      <c r="H2780">
        <v>0</v>
      </c>
      <c r="I2780">
        <v>98</v>
      </c>
      <c r="J2780">
        <v>30</v>
      </c>
      <c r="K2780">
        <v>23.8</v>
      </c>
      <c r="L2780">
        <v>119</v>
      </c>
      <c r="M2780">
        <v>96</v>
      </c>
      <c r="O2780">
        <v>98</v>
      </c>
      <c r="P2780">
        <v>1.4</v>
      </c>
      <c r="S2780">
        <v>6.7</v>
      </c>
      <c r="T2780">
        <v>6.5</v>
      </c>
      <c r="W2780" t="b">
        <f>COUNT(LifeExpectancyData[[#This Row],[Life expectancy]:[Schooling]])=19</f>
        <v>0</v>
      </c>
    </row>
    <row r="2781" spans="1:23" x14ac:dyDescent="0.25">
      <c r="A2781" t="s">
        <v>553</v>
      </c>
      <c r="B2781">
        <v>2014</v>
      </c>
      <c r="C2781" t="s">
        <v>369</v>
      </c>
      <c r="D2781">
        <v>67</v>
      </c>
      <c r="E2781">
        <v>34</v>
      </c>
      <c r="F2781">
        <v>86</v>
      </c>
      <c r="G2781">
        <v>0.01</v>
      </c>
      <c r="H2781">
        <v>0</v>
      </c>
      <c r="I2781">
        <v>97</v>
      </c>
      <c r="J2781">
        <v>88</v>
      </c>
      <c r="K2781">
        <v>23.2</v>
      </c>
      <c r="L2781">
        <v>121</v>
      </c>
      <c r="M2781">
        <v>97</v>
      </c>
      <c r="N2781">
        <v>5.58</v>
      </c>
      <c r="O2781">
        <v>97</v>
      </c>
      <c r="P2781">
        <v>1.4</v>
      </c>
      <c r="S2781">
        <v>6.8</v>
      </c>
      <c r="T2781">
        <v>6.6</v>
      </c>
      <c r="W2781" t="b">
        <f>COUNT(LifeExpectancyData[[#This Row],[Life expectancy]:[Schooling]])=19</f>
        <v>0</v>
      </c>
    </row>
    <row r="2782" spans="1:23" x14ac:dyDescent="0.25">
      <c r="A2782" t="s">
        <v>553</v>
      </c>
      <c r="B2782">
        <v>2013</v>
      </c>
      <c r="C2782" t="s">
        <v>369</v>
      </c>
      <c r="D2782">
        <v>59.7</v>
      </c>
      <c r="E2782">
        <v>323</v>
      </c>
      <c r="F2782">
        <v>86</v>
      </c>
      <c r="G2782">
        <v>4.2</v>
      </c>
      <c r="H2782">
        <v>0</v>
      </c>
      <c r="I2782">
        <v>91</v>
      </c>
      <c r="J2782">
        <v>185</v>
      </c>
      <c r="K2782">
        <v>22.5</v>
      </c>
      <c r="L2782">
        <v>124</v>
      </c>
      <c r="M2782">
        <v>91</v>
      </c>
      <c r="N2782">
        <v>5.57</v>
      </c>
      <c r="O2782">
        <v>91</v>
      </c>
      <c r="P2782">
        <v>2.1</v>
      </c>
      <c r="S2782">
        <v>6.8</v>
      </c>
      <c r="T2782">
        <v>6.7</v>
      </c>
      <c r="W2782" t="b">
        <f>COUNT(LifeExpectancyData[[#This Row],[Life expectancy]:[Schooling]])=19</f>
        <v>0</v>
      </c>
    </row>
    <row r="2783" spans="1:23" x14ac:dyDescent="0.25">
      <c r="A2783" t="s">
        <v>553</v>
      </c>
      <c r="B2783">
        <v>2012</v>
      </c>
      <c r="C2783" t="s">
        <v>369</v>
      </c>
      <c r="D2783">
        <v>58.6</v>
      </c>
      <c r="E2783">
        <v>348</v>
      </c>
      <c r="F2783">
        <v>87</v>
      </c>
      <c r="G2783">
        <v>3.98</v>
      </c>
      <c r="H2783">
        <v>0</v>
      </c>
      <c r="I2783">
        <v>92</v>
      </c>
      <c r="J2783">
        <v>1668</v>
      </c>
      <c r="K2783">
        <v>21.9</v>
      </c>
      <c r="L2783">
        <v>126</v>
      </c>
      <c r="M2783">
        <v>9</v>
      </c>
      <c r="N2783">
        <v>5.72</v>
      </c>
      <c r="O2783">
        <v>92</v>
      </c>
      <c r="P2783">
        <v>2.4</v>
      </c>
      <c r="S2783">
        <v>6.9</v>
      </c>
      <c r="T2783">
        <v>6.8</v>
      </c>
      <c r="W2783" t="b">
        <f>COUNT(LifeExpectancyData[[#This Row],[Life expectancy]:[Schooling]])=19</f>
        <v>0</v>
      </c>
    </row>
    <row r="2784" spans="1:23" x14ac:dyDescent="0.25">
      <c r="A2784" t="s">
        <v>553</v>
      </c>
      <c r="B2784">
        <v>2011</v>
      </c>
      <c r="C2784" t="s">
        <v>369</v>
      </c>
      <c r="D2784">
        <v>58.3</v>
      </c>
      <c r="E2784">
        <v>348</v>
      </c>
      <c r="F2784">
        <v>88</v>
      </c>
      <c r="G2784">
        <v>4.04</v>
      </c>
      <c r="H2784">
        <v>0</v>
      </c>
      <c r="I2784">
        <v>9</v>
      </c>
      <c r="J2784">
        <v>1622</v>
      </c>
      <c r="K2784">
        <v>21.3</v>
      </c>
      <c r="L2784">
        <v>128</v>
      </c>
      <c r="M2784">
        <v>88</v>
      </c>
      <c r="N2784">
        <v>5.72</v>
      </c>
      <c r="O2784">
        <v>9</v>
      </c>
      <c r="P2784">
        <v>3.1</v>
      </c>
      <c r="S2784">
        <v>7</v>
      </c>
      <c r="T2784">
        <v>6.9</v>
      </c>
      <c r="W2784" t="b">
        <f>COUNT(LifeExpectancyData[[#This Row],[Life expectancy]:[Schooling]])=19</f>
        <v>0</v>
      </c>
    </row>
    <row r="2785" spans="1:23" x14ac:dyDescent="0.25">
      <c r="A2785" t="s">
        <v>553</v>
      </c>
      <c r="B2785">
        <v>2010</v>
      </c>
      <c r="C2785" t="s">
        <v>369</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COUNT(LifeExpectancyData[[#This Row],[Life expectancy]:[Schooling]])=19</f>
        <v>0</v>
      </c>
    </row>
    <row r="2786" spans="1:23" x14ac:dyDescent="0.25">
      <c r="A2786" t="s">
        <v>553</v>
      </c>
      <c r="B2786">
        <v>2009</v>
      </c>
      <c r="C2786" t="s">
        <v>369</v>
      </c>
      <c r="D2786">
        <v>56.9</v>
      </c>
      <c r="E2786">
        <v>368</v>
      </c>
      <c r="F2786">
        <v>91</v>
      </c>
      <c r="G2786">
        <v>3.97</v>
      </c>
      <c r="H2786">
        <v>0</v>
      </c>
      <c r="I2786">
        <v>85</v>
      </c>
      <c r="J2786">
        <v>1574</v>
      </c>
      <c r="K2786">
        <v>2.2000000000000002</v>
      </c>
      <c r="L2786">
        <v>135</v>
      </c>
      <c r="M2786">
        <v>88</v>
      </c>
      <c r="N2786">
        <v>3.97</v>
      </c>
      <c r="O2786">
        <v>85</v>
      </c>
      <c r="P2786">
        <v>6.4</v>
      </c>
      <c r="S2786">
        <v>7.2</v>
      </c>
      <c r="T2786">
        <v>7.2</v>
      </c>
      <c r="W2786" t="b">
        <f>COUNT(LifeExpectancyData[[#This Row],[Life expectancy]:[Schooling]])=19</f>
        <v>0</v>
      </c>
    </row>
    <row r="2787" spans="1:23" x14ac:dyDescent="0.25">
      <c r="A2787" t="s">
        <v>553</v>
      </c>
      <c r="B2787">
        <v>2008</v>
      </c>
      <c r="C2787" t="s">
        <v>369</v>
      </c>
      <c r="D2787">
        <v>56.2</v>
      </c>
      <c r="E2787">
        <v>376</v>
      </c>
      <c r="F2787">
        <v>92</v>
      </c>
      <c r="G2787">
        <v>3.44</v>
      </c>
      <c r="H2787">
        <v>0</v>
      </c>
      <c r="I2787">
        <v>86</v>
      </c>
      <c r="J2787">
        <v>3413</v>
      </c>
      <c r="K2787">
        <v>19.600000000000001</v>
      </c>
      <c r="L2787">
        <v>138</v>
      </c>
      <c r="M2787">
        <v>89</v>
      </c>
      <c r="N2787">
        <v>4.21</v>
      </c>
      <c r="O2787">
        <v>86</v>
      </c>
      <c r="P2787">
        <v>7.4</v>
      </c>
      <c r="S2787">
        <v>7.3</v>
      </c>
      <c r="T2787">
        <v>7.3</v>
      </c>
      <c r="W2787" t="b">
        <f>COUNT(LifeExpectancyData[[#This Row],[Life expectancy]:[Schooling]])=19</f>
        <v>0</v>
      </c>
    </row>
    <row r="2788" spans="1:23" x14ac:dyDescent="0.25">
      <c r="A2788" t="s">
        <v>553</v>
      </c>
      <c r="B2788">
        <v>2007</v>
      </c>
      <c r="C2788" t="s">
        <v>369</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COUNT(LifeExpectancyData[[#This Row],[Life expectancy]:[Schooling]])=19</f>
        <v>0</v>
      </c>
    </row>
    <row r="2789" spans="1:23" x14ac:dyDescent="0.25">
      <c r="A2789" t="s">
        <v>553</v>
      </c>
      <c r="B2789">
        <v>2006</v>
      </c>
      <c r="C2789" t="s">
        <v>369</v>
      </c>
      <c r="D2789">
        <v>53.1</v>
      </c>
      <c r="E2789">
        <v>437</v>
      </c>
      <c r="F2789">
        <v>96</v>
      </c>
      <c r="G2789">
        <v>4.07</v>
      </c>
      <c r="H2789">
        <v>0</v>
      </c>
      <c r="I2789">
        <v>9</v>
      </c>
      <c r="J2789">
        <v>2362</v>
      </c>
      <c r="K2789">
        <v>18.600000000000001</v>
      </c>
      <c r="L2789">
        <v>145</v>
      </c>
      <c r="M2789">
        <v>91</v>
      </c>
      <c r="N2789">
        <v>6.86</v>
      </c>
      <c r="O2789">
        <v>9</v>
      </c>
      <c r="P2789">
        <v>9.4</v>
      </c>
      <c r="S2789">
        <v>7.6</v>
      </c>
      <c r="T2789">
        <v>7.5</v>
      </c>
      <c r="W2789" t="b">
        <f>COUNT(LifeExpectancyData[[#This Row],[Life expectancy]:[Schooling]])=19</f>
        <v>0</v>
      </c>
    </row>
    <row r="2790" spans="1:23" x14ac:dyDescent="0.25">
      <c r="A2790" t="s">
        <v>553</v>
      </c>
      <c r="B2790">
        <v>2005</v>
      </c>
      <c r="C2790" t="s">
        <v>369</v>
      </c>
      <c r="D2790">
        <v>52.2</v>
      </c>
      <c r="E2790">
        <v>449</v>
      </c>
      <c r="F2790">
        <v>97</v>
      </c>
      <c r="G2790">
        <v>3.94</v>
      </c>
      <c r="H2790">
        <v>0</v>
      </c>
      <c r="I2790">
        <v>9</v>
      </c>
      <c r="J2790">
        <v>23</v>
      </c>
      <c r="K2790">
        <v>18.100000000000001</v>
      </c>
      <c r="L2790">
        <v>149</v>
      </c>
      <c r="M2790">
        <v>91</v>
      </c>
      <c r="N2790">
        <v>4.66</v>
      </c>
      <c r="O2790">
        <v>9</v>
      </c>
      <c r="P2790">
        <v>10</v>
      </c>
      <c r="S2790">
        <v>7.7</v>
      </c>
      <c r="T2790">
        <v>7.6</v>
      </c>
      <c r="W2790" t="b">
        <f>COUNT(LifeExpectancyData[[#This Row],[Life expectancy]:[Schooling]])=19</f>
        <v>0</v>
      </c>
    </row>
    <row r="2791" spans="1:23" x14ac:dyDescent="0.25">
      <c r="A2791" t="s">
        <v>553</v>
      </c>
      <c r="B2791">
        <v>2004</v>
      </c>
      <c r="C2791" t="s">
        <v>369</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COUNT(LifeExpectancyData[[#This Row],[Life expectancy]:[Schooling]])=19</f>
        <v>0</v>
      </c>
    </row>
    <row r="2792" spans="1:23" x14ac:dyDescent="0.25">
      <c r="A2792" t="s">
        <v>553</v>
      </c>
      <c r="B2792">
        <v>2003</v>
      </c>
      <c r="C2792" t="s">
        <v>369</v>
      </c>
      <c r="D2792">
        <v>58</v>
      </c>
      <c r="E2792">
        <v>459</v>
      </c>
      <c r="F2792">
        <v>103</v>
      </c>
      <c r="G2792">
        <v>2.34</v>
      </c>
      <c r="H2792">
        <v>0</v>
      </c>
      <c r="I2792">
        <v>95</v>
      </c>
      <c r="J2792">
        <v>1673</v>
      </c>
      <c r="K2792">
        <v>17.2</v>
      </c>
      <c r="L2792">
        <v>160</v>
      </c>
      <c r="M2792">
        <v>97</v>
      </c>
      <c r="N2792">
        <v>4.5999999999999996</v>
      </c>
      <c r="O2792">
        <v>95</v>
      </c>
      <c r="P2792">
        <v>11.5</v>
      </c>
      <c r="S2792">
        <v>7.9</v>
      </c>
      <c r="T2792">
        <v>7.9</v>
      </c>
      <c r="W2792" t="b">
        <f>COUNT(LifeExpectancyData[[#This Row],[Life expectancy]:[Schooling]])=19</f>
        <v>0</v>
      </c>
    </row>
    <row r="2793" spans="1:23" x14ac:dyDescent="0.25">
      <c r="A2793" t="s">
        <v>553</v>
      </c>
      <c r="B2793">
        <v>2002</v>
      </c>
      <c r="C2793" t="s">
        <v>369</v>
      </c>
      <c r="D2793">
        <v>52</v>
      </c>
      <c r="E2793">
        <v>46</v>
      </c>
      <c r="F2793">
        <v>106</v>
      </c>
      <c r="G2793">
        <v>3.37</v>
      </c>
      <c r="H2793">
        <v>0</v>
      </c>
      <c r="I2793">
        <v>89</v>
      </c>
      <c r="J2793">
        <v>5131</v>
      </c>
      <c r="K2793">
        <v>16.8</v>
      </c>
      <c r="L2793">
        <v>166</v>
      </c>
      <c r="M2793">
        <v>91</v>
      </c>
      <c r="N2793">
        <v>3.59</v>
      </c>
      <c r="O2793">
        <v>89</v>
      </c>
      <c r="P2793">
        <v>12.1</v>
      </c>
      <c r="S2793">
        <v>8</v>
      </c>
      <c r="T2793">
        <v>8</v>
      </c>
      <c r="W2793" t="b">
        <f>COUNT(LifeExpectancyData[[#This Row],[Life expectancy]:[Schooling]])=19</f>
        <v>0</v>
      </c>
    </row>
    <row r="2794" spans="1:23" x14ac:dyDescent="0.25">
      <c r="A2794" t="s">
        <v>553</v>
      </c>
      <c r="B2794">
        <v>2001</v>
      </c>
      <c r="C2794" t="s">
        <v>369</v>
      </c>
      <c r="D2794">
        <v>49.6</v>
      </c>
      <c r="E2794">
        <v>46</v>
      </c>
      <c r="F2794">
        <v>110</v>
      </c>
      <c r="G2794">
        <v>4.09</v>
      </c>
      <c r="H2794">
        <v>0</v>
      </c>
      <c r="J2794">
        <v>11847</v>
      </c>
      <c r="K2794">
        <v>16.399999999999999</v>
      </c>
      <c r="L2794">
        <v>173</v>
      </c>
      <c r="M2794">
        <v>65</v>
      </c>
      <c r="N2794">
        <v>3.28</v>
      </c>
      <c r="O2794">
        <v>87</v>
      </c>
      <c r="P2794">
        <v>12.5</v>
      </c>
      <c r="S2794">
        <v>8.1999999999999993</v>
      </c>
      <c r="T2794">
        <v>8.1</v>
      </c>
      <c r="W2794" t="b">
        <f>COUNT(LifeExpectancyData[[#This Row],[Life expectancy]:[Schooling]])=19</f>
        <v>0</v>
      </c>
    </row>
    <row r="2795" spans="1:23" x14ac:dyDescent="0.25">
      <c r="A2795" t="s">
        <v>553</v>
      </c>
      <c r="B2795">
        <v>2000</v>
      </c>
      <c r="C2795" t="s">
        <v>369</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COUNT(LifeExpectancyData[[#This Row],[Life expectancy]:[Schooling]])=19</f>
        <v>0</v>
      </c>
    </row>
    <row r="2796" spans="1:23" x14ac:dyDescent="0.25">
      <c r="A2796" t="s">
        <v>554</v>
      </c>
      <c r="B2796">
        <v>2015</v>
      </c>
      <c r="C2796" t="s">
        <v>377</v>
      </c>
      <c r="D2796">
        <v>79.3</v>
      </c>
      <c r="E2796">
        <v>13</v>
      </c>
      <c r="F2796">
        <v>23</v>
      </c>
      <c r="H2796">
        <v>0</v>
      </c>
      <c r="I2796">
        <v>92</v>
      </c>
      <c r="J2796">
        <v>188</v>
      </c>
      <c r="K2796">
        <v>69.599999999999994</v>
      </c>
      <c r="L2796">
        <v>26</v>
      </c>
      <c r="M2796">
        <v>93</v>
      </c>
      <c r="O2796">
        <v>95</v>
      </c>
      <c r="P2796">
        <v>0.1</v>
      </c>
      <c r="S2796">
        <v>0.8</v>
      </c>
      <c r="T2796">
        <v>0.6</v>
      </c>
      <c r="W2796" t="b">
        <f>COUNT(LifeExpectancyData[[#This Row],[Life expectancy]:[Schooling]])=19</f>
        <v>0</v>
      </c>
    </row>
    <row r="2797" spans="1:23" x14ac:dyDescent="0.25">
      <c r="A2797" t="s">
        <v>554</v>
      </c>
      <c r="B2797">
        <v>2014</v>
      </c>
      <c r="C2797" t="s">
        <v>377</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COUNT(LifeExpectancyData[[#This Row],[Life expectancy]:[Schooling]])=19</f>
        <v>0</v>
      </c>
    </row>
    <row r="2798" spans="1:23" x14ac:dyDescent="0.25">
      <c r="A2798" t="s">
        <v>554</v>
      </c>
      <c r="B2798">
        <v>2013</v>
      </c>
      <c r="C2798" t="s">
        <v>377</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COUNT(LifeExpectancyData[[#This Row],[Life expectancy]:[Schooling]])=19</f>
        <v>0</v>
      </c>
    </row>
    <row r="2799" spans="1:23" x14ac:dyDescent="0.25">
      <c r="A2799" t="s">
        <v>554</v>
      </c>
      <c r="B2799">
        <v>2012</v>
      </c>
      <c r="C2799" t="s">
        <v>377</v>
      </c>
      <c r="D2799">
        <v>78.8</v>
      </c>
      <c r="E2799">
        <v>16</v>
      </c>
      <c r="F2799">
        <v>24</v>
      </c>
      <c r="G2799">
        <v>8.82</v>
      </c>
      <c r="H2799">
        <v>0</v>
      </c>
      <c r="I2799">
        <v>9</v>
      </c>
      <c r="J2799">
        <v>55</v>
      </c>
      <c r="K2799">
        <v>68</v>
      </c>
      <c r="L2799">
        <v>28</v>
      </c>
      <c r="M2799">
        <v>93</v>
      </c>
      <c r="N2799">
        <v>17.2</v>
      </c>
      <c r="O2799">
        <v>94</v>
      </c>
      <c r="P2799">
        <v>0.1</v>
      </c>
      <c r="S2799">
        <v>0.7</v>
      </c>
      <c r="T2799">
        <v>0.6</v>
      </c>
      <c r="W2799" t="b">
        <f>COUNT(LifeExpectancyData[[#This Row],[Life expectancy]:[Schooling]])=19</f>
        <v>0</v>
      </c>
    </row>
    <row r="2800" spans="1:23" x14ac:dyDescent="0.25">
      <c r="A2800" t="s">
        <v>554</v>
      </c>
      <c r="B2800">
        <v>2011</v>
      </c>
      <c r="C2800" t="s">
        <v>377</v>
      </c>
      <c r="D2800">
        <v>78.7</v>
      </c>
      <c r="E2800">
        <v>16</v>
      </c>
      <c r="F2800">
        <v>25</v>
      </c>
      <c r="G2800">
        <v>8.67</v>
      </c>
      <c r="H2800">
        <v>0</v>
      </c>
      <c r="I2800">
        <v>91</v>
      </c>
      <c r="J2800">
        <v>220</v>
      </c>
      <c r="K2800">
        <v>67.5</v>
      </c>
      <c r="L2800">
        <v>29</v>
      </c>
      <c r="M2800">
        <v>94</v>
      </c>
      <c r="N2800">
        <v>17.600000000000001</v>
      </c>
      <c r="O2800">
        <v>96</v>
      </c>
      <c r="P2800">
        <v>0.1</v>
      </c>
      <c r="S2800">
        <v>0.7</v>
      </c>
      <c r="T2800">
        <v>0.6</v>
      </c>
      <c r="W2800" t="b">
        <f>COUNT(LifeExpectancyData[[#This Row],[Life expectancy]:[Schooling]])=19</f>
        <v>0</v>
      </c>
    </row>
    <row r="2801" spans="1:23" x14ac:dyDescent="0.25">
      <c r="A2801" t="s">
        <v>554</v>
      </c>
      <c r="B2801">
        <v>2010</v>
      </c>
      <c r="C2801" t="s">
        <v>377</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COUNT(LifeExpectancyData[[#This Row],[Life expectancy]:[Schooling]])=19</f>
        <v>0</v>
      </c>
    </row>
    <row r="2802" spans="1:23" x14ac:dyDescent="0.25">
      <c r="A2802" t="s">
        <v>554</v>
      </c>
      <c r="B2802">
        <v>2009</v>
      </c>
      <c r="C2802" t="s">
        <v>377</v>
      </c>
      <c r="D2802">
        <v>78.5</v>
      </c>
      <c r="E2802">
        <v>18</v>
      </c>
      <c r="F2802">
        <v>26</v>
      </c>
      <c r="G2802">
        <v>8.7100000000000009</v>
      </c>
      <c r="H2802">
        <v>0</v>
      </c>
      <c r="I2802">
        <v>92</v>
      </c>
      <c r="J2802">
        <v>71</v>
      </c>
      <c r="K2802">
        <v>66.3</v>
      </c>
      <c r="L2802">
        <v>31</v>
      </c>
      <c r="M2802">
        <v>93</v>
      </c>
      <c r="N2802">
        <v>17</v>
      </c>
      <c r="O2802">
        <v>95</v>
      </c>
      <c r="P2802">
        <v>0.1</v>
      </c>
      <c r="S2802">
        <v>0.7</v>
      </c>
      <c r="T2802">
        <v>0.6</v>
      </c>
      <c r="W2802" t="b">
        <f>COUNT(LifeExpectancyData[[#This Row],[Life expectancy]:[Schooling]])=19</f>
        <v>0</v>
      </c>
    </row>
    <row r="2803" spans="1:23" x14ac:dyDescent="0.25">
      <c r="A2803" t="s">
        <v>554</v>
      </c>
      <c r="B2803">
        <v>2008</v>
      </c>
      <c r="C2803" t="s">
        <v>377</v>
      </c>
      <c r="D2803">
        <v>78.2</v>
      </c>
      <c r="E2803">
        <v>18</v>
      </c>
      <c r="F2803">
        <v>27</v>
      </c>
      <c r="G2803">
        <v>8.74</v>
      </c>
      <c r="H2803">
        <v>0</v>
      </c>
      <c r="I2803">
        <v>94</v>
      </c>
      <c r="J2803">
        <v>140</v>
      </c>
      <c r="K2803">
        <v>65.7</v>
      </c>
      <c r="L2803">
        <v>31</v>
      </c>
      <c r="M2803">
        <v>94</v>
      </c>
      <c r="N2803">
        <v>16.2</v>
      </c>
      <c r="O2803">
        <v>96</v>
      </c>
      <c r="P2803">
        <v>0.1</v>
      </c>
      <c r="S2803">
        <v>0.7</v>
      </c>
      <c r="T2803">
        <v>0.6</v>
      </c>
      <c r="W2803" t="b">
        <f>COUNT(LifeExpectancyData[[#This Row],[Life expectancy]:[Schooling]])=19</f>
        <v>0</v>
      </c>
    </row>
    <row r="2804" spans="1:23" x14ac:dyDescent="0.25">
      <c r="A2804" t="s">
        <v>554</v>
      </c>
      <c r="B2804">
        <v>2007</v>
      </c>
      <c r="C2804" t="s">
        <v>377</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COUNT(LifeExpectancyData[[#This Row],[Life expectancy]:[Schooling]])=19</f>
        <v>0</v>
      </c>
    </row>
    <row r="2805" spans="1:23" x14ac:dyDescent="0.25">
      <c r="A2805" t="s">
        <v>554</v>
      </c>
      <c r="B2805">
        <v>2006</v>
      </c>
      <c r="C2805" t="s">
        <v>377</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COUNT(LifeExpectancyData[[#This Row],[Life expectancy]:[Schooling]])=19</f>
        <v>0</v>
      </c>
    </row>
    <row r="2806" spans="1:23" x14ac:dyDescent="0.25">
      <c r="A2806" t="s">
        <v>554</v>
      </c>
      <c r="B2806">
        <v>2005</v>
      </c>
      <c r="C2806" t="s">
        <v>377</v>
      </c>
      <c r="D2806">
        <v>77.5</v>
      </c>
      <c r="E2806">
        <v>112</v>
      </c>
      <c r="F2806">
        <v>28</v>
      </c>
      <c r="G2806">
        <v>8.52</v>
      </c>
      <c r="H2806">
        <v>0</v>
      </c>
      <c r="I2806">
        <v>93</v>
      </c>
      <c r="J2806">
        <v>66</v>
      </c>
      <c r="K2806">
        <v>63.8</v>
      </c>
      <c r="L2806">
        <v>33</v>
      </c>
      <c r="M2806">
        <v>92</v>
      </c>
      <c r="N2806">
        <v>15.15</v>
      </c>
      <c r="O2806">
        <v>96</v>
      </c>
      <c r="P2806">
        <v>0.1</v>
      </c>
      <c r="S2806">
        <v>0.7</v>
      </c>
      <c r="T2806">
        <v>0.6</v>
      </c>
      <c r="W2806" t="b">
        <f>COUNT(LifeExpectancyData[[#This Row],[Life expectancy]:[Schooling]])=19</f>
        <v>0</v>
      </c>
    </row>
    <row r="2807" spans="1:23" x14ac:dyDescent="0.25">
      <c r="A2807" t="s">
        <v>554</v>
      </c>
      <c r="B2807">
        <v>2004</v>
      </c>
      <c r="C2807" t="s">
        <v>377</v>
      </c>
      <c r="D2807">
        <v>77.5</v>
      </c>
      <c r="E2807">
        <v>111</v>
      </c>
      <c r="F2807">
        <v>28</v>
      </c>
      <c r="G2807">
        <v>8.48</v>
      </c>
      <c r="H2807">
        <v>0</v>
      </c>
      <c r="I2807">
        <v>92</v>
      </c>
      <c r="J2807">
        <v>37</v>
      </c>
      <c r="K2807">
        <v>63.1</v>
      </c>
      <c r="L2807">
        <v>33</v>
      </c>
      <c r="M2807">
        <v>92</v>
      </c>
      <c r="N2807">
        <v>15.14</v>
      </c>
      <c r="O2807">
        <v>96</v>
      </c>
      <c r="P2807">
        <v>0.1</v>
      </c>
      <c r="S2807">
        <v>0.7</v>
      </c>
      <c r="T2807">
        <v>0.6</v>
      </c>
      <c r="W2807" t="b">
        <f>COUNT(LifeExpectancyData[[#This Row],[Life expectancy]:[Schooling]])=19</f>
        <v>0</v>
      </c>
    </row>
    <row r="2808" spans="1:23" x14ac:dyDescent="0.25">
      <c r="A2808" t="s">
        <v>554</v>
      </c>
      <c r="B2808">
        <v>2003</v>
      </c>
      <c r="C2808" t="s">
        <v>377</v>
      </c>
      <c r="D2808">
        <v>77.2</v>
      </c>
      <c r="E2808">
        <v>114</v>
      </c>
      <c r="F2808">
        <v>28</v>
      </c>
      <c r="G2808">
        <v>8.4</v>
      </c>
      <c r="H2808">
        <v>0</v>
      </c>
      <c r="I2808">
        <v>92</v>
      </c>
      <c r="J2808">
        <v>56</v>
      </c>
      <c r="K2808">
        <v>62.4</v>
      </c>
      <c r="L2808">
        <v>33</v>
      </c>
      <c r="M2808">
        <v>91</v>
      </c>
      <c r="N2808">
        <v>15.6</v>
      </c>
      <c r="O2808">
        <v>96</v>
      </c>
      <c r="P2808">
        <v>0.1</v>
      </c>
      <c r="S2808">
        <v>0.7</v>
      </c>
      <c r="T2808">
        <v>0.6</v>
      </c>
      <c r="W2808" t="b">
        <f>COUNT(LifeExpectancyData[[#This Row],[Life expectancy]:[Schooling]])=19</f>
        <v>0</v>
      </c>
    </row>
    <row r="2809" spans="1:23" x14ac:dyDescent="0.25">
      <c r="A2809" t="s">
        <v>554</v>
      </c>
      <c r="B2809">
        <v>2002</v>
      </c>
      <c r="C2809" t="s">
        <v>377</v>
      </c>
      <c r="D2809">
        <v>77</v>
      </c>
      <c r="E2809">
        <v>115</v>
      </c>
      <c r="F2809">
        <v>28</v>
      </c>
      <c r="G2809">
        <v>8.33</v>
      </c>
      <c r="H2809">
        <v>0</v>
      </c>
      <c r="I2809">
        <v>88</v>
      </c>
      <c r="J2809">
        <v>41</v>
      </c>
      <c r="K2809">
        <v>61.7</v>
      </c>
      <c r="L2809">
        <v>33</v>
      </c>
      <c r="M2809">
        <v>9</v>
      </c>
      <c r="N2809">
        <v>14.55</v>
      </c>
      <c r="O2809">
        <v>94</v>
      </c>
      <c r="P2809">
        <v>0.1</v>
      </c>
      <c r="S2809">
        <v>0.8</v>
      </c>
      <c r="T2809">
        <v>0.6</v>
      </c>
      <c r="W2809" t="b">
        <f>COUNT(LifeExpectancyData[[#This Row],[Life expectancy]:[Schooling]])=19</f>
        <v>0</v>
      </c>
    </row>
    <row r="2810" spans="1:23" x14ac:dyDescent="0.25">
      <c r="A2810" t="s">
        <v>554</v>
      </c>
      <c r="B2810">
        <v>2001</v>
      </c>
      <c r="C2810" t="s">
        <v>377</v>
      </c>
      <c r="D2810">
        <v>76.900000000000006</v>
      </c>
      <c r="E2810">
        <v>115</v>
      </c>
      <c r="F2810">
        <v>28</v>
      </c>
      <c r="G2810">
        <v>8.25</v>
      </c>
      <c r="H2810">
        <v>0</v>
      </c>
      <c r="I2810">
        <v>89</v>
      </c>
      <c r="J2810">
        <v>116</v>
      </c>
      <c r="K2810">
        <v>6.9</v>
      </c>
      <c r="L2810">
        <v>33</v>
      </c>
      <c r="M2810">
        <v>89</v>
      </c>
      <c r="N2810">
        <v>13.73</v>
      </c>
      <c r="O2810">
        <v>94</v>
      </c>
      <c r="P2810">
        <v>0.1</v>
      </c>
      <c r="S2810">
        <v>0.8</v>
      </c>
      <c r="T2810">
        <v>0.6</v>
      </c>
      <c r="W2810" t="b">
        <f>COUNT(LifeExpectancyData[[#This Row],[Life expectancy]:[Schooling]])=19</f>
        <v>0</v>
      </c>
    </row>
    <row r="2811" spans="1:23" x14ac:dyDescent="0.25">
      <c r="A2811" t="s">
        <v>554</v>
      </c>
      <c r="B2811">
        <v>2000</v>
      </c>
      <c r="C2811" t="s">
        <v>377</v>
      </c>
      <c r="D2811">
        <v>76.8</v>
      </c>
      <c r="E2811">
        <v>114</v>
      </c>
      <c r="F2811">
        <v>28</v>
      </c>
      <c r="G2811">
        <v>8.2100000000000009</v>
      </c>
      <c r="H2811">
        <v>0</v>
      </c>
      <c r="I2811">
        <v>9</v>
      </c>
      <c r="J2811">
        <v>85</v>
      </c>
      <c r="K2811">
        <v>6.1</v>
      </c>
      <c r="L2811">
        <v>33</v>
      </c>
      <c r="M2811">
        <v>9</v>
      </c>
      <c r="N2811">
        <v>13.7</v>
      </c>
      <c r="O2811">
        <v>94</v>
      </c>
      <c r="P2811">
        <v>0.1</v>
      </c>
      <c r="S2811">
        <v>0.8</v>
      </c>
      <c r="T2811">
        <v>0.7</v>
      </c>
      <c r="W2811" t="b">
        <f>COUNT(LifeExpectancyData[[#This Row],[Life expectancy]:[Schooling]])=19</f>
        <v>0</v>
      </c>
    </row>
    <row r="2812" spans="1:23" x14ac:dyDescent="0.25">
      <c r="A2812" t="s">
        <v>555</v>
      </c>
      <c r="B2812">
        <v>2015</v>
      </c>
      <c r="C2812" t="s">
        <v>369</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COUNT(LifeExpectancyData[[#This Row],[Life expectancy]:[Schooling]])=19</f>
        <v>0</v>
      </c>
    </row>
    <row r="2813" spans="1:23" x14ac:dyDescent="0.25">
      <c r="A2813" t="s">
        <v>555</v>
      </c>
      <c r="B2813">
        <v>2014</v>
      </c>
      <c r="C2813" t="s">
        <v>369</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COUNT(LifeExpectancyData[[#This Row],[Life expectancy]:[Schooling]])=19</f>
        <v>1</v>
      </c>
    </row>
    <row r="2814" spans="1:23" x14ac:dyDescent="0.25">
      <c r="A2814" t="s">
        <v>555</v>
      </c>
      <c r="B2814">
        <v>2013</v>
      </c>
      <c r="C2814" t="s">
        <v>369</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COUNT(LifeExpectancyData[[#This Row],[Life expectancy]:[Schooling]])=19</f>
        <v>1</v>
      </c>
    </row>
    <row r="2815" spans="1:23" x14ac:dyDescent="0.25">
      <c r="A2815" t="s">
        <v>555</v>
      </c>
      <c r="B2815">
        <v>2012</v>
      </c>
      <c r="C2815" t="s">
        <v>369</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COUNT(LifeExpectancyData[[#This Row],[Life expectancy]:[Schooling]])=19</f>
        <v>1</v>
      </c>
    </row>
    <row r="2816" spans="1:23" x14ac:dyDescent="0.25">
      <c r="A2816" t="s">
        <v>555</v>
      </c>
      <c r="B2816">
        <v>2011</v>
      </c>
      <c r="C2816" t="s">
        <v>369</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COUNT(LifeExpectancyData[[#This Row],[Life expectancy]:[Schooling]])=19</f>
        <v>1</v>
      </c>
    </row>
    <row r="2817" spans="1:23" x14ac:dyDescent="0.25">
      <c r="A2817" t="s">
        <v>555</v>
      </c>
      <c r="B2817">
        <v>2010</v>
      </c>
      <c r="C2817" t="s">
        <v>369</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COUNT(LifeExpectancyData[[#This Row],[Life expectancy]:[Schooling]])=19</f>
        <v>1</v>
      </c>
    </row>
    <row r="2818" spans="1:23" x14ac:dyDescent="0.25">
      <c r="A2818" t="s">
        <v>555</v>
      </c>
      <c r="B2818">
        <v>2009</v>
      </c>
      <c r="C2818" t="s">
        <v>369</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COUNT(LifeExpectancyData[[#This Row],[Life expectancy]:[Schooling]])=19</f>
        <v>1</v>
      </c>
    </row>
    <row r="2819" spans="1:23" x14ac:dyDescent="0.25">
      <c r="A2819" t="s">
        <v>555</v>
      </c>
      <c r="B2819">
        <v>2008</v>
      </c>
      <c r="C2819" t="s">
        <v>369</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COUNT(LifeExpectancyData[[#This Row],[Life expectancy]:[Schooling]])=19</f>
        <v>1</v>
      </c>
    </row>
    <row r="2820" spans="1:23" x14ac:dyDescent="0.25">
      <c r="A2820" t="s">
        <v>555</v>
      </c>
      <c r="B2820">
        <v>2007</v>
      </c>
      <c r="C2820" t="s">
        <v>369</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COUNT(LifeExpectancyData[[#This Row],[Life expectancy]:[Schooling]])=19</f>
        <v>1</v>
      </c>
    </row>
    <row r="2821" spans="1:23" x14ac:dyDescent="0.25">
      <c r="A2821" t="s">
        <v>555</v>
      </c>
      <c r="B2821">
        <v>2006</v>
      </c>
      <c r="C2821" t="s">
        <v>369</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COUNT(LifeExpectancyData[[#This Row],[Life expectancy]:[Schooling]])=19</f>
        <v>1</v>
      </c>
    </row>
    <row r="2822" spans="1:23" x14ac:dyDescent="0.25">
      <c r="A2822" t="s">
        <v>555</v>
      </c>
      <c r="B2822">
        <v>2005</v>
      </c>
      <c r="C2822" t="s">
        <v>369</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COUNT(LifeExpectancyData[[#This Row],[Life expectancy]:[Schooling]])=19</f>
        <v>1</v>
      </c>
    </row>
    <row r="2823" spans="1:23" x14ac:dyDescent="0.25">
      <c r="A2823" t="s">
        <v>555</v>
      </c>
      <c r="B2823">
        <v>2004</v>
      </c>
      <c r="C2823" t="s">
        <v>369</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COUNT(LifeExpectancyData[[#This Row],[Life expectancy]:[Schooling]])=19</f>
        <v>1</v>
      </c>
    </row>
    <row r="2824" spans="1:23" x14ac:dyDescent="0.25">
      <c r="A2824" t="s">
        <v>555</v>
      </c>
      <c r="B2824">
        <v>2003</v>
      </c>
      <c r="C2824" t="s">
        <v>369</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COUNT(LifeExpectancyData[[#This Row],[Life expectancy]:[Schooling]])=19</f>
        <v>1</v>
      </c>
    </row>
    <row r="2825" spans="1:23" x14ac:dyDescent="0.25">
      <c r="A2825" t="s">
        <v>555</v>
      </c>
      <c r="B2825">
        <v>2002</v>
      </c>
      <c r="C2825" t="s">
        <v>369</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COUNT(LifeExpectancyData[[#This Row],[Life expectancy]:[Schooling]])=19</f>
        <v>1</v>
      </c>
    </row>
    <row r="2826" spans="1:23" x14ac:dyDescent="0.25">
      <c r="A2826" t="s">
        <v>555</v>
      </c>
      <c r="B2826">
        <v>2001</v>
      </c>
      <c r="C2826" t="s">
        <v>369</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COUNT(LifeExpectancyData[[#This Row],[Life expectancy]:[Schooling]])=19</f>
        <v>1</v>
      </c>
    </row>
    <row r="2827" spans="1:23" x14ac:dyDescent="0.25">
      <c r="A2827" t="s">
        <v>555</v>
      </c>
      <c r="B2827">
        <v>2000</v>
      </c>
      <c r="C2827" t="s">
        <v>369</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COUNT(LifeExpectancyData[[#This Row],[Life expectancy]:[Schooling]])=19</f>
        <v>1</v>
      </c>
    </row>
    <row r="2828" spans="1:23" x14ac:dyDescent="0.25">
      <c r="A2828" t="s">
        <v>556</v>
      </c>
      <c r="B2828">
        <v>2015</v>
      </c>
      <c r="C2828" t="s">
        <v>369</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COUNT(LifeExpectancyData[[#This Row],[Life expectancy]:[Schooling]])=19</f>
        <v>0</v>
      </c>
    </row>
    <row r="2829" spans="1:23" x14ac:dyDescent="0.25">
      <c r="A2829" t="s">
        <v>556</v>
      </c>
      <c r="B2829">
        <v>2014</v>
      </c>
      <c r="C2829" t="s">
        <v>369</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COUNT(LifeExpectancyData[[#This Row],[Life expectancy]:[Schooling]])=19</f>
        <v>1</v>
      </c>
    </row>
    <row r="2830" spans="1:23" x14ac:dyDescent="0.25">
      <c r="A2830" t="s">
        <v>556</v>
      </c>
      <c r="B2830">
        <v>2013</v>
      </c>
      <c r="C2830" t="s">
        <v>369</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COUNT(LifeExpectancyData[[#This Row],[Life expectancy]:[Schooling]])=19</f>
        <v>1</v>
      </c>
    </row>
    <row r="2831" spans="1:23" x14ac:dyDescent="0.25">
      <c r="A2831" t="s">
        <v>556</v>
      </c>
      <c r="B2831">
        <v>2012</v>
      </c>
      <c r="C2831" t="s">
        <v>369</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COUNT(LifeExpectancyData[[#This Row],[Life expectancy]:[Schooling]])=19</f>
        <v>1</v>
      </c>
    </row>
    <row r="2832" spans="1:23" x14ac:dyDescent="0.25">
      <c r="A2832" t="s">
        <v>556</v>
      </c>
      <c r="B2832">
        <v>2011</v>
      </c>
      <c r="C2832" t="s">
        <v>369</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COUNT(LifeExpectancyData[[#This Row],[Life expectancy]:[Schooling]])=19</f>
        <v>1</v>
      </c>
    </row>
    <row r="2833" spans="1:23" x14ac:dyDescent="0.25">
      <c r="A2833" t="s">
        <v>556</v>
      </c>
      <c r="B2833">
        <v>2010</v>
      </c>
      <c r="C2833" t="s">
        <v>369</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COUNT(LifeExpectancyData[[#This Row],[Life expectancy]:[Schooling]])=19</f>
        <v>1</v>
      </c>
    </row>
    <row r="2834" spans="1:23" x14ac:dyDescent="0.25">
      <c r="A2834" t="s">
        <v>556</v>
      </c>
      <c r="B2834">
        <v>2009</v>
      </c>
      <c r="C2834" t="s">
        <v>369</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COUNT(LifeExpectancyData[[#This Row],[Life expectancy]:[Schooling]])=19</f>
        <v>1</v>
      </c>
    </row>
    <row r="2835" spans="1:23" x14ac:dyDescent="0.25">
      <c r="A2835" t="s">
        <v>556</v>
      </c>
      <c r="B2835">
        <v>2008</v>
      </c>
      <c r="C2835" t="s">
        <v>369</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COUNT(LifeExpectancyData[[#This Row],[Life expectancy]:[Schooling]])=19</f>
        <v>1</v>
      </c>
    </row>
    <row r="2836" spans="1:23" x14ac:dyDescent="0.25">
      <c r="A2836" t="s">
        <v>556</v>
      </c>
      <c r="B2836">
        <v>2007</v>
      </c>
      <c r="C2836" t="s">
        <v>369</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COUNT(LifeExpectancyData[[#This Row],[Life expectancy]:[Schooling]])=19</f>
        <v>1</v>
      </c>
    </row>
    <row r="2837" spans="1:23" x14ac:dyDescent="0.25">
      <c r="A2837" t="s">
        <v>556</v>
      </c>
      <c r="B2837">
        <v>2006</v>
      </c>
      <c r="C2837" t="s">
        <v>369</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COUNT(LifeExpectancyData[[#This Row],[Life expectancy]:[Schooling]])=19</f>
        <v>1</v>
      </c>
    </row>
    <row r="2838" spans="1:23" x14ac:dyDescent="0.25">
      <c r="A2838" t="s">
        <v>556</v>
      </c>
      <c r="B2838">
        <v>2005</v>
      </c>
      <c r="C2838" t="s">
        <v>369</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COUNT(LifeExpectancyData[[#This Row],[Life expectancy]:[Schooling]])=19</f>
        <v>1</v>
      </c>
    </row>
    <row r="2839" spans="1:23" x14ac:dyDescent="0.25">
      <c r="A2839" t="s">
        <v>556</v>
      </c>
      <c r="B2839">
        <v>2004</v>
      </c>
      <c r="C2839" t="s">
        <v>369</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COUNT(LifeExpectancyData[[#This Row],[Life expectancy]:[Schooling]])=19</f>
        <v>1</v>
      </c>
    </row>
    <row r="2840" spans="1:23" x14ac:dyDescent="0.25">
      <c r="A2840" t="s">
        <v>556</v>
      </c>
      <c r="B2840">
        <v>2003</v>
      </c>
      <c r="C2840" t="s">
        <v>369</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COUNT(LifeExpectancyData[[#This Row],[Life expectancy]:[Schooling]])=19</f>
        <v>1</v>
      </c>
    </row>
    <row r="2841" spans="1:23" x14ac:dyDescent="0.25">
      <c r="A2841" t="s">
        <v>556</v>
      </c>
      <c r="B2841">
        <v>2002</v>
      </c>
      <c r="C2841" t="s">
        <v>369</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COUNT(LifeExpectancyData[[#This Row],[Life expectancy]:[Schooling]])=19</f>
        <v>1</v>
      </c>
    </row>
    <row r="2842" spans="1:23" x14ac:dyDescent="0.25">
      <c r="A2842" t="s">
        <v>556</v>
      </c>
      <c r="B2842">
        <v>2001</v>
      </c>
      <c r="C2842" t="s">
        <v>369</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COUNT(LifeExpectancyData[[#This Row],[Life expectancy]:[Schooling]])=19</f>
        <v>0</v>
      </c>
    </row>
    <row r="2843" spans="1:23" x14ac:dyDescent="0.25">
      <c r="A2843" t="s">
        <v>556</v>
      </c>
      <c r="B2843">
        <v>2000</v>
      </c>
      <c r="C2843" t="s">
        <v>369</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COUNT(LifeExpectancyData[[#This Row],[Life expectancy]:[Schooling]])=19</f>
        <v>0</v>
      </c>
    </row>
    <row r="2844" spans="1:23" x14ac:dyDescent="0.25">
      <c r="A2844" t="s">
        <v>557</v>
      </c>
      <c r="B2844">
        <v>2015</v>
      </c>
      <c r="C2844" t="s">
        <v>369</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COUNT(LifeExpectancyData[[#This Row],[Life expectancy]:[Schooling]])=19</f>
        <v>0</v>
      </c>
    </row>
    <row r="2845" spans="1:23" x14ac:dyDescent="0.25">
      <c r="A2845" t="s">
        <v>557</v>
      </c>
      <c r="B2845">
        <v>2014</v>
      </c>
      <c r="C2845" t="s">
        <v>369</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COUNT(LifeExpectancyData[[#This Row],[Life expectancy]:[Schooling]])=19</f>
        <v>1</v>
      </c>
    </row>
    <row r="2846" spans="1:23" x14ac:dyDescent="0.25">
      <c r="A2846" t="s">
        <v>557</v>
      </c>
      <c r="B2846">
        <v>2013</v>
      </c>
      <c r="C2846" t="s">
        <v>369</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COUNT(LifeExpectancyData[[#This Row],[Life expectancy]:[Schooling]])=19</f>
        <v>1</v>
      </c>
    </row>
    <row r="2847" spans="1:23" x14ac:dyDescent="0.25">
      <c r="A2847" t="s">
        <v>557</v>
      </c>
      <c r="B2847">
        <v>2012</v>
      </c>
      <c r="C2847" t="s">
        <v>369</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COUNT(LifeExpectancyData[[#This Row],[Life expectancy]:[Schooling]])=19</f>
        <v>1</v>
      </c>
    </row>
    <row r="2848" spans="1:23" x14ac:dyDescent="0.25">
      <c r="A2848" t="s">
        <v>557</v>
      </c>
      <c r="B2848">
        <v>2011</v>
      </c>
      <c r="C2848" t="s">
        <v>369</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COUNT(LifeExpectancyData[[#This Row],[Life expectancy]:[Schooling]])=19</f>
        <v>1</v>
      </c>
    </row>
    <row r="2849" spans="1:23" x14ac:dyDescent="0.25">
      <c r="A2849" t="s">
        <v>557</v>
      </c>
      <c r="B2849">
        <v>2010</v>
      </c>
      <c r="C2849" t="s">
        <v>369</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COUNT(LifeExpectancyData[[#This Row],[Life expectancy]:[Schooling]])=19</f>
        <v>1</v>
      </c>
    </row>
    <row r="2850" spans="1:23" x14ac:dyDescent="0.25">
      <c r="A2850" t="s">
        <v>557</v>
      </c>
      <c r="B2850">
        <v>2009</v>
      </c>
      <c r="C2850" t="s">
        <v>369</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COUNT(LifeExpectancyData[[#This Row],[Life expectancy]:[Schooling]])=19</f>
        <v>1</v>
      </c>
    </row>
    <row r="2851" spans="1:23" x14ac:dyDescent="0.25">
      <c r="A2851" t="s">
        <v>557</v>
      </c>
      <c r="B2851">
        <v>2008</v>
      </c>
      <c r="C2851" t="s">
        <v>369</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COUNT(LifeExpectancyData[[#This Row],[Life expectancy]:[Schooling]])=19</f>
        <v>1</v>
      </c>
    </row>
    <row r="2852" spans="1:23" x14ac:dyDescent="0.25">
      <c r="A2852" t="s">
        <v>557</v>
      </c>
      <c r="B2852">
        <v>2007</v>
      </c>
      <c r="C2852" t="s">
        <v>369</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COUNT(LifeExpectancyData[[#This Row],[Life expectancy]:[Schooling]])=19</f>
        <v>1</v>
      </c>
    </row>
    <row r="2853" spans="1:23" x14ac:dyDescent="0.25">
      <c r="A2853" t="s">
        <v>557</v>
      </c>
      <c r="B2853">
        <v>2006</v>
      </c>
      <c r="C2853" t="s">
        <v>369</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COUNT(LifeExpectancyData[[#This Row],[Life expectancy]:[Schooling]])=19</f>
        <v>1</v>
      </c>
    </row>
    <row r="2854" spans="1:23" x14ac:dyDescent="0.25">
      <c r="A2854" t="s">
        <v>557</v>
      </c>
      <c r="B2854">
        <v>2005</v>
      </c>
      <c r="C2854" t="s">
        <v>369</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COUNT(LifeExpectancyData[[#This Row],[Life expectancy]:[Schooling]])=19</f>
        <v>1</v>
      </c>
    </row>
    <row r="2855" spans="1:23" x14ac:dyDescent="0.25">
      <c r="A2855" t="s">
        <v>557</v>
      </c>
      <c r="B2855">
        <v>2004</v>
      </c>
      <c r="C2855" t="s">
        <v>369</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COUNT(LifeExpectancyData[[#This Row],[Life expectancy]:[Schooling]])=19</f>
        <v>1</v>
      </c>
    </row>
    <row r="2856" spans="1:23" x14ac:dyDescent="0.25">
      <c r="A2856" t="s">
        <v>557</v>
      </c>
      <c r="B2856">
        <v>2003</v>
      </c>
      <c r="C2856" t="s">
        <v>369</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COUNT(LifeExpectancyData[[#This Row],[Life expectancy]:[Schooling]])=19</f>
        <v>1</v>
      </c>
    </row>
    <row r="2857" spans="1:23" x14ac:dyDescent="0.25">
      <c r="A2857" t="s">
        <v>557</v>
      </c>
      <c r="B2857">
        <v>2002</v>
      </c>
      <c r="C2857" t="s">
        <v>369</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COUNT(LifeExpectancyData[[#This Row],[Life expectancy]:[Schooling]])=19</f>
        <v>1</v>
      </c>
    </row>
    <row r="2858" spans="1:23" x14ac:dyDescent="0.25">
      <c r="A2858" t="s">
        <v>557</v>
      </c>
      <c r="B2858">
        <v>2001</v>
      </c>
      <c r="C2858" t="s">
        <v>369</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COUNT(LifeExpectancyData[[#This Row],[Life expectancy]:[Schooling]])=19</f>
        <v>1</v>
      </c>
    </row>
    <row r="2859" spans="1:23" x14ac:dyDescent="0.25">
      <c r="A2859" t="s">
        <v>557</v>
      </c>
      <c r="B2859">
        <v>2000</v>
      </c>
      <c r="C2859" t="s">
        <v>369</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COUNT(LifeExpectancyData[[#This Row],[Life expectancy]:[Schooling]])=19</f>
        <v>1</v>
      </c>
    </row>
    <row r="2860" spans="1:23" x14ac:dyDescent="0.25">
      <c r="A2860" t="s">
        <v>558</v>
      </c>
      <c r="B2860">
        <v>2015</v>
      </c>
      <c r="C2860" t="s">
        <v>369</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COUNT(LifeExpectancyData[[#This Row],[Life expectancy]:[Schooling]])=19</f>
        <v>0</v>
      </c>
    </row>
    <row r="2861" spans="1:23" x14ac:dyDescent="0.25">
      <c r="A2861" t="s">
        <v>558</v>
      </c>
      <c r="B2861">
        <v>2014</v>
      </c>
      <c r="C2861" t="s">
        <v>369</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COUNT(LifeExpectancyData[[#This Row],[Life expectancy]:[Schooling]])=19</f>
        <v>0</v>
      </c>
    </row>
    <row r="2862" spans="1:23" x14ac:dyDescent="0.25">
      <c r="A2862" t="s">
        <v>558</v>
      </c>
      <c r="B2862">
        <v>2013</v>
      </c>
      <c r="C2862" t="s">
        <v>369</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COUNT(LifeExpectancyData[[#This Row],[Life expectancy]:[Schooling]])=19</f>
        <v>0</v>
      </c>
    </row>
    <row r="2863" spans="1:23" x14ac:dyDescent="0.25">
      <c r="A2863" t="s">
        <v>558</v>
      </c>
      <c r="B2863">
        <v>2012</v>
      </c>
      <c r="C2863" t="s">
        <v>369</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COUNT(LifeExpectancyData[[#This Row],[Life expectancy]:[Schooling]])=19</f>
        <v>0</v>
      </c>
    </row>
    <row r="2864" spans="1:23" x14ac:dyDescent="0.25">
      <c r="A2864" t="s">
        <v>558</v>
      </c>
      <c r="B2864">
        <v>2011</v>
      </c>
      <c r="C2864" t="s">
        <v>369</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COUNT(LifeExpectancyData[[#This Row],[Life expectancy]:[Schooling]])=19</f>
        <v>0</v>
      </c>
    </row>
    <row r="2865" spans="1:23" x14ac:dyDescent="0.25">
      <c r="A2865" t="s">
        <v>558</v>
      </c>
      <c r="B2865">
        <v>2010</v>
      </c>
      <c r="C2865" t="s">
        <v>369</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COUNT(LifeExpectancyData[[#This Row],[Life expectancy]:[Schooling]])=19</f>
        <v>0</v>
      </c>
    </row>
    <row r="2866" spans="1:23" x14ac:dyDescent="0.25">
      <c r="A2866" t="s">
        <v>558</v>
      </c>
      <c r="B2866">
        <v>2009</v>
      </c>
      <c r="C2866" t="s">
        <v>369</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COUNT(LifeExpectancyData[[#This Row],[Life expectancy]:[Schooling]])=19</f>
        <v>0</v>
      </c>
    </row>
    <row r="2867" spans="1:23" x14ac:dyDescent="0.25">
      <c r="A2867" t="s">
        <v>558</v>
      </c>
      <c r="B2867">
        <v>2008</v>
      </c>
      <c r="C2867" t="s">
        <v>369</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COUNT(LifeExpectancyData[[#This Row],[Life expectancy]:[Schooling]])=19</f>
        <v>0</v>
      </c>
    </row>
    <row r="2868" spans="1:23" x14ac:dyDescent="0.25">
      <c r="A2868" t="s">
        <v>558</v>
      </c>
      <c r="B2868">
        <v>2007</v>
      </c>
      <c r="C2868" t="s">
        <v>369</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COUNT(LifeExpectancyData[[#This Row],[Life expectancy]:[Schooling]])=19</f>
        <v>0</v>
      </c>
    </row>
    <row r="2869" spans="1:23" x14ac:dyDescent="0.25">
      <c r="A2869" t="s">
        <v>558</v>
      </c>
      <c r="B2869">
        <v>2006</v>
      </c>
      <c r="C2869" t="s">
        <v>369</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COUNT(LifeExpectancyData[[#This Row],[Life expectancy]:[Schooling]])=19</f>
        <v>0</v>
      </c>
    </row>
    <row r="2870" spans="1:23" x14ac:dyDescent="0.25">
      <c r="A2870" t="s">
        <v>558</v>
      </c>
      <c r="B2870">
        <v>2005</v>
      </c>
      <c r="C2870" t="s">
        <v>369</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COUNT(LifeExpectancyData[[#This Row],[Life expectancy]:[Schooling]])=19</f>
        <v>0</v>
      </c>
    </row>
    <row r="2871" spans="1:23" x14ac:dyDescent="0.25">
      <c r="A2871" t="s">
        <v>558</v>
      </c>
      <c r="B2871">
        <v>2004</v>
      </c>
      <c r="C2871" t="s">
        <v>369</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COUNT(LifeExpectancyData[[#This Row],[Life expectancy]:[Schooling]])=19</f>
        <v>0</v>
      </c>
    </row>
    <row r="2872" spans="1:23" x14ac:dyDescent="0.25">
      <c r="A2872" t="s">
        <v>558</v>
      </c>
      <c r="B2872">
        <v>2003</v>
      </c>
      <c r="C2872" t="s">
        <v>369</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COUNT(LifeExpectancyData[[#This Row],[Life expectancy]:[Schooling]])=19</f>
        <v>0</v>
      </c>
    </row>
    <row r="2873" spans="1:23" x14ac:dyDescent="0.25">
      <c r="A2873" t="s">
        <v>558</v>
      </c>
      <c r="B2873">
        <v>2002</v>
      </c>
      <c r="C2873" t="s">
        <v>369</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COUNT(LifeExpectancyData[[#This Row],[Life expectancy]:[Schooling]])=19</f>
        <v>0</v>
      </c>
    </row>
    <row r="2874" spans="1:23" x14ac:dyDescent="0.25">
      <c r="A2874" t="s">
        <v>558</v>
      </c>
      <c r="B2874">
        <v>2001</v>
      </c>
      <c r="C2874" t="s">
        <v>369</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COUNT(LifeExpectancyData[[#This Row],[Life expectancy]:[Schooling]])=19</f>
        <v>0</v>
      </c>
    </row>
    <row r="2875" spans="1:23" x14ac:dyDescent="0.25">
      <c r="A2875" t="s">
        <v>558</v>
      </c>
      <c r="B2875">
        <v>2000</v>
      </c>
      <c r="C2875" t="s">
        <v>369</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COUNT(LifeExpectancyData[[#This Row],[Life expectancy]:[Schooling]])=19</f>
        <v>0</v>
      </c>
    </row>
    <row r="2876" spans="1:23" x14ac:dyDescent="0.25">
      <c r="A2876" t="s">
        <v>559</v>
      </c>
      <c r="B2876">
        <v>2015</v>
      </c>
      <c r="C2876" t="s">
        <v>369</v>
      </c>
      <c r="D2876">
        <v>76</v>
      </c>
      <c r="E2876">
        <v>127</v>
      </c>
      <c r="F2876">
        <v>28</v>
      </c>
      <c r="H2876">
        <v>0</v>
      </c>
      <c r="I2876">
        <v>97</v>
      </c>
      <c r="J2876">
        <v>256</v>
      </c>
      <c r="K2876">
        <v>17.5</v>
      </c>
      <c r="L2876">
        <v>35</v>
      </c>
      <c r="M2876">
        <v>97</v>
      </c>
      <c r="O2876">
        <v>97</v>
      </c>
      <c r="P2876">
        <v>0.1</v>
      </c>
      <c r="S2876">
        <v>14.2</v>
      </c>
      <c r="T2876">
        <v>14.5</v>
      </c>
      <c r="U2876">
        <v>0.67800000000000005</v>
      </c>
      <c r="V2876">
        <v>12.6</v>
      </c>
      <c r="W2876" t="b">
        <f>COUNT(LifeExpectancyData[[#This Row],[Life expectancy]:[Schooling]])=19</f>
        <v>0</v>
      </c>
    </row>
    <row r="2877" spans="1:23" x14ac:dyDescent="0.25">
      <c r="A2877" t="s">
        <v>559</v>
      </c>
      <c r="B2877">
        <v>2014</v>
      </c>
      <c r="C2877" t="s">
        <v>369</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COUNT(LifeExpectancyData[[#This Row],[Life expectancy]:[Schooling]])=19</f>
        <v>0</v>
      </c>
    </row>
    <row r="2878" spans="1:23" x14ac:dyDescent="0.25">
      <c r="A2878" t="s">
        <v>559</v>
      </c>
      <c r="B2878">
        <v>2013</v>
      </c>
      <c r="C2878" t="s">
        <v>369</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COUNT(LifeExpectancyData[[#This Row],[Life expectancy]:[Schooling]])=19</f>
        <v>0</v>
      </c>
    </row>
    <row r="2879" spans="1:23" x14ac:dyDescent="0.25">
      <c r="A2879" t="s">
        <v>559</v>
      </c>
      <c r="B2879">
        <v>2012</v>
      </c>
      <c r="C2879" t="s">
        <v>369</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COUNT(LifeExpectancyData[[#This Row],[Life expectancy]:[Schooling]])=19</f>
        <v>0</v>
      </c>
    </row>
    <row r="2880" spans="1:23" x14ac:dyDescent="0.25">
      <c r="A2880" t="s">
        <v>559</v>
      </c>
      <c r="B2880">
        <v>2011</v>
      </c>
      <c r="C2880" t="s">
        <v>369</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COUNT(LifeExpectancyData[[#This Row],[Life expectancy]:[Schooling]])=19</f>
        <v>0</v>
      </c>
    </row>
    <row r="2881" spans="1:23" x14ac:dyDescent="0.25">
      <c r="A2881" t="s">
        <v>559</v>
      </c>
      <c r="B2881">
        <v>2010</v>
      </c>
      <c r="C2881" t="s">
        <v>369</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COUNT(LifeExpectancyData[[#This Row],[Life expectancy]:[Schooling]])=19</f>
        <v>0</v>
      </c>
    </row>
    <row r="2882" spans="1:23" x14ac:dyDescent="0.25">
      <c r="A2882" t="s">
        <v>559</v>
      </c>
      <c r="B2882">
        <v>2009</v>
      </c>
      <c r="C2882" t="s">
        <v>369</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COUNT(LifeExpectancyData[[#This Row],[Life expectancy]:[Schooling]])=19</f>
        <v>0</v>
      </c>
    </row>
    <row r="2883" spans="1:23" x14ac:dyDescent="0.25">
      <c r="A2883" t="s">
        <v>559</v>
      </c>
      <c r="B2883">
        <v>2008</v>
      </c>
      <c r="C2883" t="s">
        <v>369</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COUNT(LifeExpectancyData[[#This Row],[Life expectancy]:[Schooling]])=19</f>
        <v>0</v>
      </c>
    </row>
    <row r="2884" spans="1:23" x14ac:dyDescent="0.25">
      <c r="A2884" t="s">
        <v>559</v>
      </c>
      <c r="B2884">
        <v>2007</v>
      </c>
      <c r="C2884" t="s">
        <v>369</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COUNT(LifeExpectancyData[[#This Row],[Life expectancy]:[Schooling]])=19</f>
        <v>0</v>
      </c>
    </row>
    <row r="2885" spans="1:23" x14ac:dyDescent="0.25">
      <c r="A2885" t="s">
        <v>559</v>
      </c>
      <c r="B2885">
        <v>2006</v>
      </c>
      <c r="C2885" t="s">
        <v>369</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COUNT(LifeExpectancyData[[#This Row],[Life expectancy]:[Schooling]])=19</f>
        <v>0</v>
      </c>
    </row>
    <row r="2886" spans="1:23" x14ac:dyDescent="0.25">
      <c r="A2886" t="s">
        <v>559</v>
      </c>
      <c r="B2886">
        <v>2005</v>
      </c>
      <c r="C2886" t="s">
        <v>369</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COUNT(LifeExpectancyData[[#This Row],[Life expectancy]:[Schooling]])=19</f>
        <v>0</v>
      </c>
    </row>
    <row r="2887" spans="1:23" x14ac:dyDescent="0.25">
      <c r="A2887" t="s">
        <v>559</v>
      </c>
      <c r="B2887">
        <v>2004</v>
      </c>
      <c r="C2887" t="s">
        <v>369</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COUNT(LifeExpectancyData[[#This Row],[Life expectancy]:[Schooling]])=19</f>
        <v>0</v>
      </c>
    </row>
    <row r="2888" spans="1:23" x14ac:dyDescent="0.25">
      <c r="A2888" t="s">
        <v>559</v>
      </c>
      <c r="B2888">
        <v>2003</v>
      </c>
      <c r="C2888" t="s">
        <v>369</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COUNT(LifeExpectancyData[[#This Row],[Life expectancy]:[Schooling]])=19</f>
        <v>0</v>
      </c>
    </row>
    <row r="2889" spans="1:23" x14ac:dyDescent="0.25">
      <c r="A2889" t="s">
        <v>559</v>
      </c>
      <c r="B2889">
        <v>2002</v>
      </c>
      <c r="C2889" t="s">
        <v>369</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COUNT(LifeExpectancyData[[#This Row],[Life expectancy]:[Schooling]])=19</f>
        <v>0</v>
      </c>
    </row>
    <row r="2890" spans="1:23" x14ac:dyDescent="0.25">
      <c r="A2890" t="s">
        <v>559</v>
      </c>
      <c r="B2890">
        <v>2001</v>
      </c>
      <c r="C2890" t="s">
        <v>369</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COUNT(LifeExpectancyData[[#This Row],[Life expectancy]:[Schooling]])=19</f>
        <v>0</v>
      </c>
    </row>
    <row r="2891" spans="1:23" x14ac:dyDescent="0.25">
      <c r="A2891" t="s">
        <v>559</v>
      </c>
      <c r="B2891">
        <v>2000</v>
      </c>
      <c r="C2891" t="s">
        <v>369</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COUNT(LifeExpectancyData[[#This Row],[Life expectancy]:[Schooling]])=19</f>
        <v>0</v>
      </c>
    </row>
    <row r="2892" spans="1:23" x14ac:dyDescent="0.25">
      <c r="A2892" t="s">
        <v>560</v>
      </c>
      <c r="B2892">
        <v>2015</v>
      </c>
      <c r="C2892" t="s">
        <v>369</v>
      </c>
      <c r="D2892">
        <v>65.7</v>
      </c>
      <c r="E2892">
        <v>224</v>
      </c>
      <c r="F2892">
        <v>37</v>
      </c>
      <c r="H2892">
        <v>0</v>
      </c>
      <c r="I2892">
        <v>69</v>
      </c>
      <c r="J2892">
        <v>468</v>
      </c>
      <c r="K2892">
        <v>41.3</v>
      </c>
      <c r="L2892">
        <v>47</v>
      </c>
      <c r="M2892">
        <v>63</v>
      </c>
      <c r="O2892">
        <v>69</v>
      </c>
      <c r="P2892">
        <v>0.1</v>
      </c>
      <c r="S2892">
        <v>13.6</v>
      </c>
      <c r="T2892">
        <v>13.4</v>
      </c>
      <c r="U2892">
        <v>0.499</v>
      </c>
      <c r="V2892">
        <v>9</v>
      </c>
      <c r="W2892" t="b">
        <f>COUNT(LifeExpectancyData[[#This Row],[Life expectancy]:[Schooling]])=19</f>
        <v>0</v>
      </c>
    </row>
    <row r="2893" spans="1:23" x14ac:dyDescent="0.25">
      <c r="A2893" t="s">
        <v>560</v>
      </c>
      <c r="B2893">
        <v>2014</v>
      </c>
      <c r="C2893" t="s">
        <v>369</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COUNT(LifeExpectancyData[[#This Row],[Life expectancy]:[Schooling]])=19</f>
        <v>0</v>
      </c>
    </row>
    <row r="2894" spans="1:23" x14ac:dyDescent="0.25">
      <c r="A2894" t="s">
        <v>560</v>
      </c>
      <c r="B2894">
        <v>2013</v>
      </c>
      <c r="C2894" t="s">
        <v>369</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COUNT(LifeExpectancyData[[#This Row],[Life expectancy]:[Schooling]])=19</f>
        <v>0</v>
      </c>
    </row>
    <row r="2895" spans="1:23" x14ac:dyDescent="0.25">
      <c r="A2895" t="s">
        <v>560</v>
      </c>
      <c r="B2895">
        <v>2012</v>
      </c>
      <c r="C2895" t="s">
        <v>369</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COUNT(LifeExpectancyData[[#This Row],[Life expectancy]:[Schooling]])=19</f>
        <v>0</v>
      </c>
    </row>
    <row r="2896" spans="1:23" x14ac:dyDescent="0.25">
      <c r="A2896" t="s">
        <v>560</v>
      </c>
      <c r="B2896">
        <v>2011</v>
      </c>
      <c r="C2896" t="s">
        <v>369</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COUNT(LifeExpectancyData[[#This Row],[Life expectancy]:[Schooling]])=19</f>
        <v>0</v>
      </c>
    </row>
    <row r="2897" spans="1:23" x14ac:dyDescent="0.25">
      <c r="A2897" t="s">
        <v>560</v>
      </c>
      <c r="B2897">
        <v>2010</v>
      </c>
      <c r="C2897" t="s">
        <v>369</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COUNT(LifeExpectancyData[[#This Row],[Life expectancy]:[Schooling]])=19</f>
        <v>0</v>
      </c>
    </row>
    <row r="2898" spans="1:23" x14ac:dyDescent="0.25">
      <c r="A2898" t="s">
        <v>560</v>
      </c>
      <c r="B2898">
        <v>2009</v>
      </c>
      <c r="C2898" t="s">
        <v>369</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COUNT(LifeExpectancyData[[#This Row],[Life expectancy]:[Schooling]])=19</f>
        <v>0</v>
      </c>
    </row>
    <row r="2899" spans="1:23" x14ac:dyDescent="0.25">
      <c r="A2899" t="s">
        <v>560</v>
      </c>
      <c r="B2899">
        <v>2008</v>
      </c>
      <c r="C2899" t="s">
        <v>369</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COUNT(LifeExpectancyData[[#This Row],[Life expectancy]:[Schooling]])=19</f>
        <v>0</v>
      </c>
    </row>
    <row r="2900" spans="1:23" x14ac:dyDescent="0.25">
      <c r="A2900" t="s">
        <v>560</v>
      </c>
      <c r="B2900">
        <v>2007</v>
      </c>
      <c r="C2900" t="s">
        <v>369</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COUNT(LifeExpectancyData[[#This Row],[Life expectancy]:[Schooling]])=19</f>
        <v>0</v>
      </c>
    </row>
    <row r="2901" spans="1:23" x14ac:dyDescent="0.25">
      <c r="A2901" t="s">
        <v>560</v>
      </c>
      <c r="B2901">
        <v>2006</v>
      </c>
      <c r="C2901" t="s">
        <v>369</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COUNT(LifeExpectancyData[[#This Row],[Life expectancy]:[Schooling]])=19</f>
        <v>0</v>
      </c>
    </row>
    <row r="2902" spans="1:23" x14ac:dyDescent="0.25">
      <c r="A2902" t="s">
        <v>560</v>
      </c>
      <c r="B2902">
        <v>2005</v>
      </c>
      <c r="C2902" t="s">
        <v>369</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COUNT(LifeExpectancyData[[#This Row],[Life expectancy]:[Schooling]])=19</f>
        <v>0</v>
      </c>
    </row>
    <row r="2903" spans="1:23" x14ac:dyDescent="0.25">
      <c r="A2903" t="s">
        <v>560</v>
      </c>
      <c r="B2903">
        <v>2004</v>
      </c>
      <c r="C2903" t="s">
        <v>369</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COUNT(LifeExpectancyData[[#This Row],[Life expectancy]:[Schooling]])=19</f>
        <v>0</v>
      </c>
    </row>
    <row r="2904" spans="1:23" x14ac:dyDescent="0.25">
      <c r="A2904" t="s">
        <v>560</v>
      </c>
      <c r="B2904">
        <v>2003</v>
      </c>
      <c r="C2904" t="s">
        <v>369</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COUNT(LifeExpectancyData[[#This Row],[Life expectancy]:[Schooling]])=19</f>
        <v>0</v>
      </c>
    </row>
    <row r="2905" spans="1:23" x14ac:dyDescent="0.25">
      <c r="A2905" t="s">
        <v>560</v>
      </c>
      <c r="B2905">
        <v>2002</v>
      </c>
      <c r="C2905" t="s">
        <v>369</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COUNT(LifeExpectancyData[[#This Row],[Life expectancy]:[Schooling]])=19</f>
        <v>0</v>
      </c>
    </row>
    <row r="2906" spans="1:23" x14ac:dyDescent="0.25">
      <c r="A2906" t="s">
        <v>560</v>
      </c>
      <c r="B2906">
        <v>2001</v>
      </c>
      <c r="C2906" t="s">
        <v>369</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COUNT(LifeExpectancyData[[#This Row],[Life expectancy]:[Schooling]])=19</f>
        <v>0</v>
      </c>
    </row>
    <row r="2907" spans="1:23" x14ac:dyDescent="0.25">
      <c r="A2907" t="s">
        <v>560</v>
      </c>
      <c r="B2907">
        <v>2000</v>
      </c>
      <c r="C2907" t="s">
        <v>369</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COUNT(LifeExpectancyData[[#This Row],[Life expectancy]:[Schooling]])=19</f>
        <v>0</v>
      </c>
    </row>
    <row r="2908" spans="1:23" x14ac:dyDescent="0.25">
      <c r="A2908" t="s">
        <v>561</v>
      </c>
      <c r="B2908">
        <v>2015</v>
      </c>
      <c r="C2908" t="s">
        <v>369</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COUNT(LifeExpectancyData[[#This Row],[Life expectancy]:[Schooling]])=19</f>
        <v>0</v>
      </c>
    </row>
    <row r="2909" spans="1:23" x14ac:dyDescent="0.25">
      <c r="A2909" t="s">
        <v>561</v>
      </c>
      <c r="B2909">
        <v>2014</v>
      </c>
      <c r="C2909" t="s">
        <v>369</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COUNT(LifeExpectancyData[[#This Row],[Life expectancy]:[Schooling]])=19</f>
        <v>1</v>
      </c>
    </row>
    <row r="2910" spans="1:23" x14ac:dyDescent="0.25">
      <c r="A2910" t="s">
        <v>561</v>
      </c>
      <c r="B2910">
        <v>2013</v>
      </c>
      <c r="C2910" t="s">
        <v>369</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COUNT(LifeExpectancyData[[#This Row],[Life expectancy]:[Schooling]])=19</f>
        <v>1</v>
      </c>
    </row>
    <row r="2911" spans="1:23" x14ac:dyDescent="0.25">
      <c r="A2911" t="s">
        <v>561</v>
      </c>
      <c r="B2911">
        <v>2012</v>
      </c>
      <c r="C2911" t="s">
        <v>369</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COUNT(LifeExpectancyData[[#This Row],[Life expectancy]:[Schooling]])=19</f>
        <v>1</v>
      </c>
    </row>
    <row r="2912" spans="1:23" x14ac:dyDescent="0.25">
      <c r="A2912" t="s">
        <v>561</v>
      </c>
      <c r="B2912">
        <v>2011</v>
      </c>
      <c r="C2912" t="s">
        <v>369</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COUNT(LifeExpectancyData[[#This Row],[Life expectancy]:[Schooling]])=19</f>
        <v>1</v>
      </c>
    </row>
    <row r="2913" spans="1:23" x14ac:dyDescent="0.25">
      <c r="A2913" t="s">
        <v>561</v>
      </c>
      <c r="B2913">
        <v>2010</v>
      </c>
      <c r="C2913" t="s">
        <v>369</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COUNT(LifeExpectancyData[[#This Row],[Life expectancy]:[Schooling]])=19</f>
        <v>1</v>
      </c>
    </row>
    <row r="2914" spans="1:23" x14ac:dyDescent="0.25">
      <c r="A2914" t="s">
        <v>561</v>
      </c>
      <c r="B2914">
        <v>2009</v>
      </c>
      <c r="C2914" t="s">
        <v>369</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COUNT(LifeExpectancyData[[#This Row],[Life expectancy]:[Schooling]])=19</f>
        <v>1</v>
      </c>
    </row>
    <row r="2915" spans="1:23" x14ac:dyDescent="0.25">
      <c r="A2915" t="s">
        <v>561</v>
      </c>
      <c r="B2915">
        <v>2008</v>
      </c>
      <c r="C2915" t="s">
        <v>369</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COUNT(LifeExpectancyData[[#This Row],[Life expectancy]:[Schooling]])=19</f>
        <v>1</v>
      </c>
    </row>
    <row r="2916" spans="1:23" x14ac:dyDescent="0.25">
      <c r="A2916" t="s">
        <v>561</v>
      </c>
      <c r="B2916">
        <v>2007</v>
      </c>
      <c r="C2916" t="s">
        <v>369</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COUNT(LifeExpectancyData[[#This Row],[Life expectancy]:[Schooling]])=19</f>
        <v>1</v>
      </c>
    </row>
    <row r="2917" spans="1:23" x14ac:dyDescent="0.25">
      <c r="A2917" t="s">
        <v>561</v>
      </c>
      <c r="B2917">
        <v>2006</v>
      </c>
      <c r="C2917" t="s">
        <v>369</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COUNT(LifeExpectancyData[[#This Row],[Life expectancy]:[Schooling]])=19</f>
        <v>1</v>
      </c>
    </row>
    <row r="2918" spans="1:23" x14ac:dyDescent="0.25">
      <c r="A2918" t="s">
        <v>561</v>
      </c>
      <c r="B2918">
        <v>2005</v>
      </c>
      <c r="C2918" t="s">
        <v>369</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COUNT(LifeExpectancyData[[#This Row],[Life expectancy]:[Schooling]])=19</f>
        <v>1</v>
      </c>
    </row>
    <row r="2919" spans="1:23" x14ac:dyDescent="0.25">
      <c r="A2919" t="s">
        <v>561</v>
      </c>
      <c r="B2919">
        <v>2004</v>
      </c>
      <c r="C2919" t="s">
        <v>369</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COUNT(LifeExpectancyData[[#This Row],[Life expectancy]:[Schooling]])=19</f>
        <v>0</v>
      </c>
    </row>
    <row r="2920" spans="1:23" x14ac:dyDescent="0.25">
      <c r="A2920" t="s">
        <v>561</v>
      </c>
      <c r="B2920">
        <v>2003</v>
      </c>
      <c r="C2920" t="s">
        <v>369</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COUNT(LifeExpectancyData[[#This Row],[Life expectancy]:[Schooling]])=19</f>
        <v>0</v>
      </c>
    </row>
    <row r="2921" spans="1:23" x14ac:dyDescent="0.25">
      <c r="A2921" t="s">
        <v>561</v>
      </c>
      <c r="B2921">
        <v>2002</v>
      </c>
      <c r="C2921" t="s">
        <v>369</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COUNT(LifeExpectancyData[[#This Row],[Life expectancy]:[Schooling]])=19</f>
        <v>0</v>
      </c>
    </row>
    <row r="2922" spans="1:23" x14ac:dyDescent="0.25">
      <c r="A2922" t="s">
        <v>561</v>
      </c>
      <c r="B2922">
        <v>2001</v>
      </c>
      <c r="C2922" t="s">
        <v>369</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COUNT(LifeExpectancyData[[#This Row],[Life expectancy]:[Schooling]])=19</f>
        <v>0</v>
      </c>
    </row>
    <row r="2923" spans="1:23" x14ac:dyDescent="0.25">
      <c r="A2923" t="s">
        <v>561</v>
      </c>
      <c r="B2923">
        <v>2000</v>
      </c>
      <c r="C2923" t="s">
        <v>369</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COUNT(LifeExpectancyData[[#This Row],[Life expectancy]:[Schooling]])=19</f>
        <v>0</v>
      </c>
    </row>
    <row r="2924" spans="1:23" x14ac:dyDescent="0.25">
      <c r="A2924" t="s">
        <v>562</v>
      </c>
      <c r="B2924">
        <v>2015</v>
      </c>
      <c r="C2924" t="s">
        <v>369</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COUNT(LifeExpectancyData[[#This Row],[Life expectancy]:[Schooling]])=19</f>
        <v>0</v>
      </c>
    </row>
    <row r="2925" spans="1:23" x14ac:dyDescent="0.25">
      <c r="A2925" t="s">
        <v>562</v>
      </c>
      <c r="B2925">
        <v>2014</v>
      </c>
      <c r="C2925" t="s">
        <v>369</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COUNT(LifeExpectancyData[[#This Row],[Life expectancy]:[Schooling]])=19</f>
        <v>1</v>
      </c>
    </row>
    <row r="2926" spans="1:23" x14ac:dyDescent="0.25">
      <c r="A2926" t="s">
        <v>562</v>
      </c>
      <c r="B2926">
        <v>2013</v>
      </c>
      <c r="C2926" t="s">
        <v>369</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COUNT(LifeExpectancyData[[#This Row],[Life expectancy]:[Schooling]])=19</f>
        <v>1</v>
      </c>
    </row>
    <row r="2927" spans="1:23" x14ac:dyDescent="0.25">
      <c r="A2927" t="s">
        <v>562</v>
      </c>
      <c r="B2927">
        <v>2012</v>
      </c>
      <c r="C2927" t="s">
        <v>369</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COUNT(LifeExpectancyData[[#This Row],[Life expectancy]:[Schooling]])=19</f>
        <v>1</v>
      </c>
    </row>
    <row r="2928" spans="1:23" x14ac:dyDescent="0.25">
      <c r="A2928" t="s">
        <v>562</v>
      </c>
      <c r="B2928">
        <v>2011</v>
      </c>
      <c r="C2928" t="s">
        <v>369</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COUNT(LifeExpectancyData[[#This Row],[Life expectancy]:[Schooling]])=19</f>
        <v>1</v>
      </c>
    </row>
    <row r="2929" spans="1:23" x14ac:dyDescent="0.25">
      <c r="A2929" t="s">
        <v>562</v>
      </c>
      <c r="B2929">
        <v>2010</v>
      </c>
      <c r="C2929" t="s">
        <v>369</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COUNT(LifeExpectancyData[[#This Row],[Life expectancy]:[Schooling]])=19</f>
        <v>1</v>
      </c>
    </row>
    <row r="2930" spans="1:23" x14ac:dyDescent="0.25">
      <c r="A2930" t="s">
        <v>562</v>
      </c>
      <c r="B2930">
        <v>2009</v>
      </c>
      <c r="C2930" t="s">
        <v>369</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COUNT(LifeExpectancyData[[#This Row],[Life expectancy]:[Schooling]])=19</f>
        <v>1</v>
      </c>
    </row>
    <row r="2931" spans="1:23" x14ac:dyDescent="0.25">
      <c r="A2931" t="s">
        <v>562</v>
      </c>
      <c r="B2931">
        <v>2008</v>
      </c>
      <c r="C2931" t="s">
        <v>369</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COUNT(LifeExpectancyData[[#This Row],[Life expectancy]:[Schooling]])=19</f>
        <v>1</v>
      </c>
    </row>
    <row r="2932" spans="1:23" x14ac:dyDescent="0.25">
      <c r="A2932" t="s">
        <v>562</v>
      </c>
      <c r="B2932">
        <v>2007</v>
      </c>
      <c r="C2932" t="s">
        <v>369</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COUNT(LifeExpectancyData[[#This Row],[Life expectancy]:[Schooling]])=19</f>
        <v>1</v>
      </c>
    </row>
    <row r="2933" spans="1:23" x14ac:dyDescent="0.25">
      <c r="A2933" t="s">
        <v>562</v>
      </c>
      <c r="B2933">
        <v>2006</v>
      </c>
      <c r="C2933" t="s">
        <v>369</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COUNT(LifeExpectancyData[[#This Row],[Life expectancy]:[Schooling]])=19</f>
        <v>1</v>
      </c>
    </row>
    <row r="2934" spans="1:23" x14ac:dyDescent="0.25">
      <c r="A2934" t="s">
        <v>562</v>
      </c>
      <c r="B2934">
        <v>2005</v>
      </c>
      <c r="C2934" t="s">
        <v>369</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COUNT(LifeExpectancyData[[#This Row],[Life expectancy]:[Schooling]])=19</f>
        <v>1</v>
      </c>
    </row>
    <row r="2935" spans="1:23" x14ac:dyDescent="0.25">
      <c r="A2935" t="s">
        <v>562</v>
      </c>
      <c r="B2935">
        <v>2004</v>
      </c>
      <c r="C2935" t="s">
        <v>369</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COUNT(LifeExpectancyData[[#This Row],[Life expectancy]:[Schooling]])=19</f>
        <v>1</v>
      </c>
    </row>
    <row r="2936" spans="1:23" x14ac:dyDescent="0.25">
      <c r="A2936" t="s">
        <v>562</v>
      </c>
      <c r="B2936">
        <v>2003</v>
      </c>
      <c r="C2936" t="s">
        <v>369</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COUNT(LifeExpectancyData[[#This Row],[Life expectancy]:[Schooling]])=19</f>
        <v>1</v>
      </c>
    </row>
    <row r="2937" spans="1:23" x14ac:dyDescent="0.25">
      <c r="A2937" t="s">
        <v>562</v>
      </c>
      <c r="B2937">
        <v>2002</v>
      </c>
      <c r="C2937" t="s">
        <v>369</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COUNT(LifeExpectancyData[[#This Row],[Life expectancy]:[Schooling]])=19</f>
        <v>1</v>
      </c>
    </row>
    <row r="2938" spans="1:23" x14ac:dyDescent="0.25">
      <c r="A2938" t="s">
        <v>562</v>
      </c>
      <c r="B2938">
        <v>2001</v>
      </c>
      <c r="C2938" t="s">
        <v>369</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COUNT(LifeExpectancyData[[#This Row],[Life expectancy]:[Schooling]])=19</f>
        <v>1</v>
      </c>
    </row>
    <row r="2939" spans="1:23" x14ac:dyDescent="0.25">
      <c r="A2939" t="s">
        <v>562</v>
      </c>
      <c r="B2939">
        <v>2000</v>
      </c>
      <c r="C2939" t="s">
        <v>369</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COUNT(LifeExpectancyData[[#This Row],[Life expectancy]:[Schooling]])=19</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01A63C-B96E-423A-97C1-248413544156}">
  <dimension ref="A1:A13"/>
  <sheetViews>
    <sheetView workbookViewId="0"/>
  </sheetViews>
  <sheetFormatPr defaultRowHeight="15" x14ac:dyDescent="0.25"/>
  <cols>
    <col min="1" max="1" width="110.7109375" customWidth="1"/>
  </cols>
  <sheetData>
    <row r="1" spans="1:1" x14ac:dyDescent="0.25">
      <c r="A1" s="4" t="s">
        <v>563</v>
      </c>
    </row>
    <row r="2" spans="1:1" ht="45" x14ac:dyDescent="0.25">
      <c r="A2" s="2" t="s">
        <v>564</v>
      </c>
    </row>
    <row r="3" spans="1:1" ht="30" x14ac:dyDescent="0.25">
      <c r="A3" s="2" t="s">
        <v>565</v>
      </c>
    </row>
    <row r="4" spans="1:1" ht="30" x14ac:dyDescent="0.25">
      <c r="A4" s="2" t="s">
        <v>566</v>
      </c>
    </row>
    <row r="6" spans="1:1" x14ac:dyDescent="0.25">
      <c r="A6" s="4" t="s">
        <v>567</v>
      </c>
    </row>
    <row r="7" spans="1:1" ht="30" x14ac:dyDescent="0.25">
      <c r="A7" s="2" t="s">
        <v>568</v>
      </c>
    </row>
    <row r="8" spans="1:1" x14ac:dyDescent="0.25">
      <c r="A8" s="2" t="s">
        <v>569</v>
      </c>
    </row>
    <row r="9" spans="1:1" x14ac:dyDescent="0.25">
      <c r="A9" s="4" t="s">
        <v>837</v>
      </c>
    </row>
    <row r="10" spans="1:1" ht="120" x14ac:dyDescent="0.25">
      <c r="A10" s="2" t="s">
        <v>838</v>
      </c>
    </row>
    <row r="12" spans="1:1" x14ac:dyDescent="0.25">
      <c r="A12" s="4" t="s">
        <v>570</v>
      </c>
    </row>
    <row r="13" spans="1:1" ht="105" x14ac:dyDescent="0.25">
      <c r="A13" s="2" t="s">
        <v>571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7A97E-F93F-492B-A55E-42937C531589}">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4" t="s">
        <v>572</v>
      </c>
      <c r="B1" s="5"/>
      <c r="C1" s="5"/>
      <c r="D1" s="5"/>
    </row>
    <row r="2" spans="1:4" ht="90" x14ac:dyDescent="0.25">
      <c r="A2" s="2" t="s">
        <v>573</v>
      </c>
    </row>
    <row r="4" spans="1:4" x14ac:dyDescent="0.25">
      <c r="A4" s="6" t="s">
        <v>574</v>
      </c>
      <c r="B4" s="7"/>
      <c r="C4" s="7"/>
      <c r="D4" s="7"/>
    </row>
    <row r="5" spans="1:4" x14ac:dyDescent="0.25">
      <c r="A5" s="8" t="s">
        <v>575</v>
      </c>
      <c r="B5" s="8" t="s">
        <v>576</v>
      </c>
      <c r="C5" s="8" t="s">
        <v>577</v>
      </c>
      <c r="D5" s="8" t="s">
        <v>578</v>
      </c>
    </row>
    <row r="6" spans="1:4" ht="45" x14ac:dyDescent="0.25">
      <c r="A6" s="2" t="s">
        <v>579</v>
      </c>
      <c r="B6" s="2" t="s">
        <v>580</v>
      </c>
      <c r="C6" s="2" t="s">
        <v>164</v>
      </c>
      <c r="D6" s="2" t="s">
        <v>581</v>
      </c>
    </row>
    <row r="7" spans="1:4" ht="60" x14ac:dyDescent="0.25">
      <c r="A7" s="2" t="s">
        <v>582</v>
      </c>
      <c r="B7" s="2" t="s">
        <v>583</v>
      </c>
      <c r="C7" s="2" t="s">
        <v>584</v>
      </c>
      <c r="D7" s="2" t="s">
        <v>585</v>
      </c>
    </row>
    <row r="8" spans="1:4" ht="45" x14ac:dyDescent="0.25">
      <c r="A8" s="2" t="s">
        <v>586</v>
      </c>
      <c r="B8" s="2" t="s">
        <v>580</v>
      </c>
      <c r="C8" s="2" t="s">
        <v>587</v>
      </c>
      <c r="D8" s="2" t="s">
        <v>588</v>
      </c>
    </row>
    <row r="10" spans="1:4" x14ac:dyDescent="0.25">
      <c r="A10" s="6" t="s">
        <v>589</v>
      </c>
      <c r="B10" s="7"/>
      <c r="C10" s="7"/>
      <c r="D10" s="7"/>
    </row>
    <row r="11" spans="1:4" x14ac:dyDescent="0.25">
      <c r="A11" s="8" t="s">
        <v>575</v>
      </c>
      <c r="B11" s="8" t="s">
        <v>576</v>
      </c>
      <c r="C11" s="8" t="s">
        <v>577</v>
      </c>
      <c r="D11" s="8" t="s">
        <v>578</v>
      </c>
    </row>
    <row r="12" spans="1:4" ht="60" x14ac:dyDescent="0.25">
      <c r="A12" s="2" t="s">
        <v>590</v>
      </c>
      <c r="B12" s="2" t="s">
        <v>580</v>
      </c>
      <c r="C12" s="2" t="s">
        <v>591</v>
      </c>
      <c r="D12" s="2" t="s">
        <v>592</v>
      </c>
    </row>
    <row r="13" spans="1:4" ht="180" x14ac:dyDescent="0.25">
      <c r="A13" s="2" t="s">
        <v>593</v>
      </c>
      <c r="B13" s="2" t="s">
        <v>594</v>
      </c>
      <c r="C13" s="2" t="s">
        <v>593</v>
      </c>
      <c r="D13" s="2" t="s">
        <v>595</v>
      </c>
    </row>
    <row r="14" spans="1:4" ht="60" x14ac:dyDescent="0.25">
      <c r="A14" s="2" t="s">
        <v>596</v>
      </c>
      <c r="B14" s="2" t="s">
        <v>597</v>
      </c>
      <c r="C14" s="2" t="s">
        <v>598</v>
      </c>
      <c r="D14" s="2" t="s">
        <v>599</v>
      </c>
    </row>
    <row r="15" spans="1:4" ht="75" x14ac:dyDescent="0.25">
      <c r="A15" s="2" t="s">
        <v>600</v>
      </c>
      <c r="B15" s="2" t="s">
        <v>594</v>
      </c>
      <c r="C15" s="2" t="s">
        <v>601</v>
      </c>
      <c r="D15" s="2" t="s">
        <v>602</v>
      </c>
    </row>
    <row r="17" spans="1:4" x14ac:dyDescent="0.25">
      <c r="A17" s="6" t="s">
        <v>603</v>
      </c>
      <c r="B17" s="7"/>
      <c r="C17" s="7"/>
      <c r="D17" s="7"/>
    </row>
    <row r="18" spans="1:4" x14ac:dyDescent="0.25">
      <c r="A18" s="8" t="s">
        <v>604</v>
      </c>
      <c r="B18" s="8" t="s">
        <v>605</v>
      </c>
      <c r="C18" s="8" t="s">
        <v>606</v>
      </c>
      <c r="D18" s="8" t="s">
        <v>607</v>
      </c>
    </row>
    <row r="19" spans="1:4" ht="30" x14ac:dyDescent="0.25">
      <c r="A19" s="2" t="s">
        <v>608</v>
      </c>
      <c r="B19" s="2" t="s">
        <v>609</v>
      </c>
      <c r="C19" s="2" t="s">
        <v>610</v>
      </c>
      <c r="D19" s="2" t="s">
        <v>611</v>
      </c>
    </row>
    <row r="20" spans="1:4" ht="30" x14ac:dyDescent="0.25">
      <c r="A20" s="2" t="s">
        <v>123</v>
      </c>
      <c r="B20" s="2" t="s">
        <v>612</v>
      </c>
      <c r="C20" s="2" t="s">
        <v>613</v>
      </c>
      <c r="D20" s="2" t="s">
        <v>614</v>
      </c>
    </row>
    <row r="21" spans="1:4" x14ac:dyDescent="0.25">
      <c r="A21" s="2" t="s">
        <v>615</v>
      </c>
      <c r="B21" s="2" t="s">
        <v>616</v>
      </c>
      <c r="C21" s="2" t="s">
        <v>617</v>
      </c>
      <c r="D21" s="2" t="s">
        <v>618</v>
      </c>
    </row>
    <row r="22" spans="1:4" ht="30" x14ac:dyDescent="0.25">
      <c r="A22" s="2" t="s">
        <v>619</v>
      </c>
      <c r="B22" s="2" t="s">
        <v>620</v>
      </c>
      <c r="C22" s="2" t="s">
        <v>621</v>
      </c>
      <c r="D22" s="2" t="s">
        <v>622</v>
      </c>
    </row>
    <row r="23" spans="1:4" x14ac:dyDescent="0.25">
      <c r="A23" s="2" t="s">
        <v>623</v>
      </c>
      <c r="B23" s="2" t="s">
        <v>624</v>
      </c>
      <c r="C23" s="2" t="s">
        <v>617</v>
      </c>
      <c r="D23" s="2" t="s">
        <v>625</v>
      </c>
    </row>
    <row r="24" spans="1:4" x14ac:dyDescent="0.25">
      <c r="A24" s="2" t="s">
        <v>626</v>
      </c>
      <c r="B24" s="2" t="s">
        <v>627</v>
      </c>
      <c r="C24" s="2" t="s">
        <v>617</v>
      </c>
      <c r="D24" s="2" t="s">
        <v>628</v>
      </c>
    </row>
    <row r="25" spans="1:4" x14ac:dyDescent="0.25">
      <c r="A25" s="2" t="s">
        <v>597</v>
      </c>
      <c r="B25" s="2" t="s">
        <v>629</v>
      </c>
      <c r="C25" s="2" t="s">
        <v>617</v>
      </c>
      <c r="D25" s="2" t="s">
        <v>630</v>
      </c>
    </row>
    <row r="26" spans="1:4" ht="30" x14ac:dyDescent="0.25">
      <c r="A26" s="2" t="s">
        <v>598</v>
      </c>
      <c r="B26" s="2" t="s">
        <v>631</v>
      </c>
      <c r="C26" s="2" t="s">
        <v>632</v>
      </c>
      <c r="D26" s="2" t="s">
        <v>633</v>
      </c>
    </row>
    <row r="27" spans="1:4" x14ac:dyDescent="0.25">
      <c r="A27" s="2" t="s">
        <v>593</v>
      </c>
      <c r="B27" s="2" t="s">
        <v>634</v>
      </c>
      <c r="C27" s="2" t="s">
        <v>635</v>
      </c>
      <c r="D27" s="2" t="s">
        <v>636</v>
      </c>
    </row>
    <row r="28" spans="1:4" ht="30" x14ac:dyDescent="0.25">
      <c r="A28" s="2" t="s">
        <v>590</v>
      </c>
      <c r="B28" s="2" t="s">
        <v>637</v>
      </c>
      <c r="C28" s="2" t="s">
        <v>638</v>
      </c>
      <c r="D28" s="2" t="s">
        <v>639</v>
      </c>
    </row>
    <row r="29" spans="1:4" x14ac:dyDescent="0.25">
      <c r="A29" s="2" t="s">
        <v>640</v>
      </c>
      <c r="B29" s="2" t="s">
        <v>641</v>
      </c>
      <c r="C29" s="2" t="s">
        <v>642</v>
      </c>
      <c r="D29" s="2" t="s">
        <v>643</v>
      </c>
    </row>
    <row r="31" spans="1:4" x14ac:dyDescent="0.25">
      <c r="A31" s="6" t="s">
        <v>644</v>
      </c>
      <c r="B31" s="7"/>
      <c r="C31" s="7"/>
    </row>
    <row r="32" spans="1:4" x14ac:dyDescent="0.25">
      <c r="A32" s="8" t="s">
        <v>645</v>
      </c>
      <c r="B32" s="8" t="s">
        <v>646</v>
      </c>
      <c r="C32" s="8" t="s">
        <v>647</v>
      </c>
    </row>
    <row r="33" spans="1:3" ht="120" x14ac:dyDescent="0.25">
      <c r="A33" s="2" t="s">
        <v>648</v>
      </c>
      <c r="B33" s="2" t="s">
        <v>649</v>
      </c>
      <c r="C33" s="2" t="s">
        <v>650</v>
      </c>
    </row>
    <row r="34" spans="1:3" ht="105" x14ac:dyDescent="0.25">
      <c r="A34" s="2" t="s">
        <v>651</v>
      </c>
      <c r="B34" s="2" t="s">
        <v>652</v>
      </c>
      <c r="C34" s="2" t="s">
        <v>653</v>
      </c>
    </row>
    <row r="35" spans="1:3" ht="120" x14ac:dyDescent="0.25">
      <c r="A35" s="2" t="s">
        <v>654</v>
      </c>
      <c r="B35" s="2" t="s">
        <v>655</v>
      </c>
      <c r="C35" s="2" t="s">
        <v>656</v>
      </c>
    </row>
    <row r="36" spans="1:3" ht="240" x14ac:dyDescent="0.25">
      <c r="A36" s="2" t="s">
        <v>657</v>
      </c>
      <c r="B36" s="2" t="s">
        <v>658</v>
      </c>
      <c r="C36" s="2" t="s">
        <v>659</v>
      </c>
    </row>
    <row r="37" spans="1:3" ht="150" x14ac:dyDescent="0.25">
      <c r="A37" s="2" t="s">
        <v>660</v>
      </c>
      <c r="B37" s="2" t="s">
        <v>661</v>
      </c>
      <c r="C37" s="2" t="s">
        <v>662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4AA73-A25B-4C8B-A011-DDF4BEA45EE1}">
  <dimension ref="A1:C3"/>
  <sheetViews>
    <sheetView workbookViewId="0"/>
  </sheetViews>
  <sheetFormatPr defaultRowHeight="15" x14ac:dyDescent="0.25"/>
  <cols>
    <col min="1" max="1" width="12.7109375" customWidth="1"/>
    <col min="2" max="2" width="16.7109375" customWidth="1"/>
    <col min="3" max="3" width="90.7109375" customWidth="1"/>
  </cols>
  <sheetData>
    <row r="1" spans="1:3" x14ac:dyDescent="0.25">
      <c r="A1" s="4" t="s">
        <v>663</v>
      </c>
      <c r="B1" s="5"/>
      <c r="C1" s="5"/>
    </row>
    <row r="2" spans="1:3" x14ac:dyDescent="0.25">
      <c r="A2" s="8" t="s">
        <v>664</v>
      </c>
      <c r="B2" s="8" t="s">
        <v>665</v>
      </c>
      <c r="C2" s="8" t="s">
        <v>666</v>
      </c>
    </row>
    <row r="3" spans="1:3" ht="105" x14ac:dyDescent="0.25">
      <c r="A3" t="s">
        <v>667</v>
      </c>
      <c r="B3" s="9">
        <v>46189</v>
      </c>
      <c r="C3" s="2" t="s">
        <v>668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557BF0-EBE8-46EC-8B78-9D343C677F46}">
  <dimension ref="A1:AH1651"/>
  <sheetViews>
    <sheetView tabSelected="1" workbookViewId="0">
      <pane ySplit="2" topLeftCell="A3" activePane="bottomLeft" state="frozenSplit"/>
      <selection activeCell="U1" sqref="U1"/>
      <selection pane="bottomLeft" activeCell="A3" sqref="A3"/>
    </sheetView>
  </sheetViews>
  <sheetFormatPr defaultRowHeight="15" x14ac:dyDescent="0.25"/>
  <cols>
    <col min="1" max="1" width="28.7109375" customWidth="1"/>
    <col min="2" max="2" width="14.7109375" customWidth="1"/>
    <col min="3" max="3" width="2.7109375" customWidth="1"/>
    <col min="4" max="4" width="28.7109375" customWidth="1"/>
    <col min="5" max="5" width="8.7109375" customWidth="1"/>
    <col min="6" max="7" width="10.7109375" customWidth="1"/>
    <col min="8" max="9" width="8.7109375" customWidth="1"/>
    <col min="10" max="10" width="10.7109375" customWidth="1"/>
    <col min="11" max="11" width="2.7109375" customWidth="1"/>
    <col min="12" max="12" width="22.7109375" customWidth="1"/>
    <col min="13" max="14" width="12.7109375" customWidth="1"/>
    <col min="15" max="15" width="14.7109375" customWidth="1"/>
    <col min="16" max="16" width="10.7109375" customWidth="1"/>
    <col min="17" max="17" width="13.7109375" customWidth="1"/>
    <col min="18" max="18" width="10.7109375" customWidth="1"/>
    <col min="19" max="19" width="12.7109375" customWidth="1"/>
    <col min="20" max="20" width="2.7109375" customWidth="1"/>
    <col min="21" max="21" width="20.7109375" customWidth="1"/>
    <col min="22" max="22" width="14.7109375" customWidth="1"/>
    <col min="23" max="23" width="2.7109375" customWidth="1"/>
    <col min="24" max="24" width="10.7109375" customWidth="1"/>
    <col min="25" max="25" width="9.7109375" style="12" customWidth="1"/>
    <col min="26" max="26" width="10.7109375" style="12" customWidth="1"/>
    <col min="27" max="28" width="9.7109375" style="12" customWidth="1"/>
    <col min="29" max="29" width="12.7109375" style="12" customWidth="1"/>
    <col min="30" max="30" width="9.7109375" style="12" customWidth="1"/>
    <col min="31" max="31" width="14.7109375" style="12" customWidth="1"/>
    <col min="32" max="32" width="17.7109375" style="12" customWidth="1"/>
    <col min="33" max="33" width="14.7109375" style="12" customWidth="1"/>
    <col min="34" max="34" width="15.7109375" style="12" customWidth="1"/>
  </cols>
  <sheetData>
    <row r="1" spans="1:34" x14ac:dyDescent="0.25">
      <c r="A1" s="4" t="s">
        <v>669</v>
      </c>
      <c r="B1" s="3" t="s">
        <v>670</v>
      </c>
      <c r="D1" s="4" t="s">
        <v>672</v>
      </c>
      <c r="L1" s="4" t="s">
        <v>675</v>
      </c>
      <c r="U1" s="14" t="s">
        <v>699</v>
      </c>
      <c r="V1" s="18"/>
      <c r="X1" s="4" t="s">
        <v>709</v>
      </c>
    </row>
    <row r="2" spans="1:34" ht="30" x14ac:dyDescent="0.25">
      <c r="A2" s="2" t="s">
        <v>671</v>
      </c>
      <c r="B2" s="31" t="b">
        <v>1</v>
      </c>
      <c r="C2" s="2"/>
      <c r="D2" s="32"/>
      <c r="E2" s="32" t="s">
        <v>673</v>
      </c>
      <c r="F2" s="32" t="s">
        <v>674</v>
      </c>
      <c r="G2" s="32" t="s">
        <v>229</v>
      </c>
      <c r="H2" s="32" t="s">
        <v>233</v>
      </c>
      <c r="I2" s="32" t="s">
        <v>119</v>
      </c>
      <c r="J2" s="32" t="s">
        <v>123</v>
      </c>
      <c r="K2" s="2"/>
      <c r="L2" s="2"/>
      <c r="M2" s="2"/>
      <c r="N2" s="2"/>
      <c r="O2" s="2"/>
      <c r="P2" s="2"/>
      <c r="Q2" s="2"/>
      <c r="R2" s="2"/>
      <c r="S2" s="2"/>
      <c r="T2" s="2"/>
      <c r="U2" s="33" t="s">
        <v>700</v>
      </c>
      <c r="V2" s="34"/>
      <c r="W2" s="2"/>
      <c r="X2" s="32" t="s">
        <v>587</v>
      </c>
      <c r="Y2" s="35" t="s">
        <v>580</v>
      </c>
      <c r="Z2" s="35" t="s">
        <v>164</v>
      </c>
      <c r="AA2" s="35" t="s">
        <v>710</v>
      </c>
      <c r="AB2" s="35" t="s">
        <v>711</v>
      </c>
      <c r="AC2" s="35" t="s">
        <v>598</v>
      </c>
      <c r="AD2" s="35" t="s">
        <v>593</v>
      </c>
      <c r="AE2" s="35" t="s">
        <v>712</v>
      </c>
      <c r="AF2" s="35" t="s">
        <v>584</v>
      </c>
      <c r="AG2" s="35" t="s">
        <v>590</v>
      </c>
      <c r="AH2" s="35" t="s">
        <v>640</v>
      </c>
    </row>
    <row r="3" spans="1:34" x14ac:dyDescent="0.25">
      <c r="A3" t="str" cm="1">
        <f t="array" aca="1" ref="A3:A20" ca="1">Coefficient_Name_Col(All_Xs)</f>
        <v>Adult Mortality</v>
      </c>
      <c r="B3" s="10" t="b">
        <v>1</v>
      </c>
      <c r="D3" t="str" cm="1">
        <f t="array" aca="1" ref="D3:D20" ca="1">Coefficient_Name_Col(All_Xs,Ind_Var_Include)</f>
        <v>Adult Mortality</v>
      </c>
      <c r="E3" s="11" cm="1">
        <f t="array" ref="E3">Pearson_R(x_s,y,Regression_Sample_Include)</f>
        <v>-0.70252306230697348</v>
      </c>
      <c r="F3" s="11" cm="1">
        <f t="array" ref="F3">Spearman_R(x_s,y,Regression_Sample_Include)</f>
        <v>-0.65562080697254088</v>
      </c>
      <c r="G3" s="11" cm="1">
        <f t="array" ref="G3">Skewness(x_s,Regression_Sample_Include)</f>
        <v>1.2764291138226984</v>
      </c>
      <c r="H3" s="11" cm="1">
        <f t="array" ref="H3">Kurtosis(x_s,Regression_Sample_Include)</f>
        <v>2.4009445877439255</v>
      </c>
      <c r="I3" s="11" cm="1">
        <f t="array" ref="I3">VIF(x_s,Allow_Intercept,Regression_Sample_Include)</f>
        <v>1</v>
      </c>
      <c r="J3" s="11" cm="1">
        <f t="array" ref="J3">Tolerance(x_s,Allow_Intercept,Regression_Sample_Include)</f>
        <v>1</v>
      </c>
      <c r="L3" s="14" t="s">
        <v>676</v>
      </c>
      <c r="M3" s="18"/>
      <c r="O3" s="14" t="s">
        <v>681</v>
      </c>
      <c r="P3" s="18"/>
      <c r="U3" s="13" t="s">
        <v>701</v>
      </c>
      <c r="V3" s="19" cm="1">
        <f t="array" aca="1" ref="V3:V8" ca="1">Prediction_Interval(x_s,y,pred_input,Allow_Intercept,Regression_Sample_Include,alpha)</f>
        <v>69.302304426925431</v>
      </c>
      <c r="X3" cm="1">
        <f t="array" ref="X3:X1651">Dependent_Var(y,Regression_Sample_Include)</f>
        <v>65</v>
      </c>
      <c r="Y3" s="12" cm="1">
        <f t="array" ref="Y3:Y1651">Predictions(x_s,y,Allow_Intercept,Regression_Sample_Include)</f>
        <v>64.627772433049671</v>
      </c>
      <c r="Z3" s="12" cm="1">
        <f t="array" ref="Z3:Z1651">Residuals(x_s,y,Allow_Intercept,Regression_Sample_Include)</f>
        <v>0.37222756695032899</v>
      </c>
      <c r="AA3" s="12" cm="1">
        <f t="array" ref="AA3:AA1651">Dependent_Var(y,Regression_Sample_Include)-LOOCV_prediction(x_s,y,Allow_Intercept,Regression_Sample_Include)</f>
        <v>0.37258286213715053</v>
      </c>
      <c r="AB3" s="12" cm="1">
        <f t="array" ref="AB3:AB1651">Hat_diagonal(x_s,Allow_Intercept,Regression_Sample_Include)</f>
        <v>9.5360045491318295E-4</v>
      </c>
      <c r="AC3" s="12" cm="1">
        <f t="array" ref="AC3:AC1651">Studentized_Residuals(x_s,y,Allow_Intercept,Regression_Sample_Include)</f>
        <v>5.9468138435847258E-2</v>
      </c>
      <c r="AD3" s="12" cm="1">
        <f t="array" ref="AD3:AD1651">Cooks_Distance(x_s,y,Allow_Intercept,Regression_Sample_Include)</f>
        <v>1.6877941700465421E-6</v>
      </c>
      <c r="AE3" s="12" cm="1">
        <f t="array" ref="AE3:AE1651">_xlfn._xlws.SORT(Normal_Scores(y,Regression_Sample_Include))</f>
        <v>-3.4287229888501014</v>
      </c>
      <c r="AF3" s="12" cm="1">
        <f t="array" ref="AF3:AF1651">Studentized_Residuals_Ranked(x_s,y,Allow_Intercept,Regression_Sample_Include)</f>
        <v>-5.090603373422125</v>
      </c>
      <c r="AG3" s="12" cm="1">
        <f t="array" ref="AG3:AG1651">SQRT(ABS(Studentized_Residuals(x_s,y,Allow_Intercept,Regression_Sample_Include)))</f>
        <v>0.24386089976838693</v>
      </c>
      <c r="AH3" s="12" cm="1">
        <f t="array" ref="AH3:AH1651">Residuals(x_s,y,Allow_Intercept,Regression_Sample_Include)/(1-Hat_diagonal(x_s,Allow_Intercept,Regression_Sample_Include))</f>
        <v>0.37258286213715586</v>
      </c>
    </row>
    <row r="4" spans="1:34" x14ac:dyDescent="0.25">
      <c r="A4" t="str">
        <f ca="1"/>
        <v>infant deaths</v>
      </c>
      <c r="B4" s="10" t="b">
        <v>1</v>
      </c>
      <c r="D4" t="str">
        <f ca="1"/>
        <v>infant deaths</v>
      </c>
      <c r="E4" s="11"/>
      <c r="F4" s="11"/>
      <c r="G4" s="11"/>
      <c r="H4" s="11"/>
      <c r="I4" s="11"/>
      <c r="J4" s="11"/>
      <c r="L4" s="13" t="s">
        <v>677</v>
      </c>
      <c r="M4" s="19" cm="1">
        <f t="array" ref="M4">Multiple_R(x_s,y,Allow_Intercept,Regression_Sample_Include)</f>
        <v>0.70252306230697303</v>
      </c>
      <c r="O4" s="13" t="s">
        <v>59</v>
      </c>
      <c r="P4" s="19" cm="1">
        <f t="array" ref="P4">PRESS(x_s,y,Allow_Intercept,Regression_Sample_Include)</f>
        <v>64745.911583712019</v>
      </c>
      <c r="U4" s="13" t="s">
        <v>702</v>
      </c>
      <c r="V4" s="19">
        <f ca="1"/>
        <v>6.2641623454846549</v>
      </c>
      <c r="X4">
        <v>59.9</v>
      </c>
      <c r="Y4" s="12">
        <v>64.23323355868493</v>
      </c>
      <c r="Z4" s="12">
        <v>-4.3332335586849311</v>
      </c>
      <c r="AA4" s="12">
        <v>-4.3376348592848686</v>
      </c>
      <c r="AB4" s="12">
        <v>1.014677524207887E-3</v>
      </c>
      <c r="AC4" s="12">
        <v>-0.69231092307684594</v>
      </c>
      <c r="AD4" s="12">
        <v>2.4341161908842459E-4</v>
      </c>
      <c r="AE4" s="12">
        <v>-3.118249953252767</v>
      </c>
      <c r="AF4" s="12">
        <v>-5.0186087480358799</v>
      </c>
      <c r="AG4" s="12">
        <v>0.83205223578621912</v>
      </c>
      <c r="AH4" s="12">
        <v>-4.3376348592848686</v>
      </c>
    </row>
    <row r="5" spans="1:34" x14ac:dyDescent="0.25">
      <c r="A5" t="str">
        <f ca="1"/>
        <v>Alcohol</v>
      </c>
      <c r="B5" s="10" t="b">
        <v>1</v>
      </c>
      <c r="D5" t="str">
        <f ca="1"/>
        <v>Alcohol</v>
      </c>
      <c r="E5" s="11"/>
      <c r="F5" s="11"/>
      <c r="G5" s="11"/>
      <c r="H5" s="11"/>
      <c r="I5" s="11"/>
      <c r="J5" s="11"/>
      <c r="L5" s="13" t="s">
        <v>678</v>
      </c>
      <c r="M5" s="19" cm="1">
        <f t="array" ref="M5">R_squared(x_s,y,Allow_Intercept,Regression_Sample_Include)</f>
        <v>0.49353865307316708</v>
      </c>
      <c r="O5" s="13" t="s">
        <v>615</v>
      </c>
      <c r="P5" s="19" cm="1">
        <f t="array" ref="P5">1-PRESS(x_s,y,Allow_Intercept,Regression_Sample_Include)/SS_Total(y,Allow_Intercept,Regression_Sample_Include)</f>
        <v>0.49230564367863505</v>
      </c>
      <c r="U5" s="13" t="s">
        <v>703</v>
      </c>
      <c r="V5" s="19">
        <f ca="1"/>
        <v>1.9614053845970953</v>
      </c>
      <c r="X5">
        <v>59.9</v>
      </c>
      <c r="Y5" s="12">
        <v>64.381185636571701</v>
      </c>
      <c r="Z5" s="12">
        <v>-4.481185636571702</v>
      </c>
      <c r="AA5" s="12">
        <v>-4.4856317677827704</v>
      </c>
      <c r="AB5" s="12">
        <v>9.9119398141525182E-4</v>
      </c>
      <c r="AC5" s="12">
        <v>-0.71594047696680008</v>
      </c>
      <c r="AD5" s="12">
        <v>2.5428057080293472E-4</v>
      </c>
      <c r="AE5" s="12">
        <v>-2.9644605992605717</v>
      </c>
      <c r="AF5" s="12">
        <v>-4.8399698613468338</v>
      </c>
      <c r="AG5" s="12">
        <v>0.84613265920114444</v>
      </c>
      <c r="AH5" s="12">
        <v>-4.4856317677827731</v>
      </c>
    </row>
    <row r="6" spans="1:34" x14ac:dyDescent="0.25">
      <c r="A6" t="str">
        <f ca="1"/>
        <v>percentage expenditure</v>
      </c>
      <c r="B6" s="10" t="b">
        <v>1</v>
      </c>
      <c r="D6" t="str">
        <f ca="1"/>
        <v>percentage expenditure</v>
      </c>
      <c r="E6" s="11"/>
      <c r="F6" s="11"/>
      <c r="G6" s="11"/>
      <c r="H6" s="11"/>
      <c r="I6" s="11"/>
      <c r="J6" s="11"/>
      <c r="L6" s="13" t="s">
        <v>679</v>
      </c>
      <c r="M6" s="19" cm="1">
        <f t="array" ref="M6">Adjusted_R2(x_s,y,Allow_Intercept,Regression_Sample_Include)</f>
        <v>0.4932311477016269</v>
      </c>
      <c r="O6" s="13" t="s">
        <v>682</v>
      </c>
      <c r="P6" s="19" cm="1">
        <f t="array" ref="P6">(DF_Regression(x_s)+IF(Allow_Intercept,1,0))/Observations(y,Regression_Sample_Include)</f>
        <v>1.2128562765312311E-3</v>
      </c>
      <c r="U6" s="13" t="s">
        <v>696</v>
      </c>
      <c r="V6" s="19">
        <f ca="1"/>
        <v>57.01574267250146</v>
      </c>
      <c r="X6">
        <v>59.5</v>
      </c>
      <c r="Y6" s="12">
        <v>64.18391619938933</v>
      </c>
      <c r="Z6" s="12">
        <v>-4.6839161993893299</v>
      </c>
      <c r="AA6" s="12">
        <v>-4.6887111564731327</v>
      </c>
      <c r="AB6" s="12">
        <v>1.0226599429539972E-3</v>
      </c>
      <c r="AC6" s="12">
        <v>-0.74834168509972387</v>
      </c>
      <c r="AD6" s="12">
        <v>2.8664573706460903E-4</v>
      </c>
      <c r="AE6" s="12">
        <v>-2.9644605992605717</v>
      </c>
      <c r="AF6" s="12">
        <v>-4.8060760954125472</v>
      </c>
      <c r="AG6" s="12">
        <v>0.86506744540511049</v>
      </c>
      <c r="AH6" s="12">
        <v>-4.6887111564731363</v>
      </c>
    </row>
    <row r="7" spans="1:34" x14ac:dyDescent="0.25">
      <c r="A7" t="str">
        <f ca="1"/>
        <v>Hepatitis B</v>
      </c>
      <c r="B7" s="10" t="b">
        <v>1</v>
      </c>
      <c r="D7" t="str">
        <f ca="1"/>
        <v>Hepatitis B</v>
      </c>
      <c r="E7" s="11"/>
      <c r="F7" s="11"/>
      <c r="G7" s="11"/>
      <c r="H7" s="11"/>
      <c r="I7" s="11"/>
      <c r="J7" s="11"/>
      <c r="L7" s="13" t="s">
        <v>680</v>
      </c>
      <c r="M7" s="19" cm="1">
        <f t="array" ref="M7">SE_Regression(x_s,y,Allow_Intercept,Regression_Sample_Include)</f>
        <v>6.2622638267729238</v>
      </c>
      <c r="O7" s="13" t="s">
        <v>63</v>
      </c>
      <c r="P7" s="19" cm="1">
        <f t="array" ref="P7">AIC(x_s,y,Allow_Intercept,Regression_Sample_Include)</f>
        <v>6052.3174889020911</v>
      </c>
      <c r="U7" s="13" t="s">
        <v>697</v>
      </c>
      <c r="V7" s="19">
        <f ca="1"/>
        <v>81.588866181349402</v>
      </c>
      <c r="X7">
        <v>59.2</v>
      </c>
      <c r="Y7" s="12">
        <v>64.035964121502559</v>
      </c>
      <c r="Z7" s="12">
        <v>-4.8359641215025562</v>
      </c>
      <c r="AA7" s="12">
        <v>-4.8410330263715906</v>
      </c>
      <c r="AB7" s="12">
        <v>1.0470709126380263E-3</v>
      </c>
      <c r="AC7" s="12">
        <v>-0.77264357491067825</v>
      </c>
      <c r="AD7" s="12">
        <v>3.1286679249455996E-4</v>
      </c>
      <c r="AE7" s="12">
        <v>-2.7786903070508315</v>
      </c>
      <c r="AF7" s="12">
        <v>-4.6647744867052019</v>
      </c>
      <c r="AG7" s="12">
        <v>0.87900146468062168</v>
      </c>
      <c r="AH7" s="12">
        <v>-4.8410330263715897</v>
      </c>
    </row>
    <row r="8" spans="1:34" x14ac:dyDescent="0.25">
      <c r="A8" t="str">
        <f ca="1"/>
        <v>Measles</v>
      </c>
      <c r="B8" s="10" t="b">
        <v>1</v>
      </c>
      <c r="D8" t="str">
        <f ca="1"/>
        <v>Measles</v>
      </c>
      <c r="E8" s="11"/>
      <c r="F8" s="11"/>
      <c r="G8" s="11"/>
      <c r="H8" s="11"/>
      <c r="I8" s="11"/>
      <c r="J8" s="11"/>
      <c r="L8" s="16" t="s">
        <v>6</v>
      </c>
      <c r="M8" s="20" cm="1">
        <f t="array" ref="M8">Observations(y,Regression_Sample_Include)</f>
        <v>1649</v>
      </c>
      <c r="O8" s="13" t="s">
        <v>67</v>
      </c>
      <c r="P8" s="19" cm="1">
        <f t="array" ref="P8">BIC(x_s,y,Allow_Intercept,Regression_Sample_Include)</f>
        <v>6063.1333375472104</v>
      </c>
      <c r="U8" s="16" t="s">
        <v>704</v>
      </c>
      <c r="V8" s="21">
        <f ca="1"/>
        <v>0.95</v>
      </c>
      <c r="X8">
        <v>58.8</v>
      </c>
      <c r="Y8" s="12">
        <v>63.838694684320188</v>
      </c>
      <c r="Z8" s="12">
        <v>-5.0386946843201912</v>
      </c>
      <c r="AA8" s="12">
        <v>-5.0441458971809752</v>
      </c>
      <c r="AB8" s="12">
        <v>1.0807008702566903E-3</v>
      </c>
      <c r="AC8" s="12">
        <v>-0.80504745462936589</v>
      </c>
      <c r="AD8" s="12">
        <v>3.5058074868978689E-4</v>
      </c>
      <c r="AE8" s="12">
        <v>-2.7786903070508315</v>
      </c>
      <c r="AF8" s="12">
        <v>-4.5685490958187227</v>
      </c>
      <c r="AG8" s="12">
        <v>0.89724436728762247</v>
      </c>
      <c r="AH8" s="12">
        <v>-5.0441458971809761</v>
      </c>
    </row>
    <row r="9" spans="1:34" x14ac:dyDescent="0.25">
      <c r="A9" t="str">
        <f ca="1"/>
        <v>BMI</v>
      </c>
      <c r="B9" s="10" t="b">
        <v>1</v>
      </c>
      <c r="D9" t="str">
        <f ca="1"/>
        <v>BMI</v>
      </c>
      <c r="E9" s="11"/>
      <c r="F9" s="11"/>
      <c r="G9" s="11"/>
      <c r="H9" s="11"/>
      <c r="I9" s="11"/>
      <c r="J9" s="11"/>
      <c r="O9" s="13" t="s">
        <v>71</v>
      </c>
      <c r="P9" s="19" cm="1">
        <f t="array" ref="P9">AICc(x_s,y,Allow_Intercept,Regression_Sample_Include)</f>
        <v>6052.3247793030632</v>
      </c>
      <c r="X9">
        <v>58.6</v>
      </c>
      <c r="Y9" s="12">
        <v>63.740059965729003</v>
      </c>
      <c r="Z9" s="12">
        <v>-5.1400599657290016</v>
      </c>
      <c r="AA9" s="12">
        <v>-5.1457098499788927</v>
      </c>
      <c r="AB9" s="12">
        <v>1.0979795625117191E-3</v>
      </c>
      <c r="AC9" s="12">
        <v>-0.8212499942925604</v>
      </c>
      <c r="AD9" s="12">
        <v>3.706740030978155E-4</v>
      </c>
      <c r="AE9" s="12">
        <v>-2.6570161854420777</v>
      </c>
      <c r="AF9" s="12">
        <v>-4.5520261578725201</v>
      </c>
      <c r="AG9" s="12">
        <v>0.90622844487058585</v>
      </c>
      <c r="AH9" s="12">
        <v>-5.1457098499788936</v>
      </c>
    </row>
    <row r="10" spans="1:34" x14ac:dyDescent="0.25">
      <c r="A10" t="str">
        <f ca="1"/>
        <v>under-five deaths</v>
      </c>
      <c r="B10" s="10" t="b">
        <v>1</v>
      </c>
      <c r="D10" t="str">
        <f ca="1"/>
        <v>under-five deaths</v>
      </c>
      <c r="E10" s="11"/>
      <c r="F10" s="11"/>
      <c r="G10" s="11"/>
      <c r="H10" s="11"/>
      <c r="I10" s="11"/>
      <c r="J10" s="11"/>
      <c r="O10" s="16" t="s">
        <v>619</v>
      </c>
      <c r="P10" s="21" cm="1">
        <f t="array" ref="P10">QQ_Correlation(x_s,y,Allow_Intercept,Regression_Sample_Include)</f>
        <v>0.94712831382872587</v>
      </c>
      <c r="U10" s="4" t="s">
        <v>705</v>
      </c>
      <c r="X10">
        <v>58.1</v>
      </c>
      <c r="Y10" s="12">
        <v>63.444155809955447</v>
      </c>
      <c r="Z10" s="12">
        <v>-5.3441558099554456</v>
      </c>
      <c r="AA10" s="12">
        <v>-5.3503176128786976</v>
      </c>
      <c r="AB10" s="12">
        <v>1.1516704930595928E-3</v>
      </c>
      <c r="AC10" s="12">
        <v>-0.85388223361001803</v>
      </c>
      <c r="AD10" s="12">
        <v>4.2033412667800084E-4</v>
      </c>
      <c r="AE10" s="12">
        <v>-2.6570161854420777</v>
      </c>
      <c r="AF10" s="12">
        <v>-4.5283334552984842</v>
      </c>
      <c r="AG10" s="12">
        <v>0.92405748393161025</v>
      </c>
      <c r="AH10" s="12">
        <v>-5.3503176128786949</v>
      </c>
    </row>
    <row r="11" spans="1:34" x14ac:dyDescent="0.25">
      <c r="A11" t="str">
        <f ca="1"/>
        <v>Polio</v>
      </c>
      <c r="B11" s="10" t="b">
        <v>1</v>
      </c>
      <c r="D11" t="str">
        <f ca="1"/>
        <v>Polio</v>
      </c>
      <c r="E11" s="11"/>
      <c r="F11" s="11"/>
      <c r="G11" s="11"/>
      <c r="H11" s="11"/>
      <c r="I11" s="11"/>
      <c r="J11" s="11"/>
      <c r="U11" s="3" t="s">
        <v>706</v>
      </c>
      <c r="V11" s="3" t="s">
        <v>707</v>
      </c>
      <c r="X11">
        <v>57.5</v>
      </c>
      <c r="Y11" s="12">
        <v>63.049616935590706</v>
      </c>
      <c r="Z11" s="12">
        <v>-5.5496169355907057</v>
      </c>
      <c r="AA11" s="12">
        <v>-5.5564379432011961</v>
      </c>
      <c r="AB11" s="12">
        <v>1.2275863926165943E-3</v>
      </c>
      <c r="AC11" s="12">
        <v>-0.88674424228827065</v>
      </c>
      <c r="AD11" s="12">
        <v>4.8322821712246979E-4</v>
      </c>
      <c r="AE11" s="12">
        <v>-2.5652792972685243</v>
      </c>
      <c r="AF11" s="12">
        <v>-4.5070349361713768</v>
      </c>
      <c r="AG11" s="12">
        <v>0.94167098409596894</v>
      </c>
      <c r="AH11" s="12">
        <v>-5.5564379432011979</v>
      </c>
    </row>
    <row r="12" spans="1:34" x14ac:dyDescent="0.25">
      <c r="A12" t="str">
        <f ca="1"/>
        <v>Total expenditure</v>
      </c>
      <c r="B12" s="10" t="b">
        <v>1</v>
      </c>
      <c r="D12" t="str">
        <f ca="1"/>
        <v>Total expenditure</v>
      </c>
      <c r="E12" s="11"/>
      <c r="F12" s="11"/>
      <c r="G12" s="11"/>
      <c r="H12" s="11"/>
      <c r="I12" s="11"/>
      <c r="J12" s="11"/>
      <c r="L12" s="3" t="s">
        <v>683</v>
      </c>
      <c r="M12" s="10">
        <v>0.05</v>
      </c>
      <c r="U12" t="s">
        <v>708</v>
      </c>
      <c r="V12" s="10">
        <f>IF(Allow_Intercept,1,0)</f>
        <v>1</v>
      </c>
      <c r="X12">
        <v>57.3</v>
      </c>
      <c r="Y12" s="12">
        <v>63.049616935590706</v>
      </c>
      <c r="Z12" s="12">
        <v>-5.7496169355907085</v>
      </c>
      <c r="AA12" s="12">
        <v>-5.7566837622438385</v>
      </c>
      <c r="AB12" s="12">
        <v>1.2275863926165943E-3</v>
      </c>
      <c r="AC12" s="12">
        <v>-0.9187011954466564</v>
      </c>
      <c r="AD12" s="12">
        <v>5.186854847894839E-4</v>
      </c>
      <c r="AE12" s="12">
        <v>-2.5264513477970261</v>
      </c>
      <c r="AF12" s="12">
        <v>-4.4245763152790198</v>
      </c>
      <c r="AG12" s="12">
        <v>0.95848901686282062</v>
      </c>
      <c r="AH12" s="12">
        <v>-5.7566837622438358</v>
      </c>
    </row>
    <row r="13" spans="1:34" x14ac:dyDescent="0.25">
      <c r="A13" t="str">
        <f ca="1"/>
        <v>Diphtheria</v>
      </c>
      <c r="B13" s="10" t="b">
        <v>1</v>
      </c>
      <c r="D13" t="str">
        <f ca="1"/>
        <v>Diphtheria</v>
      </c>
      <c r="E13" s="11"/>
      <c r="F13" s="11"/>
      <c r="G13" s="11"/>
      <c r="H13" s="11"/>
      <c r="I13" s="11"/>
      <c r="J13" s="11"/>
      <c r="L13" s="14" t="s">
        <v>684</v>
      </c>
      <c r="M13" s="15"/>
      <c r="N13" s="15"/>
      <c r="O13" s="15"/>
      <c r="P13" s="15"/>
      <c r="Q13" s="18"/>
      <c r="U13" t="str" cm="1">
        <f t="array" aca="1" ref="U13:U30" ca="1">Coefficient_Name_Col(All_Xs)</f>
        <v>Adult Mortality</v>
      </c>
      <c r="V13" s="30" cm="1">
        <f t="array" ref="V13">AVERAGEIF(Regression_Sample_Include,TRUE,INDEX(All_Xs,,1))</f>
        <v>168.2152819890843</v>
      </c>
      <c r="X13">
        <v>57.3</v>
      </c>
      <c r="Y13" s="12">
        <v>63.246886372773076</v>
      </c>
      <c r="Z13" s="12">
        <v>-5.9468863727730792</v>
      </c>
      <c r="AA13" s="12">
        <v>-5.9539656984703981</v>
      </c>
      <c r="AB13" s="12">
        <v>1.1890101582438311E-3</v>
      </c>
      <c r="AC13" s="12">
        <v>-0.95020349627913359</v>
      </c>
      <c r="AD13" s="12">
        <v>5.374097053110771E-4</v>
      </c>
      <c r="AE13" s="12">
        <v>-2.5264513477970261</v>
      </c>
      <c r="AF13" s="12">
        <v>-4.1112935034890921</v>
      </c>
      <c r="AG13" s="12">
        <v>0.97478382027972421</v>
      </c>
      <c r="AH13" s="12">
        <v>-5.9539656984703955</v>
      </c>
    </row>
    <row r="14" spans="1:34" x14ac:dyDescent="0.25">
      <c r="A14" t="str">
        <f ca="1"/>
        <v>HIV/AIDS</v>
      </c>
      <c r="B14" s="10" t="b">
        <v>1</v>
      </c>
      <c r="D14" t="str">
        <f ca="1"/>
        <v>HIV/AIDS</v>
      </c>
      <c r="E14" s="11"/>
      <c r="F14" s="11"/>
      <c r="G14" s="11"/>
      <c r="H14" s="11"/>
      <c r="I14" s="11"/>
      <c r="J14" s="11"/>
      <c r="L14" s="23"/>
      <c r="M14" s="57" t="s">
        <v>685</v>
      </c>
      <c r="N14" s="57" t="s">
        <v>686</v>
      </c>
      <c r="O14" s="57" t="s">
        <v>687</v>
      </c>
      <c r="P14" s="57" t="s">
        <v>688</v>
      </c>
      <c r="Q14" s="26" t="s">
        <v>623</v>
      </c>
      <c r="U14" t="str">
        <f ca="1"/>
        <v>infant deaths</v>
      </c>
      <c r="V14" s="30" cm="1">
        <f t="array" ref="V14">AVERAGEIF(Regression_Sample_Include,TRUE,INDEX(All_Xs,,2))</f>
        <v>32.553062462098239</v>
      </c>
      <c r="X14">
        <v>57</v>
      </c>
      <c r="Y14" s="12">
        <v>63.148251654181891</v>
      </c>
      <c r="Z14" s="12">
        <v>-6.148251654181891</v>
      </c>
      <c r="AA14" s="12">
        <v>-6.1556886106223345</v>
      </c>
      <c r="AB14" s="12">
        <v>1.2081437042816472E-3</v>
      </c>
      <c r="AC14" s="12">
        <v>-0.98238738877588683</v>
      </c>
      <c r="AD14" s="12">
        <v>5.8368584870744766E-4</v>
      </c>
      <c r="AE14" s="12">
        <v>-2.5264513477970261</v>
      </c>
      <c r="AF14" s="12">
        <v>-4.0077086623581017</v>
      </c>
      <c r="AG14" s="12">
        <v>0.99115457360387882</v>
      </c>
      <c r="AH14" s="12">
        <v>-6.1556886106223327</v>
      </c>
    </row>
    <row r="15" spans="1:34" x14ac:dyDescent="0.25">
      <c r="A15" t="str">
        <f ca="1"/>
        <v>GDP</v>
      </c>
      <c r="B15" s="10" t="b">
        <v>1</v>
      </c>
      <c r="D15" t="str">
        <f ca="1"/>
        <v>GDP</v>
      </c>
      <c r="E15" s="11"/>
      <c r="F15" s="11"/>
      <c r="G15" s="11"/>
      <c r="H15" s="11"/>
      <c r="I15" s="11"/>
      <c r="J15" s="11"/>
      <c r="L15" s="13" t="s">
        <v>689</v>
      </c>
      <c r="M15" s="56" cm="1">
        <f t="array" ref="M15">DF_Regression(x_s)</f>
        <v>1</v>
      </c>
      <c r="N15" s="58" cm="1">
        <f t="array" ref="N15">SS_Regression(x_s,y,Allow_Intercept,Regression_Sample_Include)</f>
        <v>62940.644498306538</v>
      </c>
      <c r="O15" s="58" cm="1">
        <f t="array" ref="O15">MS_Regression(x_s,y,Allow_Intercept,Regression_Sample_Include)</f>
        <v>62940.644498306538</v>
      </c>
      <c r="P15" s="58" cm="1">
        <f t="array" ref="P15">F_Stat(x_s,y,Allow_Intercept,Regression_Sample_Include)</f>
        <v>1604.9757134357139</v>
      </c>
      <c r="Q15" s="27" cm="1">
        <f t="array" ref="Q15">P_Value_F(x_s,y,Allow_Intercept,Regression_Sample_Include)</f>
        <v>1.3819095404879119E-245</v>
      </c>
      <c r="U15" t="str">
        <f ca="1"/>
        <v>Alcohol</v>
      </c>
      <c r="V15" s="30" cm="1">
        <f t="array" ref="V15">AVERAGEIF(Regression_Sample_Include,TRUE,INDEX(All_Xs,,3))</f>
        <v>4.5331958762886764</v>
      </c>
      <c r="X15">
        <v>56.7</v>
      </c>
      <c r="Y15" s="12">
        <v>63.049616935590706</v>
      </c>
      <c r="Z15" s="12">
        <v>-6.3496169355907028</v>
      </c>
      <c r="AA15" s="12">
        <v>-6.3574212193717372</v>
      </c>
      <c r="AB15" s="12">
        <v>1.2275863926165943E-3</v>
      </c>
      <c r="AC15" s="12">
        <v>-1.0145720549218116</v>
      </c>
      <c r="AD15" s="12">
        <v>6.3258854551746324E-4</v>
      </c>
      <c r="AE15" s="12">
        <v>-2.4285172603656537</v>
      </c>
      <c r="AF15" s="12">
        <v>-3.9316885335958589</v>
      </c>
      <c r="AG15" s="12">
        <v>1.007259676012999</v>
      </c>
      <c r="AH15" s="12">
        <v>-6.3574212193717354</v>
      </c>
    </row>
    <row r="16" spans="1:34" x14ac:dyDescent="0.25">
      <c r="A16" t="str">
        <f ca="1"/>
        <v>Population</v>
      </c>
      <c r="B16" s="10" t="b">
        <v>1</v>
      </c>
      <c r="D16" t="str">
        <f ca="1"/>
        <v>Population</v>
      </c>
      <c r="E16" s="11"/>
      <c r="F16" s="11"/>
      <c r="G16" s="11"/>
      <c r="H16" s="11"/>
      <c r="I16" s="11"/>
      <c r="J16" s="11"/>
      <c r="L16" s="13" t="s">
        <v>690</v>
      </c>
      <c r="M16" s="56" cm="1">
        <f t="array" ref="M16">DF_Residual(x_s,y,Allow_Intercept,Regression_Sample_Include)</f>
        <v>1647</v>
      </c>
      <c r="N16" s="58" cm="1">
        <f t="array" ref="N16">SS_Residual(x_s,y,Allow_Intercept,Regression_Sample_Include)</f>
        <v>64588.666744870978</v>
      </c>
      <c r="O16" s="58" cm="1">
        <f t="array" ref="O16">MS_Residual(x_s,y,Allow_Intercept,Regression_Sample_Include)</f>
        <v>39.215948236108666</v>
      </c>
      <c r="P16" s="55"/>
      <c r="Q16" s="28"/>
      <c r="U16" t="str">
        <f ca="1"/>
        <v>percentage expenditure</v>
      </c>
      <c r="V16" s="30" cm="1">
        <f t="array" ref="V16">AVERAGEIF(Regression_Sample_Include,TRUE,INDEX(All_Xs,,4))</f>
        <v>698.973558049698</v>
      </c>
      <c r="X16">
        <v>56.2</v>
      </c>
      <c r="Y16" s="12">
        <v>77.45028584990375</v>
      </c>
      <c r="Z16" s="12">
        <v>-21.250285849903747</v>
      </c>
      <c r="AA16" s="12">
        <v>-21.285646099705204</v>
      </c>
      <c r="AB16" s="12">
        <v>1.661225110848029E-3</v>
      </c>
      <c r="AC16" s="12">
        <v>-3.3962092965655502</v>
      </c>
      <c r="AD16" s="12">
        <v>9.5964243773902624E-3</v>
      </c>
      <c r="AE16" s="12">
        <v>-2.4004805754973497</v>
      </c>
      <c r="AF16" s="12">
        <v>-3.8321370415645561</v>
      </c>
      <c r="AG16" s="12">
        <v>1.842880706005017</v>
      </c>
      <c r="AH16" s="12">
        <v>-21.2856460997052</v>
      </c>
    </row>
    <row r="17" spans="1:34" x14ac:dyDescent="0.25">
      <c r="A17" t="str">
        <f ca="1"/>
        <v>thinness 1-19 years</v>
      </c>
      <c r="B17" s="10" t="b">
        <v>1</v>
      </c>
      <c r="D17" t="str">
        <f ca="1"/>
        <v>thinness 1-19 years</v>
      </c>
      <c r="E17" s="11"/>
      <c r="F17" s="11"/>
      <c r="G17" s="11"/>
      <c r="H17" s="11"/>
      <c r="I17" s="11"/>
      <c r="J17" s="11"/>
      <c r="L17" s="16" t="s">
        <v>691</v>
      </c>
      <c r="M17" s="17" cm="1">
        <f t="array" ref="M17">DF_Total(y,Allow_Intercept,Regression_Sample_Include)</f>
        <v>1648</v>
      </c>
      <c r="N17" s="24" cm="1">
        <f t="array" ref="N17">SS_Total(y,Allow_Intercept,Regression_Sample_Include)</f>
        <v>127529.31124317752</v>
      </c>
      <c r="O17" s="25"/>
      <c r="P17" s="25"/>
      <c r="Q17" s="29"/>
      <c r="U17" t="str">
        <f ca="1"/>
        <v>Hepatitis B</v>
      </c>
      <c r="V17" s="30" cm="1">
        <f t="array" ref="V17">AVERAGEIF(Regression_Sample_Include,TRUE,INDEX(All_Xs,,5))</f>
        <v>79.217707701637352</v>
      </c>
      <c r="X17">
        <v>55.3</v>
      </c>
      <c r="Y17" s="12">
        <v>62.013952390383267</v>
      </c>
      <c r="Z17" s="12">
        <v>-6.7139523903832696</v>
      </c>
      <c r="AA17" s="12">
        <v>-6.7237044451672432</v>
      </c>
      <c r="AB17" s="12">
        <v>1.4503990863228358E-3</v>
      </c>
      <c r="AC17" s="12">
        <v>-1.0729069924714176</v>
      </c>
      <c r="AD17" s="12">
        <v>8.3601107521040572E-4</v>
      </c>
      <c r="AE17" s="12">
        <v>-2.3742127090260081</v>
      </c>
      <c r="AF17" s="12">
        <v>-3.7718700884359926</v>
      </c>
      <c r="AG17" s="12">
        <v>1.0358122380390269</v>
      </c>
      <c r="AH17" s="12">
        <v>-6.723704445167245</v>
      </c>
    </row>
    <row r="18" spans="1:34" x14ac:dyDescent="0.25">
      <c r="A18" t="str">
        <f ca="1"/>
        <v>thinness 5-9 years</v>
      </c>
      <c r="B18" s="10" t="b">
        <v>1</v>
      </c>
      <c r="D18" t="str">
        <f ca="1"/>
        <v>thinness 5-9 years</v>
      </c>
      <c r="E18" s="11"/>
      <c r="F18" s="11"/>
      <c r="G18" s="11"/>
      <c r="H18" s="11"/>
      <c r="I18" s="11"/>
      <c r="J18" s="11"/>
      <c r="U18" t="str">
        <f ca="1"/>
        <v>Measles</v>
      </c>
      <c r="V18" s="30" cm="1">
        <f t="array" ref="V18">AVERAGEIF(Regression_Sample_Include,TRUE,INDEX(All_Xs,,6))</f>
        <v>2224.4942389326866</v>
      </c>
      <c r="X18">
        <v>54.8</v>
      </c>
      <c r="Y18" s="12">
        <v>61.767365593905296</v>
      </c>
      <c r="Z18" s="12">
        <v>-6.9673655939052992</v>
      </c>
      <c r="AA18" s="12">
        <v>-6.9778915569395252</v>
      </c>
      <c r="AB18" s="12">
        <v>1.5084732900098468E-3</v>
      </c>
      <c r="AC18" s="12">
        <v>-1.1134354575333176</v>
      </c>
      <c r="AD18" s="12">
        <v>9.3646885882987948E-4</v>
      </c>
      <c r="AE18" s="12">
        <v>-2.3494875599978426</v>
      </c>
      <c r="AF18" s="12">
        <v>-3.7118441276910392</v>
      </c>
      <c r="AG18" s="12">
        <v>1.0551945117054569</v>
      </c>
      <c r="AH18" s="12">
        <v>-6.977891556939527</v>
      </c>
    </row>
    <row r="19" spans="1:34" x14ac:dyDescent="0.25">
      <c r="A19" t="str">
        <f ca="1"/>
        <v>Income composition of resources</v>
      </c>
      <c r="B19" s="10" t="b">
        <v>1</v>
      </c>
      <c r="D19" t="str">
        <f ca="1"/>
        <v>Income composition of resources</v>
      </c>
      <c r="E19" s="11"/>
      <c r="F19" s="11"/>
      <c r="G19" s="11"/>
      <c r="H19" s="11"/>
      <c r="I19" s="11"/>
      <c r="J19" s="11"/>
      <c r="L19" s="4" t="s">
        <v>692</v>
      </c>
      <c r="U19" t="str">
        <f ca="1"/>
        <v>BMI</v>
      </c>
      <c r="V19" s="30" cm="1">
        <f t="array" ref="V19">AVERAGEIF(Regression_Sample_Include,TRUE,INDEX(All_Xs,,7))</f>
        <v>38.128623408126103</v>
      </c>
      <c r="X19">
        <v>77.8</v>
      </c>
      <c r="Y19" s="12">
        <v>73.948753339916664</v>
      </c>
      <c r="Z19" s="12">
        <v>3.8512466600833335</v>
      </c>
      <c r="AA19" s="12">
        <v>3.8549066687866116</v>
      </c>
      <c r="AB19" s="12">
        <v>9.494415864615322E-4</v>
      </c>
      <c r="AC19" s="12">
        <v>0.61528487723323144</v>
      </c>
      <c r="AD19" s="12">
        <v>1.7988844580680703E-4</v>
      </c>
      <c r="AE19" s="12">
        <v>-2.3261203997549518</v>
      </c>
      <c r="AF19" s="12">
        <v>-3.6323240921119693</v>
      </c>
      <c r="AG19" s="12">
        <v>0.7844009671292046</v>
      </c>
      <c r="AH19" s="12">
        <v>3.8549066687866071</v>
      </c>
    </row>
    <row r="20" spans="1:34" x14ac:dyDescent="0.25">
      <c r="A20" t="str">
        <f ca="1"/>
        <v>Schooling</v>
      </c>
      <c r="B20" s="10" t="b">
        <v>1</v>
      </c>
      <c r="D20" t="str">
        <f ca="1"/>
        <v>Schooling</v>
      </c>
      <c r="E20" s="11"/>
      <c r="F20" s="11"/>
      <c r="G20" s="11"/>
      <c r="H20" s="11"/>
      <c r="I20" s="11"/>
      <c r="J20" s="11"/>
      <c r="L20" s="3"/>
      <c r="M20" s="3" t="s">
        <v>83</v>
      </c>
      <c r="N20" s="3" t="s">
        <v>693</v>
      </c>
      <c r="O20" s="3" t="s">
        <v>694</v>
      </c>
      <c r="P20" s="3" t="s">
        <v>695</v>
      </c>
      <c r="Q20" s="3" t="s">
        <v>696</v>
      </c>
      <c r="R20" s="3" t="s">
        <v>697</v>
      </c>
      <c r="S20" s="3" t="s">
        <v>698</v>
      </c>
      <c r="U20" t="str">
        <f ca="1"/>
        <v>under-five deaths</v>
      </c>
      <c r="V20" s="30" cm="1">
        <f t="array" ref="V20">AVERAGEIF(Regression_Sample_Include,TRUE,INDEX(All_Xs,,8))</f>
        <v>44.220133414190421</v>
      </c>
      <c r="X20">
        <v>77.5</v>
      </c>
      <c r="Y20" s="12">
        <v>77.20369905342578</v>
      </c>
      <c r="Z20" s="12">
        <v>0.29630094657422035</v>
      </c>
      <c r="AA20" s="12">
        <v>0.29677529659518598</v>
      </c>
      <c r="AB20" s="12">
        <v>1.5983473907824589E-3</v>
      </c>
      <c r="AC20" s="12">
        <v>4.7353167311330539E-2</v>
      </c>
      <c r="AD20" s="12">
        <v>1.7948739542550246E-6</v>
      </c>
      <c r="AE20" s="12">
        <v>-2.3261203997549518</v>
      </c>
      <c r="AF20" s="12">
        <v>-3.6317701711704542</v>
      </c>
      <c r="AG20" s="12">
        <v>0.21760782915908733</v>
      </c>
      <c r="AH20" s="12">
        <v>0.29677529659518193</v>
      </c>
    </row>
    <row r="21" spans="1:34" x14ac:dyDescent="0.25">
      <c r="L21" t="str" cm="1">
        <f t="array" aca="1" ref="L21:L39" ca="1">IF(Allow_Intercept,_xlfn.VSTACK("Intercept",Coefficient_Name_Col(All_Xs,Ind_Var_Include)),_xlfn.VSTACK("",Coefficient_Name_Col(All_Xs,Ind_Var_Include)))</f>
        <v>Intercept</v>
      </c>
      <c r="M21" s="12" cm="1">
        <f t="array" ref="M21:M22">IF(Allow_Intercept,Coefficients(x_s,y,Allow_Intercept,Regression_Sample_Include),_xlfn.VSTACK("",Coefficients(x_s,y,Allow_Intercept,Regression_Sample_Include)))</f>
        <v>77.598237927790521</v>
      </c>
      <c r="N21" s="12" cm="1">
        <f t="array" ref="N21:N22">IF(Allow_Intercept,SE_Coefficients(x_s,y,Allow_Intercept,Regression_Sample_Include),_xlfn.VSTACK("",SE_Coefficients(x_s,y,Allow_Intercept,Regression_Sample_Include)))</f>
        <v>0.25819057598929407</v>
      </c>
      <c r="O21" s="12" cm="1">
        <f t="array" ref="O21:O22">IF(Allow_Intercept,T_Stats(x_s,y,Allow_Intercept,Regression_Sample_Include),_xlfn.VSTACK("",T_Stats(x_s,y,Allow_Intercept,Regression_Sample_Include)))</f>
        <v>300.54636049538908</v>
      </c>
      <c r="P21" s="22" cm="1">
        <f t="array" ref="P21:P22">IF(Allow_Intercept,P_Values(x_s,y,Allow_Intercept,Regression_Sample_Include),_xlfn.VSTACK("",P_Values(x_s,y,Allow_Intercept,Regression_Sample_Include)))</f>
        <v>0</v>
      </c>
      <c r="Q21" s="12" cm="1">
        <f t="array" ref="Q21:Q22">IF(Allow_Intercept,CI_Lower(x_s,y,Allow_Intercept,Regression_Sample_Include),_xlfn.VSTACK("",CI_Lower(x_s,y,Allow_Intercept,Regression_Sample_Include)))</f>
        <v>77.091821541792896</v>
      </c>
      <c r="R21" s="12" cm="1">
        <f t="array" ref="R21:R22">IF(Allow_Intercept,CI_Upper(x_s,y,Allow_Intercept,Regression_Sample_Include),_xlfn.VSTACK("",CI_Upper(x_s,y,Allow_Intercept,Regression_Sample_Include)))</f>
        <v>78.104654313788146</v>
      </c>
      <c r="S21" s="12" t="str" cm="1">
        <f t="array" ref="S21:S22">_xlfn.VSTACK("",Beta_Weights(x_s,y,Allow_Intercept,Regression_Sample_Include))</f>
        <v/>
      </c>
      <c r="U21" t="str">
        <f ca="1"/>
        <v>Polio</v>
      </c>
      <c r="V21" s="30" cm="1">
        <f t="array" ref="V21">AVERAGEIF(Regression_Sample_Include,TRUE,INDEX(All_Xs,,9))</f>
        <v>83.564584596725282</v>
      </c>
      <c r="X21">
        <v>77.2</v>
      </c>
      <c r="Y21" s="12">
        <v>73.455579746960737</v>
      </c>
      <c r="Z21" s="12">
        <v>3.7444202530392658</v>
      </c>
      <c r="AA21" s="12">
        <v>3.7477200870091565</v>
      </c>
      <c r="AB21" s="12">
        <v>8.8049104342824967E-4</v>
      </c>
      <c r="AC21" s="12">
        <v>0.59819737882400559</v>
      </c>
      <c r="AD21" s="12">
        <v>1.5767633589127816E-4</v>
      </c>
      <c r="AE21" s="12">
        <v>-2.3261203997549518</v>
      </c>
      <c r="AF21" s="12">
        <v>-3.6062587910499762</v>
      </c>
      <c r="AG21" s="12">
        <v>0.77343220699942772</v>
      </c>
      <c r="AH21" s="12">
        <v>3.7477200870091534</v>
      </c>
    </row>
    <row r="22" spans="1:34" x14ac:dyDescent="0.25">
      <c r="L22" t="str">
        <f ca="1"/>
        <v>Adult Mortality</v>
      </c>
      <c r="M22" s="12">
        <v>-4.931735929559259E-2</v>
      </c>
      <c r="N22" s="12">
        <v>1.2310213402846018E-3</v>
      </c>
      <c r="O22" s="12">
        <v>-40.062148138058134</v>
      </c>
      <c r="P22" s="22">
        <v>1.3819095404877546E-245</v>
      </c>
      <c r="Q22" s="12">
        <v>-5.1731891180980739E-2</v>
      </c>
      <c r="R22" s="12">
        <v>-4.6902827410204441E-2</v>
      </c>
      <c r="S22" s="12">
        <v>-0.70252306230698147</v>
      </c>
      <c r="U22" t="str">
        <f ca="1"/>
        <v>Total expenditure</v>
      </c>
      <c r="V22" s="30" cm="1">
        <f t="array" ref="V22">AVERAGEIF(Regression_Sample_Include,TRUE,INDEX(All_Xs,,10))</f>
        <v>5.9559248029108449</v>
      </c>
      <c r="X22">
        <v>76.900000000000006</v>
      </c>
      <c r="Y22" s="12">
        <v>73.356945028369552</v>
      </c>
      <c r="Z22" s="12">
        <v>3.543054971630454</v>
      </c>
      <c r="AA22" s="12">
        <v>3.5461316960643359</v>
      </c>
      <c r="AB22" s="12">
        <v>8.6762836171298667E-4</v>
      </c>
      <c r="AC22" s="12">
        <v>0.56602422032536559</v>
      </c>
      <c r="AD22" s="12">
        <v>1.3910756370507686E-4</v>
      </c>
      <c r="AE22" s="12">
        <v>-2.3261203997549518</v>
      </c>
      <c r="AF22" s="12">
        <v>-3.5437982359325448</v>
      </c>
      <c r="AG22" s="12">
        <v>0.75234581166200798</v>
      </c>
      <c r="AH22" s="12">
        <v>3.5461316960643288</v>
      </c>
    </row>
    <row r="23" spans="1:34" x14ac:dyDescent="0.25">
      <c r="L23" t="str">
        <f ca="1"/>
        <v>infant deaths</v>
      </c>
      <c r="M23" s="12"/>
      <c r="N23" s="12"/>
      <c r="O23" s="12"/>
      <c r="P23" s="22"/>
      <c r="Q23" s="12"/>
      <c r="R23" s="12"/>
      <c r="S23" s="12"/>
      <c r="U23" t="str">
        <f ca="1"/>
        <v>Diphtheria</v>
      </c>
      <c r="V23" s="30" cm="1">
        <f t="array" ref="V23">AVERAGEIF(Regression_Sample_Include,TRUE,INDEX(All_Xs,,11))</f>
        <v>84.155245603395997</v>
      </c>
      <c r="X23">
        <v>76.599999999999994</v>
      </c>
      <c r="Y23" s="12">
        <v>73.258310309778381</v>
      </c>
      <c r="Z23" s="12">
        <v>3.3416896902216138</v>
      </c>
      <c r="AA23" s="12">
        <v>3.344549530316911</v>
      </c>
      <c r="AB23" s="12">
        <v>8.5507482229485487E-4</v>
      </c>
      <c r="AC23" s="12">
        <v>0.53385155862861911</v>
      </c>
      <c r="AD23" s="12">
        <v>1.2195136516785209E-4</v>
      </c>
      <c r="AE23" s="12">
        <v>-2.2435160869312201</v>
      </c>
      <c r="AF23" s="12">
        <v>-3.4707048144716066</v>
      </c>
      <c r="AG23" s="12">
        <v>0.73065146179872875</v>
      </c>
      <c r="AH23" s="12">
        <v>3.3445495303169057</v>
      </c>
    </row>
    <row r="24" spans="1:34" x14ac:dyDescent="0.25">
      <c r="L24" t="str">
        <f ca="1"/>
        <v>Alcohol</v>
      </c>
      <c r="M24" s="12"/>
      <c r="N24" s="12"/>
      <c r="O24" s="12"/>
      <c r="P24" s="22"/>
      <c r="Q24" s="12"/>
      <c r="R24" s="12"/>
      <c r="S24" s="12"/>
      <c r="U24" t="str">
        <f ca="1"/>
        <v>HIV/AIDS</v>
      </c>
      <c r="V24" s="30" cm="1">
        <f t="array" ref="V24">AVERAGEIF(Regression_Sample_Include,TRUE,INDEX(All_Xs,,12))</f>
        <v>1.9838690115221154</v>
      </c>
      <c r="X24">
        <v>76.2</v>
      </c>
      <c r="Y24" s="12">
        <v>73.110358231891595</v>
      </c>
      <c r="Z24" s="12">
        <v>3.0896417681084074</v>
      </c>
      <c r="AA24" s="12">
        <v>3.0922294203801073</v>
      </c>
      <c r="AB24" s="12">
        <v>8.3682415497477814E-4</v>
      </c>
      <c r="AC24" s="12">
        <v>0.49358114077533627</v>
      </c>
      <c r="AD24" s="12">
        <v>1.0201990317920617E-4</v>
      </c>
      <c r="AE24" s="12">
        <v>-2.2435160869312201</v>
      </c>
      <c r="AF24" s="12">
        <v>-3.4001804220186185</v>
      </c>
      <c r="AG24" s="12">
        <v>0.70255330102088076</v>
      </c>
      <c r="AH24" s="12">
        <v>3.0922294203801051</v>
      </c>
    </row>
    <row r="25" spans="1:34" x14ac:dyDescent="0.25">
      <c r="L25" t="str">
        <f ca="1"/>
        <v>percentage expenditure</v>
      </c>
      <c r="M25" s="12"/>
      <c r="N25" s="12"/>
      <c r="O25" s="12"/>
      <c r="P25" s="22"/>
      <c r="Q25" s="12"/>
      <c r="R25" s="12"/>
      <c r="S25" s="12"/>
      <c r="U25" t="str">
        <f ca="1"/>
        <v>GDP</v>
      </c>
      <c r="V25" s="30" cm="1">
        <f t="array" ref="V25">AVERAGEIF(Regression_Sample_Include,TRUE,INDEX(All_Xs,,13))</f>
        <v>5566.0318868175918</v>
      </c>
      <c r="X25">
        <v>76.099999999999994</v>
      </c>
      <c r="Y25" s="12">
        <v>73.110358231891595</v>
      </c>
      <c r="Z25" s="12">
        <v>2.9896417681083989</v>
      </c>
      <c r="AA25" s="12">
        <v>2.9921456678784892</v>
      </c>
      <c r="AB25" s="12">
        <v>8.3682415497477814E-4</v>
      </c>
      <c r="AC25" s="12">
        <v>0.47760578900898676</v>
      </c>
      <c r="AD25" s="12">
        <v>9.5522780741534328E-5</v>
      </c>
      <c r="AE25" s="12">
        <v>-2.2073550198913567</v>
      </c>
      <c r="AF25" s="12">
        <v>-3.4001804220186185</v>
      </c>
      <c r="AG25" s="12">
        <v>0.69109029005549394</v>
      </c>
      <c r="AH25" s="12">
        <v>2.9921456678784826</v>
      </c>
    </row>
    <row r="26" spans="1:34" x14ac:dyDescent="0.25">
      <c r="L26" t="str">
        <f ca="1"/>
        <v>Hepatitis B</v>
      </c>
      <c r="M26" s="12"/>
      <c r="N26" s="12"/>
      <c r="O26" s="12"/>
      <c r="P26" s="22"/>
      <c r="Q26" s="12"/>
      <c r="R26" s="12"/>
      <c r="S26" s="12"/>
      <c r="U26" t="str">
        <f ca="1"/>
        <v>Population</v>
      </c>
      <c r="V26" s="30" cm="1">
        <f t="array" ref="V26">AVERAGEIF(Regression_Sample_Include,TRUE,INDEX(All_Xs,,14))</f>
        <v>14653625.889484541</v>
      </c>
      <c r="X26">
        <v>75.3</v>
      </c>
      <c r="Y26" s="12">
        <v>77.548920568494935</v>
      </c>
      <c r="Z26" s="12">
        <v>-2.2489205684949383</v>
      </c>
      <c r="AA26" s="12">
        <v>-2.2527207218226266</v>
      </c>
      <c r="AB26" s="12">
        <v>1.6869171978942366E-3</v>
      </c>
      <c r="AC26" s="12">
        <v>-0.35942590498044991</v>
      </c>
      <c r="AD26" s="12">
        <v>1.0914799376851617E-4</v>
      </c>
      <c r="AE26" s="12">
        <v>-2.2073550198913567</v>
      </c>
      <c r="AF26" s="12">
        <v>-3.3962092965655502</v>
      </c>
      <c r="AG26" s="12">
        <v>0.59952139659936232</v>
      </c>
      <c r="AH26" s="12">
        <v>-2.2527207218226337</v>
      </c>
    </row>
    <row r="27" spans="1:34" x14ac:dyDescent="0.25">
      <c r="L27" t="str">
        <f ca="1"/>
        <v>Measles</v>
      </c>
      <c r="M27" s="12"/>
      <c r="N27" s="12"/>
      <c r="O27" s="12"/>
      <c r="P27" s="22"/>
      <c r="Q27" s="12"/>
      <c r="R27" s="12"/>
      <c r="S27" s="12"/>
      <c r="U27" t="str">
        <f ca="1"/>
        <v>thinness 1-19 years</v>
      </c>
      <c r="V27" s="30" cm="1">
        <f t="array" ref="V27">AVERAGEIF(Regression_Sample_Include,TRUE,INDEX(All_Xs,,15))</f>
        <v>4.850636749545183</v>
      </c>
      <c r="X27">
        <v>75.900000000000006</v>
      </c>
      <c r="Y27" s="12">
        <v>77.154381694130194</v>
      </c>
      <c r="Z27" s="12">
        <v>-1.2543816941301884</v>
      </c>
      <c r="AA27" s="12">
        <v>-1.2563743084363352</v>
      </c>
      <c r="AB27" s="12">
        <v>1.5860037034921934E-3</v>
      </c>
      <c r="AC27" s="12">
        <v>-0.20046705802554837</v>
      </c>
      <c r="AD27" s="12">
        <v>3.1919021896397426E-5</v>
      </c>
      <c r="AE27" s="12">
        <v>-2.1738689464820578</v>
      </c>
      <c r="AF27" s="12">
        <v>-3.3522462730595386</v>
      </c>
      <c r="AG27" s="12">
        <v>0.44773547773830519</v>
      </c>
      <c r="AH27" s="12">
        <v>-1.2563743084363408</v>
      </c>
    </row>
    <row r="28" spans="1:34" x14ac:dyDescent="0.25">
      <c r="L28" t="str">
        <f ca="1"/>
        <v>BMI</v>
      </c>
      <c r="M28" s="12"/>
      <c r="N28" s="12"/>
      <c r="O28" s="12"/>
      <c r="P28" s="22"/>
      <c r="Q28" s="12"/>
      <c r="R28" s="12"/>
      <c r="S28" s="12"/>
      <c r="U28" t="str">
        <f ca="1"/>
        <v>thinness 5-9 years</v>
      </c>
      <c r="V28" s="30" cm="1">
        <f t="array" ref="V28">AVERAGEIF(Regression_Sample_Include,TRUE,INDEX(All_Xs,,16))</f>
        <v>4.9077622801697949</v>
      </c>
      <c r="X28">
        <v>74.2</v>
      </c>
      <c r="Y28" s="12">
        <v>72.715819357526854</v>
      </c>
      <c r="Z28" s="12">
        <v>1.4841806424731487</v>
      </c>
      <c r="AA28" s="12">
        <v>1.4853563856394061</v>
      </c>
      <c r="AB28" s="12">
        <v>7.9155627405635043E-4</v>
      </c>
      <c r="AC28" s="12">
        <v>0.23709770759402632</v>
      </c>
      <c r="AD28" s="12">
        <v>2.2266420913315341E-5</v>
      </c>
      <c r="AE28" s="12">
        <v>-2.1579999581558846</v>
      </c>
      <c r="AF28" s="12">
        <v>-3.3037529498802205</v>
      </c>
      <c r="AG28" s="12">
        <v>0.48692679900989871</v>
      </c>
      <c r="AH28" s="12">
        <v>1.4853563856394112</v>
      </c>
    </row>
    <row r="29" spans="1:34" x14ac:dyDescent="0.25">
      <c r="L29" t="str">
        <f ca="1"/>
        <v>under-five deaths</v>
      </c>
      <c r="M29" s="12"/>
      <c r="N29" s="12"/>
      <c r="O29" s="12"/>
      <c r="P29" s="22"/>
      <c r="Q29" s="12"/>
      <c r="R29" s="12"/>
      <c r="S29" s="12"/>
      <c r="U29" t="str">
        <f ca="1"/>
        <v>Income composition of resources</v>
      </c>
      <c r="V29" s="30" cm="1">
        <f t="array" ref="V29">AVERAGEIF(Regression_Sample_Include,TRUE,INDEX(All_Xs,,17))</f>
        <v>0.63155124317768285</v>
      </c>
      <c r="X29">
        <v>73.5</v>
      </c>
      <c r="Y29" s="12">
        <v>76.858477538356638</v>
      </c>
      <c r="Z29" s="12">
        <v>-3.3584775383566381</v>
      </c>
      <c r="AA29" s="12">
        <v>-3.363568516514917</v>
      </c>
      <c r="AB29" s="12">
        <v>1.5135645768105384E-3</v>
      </c>
      <c r="AC29" s="12">
        <v>-0.53671039044160462</v>
      </c>
      <c r="AD29" s="12">
        <v>2.1832767817229763E-4</v>
      </c>
      <c r="AE29" s="12">
        <v>-2.1426564926871321</v>
      </c>
      <c r="AF29" s="12">
        <v>-3.2872193538934882</v>
      </c>
      <c r="AG29" s="12">
        <v>0.73260520776309301</v>
      </c>
      <c r="AH29" s="12">
        <v>-3.3635685165149103</v>
      </c>
    </row>
    <row r="30" spans="1:34" x14ac:dyDescent="0.25">
      <c r="L30" t="str">
        <f ca="1"/>
        <v>Polio</v>
      </c>
      <c r="M30" s="12"/>
      <c r="N30" s="12"/>
      <c r="O30" s="12"/>
      <c r="P30" s="22"/>
      <c r="Q30" s="12"/>
      <c r="R30" s="12"/>
      <c r="S30" s="12"/>
      <c r="U30" t="str">
        <f ca="1"/>
        <v>Schooling</v>
      </c>
      <c r="V30" s="30" cm="1">
        <f t="array" ref="V30">AVERAGEIF(Regression_Sample_Include,TRUE,INDEX(All_Xs,,18))</f>
        <v>12.119890842935117</v>
      </c>
      <c r="X30">
        <v>73</v>
      </c>
      <c r="Y30" s="12">
        <v>76.759842819765453</v>
      </c>
      <c r="Z30" s="12">
        <v>-3.7598428197654528</v>
      </c>
      <c r="AA30" s="12">
        <v>-3.7654534828406412</v>
      </c>
      <c r="AB30" s="12">
        <v>1.4900364858442489E-3</v>
      </c>
      <c r="AC30" s="12">
        <v>-0.6008445523208098</v>
      </c>
      <c r="AD30" s="12">
        <v>2.6936350856915045E-4</v>
      </c>
      <c r="AE30" s="12">
        <v>-2.1426564926871321</v>
      </c>
      <c r="AF30" s="12">
        <v>-3.2714250471124533</v>
      </c>
      <c r="AG30" s="12">
        <v>0.77514163371658074</v>
      </c>
      <c r="AH30" s="12">
        <v>-3.7654534828406345</v>
      </c>
    </row>
    <row r="31" spans="1:34" x14ac:dyDescent="0.25">
      <c r="L31" t="str">
        <f ca="1"/>
        <v>Total expenditure</v>
      </c>
      <c r="M31" s="12"/>
      <c r="N31" s="12"/>
      <c r="O31" s="12"/>
      <c r="P31" s="22"/>
      <c r="Q31" s="12"/>
      <c r="R31" s="12"/>
      <c r="S31" s="12"/>
      <c r="X31">
        <v>72.8</v>
      </c>
      <c r="Y31" s="12">
        <v>76.710525460469853</v>
      </c>
      <c r="Z31" s="12">
        <v>-3.9105254604698558</v>
      </c>
      <c r="AA31" s="12">
        <v>-3.9163152954509002</v>
      </c>
      <c r="AB31" s="12">
        <v>1.4783883687225284E-3</v>
      </c>
      <c r="AC31" s="12">
        <v>-0.62492086176323303</v>
      </c>
      <c r="AD31" s="12">
        <v>2.8910201479616436E-4</v>
      </c>
      <c r="AE31" s="12">
        <v>-2.1426564926871321</v>
      </c>
      <c r="AF31" s="12">
        <v>-3.2714250471124533</v>
      </c>
      <c r="AG31" s="12">
        <v>0.79051936204196349</v>
      </c>
      <c r="AH31" s="12">
        <v>-3.9163152954509006</v>
      </c>
    </row>
    <row r="32" spans="1:34" x14ac:dyDescent="0.25">
      <c r="L32" t="str">
        <f ca="1"/>
        <v>Diphtheria</v>
      </c>
      <c r="M32" s="12"/>
      <c r="N32" s="12"/>
      <c r="O32" s="12"/>
      <c r="P32" s="22"/>
      <c r="Q32" s="12"/>
      <c r="R32" s="12"/>
      <c r="S32" s="12"/>
      <c r="X32">
        <v>73.3</v>
      </c>
      <c r="Y32" s="12">
        <v>76.858477538356638</v>
      </c>
      <c r="Z32" s="12">
        <v>-3.5584775383566409</v>
      </c>
      <c r="AA32" s="12">
        <v>-3.5638716883003525</v>
      </c>
      <c r="AB32" s="12">
        <v>1.5135645768105384E-3</v>
      </c>
      <c r="AC32" s="12">
        <v>-0.56867191969478126</v>
      </c>
      <c r="AD32" s="12">
        <v>2.451051055949215E-4</v>
      </c>
      <c r="AE32" s="12">
        <v>-2.0994271873972417</v>
      </c>
      <c r="AF32" s="12">
        <v>-3.2644608267972202</v>
      </c>
      <c r="AG32" s="12">
        <v>0.75410338793482501</v>
      </c>
      <c r="AH32" s="12">
        <v>-3.5638716883003503</v>
      </c>
    </row>
    <row r="33" spans="12:34" x14ac:dyDescent="0.25">
      <c r="L33" t="str">
        <f ca="1"/>
        <v>HIV/AIDS</v>
      </c>
      <c r="M33" s="12"/>
      <c r="N33" s="12"/>
      <c r="O33" s="12"/>
      <c r="P33" s="22"/>
      <c r="Q33" s="12"/>
      <c r="R33" s="12"/>
      <c r="S33" s="12"/>
      <c r="X33">
        <v>73.599999999999994</v>
      </c>
      <c r="Y33" s="12">
        <v>76.907794897652224</v>
      </c>
      <c r="Z33" s="12">
        <v>-3.3077948976522293</v>
      </c>
      <c r="AA33" s="12">
        <v>-3.3128484642892317</v>
      </c>
      <c r="AB33" s="12">
        <v>1.5254445506551072E-3</v>
      </c>
      <c r="AC33" s="12">
        <v>-0.52861406165379821</v>
      </c>
      <c r="AD33" s="12">
        <v>2.1345525513955004E-4</v>
      </c>
      <c r="AE33" s="12">
        <v>-2.0994271873972417</v>
      </c>
      <c r="AF33" s="12">
        <v>-3.2319428838542046</v>
      </c>
      <c r="AG33" s="12">
        <v>0.72705849947153367</v>
      </c>
      <c r="AH33" s="12">
        <v>-3.3128484642892255</v>
      </c>
    </row>
    <row r="34" spans="12:34" x14ac:dyDescent="0.25">
      <c r="L34" t="str">
        <f ca="1"/>
        <v>GDP</v>
      </c>
      <c r="M34" s="12"/>
      <c r="N34" s="12"/>
      <c r="O34" s="12"/>
      <c r="P34" s="22"/>
      <c r="Q34" s="12"/>
      <c r="R34" s="12"/>
      <c r="S34" s="12"/>
      <c r="X34">
        <v>72.599999999999994</v>
      </c>
      <c r="Y34" s="12">
        <v>77.055746975539009</v>
      </c>
      <c r="Z34" s="12">
        <v>-4.4557469755390144</v>
      </c>
      <c r="AA34" s="12">
        <v>-4.4627157211764228</v>
      </c>
      <c r="AB34" s="12">
        <v>1.5615481856345104E-3</v>
      </c>
      <c r="AC34" s="12">
        <v>-0.71207954669302875</v>
      </c>
      <c r="AD34" s="12">
        <v>3.9651636785228116E-4</v>
      </c>
      <c r="AE34" s="12">
        <v>-2.0994271873972417</v>
      </c>
      <c r="AF34" s="12">
        <v>-3.2078818875754722</v>
      </c>
      <c r="AG34" s="12">
        <v>0.84384805900886495</v>
      </c>
      <c r="AH34" s="12">
        <v>-4.4627157211764201</v>
      </c>
    </row>
    <row r="35" spans="12:34" x14ac:dyDescent="0.25">
      <c r="L35" t="str">
        <f ca="1"/>
        <v>Population</v>
      </c>
      <c r="M35" s="12"/>
      <c r="N35" s="12"/>
      <c r="O35" s="12"/>
      <c r="P35" s="22"/>
      <c r="Q35" s="12"/>
      <c r="R35" s="12"/>
      <c r="S35" s="12"/>
      <c r="X35">
        <v>75.400000000000006</v>
      </c>
      <c r="Y35" s="12">
        <v>77.055746975539009</v>
      </c>
      <c r="Z35" s="12">
        <v>-1.6557469755390031</v>
      </c>
      <c r="AA35" s="12">
        <v>-1.6583365479666554</v>
      </c>
      <c r="AB35" s="12">
        <v>1.5615481856345104E-3</v>
      </c>
      <c r="AC35" s="12">
        <v>-0.26460738508104797</v>
      </c>
      <c r="AD35" s="12">
        <v>5.4753012403541589E-5</v>
      </c>
      <c r="AE35" s="12">
        <v>-2.0597982810364517</v>
      </c>
      <c r="AF35" s="12">
        <v>-3.200360799050066</v>
      </c>
      <c r="AG35" s="12">
        <v>0.51440002437893406</v>
      </c>
      <c r="AH35" s="12">
        <v>-1.6583365479666516</v>
      </c>
    </row>
    <row r="36" spans="12:34" x14ac:dyDescent="0.25">
      <c r="L36" t="str">
        <f ca="1"/>
        <v>thinness 1-19 years</v>
      </c>
      <c r="M36" s="12"/>
      <c r="N36" s="12"/>
      <c r="O36" s="12"/>
      <c r="P36" s="22"/>
      <c r="Q36" s="12"/>
      <c r="R36" s="12"/>
      <c r="S36" s="12"/>
      <c r="X36">
        <v>75.3</v>
      </c>
      <c r="Y36" s="12">
        <v>72.074693686684157</v>
      </c>
      <c r="Z36" s="12">
        <v>3.2253063133158406</v>
      </c>
      <c r="AA36" s="12">
        <v>3.2276578087215455</v>
      </c>
      <c r="AB36" s="12">
        <v>7.2854544845350733E-4</v>
      </c>
      <c r="AC36" s="12">
        <v>0.51522611248030359</v>
      </c>
      <c r="AD36" s="12">
        <v>9.6769590559367082E-5</v>
      </c>
      <c r="AE36" s="12">
        <v>-2.0597982810364517</v>
      </c>
      <c r="AF36" s="12">
        <v>-3.1443432171097596</v>
      </c>
      <c r="AG36" s="12">
        <v>0.71779252746201228</v>
      </c>
      <c r="AH36" s="12">
        <v>3.2276578087215499</v>
      </c>
    </row>
    <row r="37" spans="12:34" x14ac:dyDescent="0.25">
      <c r="L37" t="str">
        <f ca="1"/>
        <v>thinness 5-9 years</v>
      </c>
      <c r="M37" s="12"/>
      <c r="N37" s="12"/>
      <c r="O37" s="12"/>
      <c r="P37" s="22"/>
      <c r="Q37" s="12"/>
      <c r="R37" s="12"/>
      <c r="S37" s="12"/>
      <c r="X37">
        <v>75.099999999999994</v>
      </c>
      <c r="Y37" s="12">
        <v>72.025376327388557</v>
      </c>
      <c r="Z37" s="12">
        <v>3.0746236726114375</v>
      </c>
      <c r="AA37" s="12">
        <v>3.0768520502815733</v>
      </c>
      <c r="AB37" s="12">
        <v>7.2423946088865298E-4</v>
      </c>
      <c r="AC37" s="12">
        <v>0.49115427658746996</v>
      </c>
      <c r="AD37" s="12">
        <v>8.7418368183537161E-5</v>
      </c>
      <c r="AE37" s="12">
        <v>-2.0597982810364517</v>
      </c>
      <c r="AF37" s="12">
        <v>-3.103554071665271</v>
      </c>
      <c r="AG37" s="12">
        <v>0.70082399829591302</v>
      </c>
      <c r="AH37" s="12">
        <v>3.0768520502815675</v>
      </c>
    </row>
    <row r="38" spans="12:34" x14ac:dyDescent="0.25">
      <c r="L38" t="str">
        <f ca="1"/>
        <v>Income composition of resources</v>
      </c>
      <c r="M38" s="12"/>
      <c r="N38" s="12"/>
      <c r="O38" s="12"/>
      <c r="P38" s="22"/>
      <c r="Q38" s="12"/>
      <c r="R38" s="12"/>
      <c r="S38" s="12"/>
      <c r="X38">
        <v>74.900000000000006</v>
      </c>
      <c r="Y38" s="12">
        <v>71.877424249501786</v>
      </c>
      <c r="Z38" s="12">
        <v>3.0225757504982198</v>
      </c>
      <c r="AA38" s="12">
        <v>3.0247287076615521</v>
      </c>
      <c r="AB38" s="12">
        <v>7.1178521163978625E-4</v>
      </c>
      <c r="AC38" s="12">
        <v>0.48283689750172215</v>
      </c>
      <c r="AD38" s="12">
        <v>8.3028864928877494E-5</v>
      </c>
      <c r="AE38" s="12">
        <v>-2.0231624874260845</v>
      </c>
      <c r="AF38" s="12">
        <v>-3.0800538045024748</v>
      </c>
      <c r="AG38" s="12">
        <v>0.69486466128428359</v>
      </c>
      <c r="AH38" s="12">
        <v>3.0247287076615557</v>
      </c>
    </row>
    <row r="39" spans="12:34" x14ac:dyDescent="0.25">
      <c r="L39" t="str">
        <f ca="1"/>
        <v>Schooling</v>
      </c>
      <c r="M39" s="12"/>
      <c r="N39" s="12"/>
      <c r="O39" s="12"/>
      <c r="P39" s="22"/>
      <c r="Q39" s="12"/>
      <c r="R39" s="12"/>
      <c r="S39" s="12"/>
      <c r="X39">
        <v>74.7</v>
      </c>
      <c r="Y39" s="12">
        <v>71.729472171615001</v>
      </c>
      <c r="Z39" s="12">
        <v>2.9705278283850021</v>
      </c>
      <c r="AA39" s="12">
        <v>2.9726087333692846</v>
      </c>
      <c r="AB39" s="12">
        <v>7.0002653255946481E-4</v>
      </c>
      <c r="AC39" s="12">
        <v>0.47451978724099902</v>
      </c>
      <c r="AD39" s="12">
        <v>7.8867356366463332E-5</v>
      </c>
      <c r="AE39" s="12">
        <v>-2.0231624874260845</v>
      </c>
      <c r="AF39" s="12">
        <v>-3.0633271047677773</v>
      </c>
      <c r="AG39" s="12">
        <v>0.68885396655677245</v>
      </c>
      <c r="AH39" s="12">
        <v>2.9726087333692788</v>
      </c>
    </row>
    <row r="40" spans="12:34" x14ac:dyDescent="0.25">
      <c r="X40">
        <v>74.400000000000006</v>
      </c>
      <c r="Y40" s="12">
        <v>71.53220273443263</v>
      </c>
      <c r="Z40" s="12">
        <v>2.8677972655673756</v>
      </c>
      <c r="AA40" s="12">
        <v>2.8697642889414112</v>
      </c>
      <c r="AB40" s="12">
        <v>6.8543029182566194E-4</v>
      </c>
      <c r="AC40" s="12">
        <v>0.45810599617339653</v>
      </c>
      <c r="AD40" s="12">
        <v>7.1971910513888345E-5</v>
      </c>
      <c r="AE40" s="12">
        <v>-2.0001681446016244</v>
      </c>
      <c r="AF40" s="12">
        <v>-3.0633271047677773</v>
      </c>
      <c r="AG40" s="12">
        <v>0.67683527994143189</v>
      </c>
      <c r="AH40" s="12">
        <v>2.8697642889414157</v>
      </c>
    </row>
    <row r="41" spans="12:34" x14ac:dyDescent="0.25">
      <c r="X41">
        <v>74.099999999999994</v>
      </c>
      <c r="Y41" s="12">
        <v>71.384250656545859</v>
      </c>
      <c r="Z41" s="12">
        <v>2.7157493434541351</v>
      </c>
      <c r="AA41" s="12">
        <v>2.7175845136278838</v>
      </c>
      <c r="AB41" s="12">
        <v>6.752946098052793E-4</v>
      </c>
      <c r="AC41" s="12">
        <v>0.43381544577603165</v>
      </c>
      <c r="AD41" s="12">
        <v>6.3586758300596927E-5</v>
      </c>
      <c r="AE41" s="12">
        <v>-1.9890565032593337</v>
      </c>
      <c r="AF41" s="12">
        <v>-3.0467912317479118</v>
      </c>
      <c r="AG41" s="12">
        <v>0.65864667749562944</v>
      </c>
      <c r="AH41" s="12">
        <v>2.7175845136278785</v>
      </c>
    </row>
    <row r="42" spans="12:34" x14ac:dyDescent="0.25">
      <c r="X42">
        <v>73.8</v>
      </c>
      <c r="Y42" s="12">
        <v>71.236298578659074</v>
      </c>
      <c r="Z42" s="12">
        <v>2.563701421340923</v>
      </c>
      <c r="AA42" s="12">
        <v>2.5654096108694091</v>
      </c>
      <c r="AB42" s="12">
        <v>6.6585449795344173E-4</v>
      </c>
      <c r="AC42" s="12">
        <v>0.40952528427785412</v>
      </c>
      <c r="AD42" s="12">
        <v>5.5872751146952387E-5</v>
      </c>
      <c r="AE42" s="12">
        <v>-1.9781851538562727</v>
      </c>
      <c r="AF42" s="12">
        <v>-2.9997849383810853</v>
      </c>
      <c r="AG42" s="12">
        <v>0.6399416256799163</v>
      </c>
      <c r="AH42" s="12">
        <v>2.5654096108694135</v>
      </c>
    </row>
    <row r="43" spans="12:34" x14ac:dyDescent="0.25">
      <c r="X43">
        <v>73.400000000000006</v>
      </c>
      <c r="Y43" s="12">
        <v>71.088346500772303</v>
      </c>
      <c r="Z43" s="12">
        <v>2.3116534992277025</v>
      </c>
      <c r="AA43" s="12">
        <v>2.3131735085707703</v>
      </c>
      <c r="AB43" s="12">
        <v>6.5710995627014956E-4</v>
      </c>
      <c r="AC43" s="12">
        <v>0.36926157105044427</v>
      </c>
      <c r="AD43" s="12">
        <v>4.4829278690169351E-5</v>
      </c>
      <c r="AE43" s="12">
        <v>-1.9675426916276542</v>
      </c>
      <c r="AF43" s="12">
        <v>-2.9512859392292996</v>
      </c>
      <c r="AG43" s="12">
        <v>0.60766896502161794</v>
      </c>
      <c r="AH43" s="12">
        <v>2.3131735085707645</v>
      </c>
    </row>
    <row r="44" spans="12:34" x14ac:dyDescent="0.25">
      <c r="X44">
        <v>72.900000000000006</v>
      </c>
      <c r="Y44" s="12">
        <v>70.891077063589933</v>
      </c>
      <c r="Z44" s="12">
        <v>2.0089229364100731</v>
      </c>
      <c r="AA44" s="12">
        <v>2.0102226107916579</v>
      </c>
      <c r="AB44" s="12">
        <v>6.4653256539905224E-4</v>
      </c>
      <c r="AC44" s="12">
        <v>0.32090194921845744</v>
      </c>
      <c r="AD44" s="12">
        <v>3.3310871546257132E-5</v>
      </c>
      <c r="AE44" s="12">
        <v>-1.957118520190694</v>
      </c>
      <c r="AF44" s="12">
        <v>-2.8954520560083385</v>
      </c>
      <c r="AG44" s="12">
        <v>0.56648208199241168</v>
      </c>
      <c r="AH44" s="12">
        <v>2.0102226107916512</v>
      </c>
    </row>
    <row r="45" spans="12:34" x14ac:dyDescent="0.25">
      <c r="X45">
        <v>72.3</v>
      </c>
      <c r="Y45" s="12">
        <v>76.907794897652224</v>
      </c>
      <c r="Z45" s="12">
        <v>-4.6077948976522265</v>
      </c>
      <c r="AA45" s="12">
        <v>-4.614834571902108</v>
      </c>
      <c r="AB45" s="12">
        <v>1.5254445506551072E-3</v>
      </c>
      <c r="AC45" s="12">
        <v>-0.73636523771301765</v>
      </c>
      <c r="AD45" s="12">
        <v>4.1420561741480056E-4</v>
      </c>
      <c r="AE45" s="12">
        <v>-1.94690277624242</v>
      </c>
      <c r="AF45" s="12">
        <v>-2.8871813475173873</v>
      </c>
      <c r="AG45" s="12">
        <v>0.85811726338130367</v>
      </c>
      <c r="AH45" s="12">
        <v>-4.6148345719021089</v>
      </c>
    </row>
    <row r="46" spans="12:34" x14ac:dyDescent="0.25">
      <c r="X46">
        <v>51.7</v>
      </c>
      <c r="Y46" s="12">
        <v>60.435796892924301</v>
      </c>
      <c r="Z46" s="12">
        <v>-8.7357968929242986</v>
      </c>
      <c r="AA46" s="12">
        <v>-8.752035957447255</v>
      </c>
      <c r="AB46" s="12">
        <v>1.8554613580098747E-3</v>
      </c>
      <c r="AC46" s="12">
        <v>-1.3962862148885022</v>
      </c>
      <c r="AD46" s="12">
        <v>1.8120800721752829E-3</v>
      </c>
      <c r="AE46" s="12">
        <v>-1.9368862628682149</v>
      </c>
      <c r="AF46" s="12">
        <v>-2.8480807275711038</v>
      </c>
      <c r="AG46" s="12">
        <v>1.1816455538309709</v>
      </c>
      <c r="AH46" s="12">
        <v>-8.752035957447255</v>
      </c>
    </row>
    <row r="47" spans="12:34" x14ac:dyDescent="0.25">
      <c r="X47">
        <v>51.1</v>
      </c>
      <c r="Y47" s="12">
        <v>60.090575377855153</v>
      </c>
      <c r="Z47" s="12">
        <v>-8.9905753778551514</v>
      </c>
      <c r="AA47" s="12">
        <v>-9.0081829362688808</v>
      </c>
      <c r="AB47" s="12">
        <v>1.9546182108310176E-3</v>
      </c>
      <c r="AC47" s="12">
        <v>-1.437080119871484</v>
      </c>
      <c r="AD47" s="12">
        <v>2.0222908585168561E-3</v>
      </c>
      <c r="AE47" s="12">
        <v>-1.9270603903023944</v>
      </c>
      <c r="AF47" s="12">
        <v>-2.8157445372861303</v>
      </c>
      <c r="AG47" s="12">
        <v>1.1987827659219514</v>
      </c>
      <c r="AH47" s="12">
        <v>-9.008182936268879</v>
      </c>
    </row>
    <row r="48" spans="12:34" x14ac:dyDescent="0.25">
      <c r="X48">
        <v>56</v>
      </c>
      <c r="Y48" s="12">
        <v>59.942623299968375</v>
      </c>
      <c r="Z48" s="12">
        <v>-3.9426232999683748</v>
      </c>
      <c r="AA48" s="12">
        <v>-3.9505175135915849</v>
      </c>
      <c r="AB48" s="12">
        <v>1.998273288511463E-3</v>
      </c>
      <c r="AC48" s="12">
        <v>-0.63021433496384482</v>
      </c>
      <c r="AD48" s="12">
        <v>3.9762176585336848E-4</v>
      </c>
      <c r="AE48" s="12">
        <v>-1.9270603903023944</v>
      </c>
      <c r="AF48" s="12">
        <v>-2.8157445372861303</v>
      </c>
      <c r="AG48" s="12">
        <v>0.79386040017363557</v>
      </c>
      <c r="AH48" s="12">
        <v>-3.9505175135915813</v>
      </c>
    </row>
    <row r="49" spans="24:34" x14ac:dyDescent="0.25">
      <c r="X49">
        <v>51</v>
      </c>
      <c r="Y49" s="12">
        <v>59.794671222081597</v>
      </c>
      <c r="Z49" s="12">
        <v>-8.7946712220815968</v>
      </c>
      <c r="AA49" s="12">
        <v>-8.8126721972550115</v>
      </c>
      <c r="AB49" s="12">
        <v>2.0426239363604539E-3</v>
      </c>
      <c r="AC49" s="12">
        <v>-1.4058282040397625</v>
      </c>
      <c r="AD49" s="12">
        <v>2.0226043302471117E-3</v>
      </c>
      <c r="AE49" s="12">
        <v>-1.907948933309944</v>
      </c>
      <c r="AF49" s="12">
        <v>-2.775702235955797</v>
      </c>
      <c r="AG49" s="12">
        <v>1.185676264432987</v>
      </c>
      <c r="AH49" s="12">
        <v>-8.8126721972550079</v>
      </c>
    </row>
    <row r="50" spans="24:34" x14ac:dyDescent="0.25">
      <c r="X50">
        <v>49.6</v>
      </c>
      <c r="Y50" s="12">
        <v>59.597401784899226</v>
      </c>
      <c r="Z50" s="12">
        <v>-9.9974017848992247</v>
      </c>
      <c r="AA50" s="12">
        <v>-10.018469023618607</v>
      </c>
      <c r="AB50" s="12">
        <v>2.1028401315324003E-3</v>
      </c>
      <c r="AC50" s="12">
        <v>-1.5981329017172361</v>
      </c>
      <c r="AD50" s="12">
        <v>2.6910158751298945E-3</v>
      </c>
      <c r="AE50" s="12">
        <v>-1.8986487576703672</v>
      </c>
      <c r="AF50" s="12">
        <v>-2.7591571331065561</v>
      </c>
      <c r="AG50" s="12">
        <v>1.2641728132329204</v>
      </c>
      <c r="AH50" s="12">
        <v>-10.018469023618604</v>
      </c>
    </row>
    <row r="51" spans="24:34" x14ac:dyDescent="0.25">
      <c r="X51">
        <v>49.1</v>
      </c>
      <c r="Y51" s="12">
        <v>59.400132347716855</v>
      </c>
      <c r="Z51" s="12">
        <v>-10.300132347716854</v>
      </c>
      <c r="AA51" s="12">
        <v>-10.322473203138451</v>
      </c>
      <c r="AB51" s="12">
        <v>2.1642928958928729E-3</v>
      </c>
      <c r="AC51" s="12">
        <v>-1.6465765432582504</v>
      </c>
      <c r="AD51" s="12">
        <v>2.9402945969350075E-3</v>
      </c>
      <c r="AE51" s="12">
        <v>-1.8895099603334302</v>
      </c>
      <c r="AF51" s="12">
        <v>-2.7443141624135095</v>
      </c>
      <c r="AG51" s="12">
        <v>1.2831899872030839</v>
      </c>
      <c r="AH51" s="12">
        <v>-10.322473203138452</v>
      </c>
    </row>
    <row r="52" spans="24:34" x14ac:dyDescent="0.25">
      <c r="X52">
        <v>48.7</v>
      </c>
      <c r="Y52" s="12">
        <v>59.30149762912567</v>
      </c>
      <c r="Z52" s="12">
        <v>-10.601497629125667</v>
      </c>
      <c r="AA52" s="12">
        <v>-10.624824250054537</v>
      </c>
      <c r="AB52" s="12">
        <v>2.1954829915188049E-3</v>
      </c>
      <c r="AC52" s="12">
        <v>-1.6947792083637481</v>
      </c>
      <c r="AD52" s="12">
        <v>3.1599547998267937E-3</v>
      </c>
      <c r="AE52" s="12">
        <v>-1.8805262984826756</v>
      </c>
      <c r="AF52" s="12">
        <v>-2.6399747003418512</v>
      </c>
      <c r="AG52" s="12">
        <v>1.3018368593505671</v>
      </c>
      <c r="AH52" s="12">
        <v>-10.624824250054539</v>
      </c>
    </row>
    <row r="53" spans="24:34" x14ac:dyDescent="0.25">
      <c r="X53">
        <v>48.2</v>
      </c>
      <c r="Y53" s="12">
        <v>59.104228191943299</v>
      </c>
      <c r="Z53" s="12">
        <v>-10.904228191943297</v>
      </c>
      <c r="AA53" s="12">
        <v>-10.928914320985342</v>
      </c>
      <c r="AB53" s="12">
        <v>2.258790609662064E-3</v>
      </c>
      <c r="AC53" s="12">
        <v>-1.7432296978307229</v>
      </c>
      <c r="AD53" s="12">
        <v>3.4398325343674794E-3</v>
      </c>
      <c r="AE53" s="12">
        <v>-1.8805262984826756</v>
      </c>
      <c r="AF53" s="12">
        <v>-2.6074451336230413</v>
      </c>
      <c r="AG53" s="12">
        <v>1.3203142420767575</v>
      </c>
      <c r="AH53" s="12">
        <v>-10.92891432098534</v>
      </c>
    </row>
    <row r="54" spans="24:34" x14ac:dyDescent="0.25">
      <c r="X54">
        <v>76.2</v>
      </c>
      <c r="Y54" s="12">
        <v>71.778789530910601</v>
      </c>
      <c r="Z54" s="12">
        <v>4.4212104690894023</v>
      </c>
      <c r="AA54" s="12">
        <v>4.4243246131752301</v>
      </c>
      <c r="AB54" s="12">
        <v>7.0386880667862241E-4</v>
      </c>
      <c r="AC54" s="12">
        <v>0.70625693669015921</v>
      </c>
      <c r="AD54" s="12">
        <v>1.7566812671439429E-4</v>
      </c>
      <c r="AE54" s="12">
        <v>-1.8630011940066851</v>
      </c>
      <c r="AF54" s="12">
        <v>-2.5614299253926456</v>
      </c>
      <c r="AG54" s="12">
        <v>0.84039094277018433</v>
      </c>
      <c r="AH54" s="12">
        <v>4.4243246131752372</v>
      </c>
    </row>
    <row r="55" spans="24:34" x14ac:dyDescent="0.25">
      <c r="X55">
        <v>76</v>
      </c>
      <c r="Y55" s="12">
        <v>71.729472171615001</v>
      </c>
      <c r="Z55" s="12">
        <v>4.2705278283849992</v>
      </c>
      <c r="AA55" s="12">
        <v>4.2735194053561543</v>
      </c>
      <c r="AB55" s="12">
        <v>7.0002653255946481E-4</v>
      </c>
      <c r="AC55" s="12">
        <v>0.68218514473023573</v>
      </c>
      <c r="AD55" s="12">
        <v>1.6300207968813945E-4</v>
      </c>
      <c r="AE55" s="12">
        <v>-1.8544489690938102</v>
      </c>
      <c r="AF55" s="12">
        <v>-2.3598578889268222</v>
      </c>
      <c r="AG55" s="12">
        <v>0.82594500103229374</v>
      </c>
      <c r="AH55" s="12">
        <v>4.2735194053561569</v>
      </c>
    </row>
    <row r="56" spans="24:34" x14ac:dyDescent="0.25">
      <c r="X56">
        <v>75.900000000000006</v>
      </c>
      <c r="Y56" s="12">
        <v>77.006429616243409</v>
      </c>
      <c r="Z56" s="12">
        <v>-1.1064296162434033</v>
      </c>
      <c r="AA56" s="12">
        <v>-1.1081466189014719</v>
      </c>
      <c r="AB56" s="12">
        <v>1.5494363550670933E-3</v>
      </c>
      <c r="AC56" s="12">
        <v>-0.17681908897423024</v>
      </c>
      <c r="AD56" s="12">
        <v>2.4259144248281542E-5</v>
      </c>
      <c r="AE56" s="12">
        <v>-1.8544489690938102</v>
      </c>
      <c r="AF56" s="12">
        <v>-2.3333157277754304</v>
      </c>
      <c r="AG56" s="12">
        <v>0.42049861946768652</v>
      </c>
      <c r="AH56" s="12">
        <v>-1.1081466189014739</v>
      </c>
    </row>
    <row r="57" spans="24:34" x14ac:dyDescent="0.25">
      <c r="X57">
        <v>75.7</v>
      </c>
      <c r="Y57" s="12">
        <v>77.006429616243409</v>
      </c>
      <c r="Z57" s="12">
        <v>-1.3064296162434061</v>
      </c>
      <c r="AA57" s="12">
        <v>-1.3084569870682117</v>
      </c>
      <c r="AB57" s="12">
        <v>1.5494363550670933E-3</v>
      </c>
      <c r="AC57" s="12">
        <v>-0.20878119237030099</v>
      </c>
      <c r="AD57" s="12">
        <v>3.3822049961957297E-5</v>
      </c>
      <c r="AE57" s="12">
        <v>-1.8544489690938102</v>
      </c>
      <c r="AF57" s="12">
        <v>-2.311919392691316</v>
      </c>
      <c r="AG57" s="12">
        <v>0.45692580619866613</v>
      </c>
      <c r="AH57" s="12">
        <v>-1.3084569870682112</v>
      </c>
    </row>
    <row r="58" spans="24:34" x14ac:dyDescent="0.25">
      <c r="X58">
        <v>75.5</v>
      </c>
      <c r="Y58" s="12">
        <v>71.630837453023815</v>
      </c>
      <c r="Z58" s="12">
        <v>3.8691625469761846</v>
      </c>
      <c r="AA58" s="12">
        <v>3.8718440849059874</v>
      </c>
      <c r="AB58" s="12">
        <v>6.9257384104399783E-4</v>
      </c>
      <c r="AC58" s="12">
        <v>0.61806771333520105</v>
      </c>
      <c r="AD58" s="12">
        <v>1.3237594956857091E-4</v>
      </c>
      <c r="AE58" s="12">
        <v>-1.8295749434197282</v>
      </c>
      <c r="AF58" s="12">
        <v>-2.296133498507543</v>
      </c>
      <c r="AG58" s="12">
        <v>0.78617282663241483</v>
      </c>
      <c r="AH58" s="12">
        <v>3.8718440849059914</v>
      </c>
    </row>
    <row r="59" spans="24:34" x14ac:dyDescent="0.25">
      <c r="X59">
        <v>75.599999999999994</v>
      </c>
      <c r="Y59" s="12">
        <v>71.384250656545859</v>
      </c>
      <c r="Z59" s="12">
        <v>4.2157493434541351</v>
      </c>
      <c r="AA59" s="12">
        <v>4.2185981400390347</v>
      </c>
      <c r="AB59" s="12">
        <v>6.752946098052793E-4</v>
      </c>
      <c r="AC59" s="12">
        <v>0.67342635472552959</v>
      </c>
      <c r="AD59" s="12">
        <v>1.5322755811059824E-4</v>
      </c>
      <c r="AE59" s="12">
        <v>-1.8215296776288319</v>
      </c>
      <c r="AF59" s="12">
        <v>-2.2953611887930139</v>
      </c>
      <c r="AG59" s="12">
        <v>0.82062558741823888</v>
      </c>
      <c r="AH59" s="12">
        <v>4.2185981400390382</v>
      </c>
    </row>
    <row r="60" spans="24:34" x14ac:dyDescent="0.25">
      <c r="X60">
        <v>75.400000000000006</v>
      </c>
      <c r="Y60" s="12">
        <v>71.384250656545859</v>
      </c>
      <c r="Z60" s="12">
        <v>4.0157493434541465</v>
      </c>
      <c r="AA60" s="12">
        <v>4.0184629898508888</v>
      </c>
      <c r="AB60" s="12">
        <v>6.752946098052793E-4</v>
      </c>
      <c r="AC60" s="12">
        <v>0.64147823353226496</v>
      </c>
      <c r="AD60" s="12">
        <v>1.3903383831523285E-4</v>
      </c>
      <c r="AE60" s="12">
        <v>-1.8215296776288319</v>
      </c>
      <c r="AF60" s="12">
        <v>-2.2728457595787162</v>
      </c>
      <c r="AG60" s="12">
        <v>0.80092336308305112</v>
      </c>
      <c r="AH60" s="12">
        <v>4.018462989850895</v>
      </c>
    </row>
    <row r="61" spans="24:34" x14ac:dyDescent="0.25">
      <c r="X61">
        <v>74.8</v>
      </c>
      <c r="Y61" s="12">
        <v>71.236298578659074</v>
      </c>
      <c r="Z61" s="12">
        <v>3.563701421340923</v>
      </c>
      <c r="AA61" s="12">
        <v>3.5660759090249883</v>
      </c>
      <c r="AB61" s="12">
        <v>6.6585449795344173E-4</v>
      </c>
      <c r="AC61" s="12">
        <v>0.56926513575543192</v>
      </c>
      <c r="AD61" s="12">
        <v>1.0796122122878687E-4</v>
      </c>
      <c r="AE61" s="12">
        <v>-1.8215296776288319</v>
      </c>
      <c r="AF61" s="12">
        <v>-2.2455091550245032</v>
      </c>
      <c r="AG61" s="12">
        <v>0.75449661083097774</v>
      </c>
      <c r="AH61" s="12">
        <v>3.5660759090249905</v>
      </c>
    </row>
    <row r="62" spans="24:34" x14ac:dyDescent="0.25">
      <c r="X62">
        <v>75.2</v>
      </c>
      <c r="Y62" s="12">
        <v>71.334933297250259</v>
      </c>
      <c r="Z62" s="12">
        <v>3.8650667027497434</v>
      </c>
      <c r="AA62" s="12">
        <v>3.8676660474692994</v>
      </c>
      <c r="AB62" s="12">
        <v>6.72070620280384E-4</v>
      </c>
      <c r="AC62" s="12">
        <v>0.6174071012687804</v>
      </c>
      <c r="AD62" s="12">
        <v>1.2817995955347457E-4</v>
      </c>
      <c r="AE62" s="12">
        <v>-1.7980761038936304</v>
      </c>
      <c r="AF62" s="12">
        <v>-2.1840834027299669</v>
      </c>
      <c r="AG62" s="12">
        <v>0.785752570004566</v>
      </c>
      <c r="AH62" s="12">
        <v>3.8676660474693034</v>
      </c>
    </row>
    <row r="63" spans="24:34" x14ac:dyDescent="0.25">
      <c r="X63">
        <v>74.900000000000006</v>
      </c>
      <c r="Y63" s="12">
        <v>71.334933297250259</v>
      </c>
      <c r="Z63" s="12">
        <v>3.5650667027497462</v>
      </c>
      <c r="AA63" s="12">
        <v>3.5674642906884202</v>
      </c>
      <c r="AB63" s="12">
        <v>6.72070620280384E-4</v>
      </c>
      <c r="AC63" s="12">
        <v>0.56948499678120235</v>
      </c>
      <c r="AD63" s="12">
        <v>1.0905396579342129E-4</v>
      </c>
      <c r="AE63" s="12">
        <v>-1.7980761038936304</v>
      </c>
      <c r="AF63" s="12">
        <v>-2.1600167498128151</v>
      </c>
      <c r="AG63" s="12">
        <v>0.75464229723836862</v>
      </c>
      <c r="AH63" s="12">
        <v>3.5674642906884175</v>
      </c>
    </row>
    <row r="64" spans="24:34" x14ac:dyDescent="0.25">
      <c r="X64">
        <v>74.7</v>
      </c>
      <c r="Y64" s="12">
        <v>76.957112256947823</v>
      </c>
      <c r="Z64" s="12">
        <v>-2.2571122569478206</v>
      </c>
      <c r="AA64" s="12">
        <v>-2.260587688552036</v>
      </c>
      <c r="AB64" s="12">
        <v>1.5374018100739587E-3</v>
      </c>
      <c r="AC64" s="12">
        <v>-0.36070810282488541</v>
      </c>
      <c r="AD64" s="12">
        <v>1.0016993404802546E-4</v>
      </c>
      <c r="AE64" s="12">
        <v>-1.7980761038936304</v>
      </c>
      <c r="AF64" s="12">
        <v>-2.1598221879763635</v>
      </c>
      <c r="AG64" s="12">
        <v>0.6005897958048283</v>
      </c>
      <c r="AH64" s="12">
        <v>-2.2605876885520315</v>
      </c>
    </row>
    <row r="65" spans="24:34" x14ac:dyDescent="0.25">
      <c r="X65">
        <v>74.099999999999994</v>
      </c>
      <c r="Y65" s="12">
        <v>70.841759704294333</v>
      </c>
      <c r="Z65" s="12">
        <v>3.2582402957056615</v>
      </c>
      <c r="AA65" s="12">
        <v>3.2603402203023109</v>
      </c>
      <c r="AB65" s="12">
        <v>6.440814316169849E-4</v>
      </c>
      <c r="AC65" s="12">
        <v>0.52046515110874758</v>
      </c>
      <c r="AD65" s="12">
        <v>8.7291891819646982E-5</v>
      </c>
      <c r="AE65" s="12">
        <v>-1.7755718253255368</v>
      </c>
      <c r="AF65" s="12">
        <v>-2.1278626684219897</v>
      </c>
      <c r="AG65" s="12">
        <v>0.72143270726294884</v>
      </c>
      <c r="AH65" s="12">
        <v>3.2603402203023122</v>
      </c>
    </row>
    <row r="66" spans="24:34" x14ac:dyDescent="0.25">
      <c r="X66">
        <v>74.099999999999994</v>
      </c>
      <c r="Y66" s="12">
        <v>70.792442344998747</v>
      </c>
      <c r="Z66" s="12">
        <v>3.3075576550012471</v>
      </c>
      <c r="AA66" s="12">
        <v>3.3096815027202098</v>
      </c>
      <c r="AB66" s="12">
        <v>6.4170758340920055E-4</v>
      </c>
      <c r="AC66" s="12">
        <v>0.52834238543250567</v>
      </c>
      <c r="AD66" s="12">
        <v>8.9622460073268711E-5</v>
      </c>
      <c r="AE66" s="12">
        <v>-1.7755718253255368</v>
      </c>
      <c r="AF66" s="12">
        <v>-2.1195808985303</v>
      </c>
      <c r="AG66" s="12">
        <v>0.72687164302406626</v>
      </c>
      <c r="AH66" s="12">
        <v>3.309681502720212</v>
      </c>
    </row>
    <row r="67" spans="24:34" x14ac:dyDescent="0.25">
      <c r="X67">
        <v>74.599999999999994</v>
      </c>
      <c r="Y67" s="12">
        <v>77.006429616243409</v>
      </c>
      <c r="Z67" s="12">
        <v>-2.4064296162434147</v>
      </c>
      <c r="AA67" s="12">
        <v>-2.410164011985259</v>
      </c>
      <c r="AB67" s="12">
        <v>1.5494363550670933E-3</v>
      </c>
      <c r="AC67" s="12">
        <v>-0.38457276104868904</v>
      </c>
      <c r="AD67" s="12">
        <v>1.1475568777930032E-4</v>
      </c>
      <c r="AE67" s="12">
        <v>-1.7610542000458449</v>
      </c>
      <c r="AF67" s="12">
        <v>-1.967672657144468</v>
      </c>
      <c r="AG67" s="12">
        <v>0.62013930777583282</v>
      </c>
      <c r="AH67" s="12">
        <v>-2.410164011985259</v>
      </c>
    </row>
    <row r="68" spans="24:34" x14ac:dyDescent="0.25">
      <c r="X68">
        <v>74.400000000000006</v>
      </c>
      <c r="Y68" s="12">
        <v>71.53220273443263</v>
      </c>
      <c r="Z68" s="12">
        <v>2.8677972655673756</v>
      </c>
      <c r="AA68" s="12">
        <v>2.8697642889414112</v>
      </c>
      <c r="AB68" s="12">
        <v>6.8543029182566194E-4</v>
      </c>
      <c r="AC68" s="12">
        <v>0.45810599617339653</v>
      </c>
      <c r="AD68" s="12">
        <v>7.1971910513888345E-5</v>
      </c>
      <c r="AE68" s="12">
        <v>-1.7610542000458449</v>
      </c>
      <c r="AF68" s="12">
        <v>-1.9516925406470689</v>
      </c>
      <c r="AG68" s="12">
        <v>0.67683527994143189</v>
      </c>
      <c r="AH68" s="12">
        <v>2.8697642889414157</v>
      </c>
    </row>
    <row r="69" spans="24:34" x14ac:dyDescent="0.25">
      <c r="X69">
        <v>74.400000000000006</v>
      </c>
      <c r="Y69" s="12">
        <v>71.630837453023815</v>
      </c>
      <c r="Z69" s="12">
        <v>2.7691625469761902</v>
      </c>
      <c r="AA69" s="12">
        <v>2.7710817256908058</v>
      </c>
      <c r="AB69" s="12">
        <v>6.9257384104399783E-4</v>
      </c>
      <c r="AC69" s="12">
        <v>0.44235152761949598</v>
      </c>
      <c r="AD69" s="12">
        <v>6.7806610621359107E-5</v>
      </c>
      <c r="AE69" s="12">
        <v>-1.7468985212689381</v>
      </c>
      <c r="AF69" s="12">
        <v>-1.9018004067957479</v>
      </c>
      <c r="AG69" s="12">
        <v>0.66509512674466043</v>
      </c>
      <c r="AH69" s="12">
        <v>2.7710817256907987</v>
      </c>
    </row>
    <row r="70" spans="24:34" x14ac:dyDescent="0.25">
      <c r="X70">
        <v>73.900000000000006</v>
      </c>
      <c r="Y70" s="12">
        <v>71.285615937954674</v>
      </c>
      <c r="Z70" s="12">
        <v>2.6143840620453318</v>
      </c>
      <c r="AA70" s="12">
        <v>2.6161340566841744</v>
      </c>
      <c r="AB70" s="12">
        <v>6.6892391632977148E-4</v>
      </c>
      <c r="AC70" s="12">
        <v>0.41762196313227362</v>
      </c>
      <c r="AD70" s="12">
        <v>5.8371922388846537E-5</v>
      </c>
      <c r="AE70" s="12">
        <v>-1.739949995904148</v>
      </c>
      <c r="AF70" s="12">
        <v>-1.8877720746574678</v>
      </c>
      <c r="AG70" s="12">
        <v>0.64623677017968706</v>
      </c>
      <c r="AH70" s="12">
        <v>2.6161340566841726</v>
      </c>
    </row>
    <row r="71" spans="24:34" x14ac:dyDescent="0.25">
      <c r="X71">
        <v>73.5</v>
      </c>
      <c r="Y71" s="12">
        <v>71.088346500772303</v>
      </c>
      <c r="Z71" s="12">
        <v>2.4116534992276968</v>
      </c>
      <c r="AA71" s="12">
        <v>2.4132392627741268</v>
      </c>
      <c r="AB71" s="12">
        <v>6.5710995627014956E-4</v>
      </c>
      <c r="AC71" s="12">
        <v>0.3852354863095343</v>
      </c>
      <c r="AD71" s="12">
        <v>4.8791716429789396E-5</v>
      </c>
      <c r="AE71" s="12">
        <v>-1.7330844772440359</v>
      </c>
      <c r="AF71" s="12">
        <v>-1.8812668436048663</v>
      </c>
      <c r="AG71" s="12">
        <v>0.62067341356750116</v>
      </c>
      <c r="AH71" s="12">
        <v>2.4132392627741277</v>
      </c>
    </row>
    <row r="72" spans="24:34" x14ac:dyDescent="0.25">
      <c r="X72">
        <v>73.3</v>
      </c>
      <c r="Y72" s="12">
        <v>70.841759704294333</v>
      </c>
      <c r="Z72" s="12">
        <v>2.4582402957056644</v>
      </c>
      <c r="AA72" s="12">
        <v>2.4598246230704177</v>
      </c>
      <c r="AB72" s="12">
        <v>6.440814316169849E-4</v>
      </c>
      <c r="AC72" s="12">
        <v>0.39267466204145191</v>
      </c>
      <c r="AD72" s="12">
        <v>4.9688553230462874E-5</v>
      </c>
      <c r="AE72" s="12">
        <v>-1.7262996894247766</v>
      </c>
      <c r="AF72" s="12">
        <v>-1.8798805027175081</v>
      </c>
      <c r="AG72" s="12">
        <v>0.62663758428732308</v>
      </c>
      <c r="AH72" s="12">
        <v>2.4598246230704182</v>
      </c>
    </row>
    <row r="73" spans="24:34" x14ac:dyDescent="0.25">
      <c r="X73">
        <v>73.2</v>
      </c>
      <c r="Y73" s="12">
        <v>76.907794897652224</v>
      </c>
      <c r="Z73" s="12">
        <v>-3.7077948976522208</v>
      </c>
      <c r="AA73" s="12">
        <v>-3.7134595743239487</v>
      </c>
      <c r="AB73" s="12">
        <v>1.5254445506551072E-3</v>
      </c>
      <c r="AC73" s="12">
        <v>-0.5925375004412492</v>
      </c>
      <c r="AD73" s="12">
        <v>2.682014431404006E-4</v>
      </c>
      <c r="AE73" s="12">
        <v>-1.7262996894247766</v>
      </c>
      <c r="AF73" s="12">
        <v>-1.8378722110950534</v>
      </c>
      <c r="AG73" s="12">
        <v>0.76976457468582504</v>
      </c>
      <c r="AH73" s="12">
        <v>-3.7134595743239514</v>
      </c>
    </row>
    <row r="74" spans="24:34" x14ac:dyDescent="0.25">
      <c r="X74">
        <v>73.5</v>
      </c>
      <c r="Y74" s="12">
        <v>71.088346500772303</v>
      </c>
      <c r="Z74" s="12">
        <v>2.4116534992276968</v>
      </c>
      <c r="AA74" s="12">
        <v>2.4132392627741268</v>
      </c>
      <c r="AB74" s="12">
        <v>6.5710995627014956E-4</v>
      </c>
      <c r="AC74" s="12">
        <v>0.3852354863095343</v>
      </c>
      <c r="AD74" s="12">
        <v>4.8791716429789396E-5</v>
      </c>
      <c r="AE74" s="12">
        <v>-1.7129636683890181</v>
      </c>
      <c r="AF74" s="12">
        <v>-1.8317429801086713</v>
      </c>
      <c r="AG74" s="12">
        <v>0.62067341356750116</v>
      </c>
      <c r="AH74" s="12">
        <v>2.4132392627741277</v>
      </c>
    </row>
    <row r="75" spans="24:34" x14ac:dyDescent="0.25">
      <c r="X75">
        <v>72.900000000000006</v>
      </c>
      <c r="Y75" s="12">
        <v>70.644490267111962</v>
      </c>
      <c r="Z75" s="12">
        <v>2.2555097328880436</v>
      </c>
      <c r="AA75" s="12">
        <v>2.2569430039835225</v>
      </c>
      <c r="AB75" s="12">
        <v>6.3504975223154371E-4</v>
      </c>
      <c r="AC75" s="12">
        <v>0.36028923677390273</v>
      </c>
      <c r="AD75" s="12">
        <v>4.124356693201045E-5</v>
      </c>
      <c r="AE75" s="12">
        <v>-1.7129636683890181</v>
      </c>
      <c r="AF75" s="12">
        <v>-1.8244454619551473</v>
      </c>
      <c r="AG75" s="12">
        <v>0.60024098225121447</v>
      </c>
      <c r="AH75" s="12">
        <v>2.2569430039835239</v>
      </c>
    </row>
    <row r="76" spans="24:34" x14ac:dyDescent="0.25">
      <c r="X76">
        <v>73</v>
      </c>
      <c r="Y76" s="12">
        <v>70.841759704294333</v>
      </c>
      <c r="Z76" s="12">
        <v>2.1582402957056672</v>
      </c>
      <c r="AA76" s="12">
        <v>2.1596312741084631</v>
      </c>
      <c r="AB76" s="12">
        <v>6.440814316169849E-4</v>
      </c>
      <c r="AC76" s="12">
        <v>0.34475322864121632</v>
      </c>
      <c r="AD76" s="12">
        <v>3.8300750018768299E-5</v>
      </c>
      <c r="AE76" s="12">
        <v>-1.6999255180307868</v>
      </c>
      <c r="AF76" s="12">
        <v>-1.8242472326554431</v>
      </c>
      <c r="AG76" s="12">
        <v>0.58715690291541012</v>
      </c>
      <c r="AH76" s="12">
        <v>2.15963127410846</v>
      </c>
    </row>
    <row r="77" spans="24:34" x14ac:dyDescent="0.25">
      <c r="X77">
        <v>73</v>
      </c>
      <c r="Y77" s="12">
        <v>71.088346500772303</v>
      </c>
      <c r="Z77" s="12">
        <v>1.9116534992276968</v>
      </c>
      <c r="AA77" s="12">
        <v>1.9129104917572874</v>
      </c>
      <c r="AB77" s="12">
        <v>6.5710995627014956E-4</v>
      </c>
      <c r="AC77" s="12">
        <v>0.30536591001407948</v>
      </c>
      <c r="AD77" s="12">
        <v>3.0657351231585897E-5</v>
      </c>
      <c r="AE77" s="12">
        <v>-1.6935133675401242</v>
      </c>
      <c r="AF77" s="12">
        <v>-1.8240492815841334</v>
      </c>
      <c r="AG77" s="12">
        <v>0.55259923092063701</v>
      </c>
      <c r="AH77" s="12">
        <v>1.9129104917572841</v>
      </c>
    </row>
    <row r="78" spans="24:34" x14ac:dyDescent="0.25">
      <c r="X78">
        <v>72.7</v>
      </c>
      <c r="Y78" s="12">
        <v>70.989711782181118</v>
      </c>
      <c r="Z78" s="12">
        <v>1.710288217818885</v>
      </c>
      <c r="AA78" s="12">
        <v>1.7114034824610229</v>
      </c>
      <c r="AB78" s="12">
        <v>6.5166668968603524E-4</v>
      </c>
      <c r="AC78" s="12">
        <v>0.27319924656453998</v>
      </c>
      <c r="AD78" s="12">
        <v>2.4335351792587889E-5</v>
      </c>
      <c r="AE78" s="12">
        <v>-1.6935133675401242</v>
      </c>
      <c r="AF78" s="12">
        <v>-1.8218901621698806</v>
      </c>
      <c r="AG78" s="12">
        <v>0.52268465307921563</v>
      </c>
      <c r="AH78" s="12">
        <v>1.7114034824610176</v>
      </c>
    </row>
    <row r="79" spans="24:34" x14ac:dyDescent="0.25">
      <c r="X79">
        <v>72.599999999999994</v>
      </c>
      <c r="Y79" s="12">
        <v>70.989711782181118</v>
      </c>
      <c r="Z79" s="12">
        <v>1.6102882178188764</v>
      </c>
      <c r="AA79" s="12">
        <v>1.611338273297406</v>
      </c>
      <c r="AB79" s="12">
        <v>6.5166668968603524E-4</v>
      </c>
      <c r="AC79" s="12">
        <v>0.25722537480899627</v>
      </c>
      <c r="AD79" s="12">
        <v>2.1572786809138234E-5</v>
      </c>
      <c r="AE79" s="12">
        <v>-1.6935133675401242</v>
      </c>
      <c r="AF79" s="12">
        <v>-1.7920894077890441</v>
      </c>
      <c r="AG79" s="12">
        <v>0.50717390982679333</v>
      </c>
      <c r="AH79" s="12">
        <v>1.6113382732974006</v>
      </c>
    </row>
    <row r="80" spans="24:34" x14ac:dyDescent="0.25">
      <c r="X80">
        <v>72.599999999999994</v>
      </c>
      <c r="Y80" s="12">
        <v>70.644490267111962</v>
      </c>
      <c r="Z80" s="12">
        <v>1.9555097328880322</v>
      </c>
      <c r="AA80" s="12">
        <v>1.9567523679945111</v>
      </c>
      <c r="AB80" s="12">
        <v>6.3504975223154371E-4</v>
      </c>
      <c r="AC80" s="12">
        <v>0.31236801991718083</v>
      </c>
      <c r="AD80" s="12">
        <v>3.1001790043496366E-5</v>
      </c>
      <c r="AE80" s="12">
        <v>-1.6746834237964712</v>
      </c>
      <c r="AF80" s="12">
        <v>-1.7763079533238837</v>
      </c>
      <c r="AG80" s="12">
        <v>0.55889893533373347</v>
      </c>
      <c r="AH80" s="12">
        <v>1.9567523679945056</v>
      </c>
    </row>
    <row r="81" spans="24:34" x14ac:dyDescent="0.25">
      <c r="X81">
        <v>72</v>
      </c>
      <c r="Y81" s="12">
        <v>70.595172907816377</v>
      </c>
      <c r="Z81" s="12">
        <v>1.4048270921836234</v>
      </c>
      <c r="AA81" s="12">
        <v>1.40571688995432</v>
      </c>
      <c r="AB81" s="12">
        <v>6.3298504632089045E-4</v>
      </c>
      <c r="AC81" s="12">
        <v>0.22440318062537842</v>
      </c>
      <c r="AD81" s="12">
        <v>1.5947641344644647E-5</v>
      </c>
      <c r="AE81" s="12">
        <v>-1.6746834237964712</v>
      </c>
      <c r="AF81" s="12">
        <v>-1.7660507627157325</v>
      </c>
      <c r="AG81" s="12">
        <v>0.47371212843390281</v>
      </c>
      <c r="AH81" s="12">
        <v>1.4057168899543253</v>
      </c>
    </row>
    <row r="82" spans="24:34" x14ac:dyDescent="0.25">
      <c r="X82">
        <v>82.7</v>
      </c>
      <c r="Y82" s="12">
        <v>77.302333772016965</v>
      </c>
      <c r="Z82" s="12">
        <v>5.3976662279830379</v>
      </c>
      <c r="AA82" s="12">
        <v>5.4064423253540212</v>
      </c>
      <c r="AB82" s="12">
        <v>1.6232666220858387E-3</v>
      </c>
      <c r="AC82" s="12">
        <v>0.86263572470122163</v>
      </c>
      <c r="AD82" s="12">
        <v>6.0495112845700312E-4</v>
      </c>
      <c r="AE82" s="12">
        <v>-1.6746834237964712</v>
      </c>
      <c r="AF82" s="12">
        <v>-1.7605271214108287</v>
      </c>
      <c r="AG82" s="12">
        <v>0.92878184989868406</v>
      </c>
      <c r="AH82" s="12">
        <v>5.4064423253540168</v>
      </c>
    </row>
    <row r="83" spans="24:34" x14ac:dyDescent="0.25">
      <c r="X83">
        <v>82.5</v>
      </c>
      <c r="Y83" s="12">
        <v>74.589879010759375</v>
      </c>
      <c r="Z83" s="12">
        <v>7.9101209892406246</v>
      </c>
      <c r="AA83" s="12">
        <v>7.9184403519925439</v>
      </c>
      <c r="AB83" s="12">
        <v>1.0506314857600782E-3</v>
      </c>
      <c r="AC83" s="12">
        <v>1.2638048789374623</v>
      </c>
      <c r="AD83" s="12">
        <v>8.3991820522884275E-4</v>
      </c>
      <c r="AE83" s="12">
        <v>-1.6746834237964712</v>
      </c>
      <c r="AF83" s="12">
        <v>-1.7524377878618098</v>
      </c>
      <c r="AG83" s="12">
        <v>1.1241907662569828</v>
      </c>
      <c r="AH83" s="12">
        <v>7.9184403519925413</v>
      </c>
    </row>
    <row r="84" spans="24:34" x14ac:dyDescent="0.25">
      <c r="X84">
        <v>82.3</v>
      </c>
      <c r="Y84" s="12">
        <v>74.589879010759375</v>
      </c>
      <c r="Z84" s="12">
        <v>7.7101209892406217</v>
      </c>
      <c r="AA84" s="12">
        <v>7.7182300046979009</v>
      </c>
      <c r="AB84" s="12">
        <v>1.0506314857600782E-3</v>
      </c>
      <c r="AC84" s="12">
        <v>1.2318507563480223</v>
      </c>
      <c r="AD84" s="12">
        <v>7.9798206120209627E-4</v>
      </c>
      <c r="AE84" s="12">
        <v>-1.6504653896281696</v>
      </c>
      <c r="AF84" s="12">
        <v>-1.752040291617353</v>
      </c>
      <c r="AG84" s="12">
        <v>1.1098877224062</v>
      </c>
      <c r="AH84" s="12">
        <v>7.7182300046978956</v>
      </c>
    </row>
    <row r="85" spans="24:34" x14ac:dyDescent="0.25">
      <c r="X85">
        <v>82</v>
      </c>
      <c r="Y85" s="12">
        <v>74.49124429216819</v>
      </c>
      <c r="Z85" s="12">
        <v>7.5087557078318099</v>
      </c>
      <c r="AA85" s="12">
        <v>7.5165294052758753</v>
      </c>
      <c r="AB85" s="12">
        <v>1.0342136676278065E-3</v>
      </c>
      <c r="AC85" s="12">
        <v>1.199668643623282</v>
      </c>
      <c r="AD85" s="12">
        <v>7.4499314761198514E-4</v>
      </c>
      <c r="AE85" s="12">
        <v>-1.6504653896281696</v>
      </c>
      <c r="AF85" s="12">
        <v>-1.7439510261808686</v>
      </c>
      <c r="AG85" s="12">
        <v>1.0952938617664585</v>
      </c>
      <c r="AH85" s="12">
        <v>7.5165294052758727</v>
      </c>
    </row>
    <row r="86" spans="24:34" x14ac:dyDescent="0.25">
      <c r="X86">
        <v>81.900000000000006</v>
      </c>
      <c r="Y86" s="12">
        <v>74.44192693287259</v>
      </c>
      <c r="Z86" s="12">
        <v>7.4580730671274154</v>
      </c>
      <c r="AA86" s="12">
        <v>7.465733811033985</v>
      </c>
      <c r="AB86" s="12">
        <v>1.026120686923095E-3</v>
      </c>
      <c r="AC86" s="12">
        <v>1.191566286950184</v>
      </c>
      <c r="AD86" s="12">
        <v>7.2920683259470134E-4</v>
      </c>
      <c r="AE86" s="12">
        <v>-1.6387108222805178</v>
      </c>
      <c r="AF86" s="12">
        <v>-1.7432296978307229</v>
      </c>
      <c r="AG86" s="12">
        <v>1.0915888818370147</v>
      </c>
      <c r="AH86" s="12">
        <v>7.4657338110339788</v>
      </c>
    </row>
    <row r="87" spans="24:34" x14ac:dyDescent="0.25">
      <c r="X87">
        <v>81.7</v>
      </c>
      <c r="Y87" s="12">
        <v>74.343292214281405</v>
      </c>
      <c r="Z87" s="12">
        <v>7.3567077857185978</v>
      </c>
      <c r="AA87" s="12">
        <v>7.3641468007233755</v>
      </c>
      <c r="AB87" s="12">
        <v>1.0101665822365199E-3</v>
      </c>
      <c r="AC87" s="12">
        <v>1.1753619069748906</v>
      </c>
      <c r="AD87" s="12">
        <v>6.9846581572014193E-4</v>
      </c>
      <c r="AE87" s="12">
        <v>-1.6387108222805178</v>
      </c>
      <c r="AF87" s="12">
        <v>-1.7340743652785982</v>
      </c>
      <c r="AG87" s="12">
        <v>1.0841410918210279</v>
      </c>
      <c r="AH87" s="12">
        <v>7.3641468007233728</v>
      </c>
    </row>
    <row r="88" spans="24:34" x14ac:dyDescent="0.25">
      <c r="X88">
        <v>81.3</v>
      </c>
      <c r="Y88" s="12">
        <v>74.343292214281405</v>
      </c>
      <c r="Z88" s="12">
        <v>6.9567077857185922</v>
      </c>
      <c r="AA88" s="12">
        <v>6.9637423255031194</v>
      </c>
      <c r="AB88" s="12">
        <v>1.0101665822365199E-3</v>
      </c>
      <c r="AC88" s="12">
        <v>1.1114549561370928</v>
      </c>
      <c r="AD88" s="12">
        <v>6.2457653889976482E-4</v>
      </c>
      <c r="AE88" s="12">
        <v>-1.6271784104016083</v>
      </c>
      <c r="AF88" s="12">
        <v>-1.7285679511386691</v>
      </c>
      <c r="AG88" s="12">
        <v>1.0542556407897909</v>
      </c>
      <c r="AH88" s="12">
        <v>6.9637423255031212</v>
      </c>
    </row>
    <row r="89" spans="24:34" x14ac:dyDescent="0.25">
      <c r="X89">
        <v>81.3</v>
      </c>
      <c r="Y89" s="12">
        <v>74.343292214281405</v>
      </c>
      <c r="Z89" s="12">
        <v>6.9567077857185922</v>
      </c>
      <c r="AA89" s="12">
        <v>6.9637423255031194</v>
      </c>
      <c r="AB89" s="12">
        <v>1.0101665822365199E-3</v>
      </c>
      <c r="AC89" s="12">
        <v>1.1114549561370928</v>
      </c>
      <c r="AD89" s="12">
        <v>6.2457653889976482E-4</v>
      </c>
      <c r="AE89" s="12">
        <v>-1.6271784104016083</v>
      </c>
      <c r="AF89" s="12">
        <v>-1.7283686739923243</v>
      </c>
      <c r="AG89" s="12">
        <v>1.0542556407897909</v>
      </c>
      <c r="AH89" s="12">
        <v>6.9637423255031212</v>
      </c>
    </row>
    <row r="90" spans="24:34" x14ac:dyDescent="0.25">
      <c r="X90">
        <v>81.2</v>
      </c>
      <c r="Y90" s="12">
        <v>74.343292214281405</v>
      </c>
      <c r="Z90" s="12">
        <v>6.8567077857185978</v>
      </c>
      <c r="AA90" s="12">
        <v>6.8636412066980625</v>
      </c>
      <c r="AB90" s="12">
        <v>1.0101665822365199E-3</v>
      </c>
      <c r="AC90" s="12">
        <v>1.0954782184276444</v>
      </c>
      <c r="AD90" s="12">
        <v>6.0674949961101658E-4</v>
      </c>
      <c r="AE90" s="12">
        <v>-1.6158584342289828</v>
      </c>
      <c r="AF90" s="12">
        <v>-1.7214785443511207</v>
      </c>
      <c r="AG90" s="12">
        <v>1.0466509534833686</v>
      </c>
      <c r="AH90" s="12">
        <v>6.8636412066980661</v>
      </c>
    </row>
    <row r="91" spans="24:34" x14ac:dyDescent="0.25">
      <c r="X91">
        <v>81</v>
      </c>
      <c r="Y91" s="12">
        <v>74.293974854985819</v>
      </c>
      <c r="Z91" s="12">
        <v>6.7060251450141806</v>
      </c>
      <c r="AA91" s="12">
        <v>6.7127533743612133</v>
      </c>
      <c r="AB91" s="12">
        <v>1.0023054582546567E-3</v>
      </c>
      <c r="AC91" s="12">
        <v>1.0713998326951428</v>
      </c>
      <c r="AD91" s="12">
        <v>5.7584919253884155E-4</v>
      </c>
      <c r="AE91" s="12">
        <v>-1.6158584342289828</v>
      </c>
      <c r="AF91" s="12">
        <v>-1.7206779391200755</v>
      </c>
      <c r="AG91" s="12">
        <v>1.0350844567933299</v>
      </c>
      <c r="AH91" s="12">
        <v>6.7127533743612204</v>
      </c>
    </row>
    <row r="92" spans="24:34" x14ac:dyDescent="0.25">
      <c r="X92">
        <v>86</v>
      </c>
      <c r="Y92" s="12">
        <v>74.195340136394634</v>
      </c>
      <c r="Z92" s="12">
        <v>11.804659863605366</v>
      </c>
      <c r="AA92" s="12">
        <v>11.816320386599529</v>
      </c>
      <c r="AB92" s="12">
        <v>9.8681506701377869E-4</v>
      </c>
      <c r="AC92" s="12">
        <v>1.8859775015469182</v>
      </c>
      <c r="AD92" s="12">
        <v>1.7567403285102816E-3</v>
      </c>
      <c r="AE92" s="12">
        <v>-1.6158584342289828</v>
      </c>
      <c r="AF92" s="12">
        <v>-1.7200802388423135</v>
      </c>
      <c r="AG92" s="12">
        <v>1.3733089607029141</v>
      </c>
      <c r="AH92" s="12">
        <v>11.816320386599525</v>
      </c>
    </row>
    <row r="93" spans="24:34" x14ac:dyDescent="0.25">
      <c r="X93">
        <v>83</v>
      </c>
      <c r="Y93" s="12">
        <v>74.096705417803449</v>
      </c>
      <c r="Z93" s="12">
        <v>8.9032945821965512</v>
      </c>
      <c r="AA93" s="12">
        <v>8.9119537378333007</v>
      </c>
      <c r="AB93" s="12">
        <v>9.7163381807003171E-4</v>
      </c>
      <c r="AC93" s="12">
        <v>1.4224285903973033</v>
      </c>
      <c r="AD93" s="12">
        <v>9.8391085660908331E-4</v>
      </c>
      <c r="AE93" s="12">
        <v>-1.6158584342289828</v>
      </c>
      <c r="AF93" s="12">
        <v>-1.7198815295181473</v>
      </c>
      <c r="AG93" s="12">
        <v>1.1926561073491819</v>
      </c>
      <c r="AH93" s="12">
        <v>8.911953737833306</v>
      </c>
    </row>
    <row r="94" spans="24:34" x14ac:dyDescent="0.25">
      <c r="X94">
        <v>79.900000000000006</v>
      </c>
      <c r="Y94" s="12">
        <v>73.998070699212263</v>
      </c>
      <c r="Z94" s="12">
        <v>5.9019293007877422</v>
      </c>
      <c r="AA94" s="12">
        <v>5.9075814485248088</v>
      </c>
      <c r="AB94" s="12">
        <v>9.5676171142341604E-4</v>
      </c>
      <c r="AC94" s="12">
        <v>0.94291056105276494</v>
      </c>
      <c r="AD94" s="12">
        <v>4.2572632586574636E-4</v>
      </c>
      <c r="AE94" s="12">
        <v>-1.5938200328066188</v>
      </c>
      <c r="AF94" s="12">
        <v>-1.7121897233013219</v>
      </c>
      <c r="AG94" s="12">
        <v>0.97103581862502109</v>
      </c>
      <c r="AH94" s="12">
        <v>5.9075814485248062</v>
      </c>
    </row>
    <row r="95" spans="24:34" x14ac:dyDescent="0.25">
      <c r="X95">
        <v>79.900000000000006</v>
      </c>
      <c r="Y95" s="12">
        <v>73.899435980621078</v>
      </c>
      <c r="Z95" s="12">
        <v>6.0005640193789276</v>
      </c>
      <c r="AA95" s="12">
        <v>6.0062230752350558</v>
      </c>
      <c r="AB95" s="12">
        <v>9.4219874707393136E-4</v>
      </c>
      <c r="AC95" s="12">
        <v>0.95866176299251848</v>
      </c>
      <c r="AD95" s="12">
        <v>4.3336389142636868E-4</v>
      </c>
      <c r="AE95" s="12">
        <v>-1.5884297017318656</v>
      </c>
      <c r="AF95" s="12">
        <v>-1.7119907931860681</v>
      </c>
      <c r="AG95" s="12">
        <v>0.97911274273830107</v>
      </c>
      <c r="AH95" s="12">
        <v>6.0062230752350603</v>
      </c>
    </row>
    <row r="96" spans="24:34" x14ac:dyDescent="0.25">
      <c r="X96">
        <v>81.400000000000006</v>
      </c>
      <c r="Y96" s="12">
        <v>74.343292214281405</v>
      </c>
      <c r="Z96" s="12">
        <v>7.0567077857186007</v>
      </c>
      <c r="AA96" s="12">
        <v>7.0638434443081906</v>
      </c>
      <c r="AB96" s="12">
        <v>1.0101665822365199E-3</v>
      </c>
      <c r="AC96" s="12">
        <v>1.1274316938465434</v>
      </c>
      <c r="AD96" s="12">
        <v>6.4266169015505343E-4</v>
      </c>
      <c r="AE96" s="12">
        <v>-1.5884297017318656</v>
      </c>
      <c r="AF96" s="12">
        <v>-1.7119907931860681</v>
      </c>
      <c r="AG96" s="12">
        <v>1.061805864481141</v>
      </c>
      <c r="AH96" s="12">
        <v>7.0638434443081914</v>
      </c>
    </row>
    <row r="97" spans="24:34" x14ac:dyDescent="0.25">
      <c r="X97">
        <v>81.099999999999994</v>
      </c>
      <c r="Y97" s="12">
        <v>74.24465749569022</v>
      </c>
      <c r="Z97" s="12">
        <v>6.8553425043097747</v>
      </c>
      <c r="AA97" s="12">
        <v>6.862167077827678</v>
      </c>
      <c r="AB97" s="12">
        <v>9.9452161984707617E-4</v>
      </c>
      <c r="AC97" s="12">
        <v>1.0952515147837214</v>
      </c>
      <c r="AD97" s="12">
        <v>5.9709589875024595E-4</v>
      </c>
      <c r="AE97" s="12">
        <v>-1.5777854040319945</v>
      </c>
      <c r="AF97" s="12">
        <v>-1.7044987714215842</v>
      </c>
      <c r="AG97" s="12">
        <v>1.0465426483348499</v>
      </c>
      <c r="AH97" s="12">
        <v>6.8621670778276771</v>
      </c>
    </row>
    <row r="98" spans="24:34" x14ac:dyDescent="0.25">
      <c r="X98">
        <v>88</v>
      </c>
      <c r="Y98" s="12">
        <v>77.253016412721379</v>
      </c>
      <c r="Z98" s="12">
        <v>10.746983587278621</v>
      </c>
      <c r="AA98" s="12">
        <v>10.764322417284475</v>
      </c>
      <c r="AB98" s="12">
        <v>1.6107683636470073E-3</v>
      </c>
      <c r="AC98" s="12">
        <v>1.7175337555052825</v>
      </c>
      <c r="AD98" s="12">
        <v>2.3796537495132035E-3</v>
      </c>
      <c r="AE98" s="12">
        <v>-1.5725296242490356</v>
      </c>
      <c r="AF98" s="12">
        <v>-1.6976107915863301</v>
      </c>
      <c r="AG98" s="12">
        <v>1.3105471206733783</v>
      </c>
      <c r="AH98" s="12">
        <v>10.764322417284479</v>
      </c>
    </row>
    <row r="99" spans="24:34" x14ac:dyDescent="0.25">
      <c r="X99">
        <v>88</v>
      </c>
      <c r="Y99" s="12">
        <v>73.998070699212263</v>
      </c>
      <c r="Z99" s="12">
        <v>14.001929300787737</v>
      </c>
      <c r="AA99" s="12">
        <v>14.015338640171279</v>
      </c>
      <c r="AB99" s="12">
        <v>9.5676171142341604E-4</v>
      </c>
      <c r="AC99" s="12">
        <v>2.236991725919987</v>
      </c>
      <c r="AD99" s="12">
        <v>2.3961735066293753E-3</v>
      </c>
      <c r="AE99" s="12">
        <v>-1.5725296242490356</v>
      </c>
      <c r="AF99" s="12">
        <v>-1.6947792083637481</v>
      </c>
      <c r="AG99" s="12">
        <v>1.4956576232279857</v>
      </c>
      <c r="AH99" s="12">
        <v>14.015338640171286</v>
      </c>
    </row>
    <row r="100" spans="24:34" x14ac:dyDescent="0.25">
      <c r="X100">
        <v>84</v>
      </c>
      <c r="Y100" s="12">
        <v>73.899435980621078</v>
      </c>
      <c r="Z100" s="12">
        <v>10.100564019378922</v>
      </c>
      <c r="AA100" s="12">
        <v>10.110089733258405</v>
      </c>
      <c r="AB100" s="12">
        <v>9.4219874707393136E-4</v>
      </c>
      <c r="AC100" s="12">
        <v>1.6136857266692093</v>
      </c>
      <c r="AD100" s="12">
        <v>1.2278910293723787E-3</v>
      </c>
      <c r="AE100" s="12">
        <v>-1.5621464731395975</v>
      </c>
      <c r="AF100" s="12">
        <v>-1.6879211150637115</v>
      </c>
      <c r="AG100" s="12">
        <v>1.2703093035435147</v>
      </c>
      <c r="AH100" s="12">
        <v>10.110089733258402</v>
      </c>
    </row>
    <row r="101" spans="24:34" x14ac:dyDescent="0.25">
      <c r="X101">
        <v>82</v>
      </c>
      <c r="Y101" s="12">
        <v>73.800801262029893</v>
      </c>
      <c r="Z101" s="12">
        <v>8.1991987379701072</v>
      </c>
      <c r="AA101" s="12">
        <v>8.206814209566474</v>
      </c>
      <c r="AB101" s="12">
        <v>9.2794492502157821E-4</v>
      </c>
      <c r="AC101" s="12">
        <v>1.3099105717880792</v>
      </c>
      <c r="AD101" s="12">
        <v>7.9685387349665449E-4</v>
      </c>
      <c r="AE101" s="12">
        <v>-1.5621464731395975</v>
      </c>
      <c r="AF101" s="12">
        <v>-1.6723396660851166</v>
      </c>
      <c r="AG101" s="12">
        <v>1.144513246663436</v>
      </c>
      <c r="AH101" s="12">
        <v>8.2068142095664687</v>
      </c>
    </row>
    <row r="102" spans="24:34" x14ac:dyDescent="0.25">
      <c r="X102">
        <v>84</v>
      </c>
      <c r="Y102" s="12">
        <v>73.850118621325478</v>
      </c>
      <c r="Z102" s="12">
        <v>10.149881378674522</v>
      </c>
      <c r="AA102" s="12">
        <v>10.159380736886476</v>
      </c>
      <c r="AB102" s="12">
        <v>9.3503319326061329E-4</v>
      </c>
      <c r="AC102" s="12">
        <v>1.6215589486297826</v>
      </c>
      <c r="AD102" s="12">
        <v>1.2304636400774773E-3</v>
      </c>
      <c r="AE102" s="12">
        <v>-1.5621464731395975</v>
      </c>
      <c r="AF102" s="12">
        <v>-1.6644496348835769</v>
      </c>
      <c r="AG102" s="12">
        <v>1.2734044717330715</v>
      </c>
      <c r="AH102" s="12">
        <v>10.159380736886483</v>
      </c>
    </row>
    <row r="103" spans="24:34" x14ac:dyDescent="0.25">
      <c r="X103">
        <v>81</v>
      </c>
      <c r="Y103" s="12">
        <v>77.20369905342578</v>
      </c>
      <c r="Z103" s="12">
        <v>3.7963009465742203</v>
      </c>
      <c r="AA103" s="12">
        <v>3.8023784682777659</v>
      </c>
      <c r="AB103" s="12">
        <v>1.5983473907824589E-3</v>
      </c>
      <c r="AC103" s="12">
        <v>0.60670367734468844</v>
      </c>
      <c r="AD103" s="12">
        <v>2.946382620521474E-4</v>
      </c>
      <c r="AE103" s="12">
        <v>-1.5468805340999257</v>
      </c>
      <c r="AF103" s="12">
        <v>-1.648070327196467</v>
      </c>
      <c r="AG103" s="12">
        <v>0.77891185466950519</v>
      </c>
      <c r="AH103" s="12">
        <v>3.8023784682777597</v>
      </c>
    </row>
    <row r="104" spans="24:34" x14ac:dyDescent="0.25">
      <c r="X104">
        <v>79.8</v>
      </c>
      <c r="Y104" s="12">
        <v>73.603531824847522</v>
      </c>
      <c r="Z104" s="12">
        <v>6.1964681751524751</v>
      </c>
      <c r="AA104" s="12">
        <v>6.2020522841450969</v>
      </c>
      <c r="AB104" s="12">
        <v>9.0036470780826508E-4</v>
      </c>
      <c r="AC104" s="12">
        <v>0.98993906554931588</v>
      </c>
      <c r="AD104" s="12">
        <v>4.4156698346441858E-4</v>
      </c>
      <c r="AE104" s="12">
        <v>-1.5418711328403236</v>
      </c>
      <c r="AF104" s="12">
        <v>-1.6465765432582504</v>
      </c>
      <c r="AG104" s="12">
        <v>0.99495681592183483</v>
      </c>
      <c r="AH104" s="12">
        <v>6.2020522841451013</v>
      </c>
    </row>
    <row r="105" spans="24:34" x14ac:dyDescent="0.25">
      <c r="X105">
        <v>79.400000000000006</v>
      </c>
      <c r="Y105" s="12">
        <v>73.406262387665151</v>
      </c>
      <c r="Z105" s="12">
        <v>5.9937376123348542</v>
      </c>
      <c r="AA105" s="12">
        <v>5.9989808479331828</v>
      </c>
      <c r="AB105" s="12">
        <v>8.7402105978347678E-4</v>
      </c>
      <c r="AC105" s="12">
        <v>0.95753849133761337</v>
      </c>
      <c r="AD105" s="12">
        <v>4.0103671274521697E-4</v>
      </c>
      <c r="AE105" s="12">
        <v>-1.5418711328403236</v>
      </c>
      <c r="AF105" s="12">
        <v>-1.6322900388135997</v>
      </c>
      <c r="AG105" s="12">
        <v>0.97853895749613018</v>
      </c>
      <c r="AH105" s="12">
        <v>5.9989808479331854</v>
      </c>
    </row>
    <row r="106" spans="24:34" x14ac:dyDescent="0.25">
      <c r="X106">
        <v>79.3</v>
      </c>
      <c r="Y106" s="12">
        <v>73.356945028369552</v>
      </c>
      <c r="Z106" s="12">
        <v>5.9430549716304455</v>
      </c>
      <c r="AA106" s="12">
        <v>5.9482158123708473</v>
      </c>
      <c r="AB106" s="12">
        <v>8.6762836171298667E-4</v>
      </c>
      <c r="AC106" s="12">
        <v>0.94943857309667845</v>
      </c>
      <c r="AD106" s="12">
        <v>3.9139426531735602E-4</v>
      </c>
      <c r="AE106" s="12">
        <v>-1.5319668124298669</v>
      </c>
      <c r="AF106" s="12">
        <v>-1.6298605053698323</v>
      </c>
      <c r="AG106" s="12">
        <v>0.97439138599265052</v>
      </c>
      <c r="AH106" s="12">
        <v>5.9482158123708482</v>
      </c>
    </row>
    <row r="107" spans="24:34" x14ac:dyDescent="0.25">
      <c r="X107">
        <v>78.8</v>
      </c>
      <c r="Y107" s="12">
        <v>73.258310309778381</v>
      </c>
      <c r="Z107" s="12">
        <v>5.5416896902216166</v>
      </c>
      <c r="AA107" s="12">
        <v>5.546432304839044</v>
      </c>
      <c r="AB107" s="12">
        <v>8.5507482229485487E-4</v>
      </c>
      <c r="AC107" s="12">
        <v>0.88531250738747136</v>
      </c>
      <c r="AD107" s="12">
        <v>3.3538129392086355E-4</v>
      </c>
      <c r="AE107" s="12">
        <v>-1.5319668124298669</v>
      </c>
      <c r="AF107" s="12">
        <v>-1.6240002861548399</v>
      </c>
      <c r="AG107" s="12">
        <v>0.94091046725364436</v>
      </c>
      <c r="AH107" s="12">
        <v>5.5464323048390476</v>
      </c>
    </row>
    <row r="108" spans="24:34" x14ac:dyDescent="0.25">
      <c r="X108">
        <v>78.7</v>
      </c>
      <c r="Y108" s="12">
        <v>77.154381694130194</v>
      </c>
      <c r="Z108" s="12">
        <v>1.5456183058698088</v>
      </c>
      <c r="AA108" s="12">
        <v>1.5480735562633186</v>
      </c>
      <c r="AB108" s="12">
        <v>1.5860037034921934E-3</v>
      </c>
      <c r="AC108" s="12">
        <v>0.24701058382632521</v>
      </c>
      <c r="AD108" s="12">
        <v>4.8461255932366197E-5</v>
      </c>
      <c r="AE108" s="12">
        <v>-1.5319668124298669</v>
      </c>
      <c r="AF108" s="12">
        <v>-1.6084202739753426</v>
      </c>
      <c r="AG108" s="12">
        <v>0.49700159338409089</v>
      </c>
      <c r="AH108" s="12">
        <v>1.5480735562633205</v>
      </c>
    </row>
    <row r="109" spans="24:34" x14ac:dyDescent="0.25">
      <c r="X109">
        <v>78.599999999999994</v>
      </c>
      <c r="Y109" s="12">
        <v>73.06104087259601</v>
      </c>
      <c r="Z109" s="12">
        <v>5.5389591274039844</v>
      </c>
      <c r="AA109" s="12">
        <v>5.5435652489958898</v>
      </c>
      <c r="AB109" s="12">
        <v>8.3089517034998488E-4</v>
      </c>
      <c r="AC109" s="12">
        <v>0.88486557942674415</v>
      </c>
      <c r="AD109" s="12">
        <v>3.2556060401536715E-4</v>
      </c>
      <c r="AE109" s="12">
        <v>-1.5319668124298669</v>
      </c>
      <c r="AF109" s="12">
        <v>-1.6001299777042672</v>
      </c>
      <c r="AG109" s="12">
        <v>0.94067293966965171</v>
      </c>
      <c r="AH109" s="12">
        <v>5.5435652489958951</v>
      </c>
    </row>
    <row r="110" spans="24:34" x14ac:dyDescent="0.25">
      <c r="X110">
        <v>78.099999999999994</v>
      </c>
      <c r="Y110" s="12">
        <v>72.863771435413639</v>
      </c>
      <c r="Z110" s="12">
        <v>5.2362285645863551</v>
      </c>
      <c r="AA110" s="12">
        <v>5.2404626072898708</v>
      </c>
      <c r="AB110" s="12">
        <v>8.0795208759363993E-4</v>
      </c>
      <c r="AC110" s="12">
        <v>0.83649384680296279</v>
      </c>
      <c r="AD110" s="12">
        <v>2.8289947666004973E-4</v>
      </c>
      <c r="AE110" s="12">
        <v>-1.5125970273974985</v>
      </c>
      <c r="AF110" s="12">
        <v>-1.5981329017172361</v>
      </c>
      <c r="AG110" s="12">
        <v>0.91460037546622663</v>
      </c>
      <c r="AH110" s="12">
        <v>5.2404626072898717</v>
      </c>
    </row>
    <row r="111" spans="24:34" x14ac:dyDescent="0.25">
      <c r="X111">
        <v>72.5</v>
      </c>
      <c r="Y111" s="12">
        <v>71.729472171615001</v>
      </c>
      <c r="Z111" s="12">
        <v>0.77052782838499922</v>
      </c>
      <c r="AA111" s="12">
        <v>0.77106759616070519</v>
      </c>
      <c r="AB111" s="12">
        <v>7.0002653255946481E-4</v>
      </c>
      <c r="AC111" s="12">
        <v>0.12308610533613572</v>
      </c>
      <c r="AD111" s="12">
        <v>5.3064819291809871E-6</v>
      </c>
      <c r="AE111" s="12">
        <v>-1.5078422496152202</v>
      </c>
      <c r="AF111" s="12">
        <v>-1.5821594282922791</v>
      </c>
      <c r="AG111" s="12">
        <v>0.3508362942116105</v>
      </c>
      <c r="AH111" s="12">
        <v>0.77106759616070863</v>
      </c>
    </row>
    <row r="112" spans="24:34" x14ac:dyDescent="0.25">
      <c r="X112">
        <v>72.2</v>
      </c>
      <c r="Y112" s="12">
        <v>71.630837453023815</v>
      </c>
      <c r="Z112" s="12">
        <v>0.5691625469761874</v>
      </c>
      <c r="AA112" s="12">
        <v>0.56955700726039993</v>
      </c>
      <c r="AB112" s="12">
        <v>6.9257384104399783E-4</v>
      </c>
      <c r="AC112" s="12">
        <v>9.0919156188083605E-2</v>
      </c>
      <c r="AD112" s="12">
        <v>2.864493006851826E-6</v>
      </c>
      <c r="AE112" s="12">
        <v>-1.5078422496152202</v>
      </c>
      <c r="AF112" s="12">
        <v>-1.5821594282922791</v>
      </c>
      <c r="AG112" s="12">
        <v>0.30152803549269447</v>
      </c>
      <c r="AH112" s="12">
        <v>0.56955700726039926</v>
      </c>
    </row>
    <row r="113" spans="24:34" x14ac:dyDescent="0.25">
      <c r="X113">
        <v>71.900000000000006</v>
      </c>
      <c r="Y113" s="12">
        <v>71.53220273443263</v>
      </c>
      <c r="Z113" s="12">
        <v>0.36779726556737558</v>
      </c>
      <c r="AA113" s="12">
        <v>0.3680495378695241</v>
      </c>
      <c r="AB113" s="12">
        <v>6.8543029182566194E-4</v>
      </c>
      <c r="AC113" s="12">
        <v>5.8752456024557628E-2</v>
      </c>
      <c r="AD113" s="12">
        <v>1.183813070946438E-6</v>
      </c>
      <c r="AE113" s="12">
        <v>-1.4984336523422108</v>
      </c>
      <c r="AF113" s="12">
        <v>-1.5438987861058364</v>
      </c>
      <c r="AG113" s="12">
        <v>0.24238905920968798</v>
      </c>
      <c r="AH113" s="12">
        <v>0.36804953786952377</v>
      </c>
    </row>
    <row r="114" spans="24:34" x14ac:dyDescent="0.25">
      <c r="X114">
        <v>71.599999999999994</v>
      </c>
      <c r="Y114" s="12">
        <v>71.433568015841445</v>
      </c>
      <c r="Z114" s="12">
        <v>0.16643198415854954</v>
      </c>
      <c r="AA114" s="12">
        <v>0.16654500091081559</v>
      </c>
      <c r="AB114" s="12">
        <v>6.7859588490445737E-4</v>
      </c>
      <c r="AC114" s="12">
        <v>2.6585989915189717E-2</v>
      </c>
      <c r="AD114" s="12">
        <v>2.3998367955220308E-7</v>
      </c>
      <c r="AE114" s="12">
        <v>-1.4984336523422108</v>
      </c>
      <c r="AF114" s="12">
        <v>-1.5435512845633101</v>
      </c>
      <c r="AG114" s="12">
        <v>0.16305210797530253</v>
      </c>
      <c r="AH114" s="12">
        <v>0.16654500091081903</v>
      </c>
    </row>
    <row r="115" spans="24:34" x14ac:dyDescent="0.25">
      <c r="X115">
        <v>71.099999999999994</v>
      </c>
      <c r="Y115" s="12">
        <v>76.957112256947823</v>
      </c>
      <c r="Z115" s="12">
        <v>-5.8571122569478291</v>
      </c>
      <c r="AA115" s="12">
        <v>-5.866130857145734</v>
      </c>
      <c r="AB115" s="12">
        <v>1.5374018100739587E-3</v>
      </c>
      <c r="AC115" s="12">
        <v>-0.93602249676892135</v>
      </c>
      <c r="AD115" s="12">
        <v>6.745251777501059E-4</v>
      </c>
      <c r="AE115" s="12">
        <v>-1.4984336523422108</v>
      </c>
      <c r="AF115" s="12">
        <v>-1.5119380050122544</v>
      </c>
      <c r="AG115" s="12">
        <v>0.96748255631247504</v>
      </c>
      <c r="AH115" s="12">
        <v>-5.8661308571457358</v>
      </c>
    </row>
    <row r="116" spans="24:34" x14ac:dyDescent="0.25">
      <c r="X116">
        <v>78</v>
      </c>
      <c r="Y116" s="12">
        <v>71.088346500772303</v>
      </c>
      <c r="Z116" s="12">
        <v>6.9116534992276968</v>
      </c>
      <c r="AA116" s="12">
        <v>6.9161982019257238</v>
      </c>
      <c r="AB116" s="12">
        <v>6.5710995627014956E-4</v>
      </c>
      <c r="AC116" s="12">
        <v>1.1040616729686279</v>
      </c>
      <c r="AD116" s="12">
        <v>4.0075614695213172E-4</v>
      </c>
      <c r="AE116" s="12">
        <v>-1.4984336523422108</v>
      </c>
      <c r="AF116" s="12">
        <v>-1.4969649566877159</v>
      </c>
      <c r="AG116" s="12">
        <v>1.0507433906376134</v>
      </c>
      <c r="AH116" s="12">
        <v>6.9161982019257193</v>
      </c>
    </row>
    <row r="117" spans="24:34" x14ac:dyDescent="0.25">
      <c r="X117">
        <v>73</v>
      </c>
      <c r="Y117" s="12">
        <v>70.644490267111962</v>
      </c>
      <c r="Z117" s="12">
        <v>2.3555097328880379</v>
      </c>
      <c r="AA117" s="12">
        <v>2.3570065493131835</v>
      </c>
      <c r="AB117" s="12">
        <v>6.3504975223154371E-4</v>
      </c>
      <c r="AC117" s="12">
        <v>0.37626297572614187</v>
      </c>
      <c r="AD117" s="12">
        <v>4.4981777515051618E-5</v>
      </c>
      <c r="AE117" s="12">
        <v>-1.4984336523422108</v>
      </c>
      <c r="AF117" s="12">
        <v>-1.4961586283370989</v>
      </c>
      <c r="AG117" s="12">
        <v>0.61340278425039929</v>
      </c>
      <c r="AH117" s="12">
        <v>2.3570065493131871</v>
      </c>
    </row>
    <row r="118" spans="24:34" x14ac:dyDescent="0.25">
      <c r="X118">
        <v>73</v>
      </c>
      <c r="Y118" s="12">
        <v>76.907794897652224</v>
      </c>
      <c r="Z118" s="12">
        <v>-3.9077948976522237</v>
      </c>
      <c r="AA118" s="12">
        <v>-3.9137651293413143</v>
      </c>
      <c r="AB118" s="12">
        <v>1.5254445506551072E-3</v>
      </c>
      <c r="AC118" s="12">
        <v>-0.62449921983497569</v>
      </c>
      <c r="AD118" s="12">
        <v>2.9791558855338913E-4</v>
      </c>
      <c r="AE118" s="12">
        <v>-1.4754749432056431</v>
      </c>
      <c r="AF118" s="12">
        <v>-1.4959576144654645</v>
      </c>
      <c r="AG118" s="12">
        <v>0.79025263038788784</v>
      </c>
      <c r="AH118" s="12">
        <v>-3.9137651293413214</v>
      </c>
    </row>
    <row r="119" spans="24:34" x14ac:dyDescent="0.25">
      <c r="X119">
        <v>69.2</v>
      </c>
      <c r="Y119" s="12">
        <v>70.003364596269265</v>
      </c>
      <c r="Z119" s="12">
        <v>-0.80336459626926171</v>
      </c>
      <c r="AA119" s="12">
        <v>-0.80385835569366293</v>
      </c>
      <c r="AB119" s="12">
        <v>6.1423685018710918E-4</v>
      </c>
      <c r="AC119" s="12">
        <v>-0.12832602718261343</v>
      </c>
      <c r="AD119" s="12">
        <v>5.0606023423813373E-6</v>
      </c>
      <c r="AE119" s="12">
        <v>-1.4754749432056431</v>
      </c>
      <c r="AF119" s="12">
        <v>-1.4639968333718825</v>
      </c>
      <c r="AG119" s="12">
        <v>0.35822622347144467</v>
      </c>
      <c r="AH119" s="12">
        <v>-0.8038583556936596</v>
      </c>
    </row>
    <row r="120" spans="24:34" x14ac:dyDescent="0.25">
      <c r="X120">
        <v>68.400000000000006</v>
      </c>
      <c r="Y120" s="12">
        <v>69.608825721904523</v>
      </c>
      <c r="Z120" s="12">
        <v>-1.2088257219045175</v>
      </c>
      <c r="AA120" s="12">
        <v>-1.2095610393385954</v>
      </c>
      <c r="AB120" s="12">
        <v>6.0792089870721213E-4</v>
      </c>
      <c r="AC120" s="12">
        <v>-0.19309204437508232</v>
      </c>
      <c r="AD120" s="12">
        <v>1.1339918576618171E-5</v>
      </c>
      <c r="AE120" s="12">
        <v>-1.4754749432056431</v>
      </c>
      <c r="AF120" s="12">
        <v>-1.4625730471421043</v>
      </c>
      <c r="AG120" s="12">
        <v>0.43942239858145865</v>
      </c>
      <c r="AH120" s="12">
        <v>-1.2095610393385934</v>
      </c>
    </row>
    <row r="121" spans="24:34" x14ac:dyDescent="0.25">
      <c r="X121">
        <v>68.400000000000006</v>
      </c>
      <c r="Y121" s="12">
        <v>70.003364596269265</v>
      </c>
      <c r="Z121" s="12">
        <v>-1.6033645962692589</v>
      </c>
      <c r="AA121" s="12">
        <v>-1.604350047188845</v>
      </c>
      <c r="AB121" s="12">
        <v>6.1423685018710918E-4</v>
      </c>
      <c r="AC121" s="12">
        <v>-0.25611460813681047</v>
      </c>
      <c r="AD121" s="12">
        <v>2.0157720270030841E-5</v>
      </c>
      <c r="AE121" s="12">
        <v>-1.462064744247453</v>
      </c>
      <c r="AF121" s="12">
        <v>-1.4531681120884554</v>
      </c>
      <c r="AG121" s="12">
        <v>0.50607767006341076</v>
      </c>
      <c r="AH121" s="12">
        <v>-1.6043500471888417</v>
      </c>
    </row>
    <row r="122" spans="24:34" x14ac:dyDescent="0.25">
      <c r="X122">
        <v>67.8</v>
      </c>
      <c r="Y122" s="12">
        <v>70.003364596269265</v>
      </c>
      <c r="Z122" s="12">
        <v>-2.2033645962692674</v>
      </c>
      <c r="AA122" s="12">
        <v>-2.2047188158102387</v>
      </c>
      <c r="AB122" s="12">
        <v>6.1423685018710918E-4</v>
      </c>
      <c r="AC122" s="12">
        <v>-0.35195604385245993</v>
      </c>
      <c r="AD122" s="12">
        <v>3.8067080320765318E-5</v>
      </c>
      <c r="AE122" s="12">
        <v>-1.4576525936309461</v>
      </c>
      <c r="AF122" s="12">
        <v>-1.4490264604522103</v>
      </c>
      <c r="AG122" s="12">
        <v>0.59325883377532607</v>
      </c>
      <c r="AH122" s="12">
        <v>-2.2047188158102391</v>
      </c>
    </row>
    <row r="123" spans="24:34" x14ac:dyDescent="0.25">
      <c r="X123">
        <v>67.8</v>
      </c>
      <c r="Y123" s="12">
        <v>70.397903470634006</v>
      </c>
      <c r="Z123" s="12">
        <v>-2.5979034706340087</v>
      </c>
      <c r="AA123" s="12">
        <v>-2.599529473924278</v>
      </c>
      <c r="AB123" s="12">
        <v>6.2549907842110518E-4</v>
      </c>
      <c r="AC123" s="12">
        <v>-0.41498033570482684</v>
      </c>
      <c r="AD123" s="12">
        <v>5.3891894342337251E-5</v>
      </c>
      <c r="AE123" s="12">
        <v>-1.4576525936309461</v>
      </c>
      <c r="AF123" s="12">
        <v>-1.4405307960430658</v>
      </c>
      <c r="AG123" s="12">
        <v>0.64418967370241731</v>
      </c>
      <c r="AH123" s="12">
        <v>-2.5995294739242771</v>
      </c>
    </row>
    <row r="124" spans="24:34" x14ac:dyDescent="0.25">
      <c r="X124">
        <v>71.400000000000006</v>
      </c>
      <c r="Y124" s="12">
        <v>71.088346500772303</v>
      </c>
      <c r="Z124" s="12">
        <v>0.31165349922770247</v>
      </c>
      <c r="AA124" s="12">
        <v>0.31185842450338441</v>
      </c>
      <c r="AB124" s="12">
        <v>6.5710995627014956E-4</v>
      </c>
      <c r="AC124" s="12">
        <v>4.9783265868624915E-2</v>
      </c>
      <c r="AD124" s="12">
        <v>8.1481739561900566E-7</v>
      </c>
      <c r="AE124" s="12">
        <v>-1.4576525936309461</v>
      </c>
      <c r="AF124" s="12">
        <v>-1.437080119871484</v>
      </c>
      <c r="AG124" s="12">
        <v>0.22312163917608913</v>
      </c>
      <c r="AH124" s="12">
        <v>0.31185842450339035</v>
      </c>
    </row>
    <row r="125" spans="24:34" x14ac:dyDescent="0.25">
      <c r="X125">
        <v>71</v>
      </c>
      <c r="Y125" s="12">
        <v>70.940394422885518</v>
      </c>
      <c r="Z125" s="12">
        <v>5.9605577114481889E-2</v>
      </c>
      <c r="AA125" s="12">
        <v>5.9644289896013447E-2</v>
      </c>
      <c r="AB125" s="12">
        <v>6.4906098475540235E-4</v>
      </c>
      <c r="AC125" s="12">
        <v>9.5213060344802036E-3</v>
      </c>
      <c r="AD125" s="12">
        <v>2.9439506991512802E-8</v>
      </c>
      <c r="AE125" s="12">
        <v>-1.4445835579455348</v>
      </c>
      <c r="AF125" s="12">
        <v>-1.4058282040397625</v>
      </c>
      <c r="AG125" s="12">
        <v>9.7577179885873944E-2</v>
      </c>
      <c r="AH125" s="12">
        <v>5.9644289896016833E-2</v>
      </c>
    </row>
    <row r="126" spans="24:34" x14ac:dyDescent="0.25">
      <c r="X126">
        <v>77</v>
      </c>
      <c r="Y126" s="12">
        <v>70.841759704294333</v>
      </c>
      <c r="Z126" s="12">
        <v>6.1582402957056672</v>
      </c>
      <c r="AA126" s="12">
        <v>6.162209260267943</v>
      </c>
      <c r="AB126" s="12">
        <v>6.440814316169849E-4</v>
      </c>
      <c r="AC126" s="12">
        <v>0.98370567397769704</v>
      </c>
      <c r="AD126" s="12">
        <v>3.1183219174103549E-4</v>
      </c>
      <c r="AE126" s="12">
        <v>-1.4402815816722083</v>
      </c>
      <c r="AF126" s="12">
        <v>-1.3962862148885022</v>
      </c>
      <c r="AG126" s="12">
        <v>0.99181937568173018</v>
      </c>
      <c r="AH126" s="12">
        <v>6.1622092602679439</v>
      </c>
    </row>
    <row r="127" spans="24:34" x14ac:dyDescent="0.25">
      <c r="X127">
        <v>73</v>
      </c>
      <c r="Y127" s="12">
        <v>76.907794897652224</v>
      </c>
      <c r="Z127" s="12">
        <v>-3.9077948976522237</v>
      </c>
      <c r="AA127" s="12">
        <v>-3.9137651293413143</v>
      </c>
      <c r="AB127" s="12">
        <v>1.5254445506551072E-3</v>
      </c>
      <c r="AC127" s="12">
        <v>-0.62449921983497569</v>
      </c>
      <c r="AD127" s="12">
        <v>2.9791558855338913E-4</v>
      </c>
      <c r="AE127" s="12">
        <v>-1.4402815816722083</v>
      </c>
      <c r="AF127" s="12">
        <v>-1.3885642662648245</v>
      </c>
      <c r="AG127" s="12">
        <v>0.79025263038788784</v>
      </c>
      <c r="AH127" s="12">
        <v>-3.9137651293413214</v>
      </c>
    </row>
    <row r="128" spans="24:34" x14ac:dyDescent="0.25">
      <c r="X128">
        <v>69.900000000000006</v>
      </c>
      <c r="Y128" s="12">
        <v>70.595172907816377</v>
      </c>
      <c r="Z128" s="12">
        <v>-0.69517290781637087</v>
      </c>
      <c r="AA128" s="12">
        <v>-0.69561322058302721</v>
      </c>
      <c r="AB128" s="12">
        <v>6.3298504632089045E-4</v>
      </c>
      <c r="AC128" s="12">
        <v>-0.11104499085087131</v>
      </c>
      <c r="AD128" s="12">
        <v>3.9051380299497322E-6</v>
      </c>
      <c r="AE128" s="12">
        <v>-1.4402815816722083</v>
      </c>
      <c r="AF128" s="12">
        <v>-1.3764083467406656</v>
      </c>
      <c r="AG128" s="12">
        <v>0.33323413818345698</v>
      </c>
      <c r="AH128" s="12">
        <v>-0.69561322058302311</v>
      </c>
    </row>
    <row r="129" spans="24:34" x14ac:dyDescent="0.25">
      <c r="X129">
        <v>69.5</v>
      </c>
      <c r="Y129" s="12">
        <v>70.496538189225191</v>
      </c>
      <c r="Z129" s="12">
        <v>-0.99653818922519122</v>
      </c>
      <c r="AA129" s="12">
        <v>-0.99716549356386963</v>
      </c>
      <c r="AB129" s="12">
        <v>6.2908749122243227E-4</v>
      </c>
      <c r="AC129" s="12">
        <v>-0.15918393405728543</v>
      </c>
      <c r="AD129" s="12">
        <v>7.9754062904223286E-6</v>
      </c>
      <c r="AE129" s="12">
        <v>-1.4402815816722083</v>
      </c>
      <c r="AF129" s="12">
        <v>-1.3734919661747749</v>
      </c>
      <c r="AG129" s="12">
        <v>0.39897861353371489</v>
      </c>
      <c r="AH129" s="12">
        <v>-0.99716549356387096</v>
      </c>
    </row>
    <row r="130" spans="24:34" x14ac:dyDescent="0.25">
      <c r="X130">
        <v>69.099999999999994</v>
      </c>
      <c r="Y130" s="12">
        <v>70.348586111338406</v>
      </c>
      <c r="Z130" s="12">
        <v>-1.2485861113384118</v>
      </c>
      <c r="AA130" s="12">
        <v>-1.2493654915192991</v>
      </c>
      <c r="AB130" s="12">
        <v>6.238208003818659E-4</v>
      </c>
      <c r="AC130" s="12">
        <v>-0.19944476553286963</v>
      </c>
      <c r="AD130" s="12">
        <v>1.2414983528057049E-5</v>
      </c>
      <c r="AE130" s="12">
        <v>-1.4402815816722083</v>
      </c>
      <c r="AF130" s="12">
        <v>-1.3698330492292075</v>
      </c>
      <c r="AG130" s="12">
        <v>0.44659239305307208</v>
      </c>
      <c r="AH130" s="12">
        <v>-1.2493654915193009</v>
      </c>
    </row>
    <row r="131" spans="24:34" x14ac:dyDescent="0.25">
      <c r="X131">
        <v>68.599999999999994</v>
      </c>
      <c r="Y131" s="12">
        <v>70.151316674156035</v>
      </c>
      <c r="Z131" s="12">
        <v>-1.5513166741560411</v>
      </c>
      <c r="AA131" s="12">
        <v>-1.5522757951687538</v>
      </c>
      <c r="AB131" s="12">
        <v>6.1788054396773654E-4</v>
      </c>
      <c r="AC131" s="12">
        <v>-0.24780114723486452</v>
      </c>
      <c r="AD131" s="12">
        <v>1.8982332439072265E-5</v>
      </c>
      <c r="AE131" s="12">
        <v>-1.4191611772342045</v>
      </c>
      <c r="AF131" s="12">
        <v>-1.3604282302432664</v>
      </c>
      <c r="AG131" s="12">
        <v>0.4977962909010718</v>
      </c>
      <c r="AH131" s="12">
        <v>-1.552275795168748</v>
      </c>
    </row>
    <row r="132" spans="24:34" x14ac:dyDescent="0.25">
      <c r="X132">
        <v>68.2</v>
      </c>
      <c r="Y132" s="12">
        <v>70.10199931486045</v>
      </c>
      <c r="Z132" s="12">
        <v>-1.901999314860447</v>
      </c>
      <c r="AA132" s="12">
        <v>-1.9031727896849162</v>
      </c>
      <c r="AB132" s="12">
        <v>6.1658869379991124E-4</v>
      </c>
      <c r="AC132" s="12">
        <v>-0.30381759926287161</v>
      </c>
      <c r="AD132" s="12">
        <v>2.8474708068517175E-5</v>
      </c>
      <c r="AE132" s="12">
        <v>-1.4191611772342045</v>
      </c>
      <c r="AF132" s="12">
        <v>-1.3502385381861897</v>
      </c>
      <c r="AG132" s="12">
        <v>0.5511965160111878</v>
      </c>
      <c r="AH132" s="12">
        <v>-1.9031727896849144</v>
      </c>
    </row>
    <row r="133" spans="24:34" x14ac:dyDescent="0.25">
      <c r="X133">
        <v>67.8</v>
      </c>
      <c r="Y133" s="12">
        <v>69.954047236973665</v>
      </c>
      <c r="Z133" s="12">
        <v>-2.1540472369736676</v>
      </c>
      <c r="AA133" s="12">
        <v>-2.1553688592759244</v>
      </c>
      <c r="AB133" s="12">
        <v>6.1317685674213221E-4</v>
      </c>
      <c r="AC133" s="12">
        <v>-0.34407811717916142</v>
      </c>
      <c r="AD133" s="12">
        <v>3.631919770044973E-5</v>
      </c>
      <c r="AE133" s="12">
        <v>-1.4191611772342045</v>
      </c>
      <c r="AF133" s="12">
        <v>-1.3424286944146775</v>
      </c>
      <c r="AG133" s="12">
        <v>0.58658172250689966</v>
      </c>
      <c r="AH133" s="12">
        <v>-2.1553688592759181</v>
      </c>
    </row>
    <row r="134" spans="24:34" x14ac:dyDescent="0.25">
      <c r="X134">
        <v>67.3</v>
      </c>
      <c r="Y134" s="12">
        <v>69.806095159086894</v>
      </c>
      <c r="Z134" s="12">
        <v>-2.5060951590868967</v>
      </c>
      <c r="AA134" s="12">
        <v>-2.5076259659131779</v>
      </c>
      <c r="AB134" s="12">
        <v>6.1046058985289825E-4</v>
      </c>
      <c r="AC134" s="12">
        <v>-0.40031217383954465</v>
      </c>
      <c r="AD134" s="12">
        <v>4.8942982626222232E-5</v>
      </c>
      <c r="AE134" s="12">
        <v>-1.4067868590764927</v>
      </c>
      <c r="AF134" s="12">
        <v>-1.340172278533166</v>
      </c>
      <c r="AG134" s="12">
        <v>0.63270227899031994</v>
      </c>
      <c r="AH134" s="12">
        <v>-2.5076259659131788</v>
      </c>
    </row>
    <row r="135" spans="24:34" x14ac:dyDescent="0.25">
      <c r="X135">
        <v>66.8</v>
      </c>
      <c r="Y135" s="12">
        <v>69.658143081200109</v>
      </c>
      <c r="Z135" s="12">
        <v>-2.8581430812001116</v>
      </c>
      <c r="AA135" s="12">
        <v>-2.85988314819717</v>
      </c>
      <c r="AB135" s="12">
        <v>6.0843989313220947E-4</v>
      </c>
      <c r="AC135" s="12">
        <v>-0.45654623653741894</v>
      </c>
      <c r="AD135" s="12">
        <v>6.3448526753243122E-5</v>
      </c>
      <c r="AE135" s="12">
        <v>-1.4067868590764927</v>
      </c>
      <c r="AF135" s="12">
        <v>-1.3363565560649222</v>
      </c>
      <c r="AG135" s="12">
        <v>0.67568205284543337</v>
      </c>
      <c r="AH135" s="12">
        <v>-2.8598831481971714</v>
      </c>
    </row>
    <row r="136" spans="24:34" x14ac:dyDescent="0.25">
      <c r="X136">
        <v>72</v>
      </c>
      <c r="Y136" s="12">
        <v>67.784083427967602</v>
      </c>
      <c r="Z136" s="12">
        <v>4.2159165720323983</v>
      </c>
      <c r="AA136" s="12">
        <v>4.2186293610680536</v>
      </c>
      <c r="AB136" s="12">
        <v>6.4304986370311915E-4</v>
      </c>
      <c r="AC136" s="12">
        <v>0.67344220318421266</v>
      </c>
      <c r="AD136" s="12">
        <v>1.4591323161776786E-4</v>
      </c>
      <c r="AE136" s="12">
        <v>-1.4067868590764927</v>
      </c>
      <c r="AF136" s="12">
        <v>-1.3221067507234172</v>
      </c>
      <c r="AG136" s="12">
        <v>0.82063524368882224</v>
      </c>
      <c r="AH136" s="12">
        <v>4.2186293610680474</v>
      </c>
    </row>
    <row r="137" spans="24:34" x14ac:dyDescent="0.25">
      <c r="X137">
        <v>71.7</v>
      </c>
      <c r="Y137" s="12">
        <v>76.463938663991897</v>
      </c>
      <c r="Z137" s="12">
        <v>-4.7639386639918939</v>
      </c>
      <c r="AA137" s="12">
        <v>-4.7707193210763137</v>
      </c>
      <c r="AB137" s="12">
        <v>1.4213070667281685E-3</v>
      </c>
      <c r="AC137" s="12">
        <v>-0.76127865559114638</v>
      </c>
      <c r="AD137" s="12">
        <v>4.1244204484722089E-4</v>
      </c>
      <c r="AE137" s="12">
        <v>-1.3946242806491973</v>
      </c>
      <c r="AF137" s="12">
        <v>-1.311878812474371</v>
      </c>
      <c r="AG137" s="12">
        <v>0.87251283978583738</v>
      </c>
      <c r="AH137" s="12">
        <v>-4.7707193210763164</v>
      </c>
    </row>
    <row r="138" spans="24:34" x14ac:dyDescent="0.25">
      <c r="X138">
        <v>71.900000000000006</v>
      </c>
      <c r="Y138" s="12">
        <v>68.030670224445558</v>
      </c>
      <c r="Z138" s="12">
        <v>3.8693297755544478</v>
      </c>
      <c r="AA138" s="12">
        <v>3.8717772028191177</v>
      </c>
      <c r="AB138" s="12">
        <v>6.3211986032861618E-4</v>
      </c>
      <c r="AC138" s="12">
        <v>0.61807573152611694</v>
      </c>
      <c r="AD138" s="12">
        <v>1.2081682982461216E-4</v>
      </c>
      <c r="AE138" s="12">
        <v>-1.3946242806491973</v>
      </c>
      <c r="AF138" s="12">
        <v>-1.3043961416104866</v>
      </c>
      <c r="AG138" s="12">
        <v>0.78617792612494342</v>
      </c>
      <c r="AH138" s="12">
        <v>3.8717772028191173</v>
      </c>
    </row>
    <row r="139" spans="24:34" x14ac:dyDescent="0.25">
      <c r="X139">
        <v>72</v>
      </c>
      <c r="Y139" s="12">
        <v>66.156610571213037</v>
      </c>
      <c r="Z139" s="12">
        <v>5.8433894287869634</v>
      </c>
      <c r="AA139" s="12">
        <v>5.8478551196129018</v>
      </c>
      <c r="AB139" s="12">
        <v>7.6364594105015639E-4</v>
      </c>
      <c r="AC139" s="12">
        <v>0.933467833592318</v>
      </c>
      <c r="AD139" s="12">
        <v>3.3296036604626154E-4</v>
      </c>
      <c r="AE139" s="12">
        <v>-1.3946242806491973</v>
      </c>
      <c r="AF139" s="12">
        <v>-1.2927921141629415</v>
      </c>
      <c r="AG139" s="12">
        <v>0.96616139106896526</v>
      </c>
      <c r="AH139" s="12">
        <v>5.8478551196129054</v>
      </c>
    </row>
    <row r="140" spans="24:34" x14ac:dyDescent="0.25">
      <c r="X140">
        <v>73</v>
      </c>
      <c r="Y140" s="12">
        <v>66.649784164168963</v>
      </c>
      <c r="Z140" s="12">
        <v>6.3502158358310368</v>
      </c>
      <c r="AA140" s="12">
        <v>6.3547799266873284</v>
      </c>
      <c r="AB140" s="12">
        <v>7.1821383414489594E-4</v>
      </c>
      <c r="AC140" s="12">
        <v>1.0144091094029171</v>
      </c>
      <c r="AD140" s="12">
        <v>3.6979588995942079E-4</v>
      </c>
      <c r="AE140" s="12">
        <v>-1.3946242806491973</v>
      </c>
      <c r="AF140" s="12">
        <v>-1.2848252009044432</v>
      </c>
      <c r="AG140" s="12">
        <v>1.0071787872085656</v>
      </c>
      <c r="AH140" s="12">
        <v>6.3547799266873302</v>
      </c>
    </row>
    <row r="141" spans="24:34" x14ac:dyDescent="0.25">
      <c r="X141">
        <v>70</v>
      </c>
      <c r="Y141" s="12">
        <v>66.452514726986593</v>
      </c>
      <c r="Z141" s="12">
        <v>3.5474852730134074</v>
      </c>
      <c r="AA141" s="12">
        <v>3.5500962241198835</v>
      </c>
      <c r="AB141" s="12">
        <v>7.3545925001560668E-4</v>
      </c>
      <c r="AC141" s="12">
        <v>0.56669450642996722</v>
      </c>
      <c r="AD141" s="12">
        <v>1.1818058827303671E-4</v>
      </c>
      <c r="AE141" s="12">
        <v>-1.3946242806491973</v>
      </c>
      <c r="AF141" s="12">
        <v>-1.2784232539303146</v>
      </c>
      <c r="AG141" s="12">
        <v>0.75279114396356128</v>
      </c>
      <c r="AH141" s="12">
        <v>3.5500962241198821</v>
      </c>
    </row>
    <row r="142" spans="24:34" x14ac:dyDescent="0.25">
      <c r="X142">
        <v>70</v>
      </c>
      <c r="Y142" s="12">
        <v>66.551149445577778</v>
      </c>
      <c r="Z142" s="12">
        <v>3.4488505544222221</v>
      </c>
      <c r="AA142" s="12">
        <v>3.451358594488056</v>
      </c>
      <c r="AB142" s="12">
        <v>7.266819709316856E-4</v>
      </c>
      <c r="AC142" s="12">
        <v>0.55093564276288243</v>
      </c>
      <c r="AD142" s="12">
        <v>1.1036511962457585E-4</v>
      </c>
      <c r="AE142" s="12">
        <v>-1.3946242806491973</v>
      </c>
      <c r="AF142" s="12">
        <v>-1.276034470220579</v>
      </c>
      <c r="AG142" s="12">
        <v>0.74225039088092259</v>
      </c>
      <c r="AH142" s="12">
        <v>3.4513585944880569</v>
      </c>
    </row>
    <row r="143" spans="24:34" x14ac:dyDescent="0.25">
      <c r="X143">
        <v>69.8</v>
      </c>
      <c r="Y143" s="12">
        <v>66.452514726986593</v>
      </c>
      <c r="Z143" s="12">
        <v>3.3474852730134046</v>
      </c>
      <c r="AA143" s="12">
        <v>3.3499490240102006</v>
      </c>
      <c r="AB143" s="12">
        <v>7.3545925001560668E-4</v>
      </c>
      <c r="AC143" s="12">
        <v>0.5347454234702177</v>
      </c>
      <c r="AD143" s="12">
        <v>1.0523066020749876E-4</v>
      </c>
      <c r="AE143" s="12">
        <v>-1.3946242806491973</v>
      </c>
      <c r="AF143" s="12">
        <v>-1.2540188467665625</v>
      </c>
      <c r="AG143" s="12">
        <v>0.73126289627617347</v>
      </c>
      <c r="AH143" s="12">
        <v>3.3499490240101935</v>
      </c>
    </row>
    <row r="144" spans="24:34" x14ac:dyDescent="0.25">
      <c r="X144">
        <v>68.900000000000006</v>
      </c>
      <c r="Y144" s="12">
        <v>65.614119618961524</v>
      </c>
      <c r="Z144" s="12">
        <v>3.2858803810384813</v>
      </c>
      <c r="AA144" s="12">
        <v>3.28858539953481</v>
      </c>
      <c r="AB144" s="12">
        <v>8.2254774247560592E-4</v>
      </c>
      <c r="AC144" s="12">
        <v>0.52492719932886034</v>
      </c>
      <c r="AD144" s="12">
        <v>1.1341921759649195E-4</v>
      </c>
      <c r="AE144" s="12">
        <v>-1.3946242806491973</v>
      </c>
      <c r="AF144" s="12">
        <v>-1.2371216807998753</v>
      </c>
      <c r="AG144" s="12">
        <v>0.72451859833192711</v>
      </c>
      <c r="AH144" s="12">
        <v>3.2885853995348069</v>
      </c>
    </row>
    <row r="145" spans="24:34" x14ac:dyDescent="0.25">
      <c r="X145">
        <v>68.099999999999994</v>
      </c>
      <c r="Y145" s="12">
        <v>65.170263385301183</v>
      </c>
      <c r="Z145" s="12">
        <v>2.9297366146988111</v>
      </c>
      <c r="AA145" s="12">
        <v>2.9323102912052974</v>
      </c>
      <c r="AB145" s="12">
        <v>8.7769582714551707E-4</v>
      </c>
      <c r="AC145" s="12">
        <v>0.46804530303146752</v>
      </c>
      <c r="AD145" s="12">
        <v>9.6221288093902791E-5</v>
      </c>
      <c r="AE145" s="12">
        <v>-1.3946242806491973</v>
      </c>
      <c r="AF145" s="12">
        <v>-1.2321792209544196</v>
      </c>
      <c r="AG145" s="12">
        <v>0.68413836541409334</v>
      </c>
      <c r="AH145" s="12">
        <v>2.9323102912052978</v>
      </c>
    </row>
    <row r="146" spans="24:34" x14ac:dyDescent="0.25">
      <c r="X146">
        <v>68.2</v>
      </c>
      <c r="Y146" s="12">
        <v>65.416850181779154</v>
      </c>
      <c r="Z146" s="12">
        <v>2.7831498182208492</v>
      </c>
      <c r="AA146" s="12">
        <v>2.7855071515489129</v>
      </c>
      <c r="AB146" s="12">
        <v>8.4628514658607163E-4</v>
      </c>
      <c r="AC146" s="12">
        <v>0.44462007868520387</v>
      </c>
      <c r="AD146" s="12">
        <v>8.3720643504214994E-5</v>
      </c>
      <c r="AE146" s="12">
        <v>-1.3593210527266006</v>
      </c>
      <c r="AF146" s="12">
        <v>-1.2307039057923432</v>
      </c>
      <c r="AG146" s="12">
        <v>0.66679837933606578</v>
      </c>
      <c r="AH146" s="12">
        <v>2.7855071515489143</v>
      </c>
    </row>
    <row r="147" spans="24:34" x14ac:dyDescent="0.25">
      <c r="X147">
        <v>67.7</v>
      </c>
      <c r="Y147" s="12">
        <v>65.120946026005598</v>
      </c>
      <c r="Z147" s="12">
        <v>2.5790539739944052</v>
      </c>
      <c r="AA147" s="12">
        <v>2.5813364170029871</v>
      </c>
      <c r="AB147" s="12">
        <v>8.8420981998025433E-4</v>
      </c>
      <c r="AC147" s="12">
        <v>0.41202271486650544</v>
      </c>
      <c r="AD147" s="12">
        <v>7.5119352238100107E-5</v>
      </c>
      <c r="AE147" s="12">
        <v>-1.3593210527266006</v>
      </c>
      <c r="AF147" s="12">
        <v>-1.2199787232510317</v>
      </c>
      <c r="AG147" s="12">
        <v>0.6418899554179871</v>
      </c>
      <c r="AH147" s="12">
        <v>2.581336417002992</v>
      </c>
    </row>
    <row r="148" spans="24:34" x14ac:dyDescent="0.25">
      <c r="X148">
        <v>67.2</v>
      </c>
      <c r="Y148" s="12">
        <v>64.677089792345257</v>
      </c>
      <c r="Z148" s="12">
        <v>2.5229102076547463</v>
      </c>
      <c r="AA148" s="12">
        <v>2.5252999333417421</v>
      </c>
      <c r="AB148" s="12">
        <v>9.4631360633561708E-4</v>
      </c>
      <c r="AC148" s="12">
        <v>0.40306586523781102</v>
      </c>
      <c r="AD148" s="12">
        <v>7.6942856025713106E-5</v>
      </c>
      <c r="AE148" s="12">
        <v>-1.3517022399306602</v>
      </c>
      <c r="AF148" s="12">
        <v>-1.219772379620768</v>
      </c>
      <c r="AG148" s="12">
        <v>0.6348746846723462</v>
      </c>
      <c r="AH148" s="12">
        <v>2.5252999333417461</v>
      </c>
    </row>
    <row r="149" spans="24:34" x14ac:dyDescent="0.25">
      <c r="X149">
        <v>67.7</v>
      </c>
      <c r="Y149" s="12">
        <v>65.071628666709998</v>
      </c>
      <c r="Z149" s="12">
        <v>2.6283713332900049</v>
      </c>
      <c r="AA149" s="12">
        <v>2.6307147769028205</v>
      </c>
      <c r="AB149" s="12">
        <v>8.9080109838927468E-4</v>
      </c>
      <c r="AC149" s="12">
        <v>0.41990290840116418</v>
      </c>
      <c r="AD149" s="12">
        <v>7.8602354633256982E-5</v>
      </c>
      <c r="AE149" s="12">
        <v>-1.3517022399306602</v>
      </c>
      <c r="AF149" s="12">
        <v>-1.2170163611223521</v>
      </c>
      <c r="AG149" s="12">
        <v>0.64799915771640026</v>
      </c>
      <c r="AH149" s="12">
        <v>2.6307147769028187</v>
      </c>
    </row>
    <row r="150" spans="24:34" x14ac:dyDescent="0.25">
      <c r="X150">
        <v>68</v>
      </c>
      <c r="Y150" s="12">
        <v>65.416850181779154</v>
      </c>
      <c r="Z150" s="12">
        <v>2.5831498182208463</v>
      </c>
      <c r="AA150" s="12">
        <v>2.585337751158562</v>
      </c>
      <c r="AB150" s="12">
        <v>8.4628514658607163E-4</v>
      </c>
      <c r="AC150" s="12">
        <v>0.41266922388217803</v>
      </c>
      <c r="AD150" s="12">
        <v>7.212047489988013E-5</v>
      </c>
      <c r="AE150" s="12">
        <v>-1.3441610904494867</v>
      </c>
      <c r="AF150" s="12">
        <v>-1.2093339792746807</v>
      </c>
      <c r="AG150" s="12">
        <v>0.64239335603832182</v>
      </c>
      <c r="AH150" s="12">
        <v>2.5853377511585598</v>
      </c>
    </row>
    <row r="151" spans="24:34" x14ac:dyDescent="0.25">
      <c r="X151">
        <v>89</v>
      </c>
      <c r="Y151" s="12">
        <v>73.850118621325478</v>
      </c>
      <c r="Z151" s="12">
        <v>15.149881378674522</v>
      </c>
      <c r="AA151" s="12">
        <v>15.164060278379409</v>
      </c>
      <c r="AB151" s="12">
        <v>9.3503319326061329E-4</v>
      </c>
      <c r="AC151" s="12">
        <v>2.420365795789972</v>
      </c>
      <c r="AD151" s="12">
        <v>2.7413552327171251E-3</v>
      </c>
      <c r="AE151" s="12">
        <v>-1.3404190152831756</v>
      </c>
      <c r="AF151" s="12">
        <v>-1.2087193944416905</v>
      </c>
      <c r="AG151" s="12">
        <v>1.5557524853876892</v>
      </c>
      <c r="AH151" s="12">
        <v>15.164060278379411</v>
      </c>
    </row>
    <row r="152" spans="24:34" x14ac:dyDescent="0.25">
      <c r="X152">
        <v>87</v>
      </c>
      <c r="Y152" s="12">
        <v>73.800801262029893</v>
      </c>
      <c r="Z152" s="12">
        <v>13.199198737970107</v>
      </c>
      <c r="AA152" s="12">
        <v>13.211458243599395</v>
      </c>
      <c r="AB152" s="12">
        <v>9.2794492502157821E-4</v>
      </c>
      <c r="AC152" s="12">
        <v>2.1087145852351155</v>
      </c>
      <c r="AD152" s="12">
        <v>2.0650520259421581E-3</v>
      </c>
      <c r="AE152" s="12">
        <v>-1.3366956165977166</v>
      </c>
      <c r="AF152" s="12">
        <v>-1.2026584082148053</v>
      </c>
      <c r="AG152" s="12">
        <v>1.4521413792172977</v>
      </c>
      <c r="AH152" s="12">
        <v>13.21145824359939</v>
      </c>
    </row>
    <row r="153" spans="24:34" x14ac:dyDescent="0.25">
      <c r="X153">
        <v>83</v>
      </c>
      <c r="Y153" s="12">
        <v>73.751483902734293</v>
      </c>
      <c r="Z153" s="12">
        <v>9.248516097265707</v>
      </c>
      <c r="AA153" s="12">
        <v>9.2570412207316792</v>
      </c>
      <c r="AB153" s="12">
        <v>9.2093394235682568E-4</v>
      </c>
      <c r="AC153" s="12">
        <v>1.4775451710616032</v>
      </c>
      <c r="AD153" s="12">
        <v>1.0061903751651332E-3</v>
      </c>
      <c r="AE153" s="12">
        <v>-1.3329906577816031</v>
      </c>
      <c r="AF153" s="12">
        <v>-1.1929442252618014</v>
      </c>
      <c r="AG153" s="12">
        <v>1.2155431588642187</v>
      </c>
      <c r="AH153" s="12">
        <v>9.2570412207316757</v>
      </c>
    </row>
    <row r="154" spans="24:34" x14ac:dyDescent="0.25">
      <c r="X154">
        <v>83</v>
      </c>
      <c r="Y154" s="12">
        <v>77.20369905342578</v>
      </c>
      <c r="Z154" s="12">
        <v>5.7963009465742203</v>
      </c>
      <c r="AA154" s="12">
        <v>5.8055802806677974</v>
      </c>
      <c r="AB154" s="12">
        <v>1.5983473907824589E-3</v>
      </c>
      <c r="AC154" s="12">
        <v>0.92633254022089295</v>
      </c>
      <c r="AD154" s="12">
        <v>6.8686237939585674E-4</v>
      </c>
      <c r="AE154" s="12">
        <v>-1.3329906577816031</v>
      </c>
      <c r="AF154" s="12">
        <v>-1.1918061564755471</v>
      </c>
      <c r="AG154" s="12">
        <v>0.96246170844397383</v>
      </c>
      <c r="AH154" s="12">
        <v>5.8055802806678036</v>
      </c>
    </row>
    <row r="155" spans="24:34" x14ac:dyDescent="0.25">
      <c r="X155">
        <v>80</v>
      </c>
      <c r="Y155" s="12">
        <v>73.603531824847522</v>
      </c>
      <c r="Z155" s="12">
        <v>6.3964681751524779</v>
      </c>
      <c r="AA155" s="12">
        <v>6.402232519364091</v>
      </c>
      <c r="AB155" s="12">
        <v>9.0036470780826508E-4</v>
      </c>
      <c r="AC155" s="12">
        <v>1.0218907850633105</v>
      </c>
      <c r="AD155" s="12">
        <v>4.7053142438676672E-4</v>
      </c>
      <c r="AE155" s="12">
        <v>-1.3329906577816031</v>
      </c>
      <c r="AF155" s="12">
        <v>-1.1891885095650812</v>
      </c>
      <c r="AG155" s="12">
        <v>1.0108861385256553</v>
      </c>
      <c r="AH155" s="12">
        <v>6.4022325193640963</v>
      </c>
    </row>
    <row r="156" spans="24:34" x14ac:dyDescent="0.25">
      <c r="X156">
        <v>79.8</v>
      </c>
      <c r="Y156" s="12">
        <v>73.406262387665151</v>
      </c>
      <c r="Z156" s="12">
        <v>6.3937376123348457</v>
      </c>
      <c r="AA156" s="12">
        <v>6.3993307621895212</v>
      </c>
      <c r="AB156" s="12">
        <v>8.7402105978347678E-4</v>
      </c>
      <c r="AC156" s="12">
        <v>1.0214410878988656</v>
      </c>
      <c r="AD156" s="12">
        <v>4.5635025458333885E-4</v>
      </c>
      <c r="AE156" s="12">
        <v>-1.3219841213691266</v>
      </c>
      <c r="AF156" s="12">
        <v>-1.1875909102902633</v>
      </c>
      <c r="AG156" s="12">
        <v>1.0106636868409122</v>
      </c>
      <c r="AH156" s="12">
        <v>6.3993307621895195</v>
      </c>
    </row>
    <row r="157" spans="24:34" x14ac:dyDescent="0.25">
      <c r="X157">
        <v>79.5</v>
      </c>
      <c r="Y157" s="12">
        <v>73.307627669073966</v>
      </c>
      <c r="Z157" s="12">
        <v>6.1923723309260339</v>
      </c>
      <c r="AA157" s="12">
        <v>6.1977104992345176</v>
      </c>
      <c r="AB157" s="12">
        <v>8.6131294921677932E-4</v>
      </c>
      <c r="AC157" s="12">
        <v>0.98926538572487488</v>
      </c>
      <c r="AD157" s="12">
        <v>4.2182355980533055E-4</v>
      </c>
      <c r="AE157" s="12">
        <v>-1.3219841213691266</v>
      </c>
      <c r="AF157" s="12">
        <v>-1.1759409755051289</v>
      </c>
      <c r="AG157" s="12">
        <v>0.99461821103621206</v>
      </c>
      <c r="AH157" s="12">
        <v>6.1977104992345211</v>
      </c>
    </row>
    <row r="158" spans="24:34" x14ac:dyDescent="0.25">
      <c r="X158">
        <v>79.5</v>
      </c>
      <c r="Y158" s="12">
        <v>73.356945028369552</v>
      </c>
      <c r="Z158" s="12">
        <v>6.1430549716304483</v>
      </c>
      <c r="AA158" s="12">
        <v>6.1483894887297339</v>
      </c>
      <c r="AB158" s="12">
        <v>8.6762836171298667E-4</v>
      </c>
      <c r="AC158" s="12">
        <v>0.98138976916095499</v>
      </c>
      <c r="AD158" s="12">
        <v>4.1818048951908026E-4</v>
      </c>
      <c r="AE158" s="12">
        <v>-1.3147344895569</v>
      </c>
      <c r="AF158" s="12">
        <v>-1.1746357157037068</v>
      </c>
      <c r="AG158" s="12">
        <v>0.99065118440395306</v>
      </c>
      <c r="AH158" s="12">
        <v>6.1483894887297277</v>
      </c>
    </row>
    <row r="159" spans="24:34" x14ac:dyDescent="0.25">
      <c r="X159">
        <v>79.400000000000006</v>
      </c>
      <c r="Y159" s="12">
        <v>73.406262387665151</v>
      </c>
      <c r="Z159" s="12">
        <v>5.9937376123348542</v>
      </c>
      <c r="AA159" s="12">
        <v>5.9989808479331828</v>
      </c>
      <c r="AB159" s="12">
        <v>8.7402105978347678E-4</v>
      </c>
      <c r="AC159" s="12">
        <v>0.95753849133761337</v>
      </c>
      <c r="AD159" s="12">
        <v>4.0103671274521697E-4</v>
      </c>
      <c r="AE159" s="12">
        <v>-1.3147344895569</v>
      </c>
      <c r="AF159" s="12">
        <v>-1.1655651364061936</v>
      </c>
      <c r="AG159" s="12">
        <v>0.97853895749613018</v>
      </c>
      <c r="AH159" s="12">
        <v>5.9989808479331854</v>
      </c>
    </row>
    <row r="160" spans="24:34" x14ac:dyDescent="0.25">
      <c r="X160">
        <v>78.900000000000006</v>
      </c>
      <c r="Y160" s="12">
        <v>73.208992950482781</v>
      </c>
      <c r="Z160" s="12">
        <v>5.6910070495172249</v>
      </c>
      <c r="AA160" s="12">
        <v>5.6958423297041776</v>
      </c>
      <c r="AB160" s="12">
        <v>8.4891398094721318E-4</v>
      </c>
      <c r="AC160" s="12">
        <v>0.90916389564420896</v>
      </c>
      <c r="AD160" s="12">
        <v>3.5114532229377362E-4</v>
      </c>
      <c r="AE160" s="12">
        <v>-1.3147344895569</v>
      </c>
      <c r="AF160" s="12">
        <v>-1.1646088029832677</v>
      </c>
      <c r="AG160" s="12">
        <v>0.95350086294885383</v>
      </c>
      <c r="AH160" s="12">
        <v>5.695842329704182</v>
      </c>
    </row>
    <row r="161" spans="24:34" x14ac:dyDescent="0.25">
      <c r="X161">
        <v>78.8</v>
      </c>
      <c r="Y161" s="12">
        <v>73.110358231891595</v>
      </c>
      <c r="Z161" s="12">
        <v>5.6896417681084017</v>
      </c>
      <c r="AA161" s="12">
        <v>5.6944069854220629</v>
      </c>
      <c r="AB161" s="12">
        <v>8.3682415497477814E-4</v>
      </c>
      <c r="AC161" s="12">
        <v>0.90894028670038685</v>
      </c>
      <c r="AD161" s="12">
        <v>3.459700450767741E-4</v>
      </c>
      <c r="AE161" s="12">
        <v>-1.3039878652542525</v>
      </c>
      <c r="AF161" s="12">
        <v>-1.160369412982857</v>
      </c>
      <c r="AG161" s="12">
        <v>0.95338359892563018</v>
      </c>
      <c r="AH161" s="12">
        <v>5.6944069854220603</v>
      </c>
    </row>
    <row r="162" spans="24:34" x14ac:dyDescent="0.25">
      <c r="X162">
        <v>78.3</v>
      </c>
      <c r="Y162" s="12">
        <v>72.913088794709225</v>
      </c>
      <c r="Z162" s="12">
        <v>5.3869112052907724</v>
      </c>
      <c r="AA162" s="12">
        <v>5.3912974135322855</v>
      </c>
      <c r="AB162" s="12">
        <v>8.1357192992130198E-4</v>
      </c>
      <c r="AC162" s="12">
        <v>0.86056800100437669</v>
      </c>
      <c r="AD162" s="12">
        <v>3.0150173859468197E-4</v>
      </c>
      <c r="AE162" s="12">
        <v>-1.3039878652542525</v>
      </c>
      <c r="AF162" s="12">
        <v>-1.1601647244481175</v>
      </c>
      <c r="AG162" s="12">
        <v>0.92766804461745722</v>
      </c>
      <c r="AH162" s="12">
        <v>5.3912974135322793</v>
      </c>
    </row>
    <row r="163" spans="24:34" x14ac:dyDescent="0.25">
      <c r="X163">
        <v>78</v>
      </c>
      <c r="Y163" s="12">
        <v>72.715819357526854</v>
      </c>
      <c r="Z163" s="12">
        <v>5.2841806424731459</v>
      </c>
      <c r="AA163" s="12">
        <v>5.2883666823000368</v>
      </c>
      <c r="AB163" s="12">
        <v>7.9155627405635043E-4</v>
      </c>
      <c r="AC163" s="12">
        <v>0.84414732343861476</v>
      </c>
      <c r="AD163" s="12">
        <v>2.8224886235056267E-4</v>
      </c>
      <c r="AE163" s="12">
        <v>-1.2969062889401866</v>
      </c>
      <c r="AF163" s="12">
        <v>-1.1436089928242146</v>
      </c>
      <c r="AG163" s="12">
        <v>0.91877490357465397</v>
      </c>
      <c r="AH163" s="12">
        <v>5.2883666823000315</v>
      </c>
    </row>
    <row r="164" spans="24:34" x14ac:dyDescent="0.25">
      <c r="X164">
        <v>78</v>
      </c>
      <c r="Y164" s="12">
        <v>77.548920568494935</v>
      </c>
      <c r="Z164" s="12">
        <v>0.45107943150506458</v>
      </c>
      <c r="AA164" s="12">
        <v>0.45184165095679418</v>
      </c>
      <c r="AB164" s="12">
        <v>1.6869171978942366E-3</v>
      </c>
      <c r="AC164" s="12">
        <v>7.209220065752607E-2</v>
      </c>
      <c r="AD164" s="12">
        <v>4.3911024844377673E-6</v>
      </c>
      <c r="AE164" s="12">
        <v>-1.2969062889401866</v>
      </c>
      <c r="AF164" s="12">
        <v>-1.1421933710374781</v>
      </c>
      <c r="AG164" s="12">
        <v>0.26849990811455798</v>
      </c>
      <c r="AH164" s="12">
        <v>0.45184165095678852</v>
      </c>
    </row>
    <row r="165" spans="24:34" x14ac:dyDescent="0.25">
      <c r="X165">
        <v>77.599999999999994</v>
      </c>
      <c r="Y165" s="12">
        <v>77.055746975539009</v>
      </c>
      <c r="Z165" s="12">
        <v>0.54425302446098556</v>
      </c>
      <c r="AA165" s="12">
        <v>0.54510423098386696</v>
      </c>
      <c r="AB165" s="12">
        <v>1.5615481856345104E-3</v>
      </c>
      <c r="AC165" s="12">
        <v>8.6977884756933743E-2</v>
      </c>
      <c r="AD165" s="12">
        <v>5.9159130140928369E-6</v>
      </c>
      <c r="AE165" s="12">
        <v>-1.2898891601746336</v>
      </c>
      <c r="AF165" s="12">
        <v>-1.1336092502192765</v>
      </c>
      <c r="AG165" s="12">
        <v>0.29492013284435797</v>
      </c>
      <c r="AH165" s="12">
        <v>0.54510423098386007</v>
      </c>
    </row>
    <row r="166" spans="24:34" x14ac:dyDescent="0.25">
      <c r="X166">
        <v>70</v>
      </c>
      <c r="Y166" s="12">
        <v>68.869065332470626</v>
      </c>
      <c r="Z166" s="12">
        <v>1.1309346675293739</v>
      </c>
      <c r="AA166" s="12">
        <v>1.1316242909728516</v>
      </c>
      <c r="AB166" s="12">
        <v>6.0941025124618836E-4</v>
      </c>
      <c r="AC166" s="12">
        <v>0.18065023416382034</v>
      </c>
      <c r="AD166" s="12">
        <v>9.9499651973932294E-6</v>
      </c>
      <c r="AE166" s="12">
        <v>-1.2898891601746336</v>
      </c>
      <c r="AF166" s="12">
        <v>-1.1252776145853569</v>
      </c>
      <c r="AG166" s="12">
        <v>0.4250296862147635</v>
      </c>
      <c r="AH166" s="12">
        <v>1.131624290972852</v>
      </c>
    </row>
    <row r="167" spans="24:34" x14ac:dyDescent="0.25">
      <c r="X167">
        <v>69.8</v>
      </c>
      <c r="Y167" s="12">
        <v>76.710525460469853</v>
      </c>
      <c r="Z167" s="12">
        <v>-6.9105254604698558</v>
      </c>
      <c r="AA167" s="12">
        <v>-6.9207570271615708</v>
      </c>
      <c r="AB167" s="12">
        <v>1.4783883687225284E-3</v>
      </c>
      <c r="AC167" s="12">
        <v>-1.1043353558615385</v>
      </c>
      <c r="AD167" s="12">
        <v>9.0282385439461558E-4</v>
      </c>
      <c r="AE167" s="12">
        <v>-1.2898891601746336</v>
      </c>
      <c r="AF167" s="12">
        <v>-1.1213437159676498</v>
      </c>
      <c r="AG167" s="12">
        <v>1.0508736155511464</v>
      </c>
      <c r="AH167" s="12">
        <v>-6.9207570271615664</v>
      </c>
    </row>
    <row r="168" spans="24:34" x14ac:dyDescent="0.25">
      <c r="X168">
        <v>69.400000000000006</v>
      </c>
      <c r="Y168" s="12">
        <v>68.277257020923514</v>
      </c>
      <c r="Z168" s="12">
        <v>1.1227429790764916</v>
      </c>
      <c r="AA168" s="12">
        <v>1.1234430211345625</v>
      </c>
      <c r="AB168" s="12">
        <v>6.2312199631118278E-4</v>
      </c>
      <c r="AC168" s="12">
        <v>0.17934296232626709</v>
      </c>
      <c r="AD168" s="12">
        <v>1.0027264416835689E-5</v>
      </c>
      <c r="AE168" s="12">
        <v>-1.2898891601746336</v>
      </c>
      <c r="AF168" s="12">
        <v>-1.1207264827822656</v>
      </c>
      <c r="AG168" s="12">
        <v>0.42348903448172903</v>
      </c>
      <c r="AH168" s="12">
        <v>1.1234430211345627</v>
      </c>
    </row>
    <row r="169" spans="24:34" x14ac:dyDescent="0.25">
      <c r="X169">
        <v>69.400000000000006</v>
      </c>
      <c r="Y169" s="12">
        <v>68.326574380219114</v>
      </c>
      <c r="Z169" s="12">
        <v>1.0734256197808918</v>
      </c>
      <c r="AA169" s="12">
        <v>1.0740932270235106</v>
      </c>
      <c r="AB169" s="12">
        <v>6.2155428023054436E-4</v>
      </c>
      <c r="AC169" s="12">
        <v>0.17146504861807152</v>
      </c>
      <c r="AD169" s="12">
        <v>9.1426122517300882E-6</v>
      </c>
      <c r="AE169" s="12">
        <v>-1.2760422901524544</v>
      </c>
      <c r="AF169" s="12">
        <v>-1.1135468703960003</v>
      </c>
      <c r="AG169" s="12">
        <v>0.41408338365366887</v>
      </c>
      <c r="AH169" s="12">
        <v>1.0740932270235148</v>
      </c>
    </row>
    <row r="170" spans="24:34" x14ac:dyDescent="0.25">
      <c r="X170">
        <v>69.5</v>
      </c>
      <c r="Y170" s="12">
        <v>68.425209098810299</v>
      </c>
      <c r="Z170" s="12">
        <v>1.0747909011897008</v>
      </c>
      <c r="AA170" s="12">
        <v>1.0754562329461805</v>
      </c>
      <c r="AB170" s="12">
        <v>6.1865070479211626E-4</v>
      </c>
      <c r="AC170" s="12">
        <v>0.17168288423182912</v>
      </c>
      <c r="AD170" s="12">
        <v>9.1230126603216679E-6</v>
      </c>
      <c r="AE170" s="12">
        <v>-1.2726185683477402</v>
      </c>
      <c r="AF170" s="12">
        <v>-1.1134354575333176</v>
      </c>
      <c r="AG170" s="12">
        <v>0.4143463336773105</v>
      </c>
      <c r="AH170" s="12">
        <v>1.0754562329461861</v>
      </c>
    </row>
    <row r="171" spans="24:34" x14ac:dyDescent="0.25">
      <c r="X171">
        <v>69.5</v>
      </c>
      <c r="Y171" s="12">
        <v>68.523843817401485</v>
      </c>
      <c r="Z171" s="12">
        <v>0.97615618259851544</v>
      </c>
      <c r="AA171" s="12">
        <v>0.97675792044128684</v>
      </c>
      <c r="AB171" s="12">
        <v>6.1605627165081927E-4</v>
      </c>
      <c r="AC171" s="12">
        <v>0.15592715864076986</v>
      </c>
      <c r="AD171" s="12">
        <v>7.4937905417786186E-6</v>
      </c>
      <c r="AE171" s="12">
        <v>-1.2726185683477402</v>
      </c>
      <c r="AF171" s="12">
        <v>-1.1124282413424851</v>
      </c>
      <c r="AG171" s="12">
        <v>0.39487613075592437</v>
      </c>
      <c r="AH171" s="12">
        <v>0.97675792044128795</v>
      </c>
    </row>
    <row r="172" spans="24:34" x14ac:dyDescent="0.25">
      <c r="X172">
        <v>69.599999999999994</v>
      </c>
      <c r="Y172" s="12">
        <v>68.671795895288255</v>
      </c>
      <c r="Z172" s="12">
        <v>0.92820410471173886</v>
      </c>
      <c r="AA172" s="12">
        <v>0.92877320516552686</v>
      </c>
      <c r="AB172" s="12">
        <v>6.1274426374599501E-4</v>
      </c>
      <c r="AC172" s="12">
        <v>0.14826724600241126</v>
      </c>
      <c r="AD172" s="12">
        <v>6.7391619519407668E-6</v>
      </c>
      <c r="AE172" s="12">
        <v>-1.2726185683477402</v>
      </c>
      <c r="AF172" s="12">
        <v>-1.1043353558615385</v>
      </c>
      <c r="AG172" s="12">
        <v>0.38505486102945286</v>
      </c>
      <c r="AH172" s="12">
        <v>0.92877320516552508</v>
      </c>
    </row>
    <row r="173" spans="24:34" x14ac:dyDescent="0.25">
      <c r="X173">
        <v>69.599999999999994</v>
      </c>
      <c r="Y173" s="12">
        <v>68.671795895288255</v>
      </c>
      <c r="Z173" s="12">
        <v>0.92820410471173886</v>
      </c>
      <c r="AA173" s="12">
        <v>0.92877320516552686</v>
      </c>
      <c r="AB173" s="12">
        <v>6.1274426374599501E-4</v>
      </c>
      <c r="AC173" s="12">
        <v>0.14826724600241126</v>
      </c>
      <c r="AD173" s="12">
        <v>6.7391619519407668E-6</v>
      </c>
      <c r="AE173" s="12">
        <v>-1.2726185683477402</v>
      </c>
      <c r="AF173" s="12">
        <v>-1.0877737008270314</v>
      </c>
      <c r="AG173" s="12">
        <v>0.38505486102945286</v>
      </c>
      <c r="AH173" s="12">
        <v>0.92877320516552508</v>
      </c>
    </row>
    <row r="174" spans="24:34" x14ac:dyDescent="0.25">
      <c r="X174">
        <v>69.400000000000006</v>
      </c>
      <c r="Y174" s="12">
        <v>68.523843817401485</v>
      </c>
      <c r="Z174" s="12">
        <v>0.87615618259852113</v>
      </c>
      <c r="AA174" s="12">
        <v>0.87669627683820295</v>
      </c>
      <c r="AB174" s="12">
        <v>6.1605627165081927E-4</v>
      </c>
      <c r="AC174" s="12">
        <v>0.13995357148121462</v>
      </c>
      <c r="AD174" s="12">
        <v>6.0370669378898411E-6</v>
      </c>
      <c r="AE174" s="12">
        <v>-1.2726185683477402</v>
      </c>
      <c r="AF174" s="12">
        <v>-1.0852193527501155</v>
      </c>
      <c r="AG174" s="12">
        <v>0.37410369081474543</v>
      </c>
      <c r="AH174" s="12">
        <v>0.87669627683820028</v>
      </c>
    </row>
    <row r="175" spans="24:34" x14ac:dyDescent="0.25">
      <c r="X175">
        <v>69</v>
      </c>
      <c r="Y175" s="12">
        <v>68.178622302332343</v>
      </c>
      <c r="Z175" s="12">
        <v>0.821377697667657</v>
      </c>
      <c r="AA175" s="12">
        <v>0.82189260457801083</v>
      </c>
      <c r="AB175" s="12">
        <v>6.2648928519530773E-4</v>
      </c>
      <c r="AC175" s="12">
        <v>0.13120416729721907</v>
      </c>
      <c r="AD175" s="12">
        <v>5.395740772533507E-6</v>
      </c>
      <c r="AE175" s="12">
        <v>-1.2726185683477402</v>
      </c>
      <c r="AF175" s="12">
        <v>-1.0775724046239485</v>
      </c>
      <c r="AG175" s="12">
        <v>0.36222115799221211</v>
      </c>
      <c r="AH175" s="12">
        <v>0.82189260457800639</v>
      </c>
    </row>
    <row r="176" spans="24:34" x14ac:dyDescent="0.25">
      <c r="X176">
        <v>68.7</v>
      </c>
      <c r="Y176" s="12">
        <v>67.882718146558773</v>
      </c>
      <c r="Z176" s="12">
        <v>0.81728185344123006</v>
      </c>
      <c r="AA176" s="12">
        <v>0.81780397712381614</v>
      </c>
      <c r="AB176" s="12">
        <v>6.384460056304697E-4</v>
      </c>
      <c r="AC176" s="12">
        <v>0.13055069160540933</v>
      </c>
      <c r="AD176" s="12">
        <v>5.4441476411130497E-6</v>
      </c>
      <c r="AE176" s="12">
        <v>-1.2523823790942721</v>
      </c>
      <c r="AF176" s="12">
        <v>-1.0771166529986758</v>
      </c>
      <c r="AG176" s="12">
        <v>0.36131799236324963</v>
      </c>
      <c r="AH176" s="12">
        <v>0.81780397712381347</v>
      </c>
    </row>
    <row r="177" spans="24:34" x14ac:dyDescent="0.25">
      <c r="X177">
        <v>68.400000000000006</v>
      </c>
      <c r="Y177" s="12">
        <v>76.562573382583082</v>
      </c>
      <c r="Z177" s="12">
        <v>-8.1625733825830764</v>
      </c>
      <c r="AA177" s="12">
        <v>-8.1743764279018194</v>
      </c>
      <c r="AB177" s="12">
        <v>1.4439077308030642E-3</v>
      </c>
      <c r="AC177" s="12">
        <v>-1.3043961416104866</v>
      </c>
      <c r="AD177" s="12">
        <v>1.2301441093567889E-3</v>
      </c>
      <c r="AE177" s="12">
        <v>-1.2523823790942721</v>
      </c>
      <c r="AF177" s="12">
        <v>-1.0762071985122057</v>
      </c>
      <c r="AG177" s="12">
        <v>1.1421016336607204</v>
      </c>
      <c r="AH177" s="12">
        <v>-8.1743764279018176</v>
      </c>
    </row>
    <row r="178" spans="24:34" x14ac:dyDescent="0.25">
      <c r="X178">
        <v>68.5</v>
      </c>
      <c r="Y178" s="12">
        <v>67.784083427967602</v>
      </c>
      <c r="Z178" s="12">
        <v>0.71591657203239834</v>
      </c>
      <c r="AA178" s="12">
        <v>0.71637723831786104</v>
      </c>
      <c r="AB178" s="12">
        <v>6.4304986370311915E-4</v>
      </c>
      <c r="AC178" s="12">
        <v>0.11435910206666261</v>
      </c>
      <c r="AD178" s="12">
        <v>4.2076101204706433E-6</v>
      </c>
      <c r="AE178" s="12">
        <v>-1.2523823790942721</v>
      </c>
      <c r="AF178" s="12">
        <v>-1.073404960559412</v>
      </c>
      <c r="AG178" s="12">
        <v>0.33817022646392542</v>
      </c>
      <c r="AH178" s="12">
        <v>0.7163772383178586</v>
      </c>
    </row>
    <row r="179" spans="24:34" x14ac:dyDescent="0.25">
      <c r="X179">
        <v>68.2</v>
      </c>
      <c r="Y179" s="12">
        <v>76.562573382583082</v>
      </c>
      <c r="Z179" s="12">
        <v>-8.3625733825830793</v>
      </c>
      <c r="AA179" s="12">
        <v>-8.3746656270248252</v>
      </c>
      <c r="AB179" s="12">
        <v>1.4439077308030642E-3</v>
      </c>
      <c r="AC179" s="12">
        <v>-1.3363565560649222</v>
      </c>
      <c r="AD179" s="12">
        <v>1.2911647994613164E-3</v>
      </c>
      <c r="AE179" s="12">
        <v>-1.2523823790942721</v>
      </c>
      <c r="AF179" s="12">
        <v>-1.0729922473995437</v>
      </c>
      <c r="AG179" s="12">
        <v>1.1560088909973496</v>
      </c>
      <c r="AH179" s="12">
        <v>-8.3746656270248305</v>
      </c>
    </row>
    <row r="180" spans="24:34" x14ac:dyDescent="0.25">
      <c r="X180">
        <v>68.3</v>
      </c>
      <c r="Y180" s="12">
        <v>67.932035505854373</v>
      </c>
      <c r="Z180" s="12">
        <v>0.3679644941456246</v>
      </c>
      <c r="AA180" s="12">
        <v>0.36819876429321141</v>
      </c>
      <c r="AB180" s="12">
        <v>6.3626000495556898E-4</v>
      </c>
      <c r="AC180" s="12">
        <v>5.8777723322315095E-2</v>
      </c>
      <c r="AD180" s="12">
        <v>1.0997818838333935E-6</v>
      </c>
      <c r="AE180" s="12">
        <v>-1.2523823790942721</v>
      </c>
      <c r="AF180" s="12">
        <v>-1.0729069924714176</v>
      </c>
      <c r="AG180" s="12">
        <v>0.24244117497305423</v>
      </c>
      <c r="AH180" s="12">
        <v>0.36819876429321841</v>
      </c>
    </row>
    <row r="181" spans="24:34" x14ac:dyDescent="0.25">
      <c r="X181">
        <v>59.7</v>
      </c>
      <c r="Y181" s="12">
        <v>65.170263385301183</v>
      </c>
      <c r="Z181" s="12">
        <v>-5.4702633853011804</v>
      </c>
      <c r="AA181" s="12">
        <v>-5.4750688303669222</v>
      </c>
      <c r="AB181" s="12">
        <v>8.7769582714551707E-4</v>
      </c>
      <c r="AC181" s="12">
        <v>-0.87391169260395951</v>
      </c>
      <c r="AD181" s="12">
        <v>3.3545207599097976E-4</v>
      </c>
      <c r="AE181" s="12">
        <v>-1.2359023985485402</v>
      </c>
      <c r="AF181" s="12">
        <v>-1.0663156610634554</v>
      </c>
      <c r="AG181" s="12">
        <v>0.93483244092401907</v>
      </c>
      <c r="AH181" s="12">
        <v>-5.4750688303669275</v>
      </c>
    </row>
    <row r="182" spans="24:34" x14ac:dyDescent="0.25">
      <c r="X182">
        <v>59.5</v>
      </c>
      <c r="Y182" s="12">
        <v>65.219580744596783</v>
      </c>
      <c r="Z182" s="12">
        <v>-5.719580744596783</v>
      </c>
      <c r="AA182" s="12">
        <v>-5.7245683269590444</v>
      </c>
      <c r="AB182" s="12">
        <v>8.7125911988506226E-4</v>
      </c>
      <c r="AC182" s="12">
        <v>-0.91373888910478707</v>
      </c>
      <c r="AD182" s="12">
        <v>3.6403245749966291E-4</v>
      </c>
      <c r="AE182" s="12">
        <v>-1.2359023985485402</v>
      </c>
      <c r="AF182" s="12">
        <v>-1.0651036684463311</v>
      </c>
      <c r="AG182" s="12">
        <v>0.95589690296850893</v>
      </c>
      <c r="AH182" s="12">
        <v>-5.7245683269590515</v>
      </c>
    </row>
    <row r="183" spans="24:34" x14ac:dyDescent="0.25">
      <c r="X183">
        <v>59.3</v>
      </c>
      <c r="Y183" s="12">
        <v>65.219580744596783</v>
      </c>
      <c r="Z183" s="12">
        <v>-5.9195807445967858</v>
      </c>
      <c r="AA183" s="12">
        <v>-5.9247427307339109</v>
      </c>
      <c r="AB183" s="12">
        <v>8.7125911988506226E-4</v>
      </c>
      <c r="AC183" s="12">
        <v>-0.94569014322312428</v>
      </c>
      <c r="AD183" s="12">
        <v>3.899362532042299E-4</v>
      </c>
      <c r="AE183" s="12">
        <v>-1.2294035019788656</v>
      </c>
      <c r="AF183" s="12">
        <v>-1.0568060167926645</v>
      </c>
      <c r="AG183" s="12">
        <v>0.97246601134596178</v>
      </c>
      <c r="AH183" s="12">
        <v>-5.9247427307339109</v>
      </c>
    </row>
    <row r="184" spans="24:34" x14ac:dyDescent="0.25">
      <c r="X184">
        <v>59.1</v>
      </c>
      <c r="Y184" s="12">
        <v>65.219580744596783</v>
      </c>
      <c r="Z184" s="12">
        <v>-6.1195807445967816</v>
      </c>
      <c r="AA184" s="12">
        <v>-6.1249171345087561</v>
      </c>
      <c r="AB184" s="12">
        <v>8.7125911988506226E-4</v>
      </c>
      <c r="AC184" s="12">
        <v>-0.97764139734146027</v>
      </c>
      <c r="AD184" s="12">
        <v>4.1673027783907117E-4</v>
      </c>
      <c r="AE184" s="12">
        <v>-1.2294035019788656</v>
      </c>
      <c r="AF184" s="12">
        <v>-1.0451614917824033</v>
      </c>
      <c r="AG184" s="12">
        <v>0.98875750178770339</v>
      </c>
      <c r="AH184" s="12">
        <v>-6.1249171345087623</v>
      </c>
    </row>
    <row r="185" spans="24:34" x14ac:dyDescent="0.25">
      <c r="X185">
        <v>58.7</v>
      </c>
      <c r="Y185" s="12">
        <v>65.071628666709998</v>
      </c>
      <c r="Z185" s="12">
        <v>-6.3716286667099951</v>
      </c>
      <c r="AA185" s="12">
        <v>-6.3773095810896052</v>
      </c>
      <c r="AB185" s="12">
        <v>8.9080109838927468E-4</v>
      </c>
      <c r="AC185" s="12">
        <v>-1.0179175881722942</v>
      </c>
      <c r="AD185" s="12">
        <v>4.6191602309687255E-4</v>
      </c>
      <c r="AE185" s="12">
        <v>-1.2294035019788656</v>
      </c>
      <c r="AF185" s="12">
        <v>-1.0414457902872525</v>
      </c>
      <c r="AG185" s="12">
        <v>1.008919019630562</v>
      </c>
      <c r="AH185" s="12">
        <v>-6.3773095810895981</v>
      </c>
    </row>
    <row r="186" spans="24:34" x14ac:dyDescent="0.25">
      <c r="X186">
        <v>58.4</v>
      </c>
      <c r="Y186" s="12">
        <v>64.825041870232042</v>
      </c>
      <c r="Z186" s="12">
        <v>-6.4250418702320431</v>
      </c>
      <c r="AA186" s="12">
        <v>-6.4309900007574825</v>
      </c>
      <c r="AB186" s="12">
        <v>9.2491677404861797E-4</v>
      </c>
      <c r="AC186" s="12">
        <v>-1.0264682909085179</v>
      </c>
      <c r="AD186" s="12">
        <v>4.8771443319430604E-4</v>
      </c>
      <c r="AE186" s="12">
        <v>-1.2197514087080794</v>
      </c>
      <c r="AF186" s="12">
        <v>-1.0317027654516477</v>
      </c>
      <c r="AG186" s="12">
        <v>1.013147714259139</v>
      </c>
      <c r="AH186" s="12">
        <v>-6.4309900007574825</v>
      </c>
    </row>
    <row r="187" spans="24:34" x14ac:dyDescent="0.25">
      <c r="X187">
        <v>57.6</v>
      </c>
      <c r="Y187" s="12">
        <v>63.888012043615781</v>
      </c>
      <c r="Z187" s="12">
        <v>-6.2880120436157796</v>
      </c>
      <c r="AA187" s="12">
        <v>-6.2947611445838163</v>
      </c>
      <c r="AB187" s="12">
        <v>1.0721774524905998E-3</v>
      </c>
      <c r="AC187" s="12">
        <v>-1.0046503729510565</v>
      </c>
      <c r="AD187" s="12">
        <v>5.4166710796696481E-4</v>
      </c>
      <c r="AE187" s="12">
        <v>-1.2197514087080794</v>
      </c>
      <c r="AF187" s="12">
        <v>-1.0264682909085179</v>
      </c>
      <c r="AG187" s="12">
        <v>1.0023224894967968</v>
      </c>
      <c r="AH187" s="12">
        <v>-6.2947611445838163</v>
      </c>
    </row>
    <row r="188" spans="24:34" x14ac:dyDescent="0.25">
      <c r="X188">
        <v>57.1</v>
      </c>
      <c r="Y188" s="12">
        <v>63.641425247137818</v>
      </c>
      <c r="Z188" s="12">
        <v>-6.5414252471378163</v>
      </c>
      <c r="AA188" s="12">
        <v>-6.5487307977078899</v>
      </c>
      <c r="AB188" s="12">
        <v>1.115567397063879E-3</v>
      </c>
      <c r="AC188" s="12">
        <v>-1.0451614917824033</v>
      </c>
      <c r="AD188" s="12">
        <v>6.0998249646282139E-4</v>
      </c>
      <c r="AE188" s="12">
        <v>-1.2197514087080794</v>
      </c>
      <c r="AF188" s="12">
        <v>-1.024264416034093</v>
      </c>
      <c r="AG188" s="12">
        <v>1.0223314001743287</v>
      </c>
      <c r="AH188" s="12">
        <v>-6.5487307977078872</v>
      </c>
    </row>
    <row r="189" spans="24:34" x14ac:dyDescent="0.25">
      <c r="X189">
        <v>56.8</v>
      </c>
      <c r="Y189" s="12">
        <v>63.592107887842225</v>
      </c>
      <c r="Z189" s="12">
        <v>-6.7921078878422279</v>
      </c>
      <c r="AA189" s="12">
        <v>-6.7997540565347663</v>
      </c>
      <c r="AB189" s="12">
        <v>1.1244772427013831E-3</v>
      </c>
      <c r="AC189" s="12">
        <v>-1.0852193527501155</v>
      </c>
      <c r="AD189" s="12">
        <v>6.6289442079809128E-4</v>
      </c>
      <c r="AE189" s="12">
        <v>-1.210211632562187</v>
      </c>
      <c r="AF189" s="12">
        <v>-1.0199479245186516</v>
      </c>
      <c r="AG189" s="12">
        <v>1.0417386201682817</v>
      </c>
      <c r="AH189" s="12">
        <v>-6.7997540565347672</v>
      </c>
    </row>
    <row r="190" spans="24:34" x14ac:dyDescent="0.25">
      <c r="X190">
        <v>56.5</v>
      </c>
      <c r="Y190" s="12">
        <v>63.542790528546632</v>
      </c>
      <c r="Z190" s="12">
        <v>-7.0427905285466323</v>
      </c>
      <c r="AA190" s="12">
        <v>-7.0507823391362621</v>
      </c>
      <c r="AB190" s="12">
        <v>1.1334643739131702E-3</v>
      </c>
      <c r="AC190" s="12">
        <v>-1.1252776145853569</v>
      </c>
      <c r="AD190" s="12">
        <v>7.1843879209302524E-4</v>
      </c>
      <c r="AE190" s="12">
        <v>-1.207056068729359</v>
      </c>
      <c r="AF190" s="12">
        <v>-1.0179175881722942</v>
      </c>
      <c r="AG190" s="12">
        <v>1.0607910324778189</v>
      </c>
      <c r="AH190" s="12">
        <v>-7.0507823391362594</v>
      </c>
    </row>
    <row r="191" spans="24:34" x14ac:dyDescent="0.25">
      <c r="X191">
        <v>56.1</v>
      </c>
      <c r="Y191" s="12">
        <v>63.542790528546632</v>
      </c>
      <c r="Z191" s="12">
        <v>-7.4427905285466309</v>
      </c>
      <c r="AA191" s="12">
        <v>-7.4512362393655636</v>
      </c>
      <c r="AB191" s="12">
        <v>1.1334643739131702E-3</v>
      </c>
      <c r="AC191" s="12">
        <v>-1.1891885095650812</v>
      </c>
      <c r="AD191" s="12">
        <v>8.0236471833263477E-4</v>
      </c>
      <c r="AE191" s="12">
        <v>-1.207056068729359</v>
      </c>
      <c r="AF191" s="12">
        <v>-1.0161853970524937</v>
      </c>
      <c r="AG191" s="12">
        <v>1.0904992020011208</v>
      </c>
      <c r="AH191" s="12">
        <v>-7.4512362393655627</v>
      </c>
    </row>
    <row r="192" spans="24:34" x14ac:dyDescent="0.25">
      <c r="X192">
        <v>55.8</v>
      </c>
      <c r="Y192" s="12">
        <v>63.542790528546632</v>
      </c>
      <c r="Z192" s="12">
        <v>-7.7427905285466352</v>
      </c>
      <c r="AA192" s="12">
        <v>-7.751576664537545</v>
      </c>
      <c r="AB192" s="12">
        <v>1.1334643739131702E-3</v>
      </c>
      <c r="AC192" s="12">
        <v>-1.2371216807998753</v>
      </c>
      <c r="AD192" s="12">
        <v>8.6835088506009069E-4</v>
      </c>
      <c r="AE192" s="12">
        <v>-1.207056068729359</v>
      </c>
      <c r="AF192" s="12">
        <v>-1.0145720549218116</v>
      </c>
      <c r="AG192" s="12">
        <v>1.112259718231257</v>
      </c>
      <c r="AH192" s="12">
        <v>-7.751576664537545</v>
      </c>
    </row>
    <row r="193" spans="24:34" x14ac:dyDescent="0.25">
      <c r="X193">
        <v>55.6</v>
      </c>
      <c r="Y193" s="12">
        <v>63.641425247137818</v>
      </c>
      <c r="Z193" s="12">
        <v>-8.0414252471378163</v>
      </c>
      <c r="AA193" s="12">
        <v>-8.0504060176242049</v>
      </c>
      <c r="AB193" s="12">
        <v>1.115567397063879E-3</v>
      </c>
      <c r="AC193" s="12">
        <v>-1.2848252009044432</v>
      </c>
      <c r="AD193" s="12">
        <v>9.2180416410220809E-4</v>
      </c>
      <c r="AE193" s="12">
        <v>-1.207056068729359</v>
      </c>
      <c r="AF193" s="12">
        <v>-1.0127523775481819</v>
      </c>
      <c r="AG193" s="12">
        <v>1.1335013016774367</v>
      </c>
      <c r="AH193" s="12">
        <v>-8.0504060176242049</v>
      </c>
    </row>
    <row r="194" spans="24:34" x14ac:dyDescent="0.25">
      <c r="X194">
        <v>69.400000000000006</v>
      </c>
      <c r="Y194" s="12">
        <v>66.945688319942519</v>
      </c>
      <c r="Z194" s="12">
        <v>2.4543116800574865</v>
      </c>
      <c r="AA194" s="12">
        <v>2.4560177878798015</v>
      </c>
      <c r="AB194" s="12">
        <v>6.9466427756731419E-4</v>
      </c>
      <c r="AC194" s="12">
        <v>0.39205703459412394</v>
      </c>
      <c r="AD194" s="12">
        <v>5.3425090404622493E-5</v>
      </c>
      <c r="AE194" s="12">
        <v>-1.207056068729359</v>
      </c>
      <c r="AF194" s="12">
        <v>-1.0084717513234311</v>
      </c>
      <c r="AG194" s="12">
        <v>0.62614457962528425</v>
      </c>
      <c r="AH194" s="12">
        <v>2.4560177878797966</v>
      </c>
    </row>
    <row r="195" spans="24:34" x14ac:dyDescent="0.25">
      <c r="X195">
        <v>69.099999999999994</v>
      </c>
      <c r="Y195" s="12">
        <v>66.797736242055748</v>
      </c>
      <c r="Z195" s="12">
        <v>2.302263757944246</v>
      </c>
      <c r="AA195" s="12">
        <v>2.303890514925655</v>
      </c>
      <c r="AB195" s="12">
        <v>7.0609127077183231E-4</v>
      </c>
      <c r="AC195" s="12">
        <v>0.36777067471320446</v>
      </c>
      <c r="AD195" s="12">
        <v>4.7785023034233277E-5</v>
      </c>
      <c r="AE195" s="12">
        <v>-1.1914554566319386</v>
      </c>
      <c r="AF195" s="12">
        <v>-1.0069037241178576</v>
      </c>
      <c r="AG195" s="12">
        <v>0.6064409902976583</v>
      </c>
      <c r="AH195" s="12">
        <v>2.3038905149256488</v>
      </c>
    </row>
    <row r="196" spans="24:34" x14ac:dyDescent="0.25">
      <c r="X196">
        <v>68.7</v>
      </c>
      <c r="Y196" s="12">
        <v>66.600466804873378</v>
      </c>
      <c r="Z196" s="12">
        <v>2.0995331951266252</v>
      </c>
      <c r="AA196" s="12">
        <v>2.1010510138342227</v>
      </c>
      <c r="AB196" s="12">
        <v>7.2240925975114922E-4</v>
      </c>
      <c r="AC196" s="12">
        <v>0.33538861112666279</v>
      </c>
      <c r="AD196" s="12">
        <v>4.0659663706541737E-5</v>
      </c>
      <c r="AE196" s="12">
        <v>-1.1914554566319386</v>
      </c>
      <c r="AF196" s="12">
        <v>-1.0046503729510565</v>
      </c>
      <c r="AG196" s="12">
        <v>0.57912745671973009</v>
      </c>
      <c r="AH196" s="12">
        <v>2.1010510138342289</v>
      </c>
    </row>
    <row r="197" spans="24:34" x14ac:dyDescent="0.25">
      <c r="X197">
        <v>68.3</v>
      </c>
      <c r="Y197" s="12">
        <v>66.501832086282192</v>
      </c>
      <c r="Z197" s="12">
        <v>1.7981679137178048</v>
      </c>
      <c r="AA197" s="12">
        <v>1.7994833936038503</v>
      </c>
      <c r="AB197" s="12">
        <v>7.3103196768650443E-4</v>
      </c>
      <c r="AC197" s="12">
        <v>0.28724844292237545</v>
      </c>
      <c r="AD197" s="12">
        <v>3.0181397059512932E-5</v>
      </c>
      <c r="AE197" s="12">
        <v>-1.1914554566319386</v>
      </c>
      <c r="AF197" s="12">
        <v>-1.0016004955874864</v>
      </c>
      <c r="AG197" s="12">
        <v>0.53595563521841572</v>
      </c>
      <c r="AH197" s="12">
        <v>1.7994833936038503</v>
      </c>
    </row>
    <row r="198" spans="24:34" x14ac:dyDescent="0.25">
      <c r="X198">
        <v>67.900000000000006</v>
      </c>
      <c r="Y198" s="12">
        <v>66.353880008395407</v>
      </c>
      <c r="Z198" s="12">
        <v>1.5461199916045985</v>
      </c>
      <c r="AA198" s="12">
        <v>1.5472720062793428</v>
      </c>
      <c r="AB198" s="12">
        <v>7.4454567139665875E-4</v>
      </c>
      <c r="AC198" s="12">
        <v>0.24698670232856398</v>
      </c>
      <c r="AD198" s="12">
        <v>2.2726468914248185E-5</v>
      </c>
      <c r="AE198" s="12">
        <v>-1.182232646923248</v>
      </c>
      <c r="AF198" s="12">
        <v>-0.99791044969415788</v>
      </c>
      <c r="AG198" s="12">
        <v>0.49697756722870701</v>
      </c>
      <c r="AH198" s="12">
        <v>1.547272006279347</v>
      </c>
    </row>
    <row r="199" spans="24:34" x14ac:dyDescent="0.25">
      <c r="X199">
        <v>67.400000000000006</v>
      </c>
      <c r="Y199" s="12">
        <v>66.156610571213037</v>
      </c>
      <c r="Z199" s="12">
        <v>1.2433894287869691</v>
      </c>
      <c r="AA199" s="12">
        <v>1.2443396637204529</v>
      </c>
      <c r="AB199" s="12">
        <v>7.6364594105015639E-4</v>
      </c>
      <c r="AC199" s="12">
        <v>0.19862856147896779</v>
      </c>
      <c r="AD199" s="12">
        <v>1.5075690768366629E-5</v>
      </c>
      <c r="AE199" s="12">
        <v>-1.182232646923248</v>
      </c>
      <c r="AF199" s="12">
        <v>-0.98238738877588683</v>
      </c>
      <c r="AG199" s="12">
        <v>0.44567764301002105</v>
      </c>
      <c r="AH199" s="12">
        <v>1.2443396637204569</v>
      </c>
    </row>
    <row r="200" spans="24:34" x14ac:dyDescent="0.25">
      <c r="X200">
        <v>67</v>
      </c>
      <c r="Y200" s="12">
        <v>66.057975852621851</v>
      </c>
      <c r="Z200" s="12">
        <v>0.94202414737814877</v>
      </c>
      <c r="AA200" s="12">
        <v>0.94275351786616568</v>
      </c>
      <c r="AB200" s="12">
        <v>7.7365978932260207E-4</v>
      </c>
      <c r="AC200" s="12">
        <v>0.15048691465701367</v>
      </c>
      <c r="AD200" s="12">
        <v>8.7670530018093548E-6</v>
      </c>
      <c r="AE200" s="12">
        <v>-1.182232646923248</v>
      </c>
      <c r="AF200" s="12">
        <v>-0.98234217360607023</v>
      </c>
      <c r="AG200" s="12">
        <v>0.38792642943864197</v>
      </c>
      <c r="AH200" s="12">
        <v>0.94275351786616424</v>
      </c>
    </row>
    <row r="201" spans="24:34" x14ac:dyDescent="0.25">
      <c r="X201">
        <v>66.5</v>
      </c>
      <c r="Y201" s="12">
        <v>65.860706415439481</v>
      </c>
      <c r="Z201" s="12">
        <v>0.63929358456051943</v>
      </c>
      <c r="AA201" s="12">
        <v>0.63980198075563521</v>
      </c>
      <c r="AB201" s="12">
        <v>7.9461491275888715E-4</v>
      </c>
      <c r="AC201" s="12">
        <v>0.10212724181411238</v>
      </c>
      <c r="AD201" s="12">
        <v>4.1472016778573667E-6</v>
      </c>
      <c r="AE201" s="12">
        <v>-1.182232646923248</v>
      </c>
      <c r="AF201" s="12">
        <v>-0.97764139734146027</v>
      </c>
      <c r="AG201" s="12">
        <v>0.31957353115380566</v>
      </c>
      <c r="AH201" s="12">
        <v>0.63980198075564054</v>
      </c>
    </row>
    <row r="202" spans="24:34" x14ac:dyDescent="0.25">
      <c r="X202">
        <v>65.8</v>
      </c>
      <c r="Y202" s="12">
        <v>65.515484900370339</v>
      </c>
      <c r="Z202" s="12">
        <v>0.28451509962965815</v>
      </c>
      <c r="AA202" s="12">
        <v>0.28475265791550441</v>
      </c>
      <c r="AB202" s="12">
        <v>8.3426187338227317E-4</v>
      </c>
      <c r="AC202" s="12">
        <v>4.5452229714775673E-2</v>
      </c>
      <c r="AD202" s="12">
        <v>8.6247249328790889E-7</v>
      </c>
      <c r="AE202" s="12">
        <v>-1.1700898139672218</v>
      </c>
      <c r="AF202" s="12">
        <v>-0.95917963446222898</v>
      </c>
      <c r="AG202" s="12">
        <v>0.21319528539528185</v>
      </c>
      <c r="AH202" s="12">
        <v>0.28475265791550131</v>
      </c>
    </row>
    <row r="203" spans="24:34" x14ac:dyDescent="0.25">
      <c r="X203">
        <v>65</v>
      </c>
      <c r="Y203" s="12">
        <v>65.071628666709998</v>
      </c>
      <c r="Z203" s="12">
        <v>-7.1628666709997901E-2</v>
      </c>
      <c r="AA203" s="12">
        <v>-7.1692530494914308E-2</v>
      </c>
      <c r="AB203" s="12">
        <v>8.9080109838927468E-4</v>
      </c>
      <c r="AC203" s="12">
        <v>-1.1443240570873769E-2</v>
      </c>
      <c r="AD203" s="12">
        <v>5.8376203473370399E-8</v>
      </c>
      <c r="AE203" s="12">
        <v>-1.1700898139672218</v>
      </c>
      <c r="AF203" s="12">
        <v>-0.95191793309764339</v>
      </c>
      <c r="AG203" s="12">
        <v>0.10697308339425282</v>
      </c>
      <c r="AH203" s="12">
        <v>-7.1692530494909076E-2</v>
      </c>
    </row>
    <row r="204" spans="24:34" x14ac:dyDescent="0.25">
      <c r="X204">
        <v>64.2</v>
      </c>
      <c r="Y204" s="12">
        <v>64.627772433049671</v>
      </c>
      <c r="Z204" s="12">
        <v>-0.42777243304966817</v>
      </c>
      <c r="AA204" s="12">
        <v>-0.4281807464042231</v>
      </c>
      <c r="AB204" s="12">
        <v>9.5360045491318295E-4</v>
      </c>
      <c r="AC204" s="12">
        <v>-6.8342144769281674E-2</v>
      </c>
      <c r="AD204" s="12">
        <v>2.2290920503571977E-6</v>
      </c>
      <c r="AE204" s="12">
        <v>-1.1700898139672218</v>
      </c>
      <c r="AF204" s="12">
        <v>-0.95020349627913359</v>
      </c>
      <c r="AG204" s="12">
        <v>0.26142330571179317</v>
      </c>
      <c r="AH204" s="12">
        <v>-0.42818074640422432</v>
      </c>
    </row>
    <row r="205" spans="24:34" x14ac:dyDescent="0.25">
      <c r="X205">
        <v>63.3</v>
      </c>
      <c r="Y205" s="12">
        <v>64.134598840093744</v>
      </c>
      <c r="Z205" s="12">
        <v>-0.83459884009374719</v>
      </c>
      <c r="AA205" s="12">
        <v>-0.83545996509428733</v>
      </c>
      <c r="AB205" s="12">
        <v>1.030719647274391E-3</v>
      </c>
      <c r="AC205" s="12">
        <v>-0.13334303930465358</v>
      </c>
      <c r="AD205" s="12">
        <v>9.172740877720179E-6</v>
      </c>
      <c r="AE205" s="12">
        <v>-1.1700898139672218</v>
      </c>
      <c r="AF205" s="12">
        <v>-0.94952265339111408</v>
      </c>
      <c r="AG205" s="12">
        <v>0.36516166187683718</v>
      </c>
      <c r="AH205" s="12">
        <v>-0.83545996509428111</v>
      </c>
    </row>
    <row r="206" spans="24:34" x14ac:dyDescent="0.25">
      <c r="X206">
        <v>62.5</v>
      </c>
      <c r="Y206" s="12">
        <v>63.69074260643341</v>
      </c>
      <c r="Z206" s="12">
        <v>-1.1907426064334103</v>
      </c>
      <c r="AA206" s="12">
        <v>-1.1920619028691775</v>
      </c>
      <c r="AB206" s="12">
        <v>1.1067348370006574E-3</v>
      </c>
      <c r="AC206" s="12">
        <v>-0.19025101864005389</v>
      </c>
      <c r="AD206" s="12">
        <v>2.0051574555838475E-5</v>
      </c>
      <c r="AE206" s="12">
        <v>-1.1700898139672218</v>
      </c>
      <c r="AF206" s="12">
        <v>-0.94839093594314117</v>
      </c>
      <c r="AG206" s="12">
        <v>0.43617773744203625</v>
      </c>
      <c r="AH206" s="12">
        <v>-1.192061902869177</v>
      </c>
    </row>
    <row r="207" spans="24:34" x14ac:dyDescent="0.25">
      <c r="X207">
        <v>61.7</v>
      </c>
      <c r="Y207" s="12">
        <v>76.168034508218341</v>
      </c>
      <c r="Z207" s="12">
        <v>-14.468034508218338</v>
      </c>
      <c r="AA207" s="12">
        <v>-14.487670516290336</v>
      </c>
      <c r="AB207" s="12">
        <v>1.3553599282862686E-3</v>
      </c>
      <c r="AC207" s="12">
        <v>-2.311919392691316</v>
      </c>
      <c r="AD207" s="12">
        <v>3.6270959647525807E-3</v>
      </c>
      <c r="AE207" s="12">
        <v>-1.1700898139672218</v>
      </c>
      <c r="AF207" s="12">
        <v>-0.94569014322312428</v>
      </c>
      <c r="AG207" s="12">
        <v>1.520499718083274</v>
      </c>
      <c r="AH207" s="12">
        <v>-14.487670516290333</v>
      </c>
    </row>
    <row r="208" spans="24:34" x14ac:dyDescent="0.25">
      <c r="X208">
        <v>62</v>
      </c>
      <c r="Y208" s="12">
        <v>62.21122182756563</v>
      </c>
      <c r="Z208" s="12">
        <v>-0.21122182756563035</v>
      </c>
      <c r="AA208" s="12">
        <v>-0.21151908185963464</v>
      </c>
      <c r="AB208" s="12">
        <v>1.4053308637103175E-3</v>
      </c>
      <c r="AC208" s="12">
        <v>-3.3753033775846444E-2</v>
      </c>
      <c r="AD208" s="12">
        <v>8.0165032561973504E-7</v>
      </c>
      <c r="AE208" s="12">
        <v>-1.1521925343545227</v>
      </c>
      <c r="AF208" s="12">
        <v>-0.94287747128534138</v>
      </c>
      <c r="AG208" s="12">
        <v>0.18371998741521414</v>
      </c>
      <c r="AH208" s="12">
        <v>-0.21151908185963136</v>
      </c>
    </row>
    <row r="209" spans="24:34" x14ac:dyDescent="0.25">
      <c r="X209">
        <v>77.2</v>
      </c>
      <c r="Y209" s="12">
        <v>73.208992950482781</v>
      </c>
      <c r="Z209" s="12">
        <v>3.9910070495172221</v>
      </c>
      <c r="AA209" s="12">
        <v>3.9943979497822539</v>
      </c>
      <c r="AB209" s="12">
        <v>8.4891398094721318E-4</v>
      </c>
      <c r="AC209" s="12">
        <v>0.63758127254303554</v>
      </c>
      <c r="AD209" s="12">
        <v>1.7269256100900163E-4</v>
      </c>
      <c r="AE209" s="12">
        <v>-1.1521925343545227</v>
      </c>
      <c r="AF209" s="12">
        <v>-0.93602249676892135</v>
      </c>
      <c r="AG209" s="12">
        <v>0.79848686435221683</v>
      </c>
      <c r="AH209" s="12">
        <v>3.9943979497822593</v>
      </c>
    </row>
    <row r="210" spans="24:34" x14ac:dyDescent="0.25">
      <c r="X210">
        <v>77</v>
      </c>
      <c r="Y210" s="12">
        <v>77.154381694130194</v>
      </c>
      <c r="Z210" s="12">
        <v>-0.15438169413019409</v>
      </c>
      <c r="AA210" s="12">
        <v>-0.15462693301861918</v>
      </c>
      <c r="AB210" s="12">
        <v>1.5860037034921934E-3</v>
      </c>
      <c r="AC210" s="12">
        <v>-2.4672270155170199E-2</v>
      </c>
      <c r="AD210" s="12">
        <v>4.8348361929284765E-7</v>
      </c>
      <c r="AE210" s="12">
        <v>-1.1463081367501964</v>
      </c>
      <c r="AF210" s="12">
        <v>-0.9187011954466564</v>
      </c>
      <c r="AG210" s="12">
        <v>0.1570740912918811</v>
      </c>
      <c r="AH210" s="12">
        <v>-0.15462693301862127</v>
      </c>
    </row>
    <row r="211" spans="24:34" x14ac:dyDescent="0.25">
      <c r="X211">
        <v>76.8</v>
      </c>
      <c r="Y211" s="12">
        <v>73.06104087259601</v>
      </c>
      <c r="Z211" s="12">
        <v>3.7389591274039873</v>
      </c>
      <c r="AA211" s="12">
        <v>3.7420683939596415</v>
      </c>
      <c r="AB211" s="12">
        <v>8.3089517034998488E-4</v>
      </c>
      <c r="AC211" s="12">
        <v>0.59731010080117153</v>
      </c>
      <c r="AD211" s="12">
        <v>1.4834638239882421E-4</v>
      </c>
      <c r="AE211" s="12">
        <v>-1.1463081367501964</v>
      </c>
      <c r="AF211" s="12">
        <v>-0.91688856697026644</v>
      </c>
      <c r="AG211" s="12">
        <v>0.77285839634513354</v>
      </c>
      <c r="AH211" s="12">
        <v>3.7420683939596477</v>
      </c>
    </row>
    <row r="212" spans="24:34" x14ac:dyDescent="0.25">
      <c r="X212">
        <v>76.900000000000006</v>
      </c>
      <c r="Y212" s="12">
        <v>73.06104087259601</v>
      </c>
      <c r="Z212" s="12">
        <v>3.8389591274039958</v>
      </c>
      <c r="AA212" s="12">
        <v>3.842151552572787</v>
      </c>
      <c r="AB212" s="12">
        <v>8.3089517034998488E-4</v>
      </c>
      <c r="AC212" s="12">
        <v>0.61328540516926022</v>
      </c>
      <c r="AD212" s="12">
        <v>1.5638766714083204E-4</v>
      </c>
      <c r="AE212" s="12">
        <v>-1.1463081367501964</v>
      </c>
      <c r="AF212" s="12">
        <v>-0.91373888910478707</v>
      </c>
      <c r="AG212" s="12">
        <v>0.78312540832823208</v>
      </c>
      <c r="AH212" s="12">
        <v>3.8421515525727812</v>
      </c>
    </row>
    <row r="213" spans="24:34" x14ac:dyDescent="0.25">
      <c r="X213">
        <v>76.400000000000006</v>
      </c>
      <c r="Y213" s="12">
        <v>72.96240615400481</v>
      </c>
      <c r="Z213" s="12">
        <v>3.4375938459951954</v>
      </c>
      <c r="AA213" s="12">
        <v>3.440412469477593</v>
      </c>
      <c r="AB213" s="12">
        <v>8.192690578232467E-4</v>
      </c>
      <c r="AC213" s="12">
        <v>0.54916288487623555</v>
      </c>
      <c r="AD213" s="12">
        <v>1.2363882312879765E-4</v>
      </c>
      <c r="AE213" s="12">
        <v>-1.1375552391677688</v>
      </c>
      <c r="AF213" s="12">
        <v>-0.91329125044337389</v>
      </c>
      <c r="AG213" s="12">
        <v>0.74105525089310009</v>
      </c>
      <c r="AH213" s="12">
        <v>3.4404124694775877</v>
      </c>
    </row>
    <row r="214" spans="24:34" x14ac:dyDescent="0.25">
      <c r="X214">
        <v>76.099999999999994</v>
      </c>
      <c r="Y214" s="12">
        <v>72.814454076118039</v>
      </c>
      <c r="Z214" s="12">
        <v>3.2855459238819549</v>
      </c>
      <c r="AA214" s="12">
        <v>3.288184394379158</v>
      </c>
      <c r="AB214" s="12">
        <v>8.0240953084026066E-4</v>
      </c>
      <c r="AC214" s="12">
        <v>0.524868479722993</v>
      </c>
      <c r="AD214" s="12">
        <v>1.1061542438960559E-4</v>
      </c>
      <c r="AE214" s="12">
        <v>-1.1375552391677688</v>
      </c>
      <c r="AF214" s="12">
        <v>-0.91029320080040754</v>
      </c>
      <c r="AG214" s="12">
        <v>0.72447807401121045</v>
      </c>
      <c r="AH214" s="12">
        <v>3.2881843943791647</v>
      </c>
    </row>
    <row r="215" spans="24:34" x14ac:dyDescent="0.25">
      <c r="X215">
        <v>76</v>
      </c>
      <c r="Y215" s="12">
        <v>72.76513671682244</v>
      </c>
      <c r="Z215" s="12">
        <v>3.2348632831775603</v>
      </c>
      <c r="AA215" s="12">
        <v>3.2374433450673905</v>
      </c>
      <c r="AB215" s="12">
        <v>7.9694425966116416E-4</v>
      </c>
      <c r="AC215" s="12">
        <v>0.51677047574454826</v>
      </c>
      <c r="AD215" s="12">
        <v>1.0649754208161882E-4</v>
      </c>
      <c r="AE215" s="12">
        <v>-1.1375552391677688</v>
      </c>
      <c r="AF215" s="12">
        <v>-0.90967312088099062</v>
      </c>
      <c r="AG215" s="12">
        <v>0.7188674952621994</v>
      </c>
      <c r="AH215" s="12">
        <v>3.2374433450673901</v>
      </c>
    </row>
    <row r="216" spans="24:34" x14ac:dyDescent="0.25">
      <c r="X216">
        <v>75.400000000000006</v>
      </c>
      <c r="Y216" s="12">
        <v>76.809160179061038</v>
      </c>
      <c r="Z216" s="12">
        <v>-1.4091601790610326</v>
      </c>
      <c r="AA216" s="12">
        <v>-1.4112795849557926</v>
      </c>
      <c r="AB216" s="12">
        <v>1.5017618885402521E-3</v>
      </c>
      <c r="AC216" s="12">
        <v>-0.22519324047398548</v>
      </c>
      <c r="AD216" s="12">
        <v>3.8135942212890568E-5</v>
      </c>
      <c r="AE216" s="12">
        <v>-1.1375552391677688</v>
      </c>
      <c r="AF216" s="12">
        <v>-0.90294979849790091</v>
      </c>
      <c r="AG216" s="12">
        <v>0.47454529865333772</v>
      </c>
      <c r="AH216" s="12">
        <v>-1.4112795849557942</v>
      </c>
    </row>
    <row r="217" spans="24:34" x14ac:dyDescent="0.25">
      <c r="X217">
        <v>75.7</v>
      </c>
      <c r="Y217" s="12">
        <v>77.548920568494935</v>
      </c>
      <c r="Z217" s="12">
        <v>-1.8489205684949326</v>
      </c>
      <c r="AA217" s="12">
        <v>-1.8520448147441897</v>
      </c>
      <c r="AB217" s="12">
        <v>1.6869171978942366E-3</v>
      </c>
      <c r="AC217" s="12">
        <v>-0.29549729673778596</v>
      </c>
      <c r="AD217" s="12">
        <v>7.3774119027975629E-5</v>
      </c>
      <c r="AE217" s="12">
        <v>-1.1375552391677688</v>
      </c>
      <c r="AF217" s="12">
        <v>-0.90000898223085912</v>
      </c>
      <c r="AG217" s="12">
        <v>0.5435966305430765</v>
      </c>
      <c r="AH217" s="12">
        <v>-1.8520448147441955</v>
      </c>
    </row>
    <row r="218" spans="24:34" x14ac:dyDescent="0.25">
      <c r="X218">
        <v>75</v>
      </c>
      <c r="Y218" s="12">
        <v>77.006429616243409</v>
      </c>
      <c r="Z218" s="12">
        <v>-2.006429616243409</v>
      </c>
      <c r="AA218" s="12">
        <v>-2.0095432756517795</v>
      </c>
      <c r="AB218" s="12">
        <v>1.5494363550670933E-3</v>
      </c>
      <c r="AC218" s="12">
        <v>-0.32064855425654754</v>
      </c>
      <c r="AD218" s="12">
        <v>7.9776642006703039E-5</v>
      </c>
      <c r="AE218" s="12">
        <v>-1.1375552391677688</v>
      </c>
      <c r="AF218" s="12">
        <v>-0.89419955793668637</v>
      </c>
      <c r="AG218" s="12">
        <v>0.56625838117995886</v>
      </c>
      <c r="AH218" s="12">
        <v>-2.0095432756517844</v>
      </c>
    </row>
    <row r="219" spans="24:34" x14ac:dyDescent="0.25">
      <c r="X219">
        <v>75.5</v>
      </c>
      <c r="Y219" s="12">
        <v>72.715819357526854</v>
      </c>
      <c r="Z219" s="12">
        <v>2.7841806424731459</v>
      </c>
      <c r="AA219" s="12">
        <v>2.7863862239706805</v>
      </c>
      <c r="AB219" s="12">
        <v>7.9155627405635043E-4</v>
      </c>
      <c r="AC219" s="12">
        <v>0.44477257617243787</v>
      </c>
      <c r="AD219" s="12">
        <v>7.8355900813058117E-5</v>
      </c>
      <c r="AE219" s="12">
        <v>-1.1375552391677688</v>
      </c>
      <c r="AF219" s="12">
        <v>-0.88674424228827065</v>
      </c>
      <c r="AG219" s="12">
        <v>0.66691272005595892</v>
      </c>
      <c r="AH219" s="12">
        <v>2.7863862239706743</v>
      </c>
    </row>
    <row r="220" spans="24:34" x14ac:dyDescent="0.25">
      <c r="X220">
        <v>65.099999999999994</v>
      </c>
      <c r="Y220" s="12">
        <v>64.381185636571701</v>
      </c>
      <c r="Z220" s="12">
        <v>0.71881436342829375</v>
      </c>
      <c r="AA220" s="12">
        <v>0.71952755481008523</v>
      </c>
      <c r="AB220" s="12">
        <v>9.9119398141525182E-4</v>
      </c>
      <c r="AC220" s="12">
        <v>0.11484199494068538</v>
      </c>
      <c r="AD220" s="12">
        <v>6.5427571451481377E-6</v>
      </c>
      <c r="AE220" s="12">
        <v>-1.1174634002413726</v>
      </c>
      <c r="AF220" s="12">
        <v>-0.88019297498478399</v>
      </c>
      <c r="AG220" s="12">
        <v>0.33888345332973308</v>
      </c>
      <c r="AH220" s="12">
        <v>0.7195275548100839</v>
      </c>
    </row>
    <row r="221" spans="24:34" x14ac:dyDescent="0.25">
      <c r="X221">
        <v>64.2</v>
      </c>
      <c r="Y221" s="12">
        <v>63.49347316925104</v>
      </c>
      <c r="Z221" s="12">
        <v>0.70652683074896316</v>
      </c>
      <c r="AA221" s="12">
        <v>0.70733498132980088</v>
      </c>
      <c r="AB221" s="12">
        <v>1.1425287906992399E-3</v>
      </c>
      <c r="AC221" s="12">
        <v>0.11288741741192092</v>
      </c>
      <c r="AD221" s="12">
        <v>7.2882743082874132E-6</v>
      </c>
      <c r="AE221" s="12">
        <v>-1.1174634002413726</v>
      </c>
      <c r="AF221" s="12">
        <v>-0.87800377633070903</v>
      </c>
      <c r="AG221" s="12">
        <v>0.33598722804880682</v>
      </c>
      <c r="AH221" s="12">
        <v>0.7073349813298011</v>
      </c>
    </row>
    <row r="222" spans="24:34" x14ac:dyDescent="0.25">
      <c r="X222">
        <v>63.4</v>
      </c>
      <c r="Y222" s="12">
        <v>77.45028584990375</v>
      </c>
      <c r="Z222" s="12">
        <v>-14.050285849903752</v>
      </c>
      <c r="AA222" s="12">
        <v>-14.073665376228412</v>
      </c>
      <c r="AB222" s="12">
        <v>1.661225110848029E-3</v>
      </c>
      <c r="AC222" s="12">
        <v>-2.2455091550245032</v>
      </c>
      <c r="AD222" s="12">
        <v>4.1951762605228499E-3</v>
      </c>
      <c r="AE222" s="12">
        <v>-1.1174634002413726</v>
      </c>
      <c r="AF222" s="12">
        <v>-0.87391169260395951</v>
      </c>
      <c r="AG222" s="12">
        <v>1.498502303977042</v>
      </c>
      <c r="AH222" s="12">
        <v>-14.073665376228414</v>
      </c>
    </row>
    <row r="223" spans="24:34" x14ac:dyDescent="0.25">
      <c r="X223">
        <v>62.2</v>
      </c>
      <c r="Y223" s="12">
        <v>61.570096156722926</v>
      </c>
      <c r="Z223" s="12">
        <v>0.62990384327707716</v>
      </c>
      <c r="AA223" s="12">
        <v>0.63088570571172653</v>
      </c>
      <c r="AB223" s="12">
        <v>1.5563237932965459E-3</v>
      </c>
      <c r="AC223" s="12">
        <v>0.10066560604465799</v>
      </c>
      <c r="AD223" s="12">
        <v>7.8978451734279332E-6</v>
      </c>
      <c r="AE223" s="12">
        <v>-1.1174634002413726</v>
      </c>
      <c r="AF223" s="12">
        <v>-0.87288264479525313</v>
      </c>
      <c r="AG223" s="12">
        <v>0.31727843614821666</v>
      </c>
      <c r="AH223" s="12">
        <v>0.63088570571172697</v>
      </c>
    </row>
    <row r="224" spans="24:34" x14ac:dyDescent="0.25">
      <c r="X224">
        <v>61.1</v>
      </c>
      <c r="Y224" s="12">
        <v>60.386479533628702</v>
      </c>
      <c r="Z224" s="12">
        <v>0.71352046637129973</v>
      </c>
      <c r="AA224" s="12">
        <v>0.71485681596148254</v>
      </c>
      <c r="AB224" s="12">
        <v>1.8693947659757613E-3</v>
      </c>
      <c r="AC224" s="12">
        <v>0.11404634942881192</v>
      </c>
      <c r="AD224" s="12">
        <v>1.217997595386777E-5</v>
      </c>
      <c r="AE224" s="12">
        <v>-1.1174634002413726</v>
      </c>
      <c r="AF224" s="12">
        <v>-0.87031265620612519</v>
      </c>
      <c r="AG224" s="12">
        <v>0.33770749092789148</v>
      </c>
      <c r="AH224" s="12">
        <v>0.71485681596148021</v>
      </c>
    </row>
    <row r="225" spans="24:34" x14ac:dyDescent="0.25">
      <c r="X225">
        <v>59.2</v>
      </c>
      <c r="Y225" s="12">
        <v>58.216515724622631</v>
      </c>
      <c r="Z225" s="12">
        <v>0.98348427537737138</v>
      </c>
      <c r="AA225" s="12">
        <v>0.98600744618291003</v>
      </c>
      <c r="AB225" s="12">
        <v>2.5589774350147244E-3</v>
      </c>
      <c r="AC225" s="12">
        <v>0.15725064926897789</v>
      </c>
      <c r="AD225" s="12">
        <v>3.1720069437994798E-5</v>
      </c>
      <c r="AE225" s="12">
        <v>-1.1174634002413726</v>
      </c>
      <c r="AF225" s="12">
        <v>-0.85695033924839226</v>
      </c>
      <c r="AG225" s="12">
        <v>0.39654841982912742</v>
      </c>
      <c r="AH225" s="12">
        <v>0.98600744618291003</v>
      </c>
    </row>
    <row r="226" spans="24:34" x14ac:dyDescent="0.25">
      <c r="X226">
        <v>57.5</v>
      </c>
      <c r="Y226" s="12">
        <v>56.539725508572488</v>
      </c>
      <c r="Z226" s="12">
        <v>0.96027449142751209</v>
      </c>
      <c r="AA226" s="12">
        <v>0.96335174270169688</v>
      </c>
      <c r="AB226" s="12">
        <v>3.1943174416801876E-3</v>
      </c>
      <c r="AC226" s="12">
        <v>0.15358852852406735</v>
      </c>
      <c r="AD226" s="12">
        <v>3.7796808582427538E-5</v>
      </c>
      <c r="AE226" s="12">
        <v>-1.1005940465096573</v>
      </c>
      <c r="AF226" s="12">
        <v>-0.85388223361001803</v>
      </c>
      <c r="AG226" s="12">
        <v>0.39190372353942665</v>
      </c>
      <c r="AH226" s="12">
        <v>0.9633517427016971</v>
      </c>
    </row>
    <row r="227" spans="24:34" x14ac:dyDescent="0.25">
      <c r="X227">
        <v>56.9</v>
      </c>
      <c r="Y227" s="12">
        <v>56.095869274912147</v>
      </c>
      <c r="Z227" s="12">
        <v>0.80413072508785177</v>
      </c>
      <c r="AA227" s="12">
        <v>0.80685584069991023</v>
      </c>
      <c r="AB227" s="12">
        <v>3.3774504373624142E-3</v>
      </c>
      <c r="AC227" s="12">
        <v>0.12862634867128031</v>
      </c>
      <c r="AD227" s="12">
        <v>2.803419969517457E-5</v>
      </c>
      <c r="AE227" s="12">
        <v>-1.1005940465096573</v>
      </c>
      <c r="AF227" s="12">
        <v>-0.84948188624706056</v>
      </c>
      <c r="AG227" s="12">
        <v>0.35864515704422989</v>
      </c>
      <c r="AH227" s="12">
        <v>0.80685584069991212</v>
      </c>
    </row>
    <row r="228" spans="24:34" x14ac:dyDescent="0.25">
      <c r="X228">
        <v>54.8</v>
      </c>
      <c r="Y228" s="12">
        <v>53.383414513654557</v>
      </c>
      <c r="Z228" s="12">
        <v>1.4165854863454399</v>
      </c>
      <c r="AA228" s="12">
        <v>1.42317853043496</v>
      </c>
      <c r="AB228" s="12">
        <v>4.6326191328248589E-3</v>
      </c>
      <c r="AC228" s="12">
        <v>0.22673560567154058</v>
      </c>
      <c r="AD228" s="12">
        <v>1.1963345552580948E-4</v>
      </c>
      <c r="AE228" s="12">
        <v>-1.0950400512086547</v>
      </c>
      <c r="AF228" s="12">
        <v>-0.8458340665571934</v>
      </c>
      <c r="AG228" s="12">
        <v>0.47616762350199804</v>
      </c>
      <c r="AH228" s="12">
        <v>1.4231785304349585</v>
      </c>
    </row>
    <row r="229" spans="24:34" x14ac:dyDescent="0.25">
      <c r="X229">
        <v>51.7</v>
      </c>
      <c r="Y229" s="12">
        <v>49.684612566485114</v>
      </c>
      <c r="Z229" s="12">
        <v>2.0153874335148885</v>
      </c>
      <c r="AA229" s="12">
        <v>2.0290244663383348</v>
      </c>
      <c r="AB229" s="12">
        <v>6.720979983084116E-3</v>
      </c>
      <c r="AC229" s="12">
        <v>0.32291748007169707</v>
      </c>
      <c r="AD229" s="12">
        <v>3.5278852726500296E-4</v>
      </c>
      <c r="AE229" s="12">
        <v>-1.0950400512086547</v>
      </c>
      <c r="AF229" s="12">
        <v>-0.84566119282245811</v>
      </c>
      <c r="AG229" s="12">
        <v>0.56825828640829956</v>
      </c>
      <c r="AH229" s="12">
        <v>2.0290244663383361</v>
      </c>
    </row>
    <row r="230" spans="24:34" x14ac:dyDescent="0.25">
      <c r="X230">
        <v>48.1</v>
      </c>
      <c r="Y230" s="12">
        <v>45.443319667064152</v>
      </c>
      <c r="Z230" s="12">
        <v>2.6566803329358493</v>
      </c>
      <c r="AA230" s="12">
        <v>2.6825689522707492</v>
      </c>
      <c r="AB230" s="12">
        <v>9.6506817888078779E-3</v>
      </c>
      <c r="AC230" s="12">
        <v>0.42629843367895293</v>
      </c>
      <c r="AD230" s="12">
        <v>8.8545616730766378E-4</v>
      </c>
      <c r="AE230" s="12">
        <v>-1.0895196306228982</v>
      </c>
      <c r="AF230" s="12">
        <v>-0.84532892734159548</v>
      </c>
      <c r="AG230" s="12">
        <v>0.65291533423480941</v>
      </c>
      <c r="AH230" s="12">
        <v>2.6825689522707501</v>
      </c>
    </row>
    <row r="231" spans="24:34" x14ac:dyDescent="0.25">
      <c r="X231">
        <v>46.4</v>
      </c>
      <c r="Y231" s="12">
        <v>43.421307935944853</v>
      </c>
      <c r="Z231" s="12">
        <v>2.9786920640551457</v>
      </c>
      <c r="AA231" s="12">
        <v>3.0125794041578899</v>
      </c>
      <c r="AB231" s="12">
        <v>1.1248613084181919E-2</v>
      </c>
      <c r="AC231" s="12">
        <v>0.47835541569093598</v>
      </c>
      <c r="AD231" s="12">
        <v>1.3016171665744837E-3</v>
      </c>
      <c r="AE231" s="12">
        <v>-1.0895196306228982</v>
      </c>
      <c r="AF231" s="12">
        <v>-0.84117878752874364</v>
      </c>
      <c r="AG231" s="12">
        <v>0.69163242816610038</v>
      </c>
      <c r="AH231" s="12">
        <v>3.012579404157893</v>
      </c>
    </row>
    <row r="232" spans="24:34" x14ac:dyDescent="0.25">
      <c r="X232">
        <v>46</v>
      </c>
      <c r="Y232" s="12">
        <v>43.125403780171304</v>
      </c>
      <c r="Z232" s="12">
        <v>2.8745962198286961</v>
      </c>
      <c r="AA232" s="12">
        <v>2.9080191127981223</v>
      </c>
      <c r="AB232" s="12">
        <v>1.1493353954356873E-2</v>
      </c>
      <c r="AC232" s="12">
        <v>0.46169555462833284</v>
      </c>
      <c r="AD232" s="12">
        <v>1.2392204693726699E-3</v>
      </c>
      <c r="AE232" s="12">
        <v>-1.0895196306228982</v>
      </c>
      <c r="AF232" s="12">
        <v>-0.83245870718008408</v>
      </c>
      <c r="AG232" s="12">
        <v>0.6794818280339312</v>
      </c>
      <c r="AH232" s="12">
        <v>2.9080191127981196</v>
      </c>
    </row>
    <row r="233" spans="24:34" x14ac:dyDescent="0.25">
      <c r="X233">
        <v>46.7</v>
      </c>
      <c r="Y233" s="12">
        <v>44.11175096608315</v>
      </c>
      <c r="Z233" s="12">
        <v>2.5882490339168527</v>
      </c>
      <c r="AA233" s="12">
        <v>2.616212079324761</v>
      </c>
      <c r="AB233" s="12">
        <v>1.0688371034173286E-2</v>
      </c>
      <c r="AC233" s="12">
        <v>0.41553551042802428</v>
      </c>
      <c r="AD233" s="12">
        <v>9.3274879814735459E-4</v>
      </c>
      <c r="AE233" s="12">
        <v>-1.0895196306228982</v>
      </c>
      <c r="AF233" s="12">
        <v>-0.83245870718008408</v>
      </c>
      <c r="AG233" s="12">
        <v>0.64462043903992394</v>
      </c>
      <c r="AH233" s="12">
        <v>2.6162120793247619</v>
      </c>
    </row>
    <row r="234" spans="24:34" x14ac:dyDescent="0.25">
      <c r="X234">
        <v>47.8</v>
      </c>
      <c r="Y234" s="12">
        <v>45.689906463542115</v>
      </c>
      <c r="Z234" s="12">
        <v>2.1100935364578817</v>
      </c>
      <c r="AA234" s="12">
        <v>2.1302557681407137</v>
      </c>
      <c r="AB234" s="12">
        <v>9.4646999596828367E-3</v>
      </c>
      <c r="AC234" s="12">
        <v>0.33855978344359972</v>
      </c>
      <c r="AD234" s="12">
        <v>5.4761789874817432E-4</v>
      </c>
      <c r="AE234" s="12">
        <v>-1.0895196306228982</v>
      </c>
      <c r="AF234" s="12">
        <v>-0.83074530231068966</v>
      </c>
      <c r="AG234" s="12">
        <v>0.58185890338087953</v>
      </c>
      <c r="AH234" s="12">
        <v>2.1302557681407173</v>
      </c>
    </row>
    <row r="235" spans="24:34" x14ac:dyDescent="0.25">
      <c r="X235">
        <v>74.8</v>
      </c>
      <c r="Y235" s="12">
        <v>70.496538189225191</v>
      </c>
      <c r="Z235" s="12">
        <v>4.3034618107748059</v>
      </c>
      <c r="AA235" s="12">
        <v>4.3061707689406177</v>
      </c>
      <c r="AB235" s="12">
        <v>6.2908749122243227E-4</v>
      </c>
      <c r="AC235" s="12">
        <v>0.68742170496952371</v>
      </c>
      <c r="AD235" s="12">
        <v>1.4873077144090849E-4</v>
      </c>
      <c r="AE235" s="12">
        <v>-1.0758617643853021</v>
      </c>
      <c r="AF235" s="12">
        <v>-0.8212499942925604</v>
      </c>
      <c r="AG235" s="12">
        <v>0.8291089825647312</v>
      </c>
      <c r="AH235" s="12">
        <v>4.3061707689406141</v>
      </c>
    </row>
    <row r="236" spans="24:34" x14ac:dyDescent="0.25">
      <c r="X236">
        <v>74.7</v>
      </c>
      <c r="Y236" s="12">
        <v>70.397903470634006</v>
      </c>
      <c r="Z236" s="12">
        <v>4.302096529365997</v>
      </c>
      <c r="AA236" s="12">
        <v>4.304789171025277</v>
      </c>
      <c r="AB236" s="12">
        <v>6.2549907842110518E-4</v>
      </c>
      <c r="AC236" s="12">
        <v>0.6872023853739182</v>
      </c>
      <c r="AD236" s="12">
        <v>1.4778750964408765E-4</v>
      </c>
      <c r="AE236" s="12">
        <v>-1.0758617643853021</v>
      </c>
      <c r="AF236" s="12">
        <v>-0.8212499942925604</v>
      </c>
      <c r="AG236" s="12">
        <v>0.82897670978979754</v>
      </c>
      <c r="AH236" s="12">
        <v>4.3047891710252708</v>
      </c>
    </row>
    <row r="237" spans="24:34" x14ac:dyDescent="0.25">
      <c r="X237">
        <v>74.5</v>
      </c>
      <c r="Y237" s="12">
        <v>70.299268752042821</v>
      </c>
      <c r="Z237" s="12">
        <v>4.2007312479571794</v>
      </c>
      <c r="AA237" s="12">
        <v>4.203346653504525</v>
      </c>
      <c r="AB237" s="12">
        <v>6.222198079169094E-4</v>
      </c>
      <c r="AC237" s="12">
        <v>0.67100953640487249</v>
      </c>
      <c r="AD237" s="12">
        <v>1.4016562966716529E-4</v>
      </c>
      <c r="AE237" s="12">
        <v>-1.0704544602760233</v>
      </c>
      <c r="AF237" s="12">
        <v>-0.8171042693316638</v>
      </c>
      <c r="AG237" s="12">
        <v>0.81915171757426752</v>
      </c>
      <c r="AH237" s="12">
        <v>4.2033466535045312</v>
      </c>
    </row>
    <row r="238" spans="24:34" x14ac:dyDescent="0.25">
      <c r="X238">
        <v>74.099999999999994</v>
      </c>
      <c r="Y238" s="12">
        <v>70.10199931486045</v>
      </c>
      <c r="Z238" s="12">
        <v>3.9980006851395444</v>
      </c>
      <c r="AA238" s="12">
        <v>4.000467328063948</v>
      </c>
      <c r="AB238" s="12">
        <v>6.1658869379991124E-4</v>
      </c>
      <c r="AC238" s="12">
        <v>0.63862429419409872</v>
      </c>
      <c r="AD238" s="12">
        <v>1.2581264603946419E-4</v>
      </c>
      <c r="AE238" s="12">
        <v>-1.0704544602760233</v>
      </c>
      <c r="AF238" s="12">
        <v>-0.81179999295612559</v>
      </c>
      <c r="AG238" s="12">
        <v>0.79913972132168398</v>
      </c>
      <c r="AH238" s="12">
        <v>4.0004673280639444</v>
      </c>
    </row>
    <row r="239" spans="24:34" x14ac:dyDescent="0.25">
      <c r="X239">
        <v>73.8</v>
      </c>
      <c r="Y239" s="12">
        <v>70.003364596269265</v>
      </c>
      <c r="Z239" s="12">
        <v>3.7966354037307326</v>
      </c>
      <c r="AA239" s="12">
        <v>3.7989688704036553</v>
      </c>
      <c r="AB239" s="12">
        <v>6.1423685018710918E-4</v>
      </c>
      <c r="AC239" s="12">
        <v>0.60645831330402122</v>
      </c>
      <c r="AD239" s="12">
        <v>1.1302502743473682E-4</v>
      </c>
      <c r="AE239" s="12">
        <v>-1.0704544602760233</v>
      </c>
      <c r="AF239" s="12">
        <v>-0.80921873475370421</v>
      </c>
      <c r="AG239" s="12">
        <v>0.77875433437254216</v>
      </c>
      <c r="AH239" s="12">
        <v>3.7989688704036482</v>
      </c>
    </row>
    <row r="240" spans="24:34" x14ac:dyDescent="0.25">
      <c r="X240">
        <v>73.599999999999994</v>
      </c>
      <c r="Y240" s="12">
        <v>69.855412518382479</v>
      </c>
      <c r="Z240" s="12">
        <v>3.7445874816175149</v>
      </c>
      <c r="AA240" s="12">
        <v>3.7468779058412025</v>
      </c>
      <c r="AB240" s="12">
        <v>6.1128872657502679E-4</v>
      </c>
      <c r="AC240" s="12">
        <v>0.59814351842667257</v>
      </c>
      <c r="AD240" s="12">
        <v>1.0941900304299872E-4</v>
      </c>
      <c r="AE240" s="12">
        <v>-1.0704544602760233</v>
      </c>
      <c r="AF240" s="12">
        <v>-0.80578811255324434</v>
      </c>
      <c r="AG240" s="12">
        <v>0.77339738713462991</v>
      </c>
      <c r="AH240" s="12">
        <v>3.7468779058412087</v>
      </c>
    </row>
    <row r="241" spans="24:34" x14ac:dyDescent="0.25">
      <c r="X241">
        <v>73.400000000000006</v>
      </c>
      <c r="Y241" s="12">
        <v>69.806095159086894</v>
      </c>
      <c r="Z241" s="12">
        <v>3.5939048409131118</v>
      </c>
      <c r="AA241" s="12">
        <v>3.5961001183125063</v>
      </c>
      <c r="AB241" s="12">
        <v>6.1046058985289825E-4</v>
      </c>
      <c r="AC241" s="12">
        <v>0.57407391503943506</v>
      </c>
      <c r="AD241" s="12">
        <v>1.0065340340826797E-4</v>
      </c>
      <c r="AE241" s="12">
        <v>-1.0597326997110486</v>
      </c>
      <c r="AF241" s="12">
        <v>-0.80504745462936589</v>
      </c>
      <c r="AG241" s="12">
        <v>0.75767665599478184</v>
      </c>
      <c r="AH241" s="12">
        <v>3.5961001183125072</v>
      </c>
    </row>
    <row r="242" spans="24:34" x14ac:dyDescent="0.25">
      <c r="X242">
        <v>73.3</v>
      </c>
      <c r="Y242" s="12">
        <v>69.756777799791294</v>
      </c>
      <c r="Z242" s="12">
        <v>3.543222200208703</v>
      </c>
      <c r="AA242" s="12">
        <v>3.5453838552727035</v>
      </c>
      <c r="AB242" s="12">
        <v>6.0970973870505248E-4</v>
      </c>
      <c r="AC242" s="12">
        <v>0.56597788930415416</v>
      </c>
      <c r="AD242" s="12">
        <v>9.7714033566881987E-5</v>
      </c>
      <c r="AE242" s="12">
        <v>-1.0570712344634026</v>
      </c>
      <c r="AF242" s="12">
        <v>-0.79888941148836567</v>
      </c>
      <c r="AG242" s="12">
        <v>0.75231501999106343</v>
      </c>
      <c r="AH242" s="12">
        <v>3.5453838552727102</v>
      </c>
    </row>
    <row r="243" spans="24:34" x14ac:dyDescent="0.25">
      <c r="X243">
        <v>73</v>
      </c>
      <c r="Y243" s="12">
        <v>69.658143081200109</v>
      </c>
      <c r="Z243" s="12">
        <v>3.3418569187998912</v>
      </c>
      <c r="AA243" s="12">
        <v>3.3438914757720539</v>
      </c>
      <c r="AB243" s="12">
        <v>6.0843989313220947E-4</v>
      </c>
      <c r="AC243" s="12">
        <v>0.53381239356428256</v>
      </c>
      <c r="AD243" s="12">
        <v>8.67419764432606E-5</v>
      </c>
      <c r="AE243" s="12">
        <v>-1.0570712344634026</v>
      </c>
      <c r="AF243" s="12">
        <v>-0.79807244525663834</v>
      </c>
      <c r="AG243" s="12">
        <v>0.73062465983860858</v>
      </c>
      <c r="AH243" s="12">
        <v>3.3438914757720557</v>
      </c>
    </row>
    <row r="244" spans="24:34" x14ac:dyDescent="0.25">
      <c r="X244">
        <v>72.7</v>
      </c>
      <c r="Y244" s="12">
        <v>69.559508362608923</v>
      </c>
      <c r="Z244" s="12">
        <v>3.1404916373910794</v>
      </c>
      <c r="AA244" s="12">
        <v>3.1424005803498289</v>
      </c>
      <c r="AB244" s="12">
        <v>6.0747918985649756E-4</v>
      </c>
      <c r="AC244" s="12">
        <v>0.50164701628194974</v>
      </c>
      <c r="AD244" s="12">
        <v>7.6482448229119637E-5</v>
      </c>
      <c r="AE244" s="12">
        <v>-1.0570712344634026</v>
      </c>
      <c r="AF244" s="12">
        <v>-0.79461081990729665</v>
      </c>
      <c r="AG244" s="12">
        <v>0.70827044007352846</v>
      </c>
      <c r="AH244" s="12">
        <v>3.1424005803498347</v>
      </c>
    </row>
    <row r="245" spans="24:34" x14ac:dyDescent="0.25">
      <c r="X245">
        <v>72</v>
      </c>
      <c r="Y245" s="12">
        <v>76.759842819765453</v>
      </c>
      <c r="Z245" s="12">
        <v>-4.7598428197654528</v>
      </c>
      <c r="AA245" s="12">
        <v>-4.7669457428483355</v>
      </c>
      <c r="AB245" s="12">
        <v>1.4900364858442489E-3</v>
      </c>
      <c r="AC245" s="12">
        <v>-0.76065031578575482</v>
      </c>
      <c r="AD245" s="12">
        <v>4.3170254035265645E-4</v>
      </c>
      <c r="AE245" s="12">
        <v>-1.0491313979639725</v>
      </c>
      <c r="AF245" s="12">
        <v>-0.7895931279137729</v>
      </c>
      <c r="AG245" s="12">
        <v>0.87215269063722711</v>
      </c>
      <c r="AH245" s="12">
        <v>-4.7669457428483364</v>
      </c>
    </row>
    <row r="246" spans="24:34" x14ac:dyDescent="0.25">
      <c r="X246">
        <v>71.8</v>
      </c>
      <c r="Y246" s="12">
        <v>69.115652128948597</v>
      </c>
      <c r="Z246" s="12">
        <v>2.6843478710514006</v>
      </c>
      <c r="AA246" s="12">
        <v>2.6859782105671712</v>
      </c>
      <c r="AB246" s="12">
        <v>6.0698166104279291E-4</v>
      </c>
      <c r="AC246" s="12">
        <v>0.42878470012611719</v>
      </c>
      <c r="AD246" s="12">
        <v>5.5832596330868607E-5</v>
      </c>
      <c r="AE246" s="12">
        <v>-1.0491313979639725</v>
      </c>
      <c r="AF246" s="12">
        <v>-0.78817156576331404</v>
      </c>
      <c r="AG246" s="12">
        <v>0.65481653928876693</v>
      </c>
      <c r="AH246" s="12">
        <v>2.6859782105671752</v>
      </c>
    </row>
    <row r="247" spans="24:34" x14ac:dyDescent="0.25">
      <c r="X247">
        <v>71.400000000000006</v>
      </c>
      <c r="Y247" s="12">
        <v>68.918382691766226</v>
      </c>
      <c r="Z247" s="12">
        <v>2.4816173082337798</v>
      </c>
      <c r="AA247" s="12">
        <v>2.4831289625580979</v>
      </c>
      <c r="AB247" s="12">
        <v>6.0876996205694355E-4</v>
      </c>
      <c r="AC247" s="12">
        <v>0.39640185865642663</v>
      </c>
      <c r="AD247" s="12">
        <v>4.785849638893173E-5</v>
      </c>
      <c r="AE247" s="12">
        <v>-1.0491313979639725</v>
      </c>
      <c r="AF247" s="12">
        <v>-0.78514403633686558</v>
      </c>
      <c r="AG247" s="12">
        <v>0.62960452560033797</v>
      </c>
      <c r="AH247" s="12">
        <v>2.4831289625580988</v>
      </c>
    </row>
    <row r="248" spans="24:34" x14ac:dyDescent="0.25">
      <c r="X248">
        <v>71</v>
      </c>
      <c r="Y248" s="12">
        <v>68.770430613879455</v>
      </c>
      <c r="Z248" s="12">
        <v>2.229569386120545</v>
      </c>
      <c r="AA248" s="12">
        <v>2.2309323132824375</v>
      </c>
      <c r="AB248" s="12">
        <v>6.1092268634752608E-4</v>
      </c>
      <c r="AC248" s="12">
        <v>0.35614129447155374</v>
      </c>
      <c r="AD248" s="12">
        <v>3.8767368671083906E-5</v>
      </c>
      <c r="AE248" s="12">
        <v>-1.0491313979639725</v>
      </c>
      <c r="AF248" s="12">
        <v>-0.77841818793396456</v>
      </c>
      <c r="AG248" s="12">
        <v>0.59677574889698204</v>
      </c>
      <c r="AH248" s="12">
        <v>2.2309323132824352</v>
      </c>
    </row>
    <row r="249" spans="24:34" x14ac:dyDescent="0.25">
      <c r="X249">
        <v>75</v>
      </c>
      <c r="Y249" s="12">
        <v>68.573161176697084</v>
      </c>
      <c r="Z249" s="12">
        <v>6.4268388233029157</v>
      </c>
      <c r="AA249" s="12">
        <v>6.4307929570158819</v>
      </c>
      <c r="AB249" s="12">
        <v>6.1487498344159504E-4</v>
      </c>
      <c r="AC249" s="12">
        <v>1.026596094317954</v>
      </c>
      <c r="AD249" s="12">
        <v>3.2420757849988956E-4</v>
      </c>
      <c r="AE249" s="12">
        <v>-1.0386467129748296</v>
      </c>
      <c r="AF249" s="12">
        <v>-0.77822981255609636</v>
      </c>
      <c r="AG249" s="12">
        <v>1.0132107847422243</v>
      </c>
      <c r="AH249" s="12">
        <v>6.4307929570158775</v>
      </c>
    </row>
    <row r="250" spans="24:34" x14ac:dyDescent="0.25">
      <c r="X250">
        <v>74.3</v>
      </c>
      <c r="Y250" s="12">
        <v>70.792442344998747</v>
      </c>
      <c r="Z250" s="12">
        <v>3.5075576550012499</v>
      </c>
      <c r="AA250" s="12">
        <v>3.509809926647506</v>
      </c>
      <c r="AB250" s="12">
        <v>6.4170758340920055E-4</v>
      </c>
      <c r="AC250" s="12">
        <v>0.56028996975555589</v>
      </c>
      <c r="AD250" s="12">
        <v>1.0078865534421021E-4</v>
      </c>
      <c r="AE250" s="12">
        <v>-1.0386467129748296</v>
      </c>
      <c r="AF250" s="12">
        <v>-0.77600414120902439</v>
      </c>
      <c r="AG250" s="12">
        <v>0.7485251964734092</v>
      </c>
      <c r="AH250" s="12">
        <v>3.5098099266475047</v>
      </c>
    </row>
    <row r="251" spans="24:34" x14ac:dyDescent="0.25">
      <c r="X251">
        <v>74.099999999999994</v>
      </c>
      <c r="Y251" s="12">
        <v>76.907794897652224</v>
      </c>
      <c r="Z251" s="12">
        <v>-2.8077948976522293</v>
      </c>
      <c r="AA251" s="12">
        <v>-2.8120845767458036</v>
      </c>
      <c r="AB251" s="12">
        <v>1.5254445506551072E-3</v>
      </c>
      <c r="AC251" s="12">
        <v>-0.44870976316948286</v>
      </c>
      <c r="AD251" s="12">
        <v>1.5380146293559417E-4</v>
      </c>
      <c r="AE251" s="12">
        <v>-1.0334469496720613</v>
      </c>
      <c r="AF251" s="12">
        <v>-0.77264357491067825</v>
      </c>
      <c r="AG251" s="12">
        <v>0.66985801717190996</v>
      </c>
      <c r="AH251" s="12">
        <v>-2.8120845767458076</v>
      </c>
    </row>
    <row r="252" spans="24:34" x14ac:dyDescent="0.25">
      <c r="X252">
        <v>73.900000000000006</v>
      </c>
      <c r="Y252" s="12">
        <v>70.743124985703147</v>
      </c>
      <c r="Z252" s="12">
        <v>3.1568750142968582</v>
      </c>
      <c r="AA252" s="12">
        <v>3.1588948464751638</v>
      </c>
      <c r="AB252" s="12">
        <v>6.3941102077569876E-4</v>
      </c>
      <c r="AC252" s="12">
        <v>0.50427207416520392</v>
      </c>
      <c r="AD252" s="12">
        <v>8.1350034179796701E-5</v>
      </c>
      <c r="AE252" s="12">
        <v>-1.0334469496720613</v>
      </c>
      <c r="AF252" s="12">
        <v>-0.76937344634620053</v>
      </c>
      <c r="AG252" s="12">
        <v>0.71012116865025499</v>
      </c>
      <c r="AH252" s="12">
        <v>3.1588948464751661</v>
      </c>
    </row>
    <row r="253" spans="24:34" x14ac:dyDescent="0.25">
      <c r="X253">
        <v>73.7</v>
      </c>
      <c r="Y253" s="12">
        <v>70.496538189225191</v>
      </c>
      <c r="Z253" s="12">
        <v>3.2034618107748116</v>
      </c>
      <c r="AA253" s="12">
        <v>3.205478337100061</v>
      </c>
      <c r="AB253" s="12">
        <v>6.2908749122243227E-4</v>
      </c>
      <c r="AC253" s="12">
        <v>0.51171110064320569</v>
      </c>
      <c r="AD253" s="12">
        <v>8.2414575479299143E-5</v>
      </c>
      <c r="AE253" s="12">
        <v>-1.0334469496720613</v>
      </c>
      <c r="AF253" s="12">
        <v>-0.76566631541022234</v>
      </c>
      <c r="AG253" s="12">
        <v>0.71533984975199427</v>
      </c>
      <c r="AH253" s="12">
        <v>3.2054783371000659</v>
      </c>
    </row>
    <row r="254" spans="24:34" x14ac:dyDescent="0.25">
      <c r="X254">
        <v>73.400000000000006</v>
      </c>
      <c r="Y254" s="12">
        <v>70.348586111338406</v>
      </c>
      <c r="Z254" s="12">
        <v>3.0514138886615996</v>
      </c>
      <c r="AA254" s="12">
        <v>3.0533186123221583</v>
      </c>
      <c r="AB254" s="12">
        <v>6.238208003818659E-4</v>
      </c>
      <c r="AC254" s="12">
        <v>0.48742215057596877</v>
      </c>
      <c r="AD254" s="12">
        <v>7.4150039278691695E-5</v>
      </c>
      <c r="AE254" s="12">
        <v>-1.0334469496720613</v>
      </c>
      <c r="AF254" s="12">
        <v>-0.76127865559114638</v>
      </c>
      <c r="AG254" s="12">
        <v>0.69815625083212485</v>
      </c>
      <c r="AH254" s="12">
        <v>3.0533186123221592</v>
      </c>
    </row>
    <row r="255" spans="24:34" x14ac:dyDescent="0.25">
      <c r="X255">
        <v>73.2</v>
      </c>
      <c r="Y255" s="12">
        <v>70.10199931486045</v>
      </c>
      <c r="Z255" s="12">
        <v>3.098000685139553</v>
      </c>
      <c r="AA255" s="12">
        <v>3.0999120558649764</v>
      </c>
      <c r="AB255" s="12">
        <v>6.1658869379991124E-4</v>
      </c>
      <c r="AC255" s="12">
        <v>0.49486197146337557</v>
      </c>
      <c r="AD255" s="12">
        <v>7.5544280088354643E-5</v>
      </c>
      <c r="AE255" s="12">
        <v>-1.0334469496720613</v>
      </c>
      <c r="AF255" s="12">
        <v>-0.76065031578575482</v>
      </c>
      <c r="AG255" s="12">
        <v>0.70346426452476996</v>
      </c>
      <c r="AH255" s="12">
        <v>3.0999120558649733</v>
      </c>
    </row>
    <row r="256" spans="24:34" x14ac:dyDescent="0.25">
      <c r="X256">
        <v>72.900000000000006</v>
      </c>
      <c r="Y256" s="12">
        <v>69.954047236973665</v>
      </c>
      <c r="Z256" s="12">
        <v>2.9459527630263409</v>
      </c>
      <c r="AA256" s="12">
        <v>2.9477602613978604</v>
      </c>
      <c r="AB256" s="12">
        <v>6.1317685674213221E-4</v>
      </c>
      <c r="AC256" s="12">
        <v>0.47057365437582693</v>
      </c>
      <c r="AD256" s="12">
        <v>6.7932462578864102E-5</v>
      </c>
      <c r="AE256" s="12">
        <v>-1.0205681915260707</v>
      </c>
      <c r="AF256" s="12">
        <v>-0.75936786700706227</v>
      </c>
      <c r="AG256" s="12">
        <v>0.68598371290856963</v>
      </c>
      <c r="AH256" s="12">
        <v>2.9477602613978542</v>
      </c>
    </row>
    <row r="257" spans="24:34" x14ac:dyDescent="0.25">
      <c r="X257">
        <v>72.599999999999994</v>
      </c>
      <c r="Y257" s="12">
        <v>69.855412518382479</v>
      </c>
      <c r="Z257" s="12">
        <v>2.7445874816175149</v>
      </c>
      <c r="AA257" s="12">
        <v>2.7462662432121618</v>
      </c>
      <c r="AB257" s="12">
        <v>6.1128872657502679E-4</v>
      </c>
      <c r="AC257" s="12">
        <v>0.43840802783845484</v>
      </c>
      <c r="AD257" s="12">
        <v>5.8781267636682393E-5</v>
      </c>
      <c r="AE257" s="12">
        <v>-1.0205681915260707</v>
      </c>
      <c r="AF257" s="12">
        <v>-0.75689098523959408</v>
      </c>
      <c r="AG257" s="12">
        <v>0.66212387650533711</v>
      </c>
      <c r="AH257" s="12">
        <v>2.7462662432121641</v>
      </c>
    </row>
    <row r="258" spans="24:34" x14ac:dyDescent="0.25">
      <c r="X258">
        <v>72.2</v>
      </c>
      <c r="Y258" s="12">
        <v>69.658143081200109</v>
      </c>
      <c r="Z258" s="12">
        <v>2.5418569187998941</v>
      </c>
      <c r="AA258" s="12">
        <v>2.5434044275179701</v>
      </c>
      <c r="AB258" s="12">
        <v>6.0843989313220947E-4</v>
      </c>
      <c r="AC258" s="12">
        <v>0.40602418322857964</v>
      </c>
      <c r="AD258" s="12">
        <v>5.0182906472989547E-5</v>
      </c>
      <c r="AE258" s="12">
        <v>-1.0205681915260707</v>
      </c>
      <c r="AF258" s="12">
        <v>-0.75580392032746913</v>
      </c>
      <c r="AG258" s="12">
        <v>0.6372002693255705</v>
      </c>
      <c r="AH258" s="12">
        <v>2.5434044275179652</v>
      </c>
    </row>
    <row r="259" spans="24:34" x14ac:dyDescent="0.25">
      <c r="X259">
        <v>72.099999999999994</v>
      </c>
      <c r="Y259" s="12">
        <v>76.809160179061038</v>
      </c>
      <c r="Z259" s="12">
        <v>-4.709160179061044</v>
      </c>
      <c r="AA259" s="12">
        <v>-4.7162428528345259</v>
      </c>
      <c r="AB259" s="12">
        <v>1.5017618885402521E-3</v>
      </c>
      <c r="AC259" s="12">
        <v>-0.75255535629770287</v>
      </c>
      <c r="AD259" s="12">
        <v>4.2589317695512145E-4</v>
      </c>
      <c r="AE259" s="12">
        <v>-1.0205681915260707</v>
      </c>
      <c r="AF259" s="12">
        <v>-0.75276472685611406</v>
      </c>
      <c r="AG259" s="12">
        <v>0.86749948489765849</v>
      </c>
      <c r="AH259" s="12">
        <v>-4.7162428528345313</v>
      </c>
    </row>
    <row r="260" spans="24:34" x14ac:dyDescent="0.25">
      <c r="X260">
        <v>72.2</v>
      </c>
      <c r="Y260" s="12">
        <v>69.855412518382479</v>
      </c>
      <c r="Z260" s="12">
        <v>2.3445874816175234</v>
      </c>
      <c r="AA260" s="12">
        <v>2.3460215781605598</v>
      </c>
      <c r="AB260" s="12">
        <v>6.1128872657502679E-4</v>
      </c>
      <c r="AC260" s="12">
        <v>0.37451383160316909</v>
      </c>
      <c r="AD260" s="12">
        <v>4.2896086750989812E-5</v>
      </c>
      <c r="AE260" s="12">
        <v>-1.0205681915260707</v>
      </c>
      <c r="AF260" s="12">
        <v>-0.75255535629770287</v>
      </c>
      <c r="AG260" s="12">
        <v>0.61197535212063003</v>
      </c>
      <c r="AH260" s="12">
        <v>2.3460215781605545</v>
      </c>
    </row>
    <row r="261" spans="24:34" x14ac:dyDescent="0.25">
      <c r="X261">
        <v>72</v>
      </c>
      <c r="Y261" s="12">
        <v>69.954047236973665</v>
      </c>
      <c r="Z261" s="12">
        <v>2.0459527630263352</v>
      </c>
      <c r="AA261" s="12">
        <v>2.047208063631885</v>
      </c>
      <c r="AB261" s="12">
        <v>6.1317685674213221E-4</v>
      </c>
      <c r="AC261" s="12">
        <v>0.32681157704259306</v>
      </c>
      <c r="AD261" s="12">
        <v>3.276551553084529E-5</v>
      </c>
      <c r="AE261" s="12">
        <v>-1.0205681915260707</v>
      </c>
      <c r="AF261" s="12">
        <v>-0.74834168509972387</v>
      </c>
      <c r="AG261" s="12">
        <v>0.57167436276484629</v>
      </c>
      <c r="AH261" s="12">
        <v>2.0472080636318903</v>
      </c>
    </row>
    <row r="262" spans="24:34" x14ac:dyDescent="0.25">
      <c r="X262">
        <v>71.8</v>
      </c>
      <c r="Y262" s="12">
        <v>69.855412518382479</v>
      </c>
      <c r="Z262" s="12">
        <v>1.9445874816175177</v>
      </c>
      <c r="AA262" s="12">
        <v>1.9457769131089293</v>
      </c>
      <c r="AB262" s="12">
        <v>6.1128872657502679E-4</v>
      </c>
      <c r="AC262" s="12">
        <v>0.31061963536788106</v>
      </c>
      <c r="AD262" s="12">
        <v>2.950799916634447E-5</v>
      </c>
      <c r="AE262" s="12">
        <v>-1.0205681915260707</v>
      </c>
      <c r="AF262" s="12">
        <v>-0.7443264543286473</v>
      </c>
      <c r="AG262" s="12">
        <v>0.55733260748666147</v>
      </c>
      <c r="AH262" s="12">
        <v>1.9457769131089311</v>
      </c>
    </row>
    <row r="263" spans="24:34" x14ac:dyDescent="0.25">
      <c r="X263">
        <v>71.599999999999994</v>
      </c>
      <c r="Y263" s="12">
        <v>76.809160179061038</v>
      </c>
      <c r="Z263" s="12">
        <v>-5.209160179061044</v>
      </c>
      <c r="AA263" s="12">
        <v>-5.2169948631191829</v>
      </c>
      <c r="AB263" s="12">
        <v>1.5017618885402521E-3</v>
      </c>
      <c r="AC263" s="12">
        <v>-0.83245870718008408</v>
      </c>
      <c r="AD263" s="12">
        <v>5.2113372650590623E-4</v>
      </c>
      <c r="AE263" s="12">
        <v>-1.0028172174115717</v>
      </c>
      <c r="AF263" s="12">
        <v>-0.74024124442007944</v>
      </c>
      <c r="AG263" s="12">
        <v>0.91239175093820535</v>
      </c>
      <c r="AH263" s="12">
        <v>-5.2169948631191865</v>
      </c>
    </row>
    <row r="264" spans="24:34" x14ac:dyDescent="0.25">
      <c r="X264">
        <v>71.099999999999994</v>
      </c>
      <c r="Y264" s="12">
        <v>69.559508362608923</v>
      </c>
      <c r="Z264" s="12">
        <v>1.5404916373910709</v>
      </c>
      <c r="AA264" s="12">
        <v>1.5414280228376072</v>
      </c>
      <c r="AB264" s="12">
        <v>6.0747918985649756E-4</v>
      </c>
      <c r="AC264" s="12">
        <v>0.24607071845174688</v>
      </c>
      <c r="AD264" s="12">
        <v>1.8402854353756355E-5</v>
      </c>
      <c r="AE264" s="12">
        <v>-1.0028172174115717</v>
      </c>
      <c r="AF264" s="12">
        <v>-0.73860358062600562</v>
      </c>
      <c r="AG264" s="12">
        <v>0.49605515666279176</v>
      </c>
      <c r="AH264" s="12">
        <v>1.5414280228376063</v>
      </c>
    </row>
    <row r="265" spans="24:34" x14ac:dyDescent="0.25">
      <c r="X265">
        <v>59.3</v>
      </c>
      <c r="Y265" s="12">
        <v>64.381185636571701</v>
      </c>
      <c r="Z265" s="12">
        <v>-5.0811856365717034</v>
      </c>
      <c r="AA265" s="12">
        <v>-5.0862270742357936</v>
      </c>
      <c r="AB265" s="12">
        <v>9.9119398141525182E-4</v>
      </c>
      <c r="AC265" s="12">
        <v>-0.81179999295612559</v>
      </c>
      <c r="AD265" s="12">
        <v>3.2693199952482524E-4</v>
      </c>
      <c r="AE265" s="12">
        <v>-1.0028172174115717</v>
      </c>
      <c r="AF265" s="12">
        <v>-0.73636523771301765</v>
      </c>
      <c r="AG265" s="12">
        <v>0.90099944115194963</v>
      </c>
      <c r="AH265" s="12">
        <v>-5.0862270742357971</v>
      </c>
    </row>
    <row r="266" spans="24:34" x14ac:dyDescent="0.25">
      <c r="X266">
        <v>59</v>
      </c>
      <c r="Y266" s="12">
        <v>76.266669226809526</v>
      </c>
      <c r="Z266" s="12">
        <v>-17.266669226809526</v>
      </c>
      <c r="AA266" s="12">
        <v>-17.290478789549582</v>
      </c>
      <c r="AB266" s="12">
        <v>1.3770331654697706E-3</v>
      </c>
      <c r="AC266" s="12">
        <v>-2.7591571331065561</v>
      </c>
      <c r="AD266" s="12">
        <v>5.2488688666518391E-3</v>
      </c>
      <c r="AE266" s="12">
        <v>-1.0028172174115717</v>
      </c>
      <c r="AF266" s="12">
        <v>-0.73005984261009271</v>
      </c>
      <c r="AG266" s="12">
        <v>1.6610710800885542</v>
      </c>
      <c r="AH266" s="12">
        <v>-17.290478789549589</v>
      </c>
    </row>
    <row r="267" spans="24:34" x14ac:dyDescent="0.25">
      <c r="X267">
        <v>58.6</v>
      </c>
      <c r="Y267" s="12">
        <v>64.23323355868493</v>
      </c>
      <c r="Z267" s="12">
        <v>-5.6332335586849283</v>
      </c>
      <c r="AA267" s="12">
        <v>-5.6389552798674245</v>
      </c>
      <c r="AB267" s="12">
        <v>1.014677524207887E-3</v>
      </c>
      <c r="AC267" s="12">
        <v>-0.90000898223085912</v>
      </c>
      <c r="AD267" s="12">
        <v>4.1137000790727633E-4</v>
      </c>
      <c r="AE267" s="12">
        <v>-1.0028172174115717</v>
      </c>
      <c r="AF267" s="12">
        <v>-0.72887771762379494</v>
      </c>
      <c r="AG267" s="12">
        <v>0.94868803209003283</v>
      </c>
      <c r="AH267" s="12">
        <v>-5.6389552798674236</v>
      </c>
    </row>
    <row r="268" spans="24:34" x14ac:dyDescent="0.25">
      <c r="X268">
        <v>58.1</v>
      </c>
      <c r="Y268" s="12">
        <v>64.035964121502559</v>
      </c>
      <c r="Z268" s="12">
        <v>-5.9359641215025576</v>
      </c>
      <c r="AA268" s="12">
        <v>-5.9421860116328205</v>
      </c>
      <c r="AB268" s="12">
        <v>1.0470709126380263E-3</v>
      </c>
      <c r="AC268" s="12">
        <v>-0.94839093594314117</v>
      </c>
      <c r="AD268" s="12">
        <v>4.7138511448687311E-4</v>
      </c>
      <c r="AE268" s="12">
        <v>-0.99032898964496086</v>
      </c>
      <c r="AF268" s="12">
        <v>-0.72847956596066232</v>
      </c>
      <c r="AG268" s="12">
        <v>0.97385365222046638</v>
      </c>
      <c r="AH268" s="12">
        <v>-5.9421860116328231</v>
      </c>
    </row>
    <row r="269" spans="24:34" x14ac:dyDescent="0.25">
      <c r="X269">
        <v>57.5</v>
      </c>
      <c r="Y269" s="12">
        <v>63.838694684320188</v>
      </c>
      <c r="Z269" s="12">
        <v>-6.3386946843201883</v>
      </c>
      <c r="AA269" s="12">
        <v>-6.3455523282435777</v>
      </c>
      <c r="AB269" s="12">
        <v>1.0807008702566903E-3</v>
      </c>
      <c r="AC269" s="12">
        <v>-1.0127523775481819</v>
      </c>
      <c r="AD269" s="12">
        <v>5.5481940794025299E-4</v>
      </c>
      <c r="AE269" s="12">
        <v>-0.99032898964496086</v>
      </c>
      <c r="AF269" s="12">
        <v>-0.72586134921110179</v>
      </c>
      <c r="AG269" s="12">
        <v>1.0063559894730005</v>
      </c>
      <c r="AH269" s="12">
        <v>-6.3455523282435804</v>
      </c>
    </row>
    <row r="270" spans="24:34" x14ac:dyDescent="0.25">
      <c r="X270">
        <v>56.9</v>
      </c>
      <c r="Y270" s="12">
        <v>63.641425247137818</v>
      </c>
      <c r="Z270" s="12">
        <v>-6.7414252471378191</v>
      </c>
      <c r="AA270" s="12">
        <v>-6.7489541603633967</v>
      </c>
      <c r="AB270" s="12">
        <v>1.115567397063879E-3</v>
      </c>
      <c r="AC270" s="12">
        <v>-1.0771166529986758</v>
      </c>
      <c r="AD270" s="12">
        <v>6.4785237285180865E-4</v>
      </c>
      <c r="AE270" s="12">
        <v>-0.99032898964496086</v>
      </c>
      <c r="AF270" s="12">
        <v>-0.72404064129541879</v>
      </c>
      <c r="AG270" s="12">
        <v>1.0378423064216817</v>
      </c>
      <c r="AH270" s="12">
        <v>-6.7489541603633993</v>
      </c>
    </row>
    <row r="271" spans="24:34" x14ac:dyDescent="0.25">
      <c r="X271">
        <v>56.1</v>
      </c>
      <c r="Y271" s="12">
        <v>63.394838450659854</v>
      </c>
      <c r="Z271" s="12">
        <v>-7.2948384506598529</v>
      </c>
      <c r="AA271" s="12">
        <v>-7.3033167943027308</v>
      </c>
      <c r="AB271" s="12">
        <v>1.160889480994228E-3</v>
      </c>
      <c r="AC271" s="12">
        <v>-1.1655651364061936</v>
      </c>
      <c r="AD271" s="12">
        <v>7.8947510260457608E-4</v>
      </c>
      <c r="AE271" s="12">
        <v>-0.99032898964496086</v>
      </c>
      <c r="AF271" s="12">
        <v>-0.72238282658918651</v>
      </c>
      <c r="AG271" s="12">
        <v>1.0796134198898204</v>
      </c>
      <c r="AH271" s="12">
        <v>-7.3033167943027273</v>
      </c>
    </row>
    <row r="272" spans="24:34" x14ac:dyDescent="0.25">
      <c r="X272">
        <v>55.3</v>
      </c>
      <c r="Y272" s="12">
        <v>63.148251654181891</v>
      </c>
      <c r="Z272" s="12">
        <v>-7.8482516541818939</v>
      </c>
      <c r="AA272" s="12">
        <v>-7.8577449392601153</v>
      </c>
      <c r="AB272" s="12">
        <v>1.2081437042816472E-3</v>
      </c>
      <c r="AC272" s="12">
        <v>-1.2540188467665625</v>
      </c>
      <c r="AD272" s="12">
        <v>9.5109025964641161E-4</v>
      </c>
      <c r="AE272" s="12">
        <v>-0.98044852568054008</v>
      </c>
      <c r="AF272" s="12">
        <v>-0.71638800987396722</v>
      </c>
      <c r="AG272" s="12">
        <v>1.1198298293788045</v>
      </c>
      <c r="AH272" s="12">
        <v>-7.8577449392601126</v>
      </c>
    </row>
    <row r="273" spans="24:34" x14ac:dyDescent="0.25">
      <c r="X273">
        <v>54.3</v>
      </c>
      <c r="Y273" s="12">
        <v>76.020082430331556</v>
      </c>
      <c r="Z273" s="12">
        <v>-21.720082430331558</v>
      </c>
      <c r="AA273" s="12">
        <v>-21.748865525220339</v>
      </c>
      <c r="AB273" s="12">
        <v>1.3234297143181366E-3</v>
      </c>
      <c r="AC273" s="12">
        <v>-3.4707048144716066</v>
      </c>
      <c r="AD273" s="12">
        <v>7.9814423505315587E-3</v>
      </c>
      <c r="AE273" s="12">
        <v>-0.98044852568054008</v>
      </c>
      <c r="AF273" s="12">
        <v>-0.71594047696680008</v>
      </c>
      <c r="AG273" s="12">
        <v>1.8629827735305571</v>
      </c>
      <c r="AH273" s="12">
        <v>-21.748865525220342</v>
      </c>
    </row>
    <row r="274" spans="24:34" x14ac:dyDescent="0.25">
      <c r="X274">
        <v>59.1</v>
      </c>
      <c r="Y274" s="12">
        <v>62.95098221699952</v>
      </c>
      <c r="Z274" s="12">
        <v>-3.8509822169995189</v>
      </c>
      <c r="AA274" s="12">
        <v>-3.855791693359528</v>
      </c>
      <c r="AB274" s="12">
        <v>1.2473382232486725E-3</v>
      </c>
      <c r="AC274" s="12">
        <v>-0.61533437610161368</v>
      </c>
      <c r="AD274" s="12">
        <v>2.3643874281316742E-4</v>
      </c>
      <c r="AE274" s="12">
        <v>-0.97554401628441823</v>
      </c>
      <c r="AF274" s="12">
        <v>-0.71594047696680008</v>
      </c>
      <c r="AG274" s="12">
        <v>0.78443251851361551</v>
      </c>
      <c r="AH274" s="12">
        <v>-3.8557916933595306</v>
      </c>
    </row>
    <row r="275" spans="24:34" x14ac:dyDescent="0.25">
      <c r="X275">
        <v>58.6</v>
      </c>
      <c r="Y275" s="12">
        <v>75.97076507103597</v>
      </c>
      <c r="Z275" s="12">
        <v>-17.370765071035969</v>
      </c>
      <c r="AA275" s="12">
        <v>-17.393601841958819</v>
      </c>
      <c r="AB275" s="12">
        <v>1.3129408808106582E-3</v>
      </c>
      <c r="AC275" s="12">
        <v>-2.775702235955797</v>
      </c>
      <c r="AD275" s="12">
        <v>5.0644408544781479E-3</v>
      </c>
      <c r="AE275" s="12">
        <v>-0.97554401628441823</v>
      </c>
      <c r="AF275" s="12">
        <v>-0.71571688197161154</v>
      </c>
      <c r="AG275" s="12">
        <v>1.666043887764004</v>
      </c>
      <c r="AH275" s="12">
        <v>-17.393601841958819</v>
      </c>
    </row>
    <row r="276" spans="24:34" x14ac:dyDescent="0.25">
      <c r="X276">
        <v>58</v>
      </c>
      <c r="Y276" s="12">
        <v>62.21122182756563</v>
      </c>
      <c r="Z276" s="12">
        <v>-4.2112218275656303</v>
      </c>
      <c r="AA276" s="12">
        <v>-4.2171483162513042</v>
      </c>
      <c r="AB276" s="12">
        <v>1.4053308637103175E-3</v>
      </c>
      <c r="AC276" s="12">
        <v>-0.67294897606753556</v>
      </c>
      <c r="AD276" s="12">
        <v>3.1865711408517351E-4</v>
      </c>
      <c r="AE276" s="12">
        <v>-0.97554401628441823</v>
      </c>
      <c r="AF276" s="12">
        <v>-0.71249880133407295</v>
      </c>
      <c r="AG276" s="12">
        <v>0.82033467320815812</v>
      </c>
      <c r="AH276" s="12">
        <v>-4.2171483162513024</v>
      </c>
    </row>
    <row r="277" spans="24:34" x14ac:dyDescent="0.25">
      <c r="X277">
        <v>57.4</v>
      </c>
      <c r="Y277" s="12">
        <v>61.767365593905296</v>
      </c>
      <c r="Z277" s="12">
        <v>-4.3673655939052978</v>
      </c>
      <c r="AA277" s="12">
        <v>-4.3739636011691374</v>
      </c>
      <c r="AB277" s="12">
        <v>1.5084732900098468E-3</v>
      </c>
      <c r="AC277" s="12">
        <v>-0.6979366365558497</v>
      </c>
      <c r="AD277" s="12">
        <v>3.6795544810654687E-4</v>
      </c>
      <c r="AE277" s="12">
        <v>-0.96823093621551704</v>
      </c>
      <c r="AF277" s="12">
        <v>-0.71207954669302875</v>
      </c>
      <c r="AG277" s="12">
        <v>0.83542602099518648</v>
      </c>
      <c r="AH277" s="12">
        <v>-4.3739636011691365</v>
      </c>
    </row>
    <row r="278" spans="24:34" x14ac:dyDescent="0.25">
      <c r="X278">
        <v>56.8</v>
      </c>
      <c r="Y278" s="12">
        <v>75.97076507103597</v>
      </c>
      <c r="Z278" s="12">
        <v>-19.170765071035973</v>
      </c>
      <c r="AA278" s="12">
        <v>-19.195968242488277</v>
      </c>
      <c r="AB278" s="12">
        <v>1.3129408808106582E-3</v>
      </c>
      <c r="AC278" s="12">
        <v>-3.0633271047677773</v>
      </c>
      <c r="AD278" s="12">
        <v>6.1683995997703243E-3</v>
      </c>
      <c r="AE278" s="12">
        <v>-0.96823093621551704</v>
      </c>
      <c r="AF278" s="12">
        <v>-0.70853971013821226</v>
      </c>
      <c r="AG278" s="12">
        <v>1.7502362996943519</v>
      </c>
      <c r="AH278" s="12">
        <v>-19.195968242488281</v>
      </c>
    </row>
    <row r="279" spans="24:34" x14ac:dyDescent="0.25">
      <c r="X279">
        <v>56.2</v>
      </c>
      <c r="Y279" s="12">
        <v>60.928970485880228</v>
      </c>
      <c r="Z279" s="12">
        <v>-4.7289704858802253</v>
      </c>
      <c r="AA279" s="12">
        <v>-4.7371201230519233</v>
      </c>
      <c r="AB279" s="12">
        <v>1.7203779849365673E-3</v>
      </c>
      <c r="AC279" s="12">
        <v>-0.75580392032746913</v>
      </c>
      <c r="AD279" s="12">
        <v>4.9222079253560173E-4</v>
      </c>
      <c r="AE279" s="12">
        <v>-0.96823093621551704</v>
      </c>
      <c r="AF279" s="12">
        <v>-0.70599020072864827</v>
      </c>
      <c r="AG279" s="12">
        <v>0.86936984093507008</v>
      </c>
      <c r="AH279" s="12">
        <v>-4.7371201230519233</v>
      </c>
    </row>
    <row r="280" spans="24:34" x14ac:dyDescent="0.25">
      <c r="X280">
        <v>55.3</v>
      </c>
      <c r="Y280" s="12">
        <v>75.872130352444785</v>
      </c>
      <c r="Z280" s="12">
        <v>-20.572130352444788</v>
      </c>
      <c r="AA280" s="12">
        <v>-20.598747953008512</v>
      </c>
      <c r="AB280" s="12">
        <v>1.2921950705185497E-3</v>
      </c>
      <c r="AC280" s="12">
        <v>-3.2872193538934882</v>
      </c>
      <c r="AD280" s="12">
        <v>6.9906411777303518E-3</v>
      </c>
      <c r="AE280" s="12">
        <v>-0.96823093621551704</v>
      </c>
      <c r="AF280" s="12">
        <v>-0.70545369875602182</v>
      </c>
      <c r="AG280" s="12">
        <v>1.8130690427817382</v>
      </c>
      <c r="AH280" s="12">
        <v>-20.59874795300852</v>
      </c>
    </row>
    <row r="281" spans="24:34" x14ac:dyDescent="0.25">
      <c r="X281">
        <v>54.8</v>
      </c>
      <c r="Y281" s="12">
        <v>60.090575377855153</v>
      </c>
      <c r="Z281" s="12">
        <v>-5.2905753778551556</v>
      </c>
      <c r="AA281" s="12">
        <v>-5.300936685234575</v>
      </c>
      <c r="AB281" s="12">
        <v>1.9546182108310176E-3</v>
      </c>
      <c r="AC281" s="12">
        <v>-0.84566119282245811</v>
      </c>
      <c r="AD281" s="12">
        <v>7.002844106163375E-4</v>
      </c>
      <c r="AE281" s="12">
        <v>-0.96823093621551704</v>
      </c>
      <c r="AF281" s="12">
        <v>-0.70386265811140103</v>
      </c>
      <c r="AG281" s="12">
        <v>0.91959838670066085</v>
      </c>
      <c r="AH281" s="12">
        <v>-5.3009366852345767</v>
      </c>
    </row>
    <row r="282" spans="24:34" x14ac:dyDescent="0.25">
      <c r="X282">
        <v>54.1</v>
      </c>
      <c r="Y282" s="12">
        <v>59.794671222081597</v>
      </c>
      <c r="Z282" s="12">
        <v>-5.6946712220815954</v>
      </c>
      <c r="AA282" s="12">
        <v>-5.7063271024096807</v>
      </c>
      <c r="AB282" s="12">
        <v>2.0426239363604539E-3</v>
      </c>
      <c r="AC282" s="12">
        <v>-0.91029320080040754</v>
      </c>
      <c r="AD282" s="12">
        <v>8.480257243575933E-4</v>
      </c>
      <c r="AE282" s="12">
        <v>-0.95615619123390583</v>
      </c>
      <c r="AF282" s="12">
        <v>-0.6979366365558497</v>
      </c>
      <c r="AG282" s="12">
        <v>0.95409286801673954</v>
      </c>
      <c r="AH282" s="12">
        <v>-5.7063271024096798</v>
      </c>
    </row>
    <row r="283" spans="24:34" x14ac:dyDescent="0.25">
      <c r="X283">
        <v>53.4</v>
      </c>
      <c r="Y283" s="12">
        <v>59.400132347716855</v>
      </c>
      <c r="Z283" s="12">
        <v>-6.0001323477168569</v>
      </c>
      <c r="AA283" s="12">
        <v>-6.0131465580945047</v>
      </c>
      <c r="AB283" s="12">
        <v>2.1642928958928729E-3</v>
      </c>
      <c r="AC283" s="12">
        <v>-0.95917963446222898</v>
      </c>
      <c r="AD283" s="12">
        <v>9.9776185274805902E-4</v>
      </c>
      <c r="AE283" s="12">
        <v>-0.95615619123390583</v>
      </c>
      <c r="AF283" s="12">
        <v>-0.69231092307684594</v>
      </c>
      <c r="AG283" s="12">
        <v>0.97937716660244278</v>
      </c>
      <c r="AH283" s="12">
        <v>-6.0131465580945038</v>
      </c>
    </row>
    <row r="284" spans="24:34" x14ac:dyDescent="0.25">
      <c r="X284">
        <v>52.6</v>
      </c>
      <c r="Y284" s="12">
        <v>58.956276114056521</v>
      </c>
      <c r="Z284" s="12">
        <v>-6.35627611405652</v>
      </c>
      <c r="AA284" s="12">
        <v>-6.3709744798370735</v>
      </c>
      <c r="AB284" s="12">
        <v>2.3070828217994777E-3</v>
      </c>
      <c r="AC284" s="12">
        <v>-1.0161853970524937</v>
      </c>
      <c r="AD284" s="12">
        <v>1.1939391688226887E-3</v>
      </c>
      <c r="AE284" s="12">
        <v>-0.95615619123390583</v>
      </c>
      <c r="AF284" s="12">
        <v>-0.69164699792778306</v>
      </c>
      <c r="AG284" s="12">
        <v>1.0080602149933771</v>
      </c>
      <c r="AH284" s="12">
        <v>-6.3709744798370753</v>
      </c>
    </row>
    <row r="285" spans="24:34" x14ac:dyDescent="0.25">
      <c r="X285">
        <v>73</v>
      </c>
      <c r="Y285" s="12">
        <v>71.828106890206186</v>
      </c>
      <c r="Z285" s="12">
        <v>1.1718931097938139</v>
      </c>
      <c r="AA285" s="12">
        <v>1.1727231495960666</v>
      </c>
      <c r="AB285" s="12">
        <v>7.0778836637206289E-4</v>
      </c>
      <c r="AC285" s="12">
        <v>0.18720195901367728</v>
      </c>
      <c r="AD285" s="12">
        <v>1.2410854957975426E-5</v>
      </c>
      <c r="AE285" s="12">
        <v>-0.94897780985887348</v>
      </c>
      <c r="AF285" s="12">
        <v>-0.68884279430967243</v>
      </c>
      <c r="AG285" s="12">
        <v>0.4326684169357376</v>
      </c>
      <c r="AH285" s="12">
        <v>1.1727231495960733</v>
      </c>
    </row>
    <row r="286" spans="24:34" x14ac:dyDescent="0.25">
      <c r="X286">
        <v>72.8</v>
      </c>
      <c r="Y286" s="12">
        <v>77.006429616243409</v>
      </c>
      <c r="Z286" s="12">
        <v>-4.2064296162434118</v>
      </c>
      <c r="AA286" s="12">
        <v>-4.2129573254858599</v>
      </c>
      <c r="AB286" s="12">
        <v>1.5494363550670933E-3</v>
      </c>
      <c r="AC286" s="12">
        <v>-0.6722316916133213</v>
      </c>
      <c r="AD286" s="12">
        <v>3.5063490376495063E-4</v>
      </c>
      <c r="AE286" s="12">
        <v>-0.94897780985887348</v>
      </c>
      <c r="AF286" s="12">
        <v>-0.68218221478947283</v>
      </c>
      <c r="AG286" s="12">
        <v>0.81989736651200518</v>
      </c>
      <c r="AH286" s="12">
        <v>-4.2129573254858661</v>
      </c>
    </row>
    <row r="287" spans="24:34" x14ac:dyDescent="0.25">
      <c r="X287">
        <v>72.7</v>
      </c>
      <c r="Y287" s="12">
        <v>71.630837453023815</v>
      </c>
      <c r="Z287" s="12">
        <v>1.0691625469761874</v>
      </c>
      <c r="AA287" s="12">
        <v>1.0699035341764045</v>
      </c>
      <c r="AB287" s="12">
        <v>6.9257384104399783E-4</v>
      </c>
      <c r="AC287" s="12">
        <v>0.17079014969522266</v>
      </c>
      <c r="AD287" s="12">
        <v>1.0107938988395524E-5</v>
      </c>
      <c r="AE287" s="12">
        <v>-0.94897780985887348</v>
      </c>
      <c r="AF287" s="12">
        <v>-0.68192060435837376</v>
      </c>
      <c r="AG287" s="12">
        <v>0.4132676489821368</v>
      </c>
      <c r="AH287" s="12">
        <v>1.0699035341763985</v>
      </c>
    </row>
    <row r="288" spans="24:34" x14ac:dyDescent="0.25">
      <c r="X288">
        <v>72.599999999999994</v>
      </c>
      <c r="Y288" s="12">
        <v>71.58152009372823</v>
      </c>
      <c r="Z288" s="12">
        <v>1.0184799062717644</v>
      </c>
      <c r="AA288" s="12">
        <v>1.0191820854506801</v>
      </c>
      <c r="AB288" s="12">
        <v>6.8896342364768845E-4</v>
      </c>
      <c r="AC288" s="12">
        <v>0.16269371006258512</v>
      </c>
      <c r="AD288" s="12">
        <v>9.1244566574719594E-6</v>
      </c>
      <c r="AE288" s="12">
        <v>-0.94897780985887348</v>
      </c>
      <c r="AF288" s="12">
        <v>-0.68011724943502982</v>
      </c>
      <c r="AG288" s="12">
        <v>0.40335308361606104</v>
      </c>
      <c r="AH288" s="12">
        <v>1.0191820854506768</v>
      </c>
    </row>
    <row r="289" spans="24:34" x14ac:dyDescent="0.25">
      <c r="X289">
        <v>72.5</v>
      </c>
      <c r="Y289" s="12">
        <v>71.53220273443263</v>
      </c>
      <c r="Z289" s="12">
        <v>0.96779726556736989</v>
      </c>
      <c r="AA289" s="12">
        <v>0.96846107812676507</v>
      </c>
      <c r="AB289" s="12">
        <v>6.8543029182566194E-4</v>
      </c>
      <c r="AC289" s="12">
        <v>0.15459730566027804</v>
      </c>
      <c r="AD289" s="12">
        <v>8.1966222400410538E-6</v>
      </c>
      <c r="AE289" s="12">
        <v>-0.94897780985887348</v>
      </c>
      <c r="AF289" s="12">
        <v>-0.67294897606753556</v>
      </c>
      <c r="AG289" s="12">
        <v>0.39318863877314414</v>
      </c>
      <c r="AH289" s="12">
        <v>0.96846107812677207</v>
      </c>
    </row>
    <row r="290" spans="24:34" x14ac:dyDescent="0.25">
      <c r="X290">
        <v>72.400000000000006</v>
      </c>
      <c r="Y290" s="12">
        <v>71.482885375137045</v>
      </c>
      <c r="Z290" s="12">
        <v>0.91711462486296114</v>
      </c>
      <c r="AA290" s="12">
        <v>0.91774050043193256</v>
      </c>
      <c r="AB290" s="12">
        <v>6.8197444557791822E-4</v>
      </c>
      <c r="AC290" s="12">
        <v>0.14650093554875349</v>
      </c>
      <c r="AD290" s="12">
        <v>7.3234408921230872E-6</v>
      </c>
      <c r="AE290" s="12">
        <v>-0.93712127394454381</v>
      </c>
      <c r="AF290" s="12">
        <v>-0.6722316916133213</v>
      </c>
      <c r="AG290" s="12">
        <v>0.38275440630873669</v>
      </c>
      <c r="AH290" s="12">
        <v>0.91774050043192756</v>
      </c>
    </row>
    <row r="291" spans="24:34" x14ac:dyDescent="0.25">
      <c r="X291">
        <v>72.400000000000006</v>
      </c>
      <c r="Y291" s="12">
        <v>71.482885375137045</v>
      </c>
      <c r="Z291" s="12">
        <v>0.91711462486296114</v>
      </c>
      <c r="AA291" s="12">
        <v>0.91774050043193256</v>
      </c>
      <c r="AB291" s="12">
        <v>6.8197444557791822E-4</v>
      </c>
      <c r="AC291" s="12">
        <v>0.14650093554875349</v>
      </c>
      <c r="AD291" s="12">
        <v>7.3234408921230872E-6</v>
      </c>
      <c r="AE291" s="12">
        <v>-0.93712127394454381</v>
      </c>
      <c r="AF291" s="12">
        <v>-0.67092245477072432</v>
      </c>
      <c r="AG291" s="12">
        <v>0.38275440630873669</v>
      </c>
      <c r="AH291" s="12">
        <v>0.91774050043192756</v>
      </c>
    </row>
    <row r="292" spans="24:34" x14ac:dyDescent="0.25">
      <c r="X292">
        <v>72.3</v>
      </c>
      <c r="Y292" s="12">
        <v>71.384250656545859</v>
      </c>
      <c r="Z292" s="12">
        <v>0.91574934345413794</v>
      </c>
      <c r="AA292" s="12">
        <v>0.91636816193448567</v>
      </c>
      <c r="AB292" s="12">
        <v>6.752946098052793E-4</v>
      </c>
      <c r="AC292" s="12">
        <v>0.14628235503663461</v>
      </c>
      <c r="AD292" s="12">
        <v>7.2300375091873127E-6</v>
      </c>
      <c r="AE292" s="12">
        <v>-0.93241539434320697</v>
      </c>
      <c r="AF292" s="12">
        <v>-0.66572858584367223</v>
      </c>
      <c r="AG292" s="12">
        <v>0.38246876347831937</v>
      </c>
      <c r="AH292" s="12">
        <v>0.91636816193448956</v>
      </c>
    </row>
    <row r="293" spans="24:34" x14ac:dyDescent="0.25">
      <c r="X293">
        <v>72.099999999999994</v>
      </c>
      <c r="Y293" s="12">
        <v>71.236298578659074</v>
      </c>
      <c r="Z293" s="12">
        <v>0.86370142134092021</v>
      </c>
      <c r="AA293" s="12">
        <v>0.86427690400492452</v>
      </c>
      <c r="AB293" s="12">
        <v>6.6585449795344173E-4</v>
      </c>
      <c r="AC293" s="12">
        <v>0.13796753676597143</v>
      </c>
      <c r="AD293" s="12">
        <v>6.3415064218720531E-6</v>
      </c>
      <c r="AE293" s="12">
        <v>-0.93241539434320697</v>
      </c>
      <c r="AF293" s="12">
        <v>-0.65667133523884413</v>
      </c>
      <c r="AG293" s="12">
        <v>0.37143981580596797</v>
      </c>
      <c r="AH293" s="12">
        <v>0.86427690400492918</v>
      </c>
    </row>
    <row r="294" spans="24:34" x14ac:dyDescent="0.25">
      <c r="X294">
        <v>71.8</v>
      </c>
      <c r="Y294" s="12">
        <v>70.989711782181118</v>
      </c>
      <c r="Z294" s="12">
        <v>0.81028821781887928</v>
      </c>
      <c r="AA294" s="12">
        <v>0.8108165999885415</v>
      </c>
      <c r="AB294" s="12">
        <v>6.5166668968603524E-4</v>
      </c>
      <c r="AC294" s="12">
        <v>0.12943440076465768</v>
      </c>
      <c r="AD294" s="12">
        <v>5.4623316987831046E-6</v>
      </c>
      <c r="AE294" s="12">
        <v>-0.9277300733017374</v>
      </c>
      <c r="AF294" s="12">
        <v>-0.65516863398000202</v>
      </c>
      <c r="AG294" s="12">
        <v>0.3597699275435034</v>
      </c>
      <c r="AH294" s="12">
        <v>0.81081659998853628</v>
      </c>
    </row>
    <row r="295" spans="24:34" x14ac:dyDescent="0.25">
      <c r="X295">
        <v>71.400000000000006</v>
      </c>
      <c r="Y295" s="12">
        <v>76.907794897652224</v>
      </c>
      <c r="Z295" s="12">
        <v>-5.507794897652218</v>
      </c>
      <c r="AA295" s="12">
        <v>-5.5162095694802531</v>
      </c>
      <c r="AB295" s="12">
        <v>1.5254445506551072E-3</v>
      </c>
      <c r="AC295" s="12">
        <v>-0.88019297498478399</v>
      </c>
      <c r="AD295" s="12">
        <v>5.9181398575878965E-4</v>
      </c>
      <c r="AE295" s="12">
        <v>-0.9277300733017374</v>
      </c>
      <c r="AF295" s="12">
        <v>-0.6481549521770309</v>
      </c>
      <c r="AG295" s="12">
        <v>0.93818600233897331</v>
      </c>
      <c r="AH295" s="12">
        <v>-5.5162095694802531</v>
      </c>
    </row>
    <row r="296" spans="24:34" x14ac:dyDescent="0.25">
      <c r="X296">
        <v>71.099999999999994</v>
      </c>
      <c r="Y296" s="12">
        <v>70.496538189225191</v>
      </c>
      <c r="Z296" s="12">
        <v>0.6034618107748031</v>
      </c>
      <c r="AA296" s="12">
        <v>0.60384168002238425</v>
      </c>
      <c r="AB296" s="12">
        <v>6.2908749122243227E-4</v>
      </c>
      <c r="AC296" s="12">
        <v>9.6395126780995821E-2</v>
      </c>
      <c r="AD296" s="12">
        <v>2.924586742962339E-6</v>
      </c>
      <c r="AE296" s="12">
        <v>-0.9277300733017374</v>
      </c>
      <c r="AF296" s="12">
        <v>-0.64616993195422567</v>
      </c>
      <c r="AG296" s="12">
        <v>0.31047564603523387</v>
      </c>
      <c r="AH296" s="12">
        <v>0.60384168002238392</v>
      </c>
    </row>
    <row r="297" spans="24:34" x14ac:dyDescent="0.25">
      <c r="X297">
        <v>77</v>
      </c>
      <c r="Y297" s="12">
        <v>70.299268752042821</v>
      </c>
      <c r="Z297" s="12">
        <v>6.7007312479571794</v>
      </c>
      <c r="AA297" s="12">
        <v>6.7049031715206695</v>
      </c>
      <c r="AB297" s="12">
        <v>6.222198079169094E-4</v>
      </c>
      <c r="AC297" s="12">
        <v>1.0703504468303997</v>
      </c>
      <c r="AD297" s="12">
        <v>3.5664499763895607E-4</v>
      </c>
      <c r="AE297" s="12">
        <v>-0.9277300733017374</v>
      </c>
      <c r="AF297" s="12">
        <v>-0.64259788244975213</v>
      </c>
      <c r="AG297" s="12">
        <v>1.034577424280271</v>
      </c>
      <c r="AH297" s="12">
        <v>6.7049031715206642</v>
      </c>
    </row>
    <row r="298" spans="24:34" x14ac:dyDescent="0.25">
      <c r="X298">
        <v>68.3</v>
      </c>
      <c r="Y298" s="12">
        <v>68.770430613879455</v>
      </c>
      <c r="Z298" s="12">
        <v>-0.47043061387945784</v>
      </c>
      <c r="AA298" s="12">
        <v>-0.47071818629834183</v>
      </c>
      <c r="AB298" s="12">
        <v>6.1092268634752608E-4</v>
      </c>
      <c r="AC298" s="12">
        <v>-7.5144451134394746E-2</v>
      </c>
      <c r="AD298" s="12">
        <v>1.7258994559108331E-6</v>
      </c>
      <c r="AE298" s="12">
        <v>-0.91841998904288702</v>
      </c>
      <c r="AF298" s="12">
        <v>-0.64144078064204813</v>
      </c>
      <c r="AG298" s="12">
        <v>0.27412488237005184</v>
      </c>
      <c r="AH298" s="12">
        <v>-0.47071818629834389</v>
      </c>
    </row>
    <row r="299" spans="24:34" x14ac:dyDescent="0.25">
      <c r="X299">
        <v>67.8</v>
      </c>
      <c r="Y299" s="12">
        <v>68.573161176697084</v>
      </c>
      <c r="Z299" s="12">
        <v>-0.77316117669708717</v>
      </c>
      <c r="AA299" s="12">
        <v>-0.77363686665266584</v>
      </c>
      <c r="AB299" s="12">
        <v>6.1487498344159504E-4</v>
      </c>
      <c r="AC299" s="12">
        <v>-0.12350150145318071</v>
      </c>
      <c r="AD299" s="12">
        <v>4.6921125623666543E-6</v>
      </c>
      <c r="AE299" s="12">
        <v>-0.91841998904288702</v>
      </c>
      <c r="AF299" s="12">
        <v>-0.64048007953183794</v>
      </c>
      <c r="AG299" s="12">
        <v>0.35142780404114399</v>
      </c>
      <c r="AH299" s="12">
        <v>-0.77363686665266007</v>
      </c>
    </row>
    <row r="300" spans="24:34" x14ac:dyDescent="0.25">
      <c r="X300">
        <v>67.400000000000006</v>
      </c>
      <c r="Y300" s="12">
        <v>68.425209098810299</v>
      </c>
      <c r="Z300" s="12">
        <v>-1.0252090988102935</v>
      </c>
      <c r="AA300" s="12">
        <v>-1.0258437377616616</v>
      </c>
      <c r="AB300" s="12">
        <v>6.1865070479211626E-4</v>
      </c>
      <c r="AC300" s="12">
        <v>-0.16376288153317697</v>
      </c>
      <c r="AD300" s="12">
        <v>8.3007095746571428E-6</v>
      </c>
      <c r="AE300" s="12">
        <v>-0.91841998904288702</v>
      </c>
      <c r="AF300" s="12">
        <v>-0.64048007953183794</v>
      </c>
      <c r="AG300" s="12">
        <v>0.40467626756850589</v>
      </c>
      <c r="AH300" s="12">
        <v>-1.0258437377616665</v>
      </c>
    </row>
    <row r="301" spans="24:34" x14ac:dyDescent="0.25">
      <c r="X301">
        <v>67</v>
      </c>
      <c r="Y301" s="12">
        <v>76.661208101174267</v>
      </c>
      <c r="Z301" s="12">
        <v>-9.6612081011742674</v>
      </c>
      <c r="AA301" s="12">
        <v>-9.6754001477902278</v>
      </c>
      <c r="AB301" s="12">
        <v>1.4668175371750909E-3</v>
      </c>
      <c r="AC301" s="12">
        <v>-1.5438987861058364</v>
      </c>
      <c r="AD301" s="12">
        <v>1.7507383615822112E-3</v>
      </c>
      <c r="AE301" s="12">
        <v>-0.91148934236618206</v>
      </c>
      <c r="AF301" s="12">
        <v>-0.64026958821725055</v>
      </c>
      <c r="AG301" s="12">
        <v>1.2425372373115569</v>
      </c>
      <c r="AH301" s="12">
        <v>-9.6754001477902314</v>
      </c>
    </row>
    <row r="302" spans="24:34" x14ac:dyDescent="0.25">
      <c r="X302">
        <v>66.599999999999994</v>
      </c>
      <c r="Y302" s="12">
        <v>68.129304943036743</v>
      </c>
      <c r="Z302" s="12">
        <v>-1.5293049430367489</v>
      </c>
      <c r="AA302" s="12">
        <v>-1.5302663923608435</v>
      </c>
      <c r="AB302" s="12">
        <v>6.2828885799879448E-4</v>
      </c>
      <c r="AC302" s="12">
        <v>-0.24428635306393784</v>
      </c>
      <c r="AD302" s="12">
        <v>1.8758612946897644E-5</v>
      </c>
      <c r="AE302" s="12">
        <v>-0.91148934236618206</v>
      </c>
      <c r="AF302" s="12">
        <v>-0.63829301432204888</v>
      </c>
      <c r="AG302" s="12">
        <v>0.49425332883445289</v>
      </c>
      <c r="AH302" s="12">
        <v>-1.5302663923608393</v>
      </c>
    </row>
    <row r="303" spans="24:34" x14ac:dyDescent="0.25">
      <c r="X303">
        <v>66.099999999999994</v>
      </c>
      <c r="Y303" s="12">
        <v>67.981352865149972</v>
      </c>
      <c r="Z303" s="12">
        <v>-1.881352865149978</v>
      </c>
      <c r="AA303" s="12">
        <v>-1.8825466845582071</v>
      </c>
      <c r="AB303" s="12">
        <v>6.3415128985495114E-4</v>
      </c>
      <c r="AC303" s="12">
        <v>-0.30052226035981566</v>
      </c>
      <c r="AD303" s="12">
        <v>2.8654423391519395E-5</v>
      </c>
      <c r="AE303" s="12">
        <v>-0.91148934236618206</v>
      </c>
      <c r="AF303" s="12">
        <v>-0.63128522212847438</v>
      </c>
      <c r="AG303" s="12">
        <v>0.54819910649308401</v>
      </c>
      <c r="AH303" s="12">
        <v>-1.8825466845582028</v>
      </c>
    </row>
    <row r="304" spans="24:34" x14ac:dyDescent="0.25">
      <c r="X304">
        <v>65.599999999999994</v>
      </c>
      <c r="Y304" s="12">
        <v>67.784083427967602</v>
      </c>
      <c r="Z304" s="12">
        <v>-2.1840834279676073</v>
      </c>
      <c r="AA304" s="12">
        <v>-2.1854888062465818</v>
      </c>
      <c r="AB304" s="12">
        <v>6.4304986370311915E-4</v>
      </c>
      <c r="AC304" s="12">
        <v>-0.34888118171645116</v>
      </c>
      <c r="AD304" s="12">
        <v>3.916057924653504E-5</v>
      </c>
      <c r="AE304" s="12">
        <v>-0.90460220385671419</v>
      </c>
      <c r="AF304" s="12">
        <v>-0.63021433496384482</v>
      </c>
      <c r="AG304" s="12">
        <v>0.59066164740606886</v>
      </c>
      <c r="AH304" s="12">
        <v>-2.1854888062465889</v>
      </c>
    </row>
    <row r="305" spans="24:34" x14ac:dyDescent="0.25">
      <c r="X305">
        <v>65</v>
      </c>
      <c r="Y305" s="12">
        <v>76.414621304696297</v>
      </c>
      <c r="Z305" s="12">
        <v>-11.414621304696297</v>
      </c>
      <c r="AA305" s="12">
        <v>-11.430740050296677</v>
      </c>
      <c r="AB305" s="12">
        <v>1.4101226630521449E-3</v>
      </c>
      <c r="AC305" s="12">
        <v>-1.8240492815841334</v>
      </c>
      <c r="AD305" s="12">
        <v>2.3491614914614013E-3</v>
      </c>
      <c r="AE305" s="12">
        <v>-0.90460220385671419</v>
      </c>
      <c r="AF305" s="12">
        <v>-0.62617760203975692</v>
      </c>
      <c r="AG305" s="12">
        <v>1.3505736860994046</v>
      </c>
      <c r="AH305" s="12">
        <v>-11.430740050296679</v>
      </c>
    </row>
    <row r="306" spans="24:34" x14ac:dyDescent="0.25">
      <c r="X306">
        <v>64.099999999999994</v>
      </c>
      <c r="Y306" s="12">
        <v>66.945688319942519</v>
      </c>
      <c r="Z306" s="12">
        <v>-2.8456883199425249</v>
      </c>
      <c r="AA306" s="12">
        <v>-2.8476664921290364</v>
      </c>
      <c r="AB306" s="12">
        <v>6.9466427756731419E-4</v>
      </c>
      <c r="AC306" s="12">
        <v>-0.45457638211201806</v>
      </c>
      <c r="AD306" s="12">
        <v>7.1822497026759313E-5</v>
      </c>
      <c r="AE306" s="12">
        <v>-0.90460220385671419</v>
      </c>
      <c r="AF306" s="12">
        <v>-0.62492086176323303</v>
      </c>
      <c r="AG306" s="12">
        <v>0.67422279857033762</v>
      </c>
      <c r="AH306" s="12">
        <v>-2.8476664921290324</v>
      </c>
    </row>
    <row r="307" spans="24:34" x14ac:dyDescent="0.25">
      <c r="X307">
        <v>56.7</v>
      </c>
      <c r="Y307" s="12">
        <v>59.548084425603633</v>
      </c>
      <c r="Z307" s="12">
        <v>-2.8480844256036306</v>
      </c>
      <c r="AA307" s="12">
        <v>-2.8541297217889365</v>
      </c>
      <c r="AB307" s="12">
        <v>2.1180873942610945E-3</v>
      </c>
      <c r="AC307" s="12">
        <v>-0.45528351252968602</v>
      </c>
      <c r="AD307" s="12">
        <v>2.1998778935065086E-4</v>
      </c>
      <c r="AE307" s="12">
        <v>-0.90460220385671419</v>
      </c>
      <c r="AF307" s="12">
        <v>-0.62492086176323303</v>
      </c>
      <c r="AG307" s="12">
        <v>0.67474699890380097</v>
      </c>
      <c r="AH307" s="12">
        <v>-2.8541297217889379</v>
      </c>
    </row>
    <row r="308" spans="24:34" x14ac:dyDescent="0.25">
      <c r="X308">
        <v>56.4</v>
      </c>
      <c r="Y308" s="12">
        <v>59.646719144194819</v>
      </c>
      <c r="Z308" s="12">
        <v>-3.2467191441948202</v>
      </c>
      <c r="AA308" s="12">
        <v>-3.2535114028474723</v>
      </c>
      <c r="AB308" s="12">
        <v>2.0876701543779894E-3</v>
      </c>
      <c r="AC308" s="12">
        <v>-0.51899977213893989</v>
      </c>
      <c r="AD308" s="12">
        <v>2.8175642782428867E-4</v>
      </c>
      <c r="AE308" s="12">
        <v>-0.90460220385671419</v>
      </c>
      <c r="AF308" s="12">
        <v>-0.62492086176323303</v>
      </c>
      <c r="AG308" s="12">
        <v>0.72041638802774322</v>
      </c>
      <c r="AH308" s="12">
        <v>-3.2535114028474732</v>
      </c>
    </row>
    <row r="309" spans="24:34" x14ac:dyDescent="0.25">
      <c r="X309">
        <v>55.9</v>
      </c>
      <c r="Y309" s="12">
        <v>59.400132347716855</v>
      </c>
      <c r="Z309" s="12">
        <v>-3.5001323477168569</v>
      </c>
      <c r="AA309" s="12">
        <v>-3.5077240900456985</v>
      </c>
      <c r="AB309" s="12">
        <v>2.1642928958928729E-3</v>
      </c>
      <c r="AC309" s="12">
        <v>-0.5595302688831465</v>
      </c>
      <c r="AD309" s="12">
        <v>3.3952688446999734E-4</v>
      </c>
      <c r="AE309" s="12">
        <v>-0.90460220385671419</v>
      </c>
      <c r="AF309" s="12">
        <v>-0.62449921983497569</v>
      </c>
      <c r="AG309" s="12">
        <v>0.74801755920776791</v>
      </c>
      <c r="AH309" s="12">
        <v>-3.5077240900456954</v>
      </c>
    </row>
    <row r="310" spans="24:34" x14ac:dyDescent="0.25">
      <c r="X310">
        <v>55.6</v>
      </c>
      <c r="Y310" s="12">
        <v>59.30149762912567</v>
      </c>
      <c r="Z310" s="12">
        <v>-3.7014976291256687</v>
      </c>
      <c r="AA310" s="12">
        <v>-3.7096420852284098</v>
      </c>
      <c r="AB310" s="12">
        <v>2.1954829915188049E-3</v>
      </c>
      <c r="AC310" s="12">
        <v>-0.59172971981009248</v>
      </c>
      <c r="AD310" s="12">
        <v>3.8521339504683327E-4</v>
      </c>
      <c r="AE310" s="12">
        <v>-0.89095501331493132</v>
      </c>
      <c r="AF310" s="12">
        <v>-0.62449921983497569</v>
      </c>
      <c r="AG310" s="12">
        <v>0.76923970244007323</v>
      </c>
      <c r="AH310" s="12">
        <v>-3.7096420852284102</v>
      </c>
    </row>
    <row r="311" spans="24:34" x14ac:dyDescent="0.25">
      <c r="X311">
        <v>55.3</v>
      </c>
      <c r="Y311" s="12">
        <v>75.773495633853599</v>
      </c>
      <c r="Z311" s="12">
        <v>-20.473495633853602</v>
      </c>
      <c r="AA311" s="12">
        <v>-20.499566129326666</v>
      </c>
      <c r="AB311" s="12">
        <v>1.2717584025235722E-3</v>
      </c>
      <c r="AC311" s="12">
        <v>-3.2714250471124533</v>
      </c>
      <c r="AD311" s="12">
        <v>6.8139860186039363E-3</v>
      </c>
      <c r="AE311" s="12">
        <v>-0.88869659543514345</v>
      </c>
      <c r="AF311" s="12">
        <v>-0.6169351468883435</v>
      </c>
      <c r="AG311" s="12">
        <v>1.8087081155101985</v>
      </c>
      <c r="AH311" s="12">
        <v>-20.499566129326663</v>
      </c>
    </row>
    <row r="312" spans="24:34" x14ac:dyDescent="0.25">
      <c r="X312">
        <v>54.8</v>
      </c>
      <c r="Y312" s="12">
        <v>59.202862910534485</v>
      </c>
      <c r="Z312" s="12">
        <v>-4.4028629105344876</v>
      </c>
      <c r="AA312" s="12">
        <v>-4.4126898925091425</v>
      </c>
      <c r="AB312" s="12">
        <v>2.2269822294418689E-3</v>
      </c>
      <c r="AC312" s="12">
        <v>-0.70386265811140103</v>
      </c>
      <c r="AD312" s="12">
        <v>5.5287996317662476E-4</v>
      </c>
      <c r="AE312" s="12">
        <v>-0.88869659543514345</v>
      </c>
      <c r="AF312" s="12">
        <v>-0.61640338902223546</v>
      </c>
      <c r="AG312" s="12">
        <v>0.8389652305735924</v>
      </c>
      <c r="AH312" s="12">
        <v>-4.4126898925091433</v>
      </c>
    </row>
    <row r="313" spans="24:34" x14ac:dyDescent="0.25">
      <c r="X313">
        <v>54.2</v>
      </c>
      <c r="Y313" s="12">
        <v>58.759006676874151</v>
      </c>
      <c r="Z313" s="12">
        <v>-4.559006676874148</v>
      </c>
      <c r="AA313" s="12">
        <v>-4.5698488921351341</v>
      </c>
      <c r="AB313" s="12">
        <v>2.3725544360226553E-3</v>
      </c>
      <c r="AC313" s="12">
        <v>-0.72887771762379494</v>
      </c>
      <c r="AD313" s="12">
        <v>6.3172366890643322E-4</v>
      </c>
      <c r="AE313" s="12">
        <v>-0.88869659543514345</v>
      </c>
      <c r="AF313" s="12">
        <v>-0.61619265491903197</v>
      </c>
      <c r="AG313" s="12">
        <v>0.85374335582995609</v>
      </c>
      <c r="AH313" s="12">
        <v>-4.5698488921351368</v>
      </c>
    </row>
    <row r="314" spans="24:34" x14ac:dyDescent="0.25">
      <c r="X314">
        <v>53.6</v>
      </c>
      <c r="Y314" s="12">
        <v>58.117881006031446</v>
      </c>
      <c r="Z314" s="12">
        <v>-4.5178810060314447</v>
      </c>
      <c r="AA314" s="12">
        <v>-4.5296303109926157</v>
      </c>
      <c r="AB314" s="12">
        <v>2.5938772382062313E-3</v>
      </c>
      <c r="AC314" s="12">
        <v>-0.72238282658918651</v>
      </c>
      <c r="AD314" s="12">
        <v>6.7855056780472022E-4</v>
      </c>
      <c r="AE314" s="12">
        <v>-0.88869659543514345</v>
      </c>
      <c r="AF314" s="12">
        <v>-0.61533437610161368</v>
      </c>
      <c r="AG314" s="12">
        <v>0.84993107166945403</v>
      </c>
      <c r="AH314" s="12">
        <v>-4.5296303109926175</v>
      </c>
    </row>
    <row r="315" spans="24:34" x14ac:dyDescent="0.25">
      <c r="X315">
        <v>53.3</v>
      </c>
      <c r="Y315" s="12">
        <v>58.167198365327039</v>
      </c>
      <c r="Z315" s="12">
        <v>-4.8671983653270416</v>
      </c>
      <c r="AA315" s="12">
        <v>-4.879770551003098</v>
      </c>
      <c r="AB315" s="12">
        <v>2.5763886938233362E-3</v>
      </c>
      <c r="AC315" s="12">
        <v>-0.77822981255609636</v>
      </c>
      <c r="AD315" s="12">
        <v>7.8219938804482243E-4</v>
      </c>
      <c r="AE315" s="12">
        <v>-0.87970786716299942</v>
      </c>
      <c r="AF315" s="12">
        <v>-0.61399045474755976</v>
      </c>
      <c r="AG315" s="12">
        <v>0.88217334609253317</v>
      </c>
      <c r="AH315" s="12">
        <v>-4.879770551003098</v>
      </c>
    </row>
    <row r="316" spans="24:34" x14ac:dyDescent="0.25">
      <c r="X316">
        <v>52.8</v>
      </c>
      <c r="Y316" s="12">
        <v>77.40096849060815</v>
      </c>
      <c r="Z316" s="12">
        <v>-24.600968490608153</v>
      </c>
      <c r="AA316" s="12">
        <v>-24.641590028455823</v>
      </c>
      <c r="AB316" s="12">
        <v>1.6484949956863493E-3</v>
      </c>
      <c r="AC316" s="12">
        <v>-3.9316885335958589</v>
      </c>
      <c r="AD316" s="12">
        <v>1.2762400591985081E-2</v>
      </c>
      <c r="AE316" s="12">
        <v>-0.87970786716299942</v>
      </c>
      <c r="AF316" s="12">
        <v>-0.61083215412980107</v>
      </c>
      <c r="AG316" s="12">
        <v>1.9828485906886231</v>
      </c>
      <c r="AH316" s="12">
        <v>-24.641590028455816</v>
      </c>
    </row>
    <row r="317" spans="24:34" x14ac:dyDescent="0.25">
      <c r="X317">
        <v>82</v>
      </c>
      <c r="Y317" s="12">
        <v>74.392609573577005</v>
      </c>
      <c r="Z317" s="12">
        <v>7.6073904264229952</v>
      </c>
      <c r="AA317" s="12">
        <v>7.6151434419744817</v>
      </c>
      <c r="AB317" s="12">
        <v>1.0181049917926659E-3</v>
      </c>
      <c r="AC317" s="12">
        <v>1.2154176440926825</v>
      </c>
      <c r="AD317" s="12">
        <v>7.5275912209237048E-4</v>
      </c>
      <c r="AE317" s="12">
        <v>-0.87970786716299942</v>
      </c>
      <c r="AF317" s="12">
        <v>-0.60872932470941588</v>
      </c>
      <c r="AG317" s="12">
        <v>1.1024598151827043</v>
      </c>
      <c r="AH317" s="12">
        <v>7.615143441974487</v>
      </c>
    </row>
    <row r="318" spans="24:34" x14ac:dyDescent="0.25">
      <c r="X318">
        <v>81.8</v>
      </c>
      <c r="Y318" s="12">
        <v>74.293974854985819</v>
      </c>
      <c r="Z318" s="12">
        <v>7.5060251450141777</v>
      </c>
      <c r="AA318" s="12">
        <v>7.5135560232271672</v>
      </c>
      <c r="AB318" s="12">
        <v>1.0023054582546567E-3</v>
      </c>
      <c r="AC318" s="12">
        <v>1.1992132314852391</v>
      </c>
      <c r="AD318" s="12">
        <v>7.2143704159174666E-4</v>
      </c>
      <c r="AE318" s="12">
        <v>-0.873012700415573</v>
      </c>
      <c r="AF318" s="12">
        <v>-0.60723296817394412</v>
      </c>
      <c r="AG318" s="12">
        <v>1.0950859470768672</v>
      </c>
      <c r="AH318" s="12">
        <v>7.5135560232271601</v>
      </c>
    </row>
    <row r="319" spans="24:34" x14ac:dyDescent="0.25">
      <c r="X319">
        <v>81.599999999999994</v>
      </c>
      <c r="Y319" s="12">
        <v>74.24465749569022</v>
      </c>
      <c r="Z319" s="12">
        <v>7.3553425043097747</v>
      </c>
      <c r="AA319" s="12">
        <v>7.3626648336665426</v>
      </c>
      <c r="AB319" s="12">
        <v>9.9452161984707617E-4</v>
      </c>
      <c r="AC319" s="12">
        <v>1.1751345778177833</v>
      </c>
      <c r="AD319" s="12">
        <v>6.8737158325255388E-4</v>
      </c>
      <c r="AE319" s="12">
        <v>-0.873012700415573</v>
      </c>
      <c r="AF319" s="12">
        <v>-0.60380387361883947</v>
      </c>
      <c r="AG319" s="12">
        <v>1.0840362437749871</v>
      </c>
      <c r="AH319" s="12">
        <v>7.3626648336665435</v>
      </c>
    </row>
    <row r="320" spans="24:34" x14ac:dyDescent="0.25">
      <c r="X320">
        <v>81.5</v>
      </c>
      <c r="Y320" s="12">
        <v>74.24465749569022</v>
      </c>
      <c r="Z320" s="12">
        <v>7.2553425043097803</v>
      </c>
      <c r="AA320" s="12">
        <v>7.2625652824987696</v>
      </c>
      <c r="AB320" s="12">
        <v>9.9452161984707617E-4</v>
      </c>
      <c r="AC320" s="12">
        <v>1.1591579652109718</v>
      </c>
      <c r="AD320" s="12">
        <v>6.6880823335913736E-4</v>
      </c>
      <c r="AE320" s="12">
        <v>-0.873012700415573</v>
      </c>
      <c r="AF320" s="12">
        <v>-0.60299164062897204</v>
      </c>
      <c r="AG320" s="12">
        <v>1.0766419856251992</v>
      </c>
      <c r="AH320" s="12">
        <v>7.2625652824987759</v>
      </c>
    </row>
    <row r="321" spans="24:34" x14ac:dyDescent="0.25">
      <c r="X321">
        <v>81.2</v>
      </c>
      <c r="Y321" s="12">
        <v>77.253016412721379</v>
      </c>
      <c r="Z321" s="12">
        <v>3.9469835872786234</v>
      </c>
      <c r="AA321" s="12">
        <v>3.9533515208387655</v>
      </c>
      <c r="AB321" s="12">
        <v>1.6107683636470073E-3</v>
      </c>
      <c r="AC321" s="12">
        <v>0.63078886168588466</v>
      </c>
      <c r="AD321" s="12">
        <v>3.2097502364371078E-4</v>
      </c>
      <c r="AE321" s="12">
        <v>-0.873012700415573</v>
      </c>
      <c r="AF321" s="12">
        <v>-0.6008445523208098</v>
      </c>
      <c r="AG321" s="12">
        <v>0.79422217400793127</v>
      </c>
      <c r="AH321" s="12">
        <v>3.9533515208387664</v>
      </c>
    </row>
    <row r="322" spans="24:34" x14ac:dyDescent="0.25">
      <c r="X322">
        <v>81</v>
      </c>
      <c r="Y322" s="12">
        <v>74.047388058507849</v>
      </c>
      <c r="Z322" s="12">
        <v>6.952611941492151</v>
      </c>
      <c r="AA322" s="12">
        <v>6.9593218351221395</v>
      </c>
      <c r="AB322" s="12">
        <v>9.6415912195958243E-4</v>
      </c>
      <c r="AC322" s="12">
        <v>1.1107749963364246</v>
      </c>
      <c r="AD322" s="12">
        <v>5.9537396583348161E-4</v>
      </c>
      <c r="AE322" s="12">
        <v>-0.86414620345364646</v>
      </c>
      <c r="AF322" s="12">
        <v>-0.6008445523208098</v>
      </c>
      <c r="AG322" s="12">
        <v>1.0539331080938792</v>
      </c>
      <c r="AH322" s="12">
        <v>6.9593218351221369</v>
      </c>
    </row>
    <row r="323" spans="24:34" x14ac:dyDescent="0.25">
      <c r="X323">
        <v>87</v>
      </c>
      <c r="Y323" s="12">
        <v>73.948753339916664</v>
      </c>
      <c r="Z323" s="12">
        <v>13.051246660083336</v>
      </c>
      <c r="AA323" s="12">
        <v>13.063649832505291</v>
      </c>
      <c r="AB323" s="12">
        <v>9.494415864615322E-4</v>
      </c>
      <c r="AC323" s="12">
        <v>2.0851000747940249</v>
      </c>
      <c r="AD323" s="12">
        <v>2.0658776418846351E-3</v>
      </c>
      <c r="AE323" s="12">
        <v>-0.86414620345364646</v>
      </c>
      <c r="AF323" s="12">
        <v>-0.6008445523208098</v>
      </c>
      <c r="AG323" s="12">
        <v>1.4439875604706658</v>
      </c>
      <c r="AH323" s="12">
        <v>13.063649832505288</v>
      </c>
    </row>
    <row r="324" spans="24:34" x14ac:dyDescent="0.25">
      <c r="X324">
        <v>85</v>
      </c>
      <c r="Y324" s="12">
        <v>73.948753339916664</v>
      </c>
      <c r="Z324" s="12">
        <v>11.051246660083336</v>
      </c>
      <c r="AA324" s="12">
        <v>11.061749144740361</v>
      </c>
      <c r="AB324" s="12">
        <v>9.494415864615322E-4</v>
      </c>
      <c r="AC324" s="12">
        <v>1.7655750318460264</v>
      </c>
      <c r="AD324" s="12">
        <v>1.4812322014119857E-3</v>
      </c>
      <c r="AE324" s="12">
        <v>-0.85973834429501084</v>
      </c>
      <c r="AF324" s="12">
        <v>-0.60074365576127731</v>
      </c>
      <c r="AG324" s="12">
        <v>1.3287494240247204</v>
      </c>
      <c r="AH324" s="12">
        <v>11.061749144740357</v>
      </c>
    </row>
    <row r="325" spans="24:34" x14ac:dyDescent="0.25">
      <c r="X325">
        <v>85</v>
      </c>
      <c r="Y325" s="12">
        <v>73.899435980621078</v>
      </c>
      <c r="Z325" s="12">
        <v>11.100564019378922</v>
      </c>
      <c r="AA325" s="12">
        <v>11.111032820581173</v>
      </c>
      <c r="AB325" s="12">
        <v>9.4219874707393136E-4</v>
      </c>
      <c r="AC325" s="12">
        <v>1.7734476690293779</v>
      </c>
      <c r="AD325" s="12">
        <v>1.4830598134463137E-3</v>
      </c>
      <c r="AE325" s="12">
        <v>-0.85973834429501084</v>
      </c>
      <c r="AF325" s="12">
        <v>-0.59274865453294057</v>
      </c>
      <c r="AG325" s="12">
        <v>1.3317085525855039</v>
      </c>
      <c r="AH325" s="12">
        <v>11.111032820581171</v>
      </c>
    </row>
    <row r="326" spans="24:34" x14ac:dyDescent="0.25">
      <c r="X326">
        <v>81</v>
      </c>
      <c r="Y326" s="12">
        <v>73.850118621325478</v>
      </c>
      <c r="Z326" s="12">
        <v>7.1498813786745217</v>
      </c>
      <c r="AA326" s="12">
        <v>7.15657301199073</v>
      </c>
      <c r="AB326" s="12">
        <v>9.3503319326061329E-4</v>
      </c>
      <c r="AC326" s="12">
        <v>1.1422748403336687</v>
      </c>
      <c r="AD326" s="12">
        <v>6.105827418549049E-4</v>
      </c>
      <c r="AE326" s="12">
        <v>-0.85973834429501084</v>
      </c>
      <c r="AF326" s="12">
        <v>-0.5925375004412492</v>
      </c>
      <c r="AG326" s="12">
        <v>1.0687725858823609</v>
      </c>
      <c r="AH326" s="12">
        <v>7.1565730119907256</v>
      </c>
    </row>
    <row r="327" spans="24:34" x14ac:dyDescent="0.25">
      <c r="X327">
        <v>80</v>
      </c>
      <c r="Y327" s="12">
        <v>73.800801262029893</v>
      </c>
      <c r="Z327" s="12">
        <v>6.1991987379701072</v>
      </c>
      <c r="AA327" s="12">
        <v>6.2049565959533055</v>
      </c>
      <c r="AB327" s="12">
        <v>9.2794492502157821E-4</v>
      </c>
      <c r="AC327" s="12">
        <v>0.99038896640926477</v>
      </c>
      <c r="AD327" s="12">
        <v>4.5551950773034961E-4</v>
      </c>
      <c r="AE327" s="12">
        <v>-0.85973834429501084</v>
      </c>
      <c r="AF327" s="12">
        <v>-0.59172971981009248</v>
      </c>
      <c r="AG327" s="12">
        <v>0.99518288088635487</v>
      </c>
      <c r="AH327" s="12">
        <v>6.2049565959533011</v>
      </c>
    </row>
    <row r="328" spans="24:34" x14ac:dyDescent="0.25">
      <c r="X328">
        <v>79.7</v>
      </c>
      <c r="Y328" s="12">
        <v>73.751483902734293</v>
      </c>
      <c r="Z328" s="12">
        <v>5.9485160972657098</v>
      </c>
      <c r="AA328" s="12">
        <v>5.9539993373482503</v>
      </c>
      <c r="AB328" s="12">
        <v>9.2093394235682568E-4</v>
      </c>
      <c r="AC328" s="12">
        <v>0.95033637202574173</v>
      </c>
      <c r="AD328" s="12">
        <v>4.1624911912583359E-4</v>
      </c>
      <c r="AE328" s="12">
        <v>-0.85973834429501084</v>
      </c>
      <c r="AF328" s="12">
        <v>-0.59134939214109739</v>
      </c>
      <c r="AG328" s="12">
        <v>0.97485197441752236</v>
      </c>
      <c r="AH328" s="12">
        <v>5.953999337348244</v>
      </c>
    </row>
    <row r="329" spans="24:34" x14ac:dyDescent="0.25">
      <c r="X329">
        <v>58</v>
      </c>
      <c r="Y329" s="12">
        <v>56.046551915616561</v>
      </c>
      <c r="Z329" s="12">
        <v>1.9534480843834388</v>
      </c>
      <c r="AA329" s="12">
        <v>1.9601088969882454</v>
      </c>
      <c r="AB329" s="12">
        <v>3.3981849758651875E-3</v>
      </c>
      <c r="AC329" s="12">
        <v>0.31247097066852719</v>
      </c>
      <c r="AD329" s="12">
        <v>1.6646184314151748E-4</v>
      </c>
      <c r="AE329" s="12">
        <v>-0.85973834429501084</v>
      </c>
      <c r="AF329" s="12">
        <v>-0.58568416066780149</v>
      </c>
      <c r="AG329" s="12">
        <v>0.55899102914852505</v>
      </c>
      <c r="AH329" s="12">
        <v>1.9601088969882439</v>
      </c>
    </row>
    <row r="330" spans="24:34" x14ac:dyDescent="0.25">
      <c r="X330">
        <v>49.9</v>
      </c>
      <c r="Y330" s="12">
        <v>55.356108885478264</v>
      </c>
      <c r="Z330" s="12">
        <v>-5.4561088854782653</v>
      </c>
      <c r="AA330" s="12">
        <v>-5.4763526804380689</v>
      </c>
      <c r="AB330" s="12">
        <v>3.6965835002036951E-3</v>
      </c>
      <c r="AC330" s="12">
        <v>-0.87288264479525313</v>
      </c>
      <c r="AD330" s="12">
        <v>1.4134831079805619E-3</v>
      </c>
      <c r="AE330" s="12">
        <v>-0.85973834429501084</v>
      </c>
      <c r="AF330" s="12">
        <v>-0.58507535329839033</v>
      </c>
      <c r="AG330" s="12">
        <v>0.93428188722422156</v>
      </c>
      <c r="AH330" s="12">
        <v>-5.4763526804380689</v>
      </c>
    </row>
    <row r="331" spans="24:34" x14ac:dyDescent="0.25">
      <c r="X331">
        <v>53</v>
      </c>
      <c r="Y331" s="12">
        <v>55.947917197025376</v>
      </c>
      <c r="Z331" s="12">
        <v>-2.9479171970253759</v>
      </c>
      <c r="AA331" s="12">
        <v>-2.9580926984179357</v>
      </c>
      <c r="AB331" s="12">
        <v>3.4398859095935803E-3</v>
      </c>
      <c r="AC331" s="12">
        <v>-0.47155479975703879</v>
      </c>
      <c r="AD331" s="12">
        <v>3.8377341012956471E-4</v>
      </c>
      <c r="AE331" s="12">
        <v>-0.84444052159937644</v>
      </c>
      <c r="AF331" s="12">
        <v>-0.58329761910489852</v>
      </c>
      <c r="AG331" s="12">
        <v>0.68669847805062068</v>
      </c>
      <c r="AH331" s="12">
        <v>-2.9580926984179352</v>
      </c>
    </row>
    <row r="332" spans="24:34" x14ac:dyDescent="0.25">
      <c r="X332">
        <v>49.8</v>
      </c>
      <c r="Y332" s="12">
        <v>55.750647759843005</v>
      </c>
      <c r="Z332" s="12">
        <v>-5.9506477598430081</v>
      </c>
      <c r="AA332" s="12">
        <v>-5.971693292136429</v>
      </c>
      <c r="AB332" s="12">
        <v>3.52421520394176E-3</v>
      </c>
      <c r="AC332" s="12">
        <v>-0.95191793309764339</v>
      </c>
      <c r="AD332" s="12">
        <v>1.602376962421156E-3</v>
      </c>
      <c r="AE332" s="12">
        <v>-0.84444052159937644</v>
      </c>
      <c r="AF332" s="12">
        <v>-0.57655664074438695</v>
      </c>
      <c r="AG332" s="12">
        <v>0.97566281731838245</v>
      </c>
      <c r="AH332" s="12">
        <v>-5.9716932921364325</v>
      </c>
    </row>
    <row r="333" spans="24:34" x14ac:dyDescent="0.25">
      <c r="X333">
        <v>49.2</v>
      </c>
      <c r="Y333" s="12">
        <v>55.602695681956227</v>
      </c>
      <c r="Z333" s="12">
        <v>-6.4026956819562244</v>
      </c>
      <c r="AA333" s="12">
        <v>-6.4257530424290721</v>
      </c>
      <c r="AB333" s="12">
        <v>3.5882736732328639E-3</v>
      </c>
      <c r="AC333" s="12">
        <v>-1.024264416034093</v>
      </c>
      <c r="AD333" s="12">
        <v>1.8890389098425654E-3</v>
      </c>
      <c r="AE333" s="12">
        <v>-0.84444052159937644</v>
      </c>
      <c r="AF333" s="12">
        <v>-0.56888339962782042</v>
      </c>
      <c r="AG333" s="12">
        <v>1.0120594923393056</v>
      </c>
      <c r="AH333" s="12">
        <v>-6.4257530424290685</v>
      </c>
    </row>
    <row r="334" spans="24:34" x14ac:dyDescent="0.25">
      <c r="X334">
        <v>48.6</v>
      </c>
      <c r="Y334" s="12">
        <v>55.257474166887079</v>
      </c>
      <c r="Z334" s="12">
        <v>-6.6574741668870772</v>
      </c>
      <c r="AA334" s="12">
        <v>-6.6824695998102897</v>
      </c>
      <c r="AB334" s="12">
        <v>3.7404484300120082E-3</v>
      </c>
      <c r="AC334" s="12">
        <v>-1.0651036684463311</v>
      </c>
      <c r="AD334" s="12">
        <v>2.1296338372059835E-3</v>
      </c>
      <c r="AE334" s="12">
        <v>-0.84444052159937644</v>
      </c>
      <c r="AF334" s="12">
        <v>-0.56867191969478126</v>
      </c>
      <c r="AG334" s="12">
        <v>1.0320385983316376</v>
      </c>
      <c r="AH334" s="12">
        <v>-6.6824695998102905</v>
      </c>
    </row>
    <row r="335" spans="24:34" x14ac:dyDescent="0.25">
      <c r="X335">
        <v>52.6</v>
      </c>
      <c r="Y335" s="12">
        <v>59.745353862786004</v>
      </c>
      <c r="Z335" s="12">
        <v>-7.1453538627860027</v>
      </c>
      <c r="AA335" s="12">
        <v>-7.1600861844424699</v>
      </c>
      <c r="AB335" s="12">
        <v>2.0575620567920162E-3</v>
      </c>
      <c r="AC335" s="12">
        <v>-1.1421933710374781</v>
      </c>
      <c r="AD335" s="12">
        <v>1.3449208485557371E-3</v>
      </c>
      <c r="AE335" s="12">
        <v>-0.8357870519497973</v>
      </c>
      <c r="AF335" s="12">
        <v>-0.56857873088201927</v>
      </c>
      <c r="AG335" s="12">
        <v>1.0687344717175908</v>
      </c>
      <c r="AH335" s="12">
        <v>-7.1600861844424717</v>
      </c>
    </row>
    <row r="336" spans="24:34" x14ac:dyDescent="0.25">
      <c r="X336">
        <v>52.2</v>
      </c>
      <c r="Y336" s="12">
        <v>59.548084425603633</v>
      </c>
      <c r="Z336" s="12">
        <v>-7.3480844256036306</v>
      </c>
      <c r="AA336" s="12">
        <v>-7.3636813462384509</v>
      </c>
      <c r="AB336" s="12">
        <v>2.1180873942610945E-3</v>
      </c>
      <c r="AC336" s="12">
        <v>-1.1746357157037068</v>
      </c>
      <c r="AD336" s="12">
        <v>1.4643373257982187E-3</v>
      </c>
      <c r="AE336" s="12">
        <v>-0.8357870519497973</v>
      </c>
      <c r="AF336" s="12">
        <v>-0.56824920903203457</v>
      </c>
      <c r="AG336" s="12">
        <v>1.0838061245922661</v>
      </c>
      <c r="AH336" s="12">
        <v>-7.3636813462384536</v>
      </c>
    </row>
    <row r="337" spans="24:34" x14ac:dyDescent="0.25">
      <c r="X337">
        <v>51.8</v>
      </c>
      <c r="Y337" s="12">
        <v>59.498767066308041</v>
      </c>
      <c r="Z337" s="12">
        <v>-7.6987670663080436</v>
      </c>
      <c r="AA337" s="12">
        <v>-7.7152268233525731</v>
      </c>
      <c r="AB337" s="12">
        <v>2.1334119425640711E-3</v>
      </c>
      <c r="AC337" s="12">
        <v>-1.2307039057923432</v>
      </c>
      <c r="AD337" s="12">
        <v>1.6191213621975329E-3</v>
      </c>
      <c r="AE337" s="12">
        <v>-0.8357870519497973</v>
      </c>
      <c r="AF337" s="12">
        <v>-0.56650397859925816</v>
      </c>
      <c r="AG337" s="12">
        <v>1.1093709504905667</v>
      </c>
      <c r="AH337" s="12">
        <v>-7.7152268233525749</v>
      </c>
    </row>
    <row r="338" spans="24:34" x14ac:dyDescent="0.25">
      <c r="X338">
        <v>51.6</v>
      </c>
      <c r="Y338" s="12">
        <v>59.597401784899226</v>
      </c>
      <c r="Z338" s="12">
        <v>-7.9974017848992247</v>
      </c>
      <c r="AA338" s="12">
        <v>-8.0142544808458638</v>
      </c>
      <c r="AB338" s="12">
        <v>2.1028401315324003E-3</v>
      </c>
      <c r="AC338" s="12">
        <v>-1.2784232539303146</v>
      </c>
      <c r="AD338" s="12">
        <v>1.7220263703875023E-3</v>
      </c>
      <c r="AE338" s="12">
        <v>-0.8357870519497973</v>
      </c>
      <c r="AF338" s="12">
        <v>-0.56142240537326393</v>
      </c>
      <c r="AG338" s="12">
        <v>1.1306738052729066</v>
      </c>
      <c r="AH338" s="12">
        <v>-8.0142544808458602</v>
      </c>
    </row>
    <row r="339" spans="24:34" x14ac:dyDescent="0.25">
      <c r="X339">
        <v>51.2</v>
      </c>
      <c r="Y339" s="12">
        <v>59.646719144194819</v>
      </c>
      <c r="Z339" s="12">
        <v>-8.446719144194816</v>
      </c>
      <c r="AA339" s="12">
        <v>-8.4643899985698425</v>
      </c>
      <c r="AB339" s="12">
        <v>2.0876701543779894E-3</v>
      </c>
      <c r="AC339" s="12">
        <v>-1.3502385381861897</v>
      </c>
      <c r="AD339" s="12">
        <v>1.9070430496496962E-3</v>
      </c>
      <c r="AE339" s="12">
        <v>-0.8357870519497973</v>
      </c>
      <c r="AF339" s="12">
        <v>-0.56116765033725313</v>
      </c>
      <c r="AG339" s="12">
        <v>1.1619976498195639</v>
      </c>
      <c r="AH339" s="12">
        <v>-8.4643899985698461</v>
      </c>
    </row>
    <row r="340" spans="24:34" x14ac:dyDescent="0.25">
      <c r="X340">
        <v>57</v>
      </c>
      <c r="Y340" s="12">
        <v>75.773495633853599</v>
      </c>
      <c r="Z340" s="12">
        <v>-18.773495633853599</v>
      </c>
      <c r="AA340" s="12">
        <v>-18.797401387013139</v>
      </c>
      <c r="AB340" s="12">
        <v>1.2717584025235722E-3</v>
      </c>
      <c r="AC340" s="12">
        <v>-2.9997849383810853</v>
      </c>
      <c r="AD340" s="12">
        <v>5.7293787070155826E-3</v>
      </c>
      <c r="AE340" s="12">
        <v>-0.82505741806651978</v>
      </c>
      <c r="AF340" s="12">
        <v>-0.5595302688831465</v>
      </c>
      <c r="AG340" s="12">
        <v>1.7319887235144129</v>
      </c>
      <c r="AH340" s="12">
        <v>-18.797401387013142</v>
      </c>
    </row>
    <row r="341" spans="24:34" x14ac:dyDescent="0.25">
      <c r="X341">
        <v>49.6</v>
      </c>
      <c r="Y341" s="12">
        <v>58.167198365327039</v>
      </c>
      <c r="Z341" s="12">
        <v>-8.5671983653270374</v>
      </c>
      <c r="AA341" s="12">
        <v>-8.5893278123904224</v>
      </c>
      <c r="AB341" s="12">
        <v>2.5763886938233362E-3</v>
      </c>
      <c r="AC341" s="12">
        <v>-1.3698330492292075</v>
      </c>
      <c r="AD341" s="12">
        <v>2.4234665191563338E-3</v>
      </c>
      <c r="AE341" s="12">
        <v>-0.82505741806651978</v>
      </c>
      <c r="AF341" s="12">
        <v>-0.5536963695138879</v>
      </c>
      <c r="AG341" s="12">
        <v>1.1703986710643546</v>
      </c>
      <c r="AH341" s="12">
        <v>-8.5893278123904224</v>
      </c>
    </row>
    <row r="342" spans="24:34" x14ac:dyDescent="0.25">
      <c r="X342">
        <v>83</v>
      </c>
      <c r="Y342" s="12">
        <v>73.504897106256337</v>
      </c>
      <c r="Z342" s="12">
        <v>9.4951028937436632</v>
      </c>
      <c r="AA342" s="12">
        <v>9.5035328915239461</v>
      </c>
      <c r="AB342" s="12">
        <v>8.8703831264730533E-4</v>
      </c>
      <c r="AC342" s="12">
        <v>1.516914205513094</v>
      </c>
      <c r="AD342" s="12">
        <v>1.0214563817004809E-3</v>
      </c>
      <c r="AE342" s="12">
        <v>-0.8207920883323806</v>
      </c>
      <c r="AF342" s="12">
        <v>-0.55269115506819189</v>
      </c>
      <c r="AG342" s="12">
        <v>1.2316307098773942</v>
      </c>
      <c r="AH342" s="12">
        <v>9.5035328915239496</v>
      </c>
    </row>
    <row r="343" spans="24:34" x14ac:dyDescent="0.25">
      <c r="X343">
        <v>81</v>
      </c>
      <c r="Y343" s="12">
        <v>73.455579746960737</v>
      </c>
      <c r="Z343" s="12">
        <v>7.544420253039263</v>
      </c>
      <c r="AA343" s="12">
        <v>7.5510689015754053</v>
      </c>
      <c r="AB343" s="12">
        <v>8.8049104342824967E-4</v>
      </c>
      <c r="AC343" s="12">
        <v>1.2052740117650202</v>
      </c>
      <c r="AD343" s="12">
        <v>6.4010186489097916E-4</v>
      </c>
      <c r="AE343" s="12">
        <v>-0.81866501502518862</v>
      </c>
      <c r="AF343" s="12">
        <v>-0.55121172970843946</v>
      </c>
      <c r="AG343" s="12">
        <v>1.097849721849498</v>
      </c>
      <c r="AH343" s="12">
        <v>7.5510689015754098</v>
      </c>
    </row>
    <row r="344" spans="24:34" x14ac:dyDescent="0.25">
      <c r="X344">
        <v>79.900000000000006</v>
      </c>
      <c r="Y344" s="12">
        <v>73.455579746960737</v>
      </c>
      <c r="Z344" s="12">
        <v>6.4444202530392687</v>
      </c>
      <c r="AA344" s="12">
        <v>6.4500995078851844</v>
      </c>
      <c r="AB344" s="12">
        <v>8.8049104342824967E-4</v>
      </c>
      <c r="AC344" s="12">
        <v>1.0295413022294642</v>
      </c>
      <c r="AD344" s="12">
        <v>4.6705180589072591E-4</v>
      </c>
      <c r="AE344" s="12">
        <v>-0.81866501502518862</v>
      </c>
      <c r="AF344" s="12">
        <v>-0.55119623412522445</v>
      </c>
      <c r="AG344" s="12">
        <v>1.0146631471722347</v>
      </c>
      <c r="AH344" s="12">
        <v>6.4500995078851826</v>
      </c>
    </row>
    <row r="345" spans="24:34" x14ac:dyDescent="0.25">
      <c r="X345">
        <v>79.8</v>
      </c>
      <c r="Y345" s="12">
        <v>73.356945028369552</v>
      </c>
      <c r="Z345" s="12">
        <v>6.4430549716304455</v>
      </c>
      <c r="AA345" s="12">
        <v>6.4486500032680425</v>
      </c>
      <c r="AB345" s="12">
        <v>8.6762836171298667E-4</v>
      </c>
      <c r="AC345" s="12">
        <v>1.0293165632573689</v>
      </c>
      <c r="AD345" s="12">
        <v>4.6002203709109873E-4</v>
      </c>
      <c r="AE345" s="12">
        <v>-0.81866501502518862</v>
      </c>
      <c r="AF345" s="12">
        <v>-0.54763070678851689</v>
      </c>
      <c r="AG345" s="12">
        <v>1.0145523955209848</v>
      </c>
      <c r="AH345" s="12">
        <v>6.4486500032680407</v>
      </c>
    </row>
    <row r="346" spans="24:34" x14ac:dyDescent="0.25">
      <c r="X346">
        <v>79.099999999999994</v>
      </c>
      <c r="Y346" s="12">
        <v>73.208992950482781</v>
      </c>
      <c r="Z346" s="12">
        <v>5.8910070495172135</v>
      </c>
      <c r="AA346" s="12">
        <v>5.8960122567538065</v>
      </c>
      <c r="AB346" s="12">
        <v>8.4891398094721318E-4</v>
      </c>
      <c r="AC346" s="12">
        <v>0.94111479247963925</v>
      </c>
      <c r="AD346" s="12">
        <v>3.762597175628306E-4</v>
      </c>
      <c r="AE346" s="12">
        <v>-0.81230589119800856</v>
      </c>
      <c r="AF346" s="12">
        <v>-0.54669196690410149</v>
      </c>
      <c r="AG346" s="12">
        <v>0.9701107114549552</v>
      </c>
      <c r="AH346" s="12">
        <v>5.8960122567538082</v>
      </c>
    </row>
    <row r="347" spans="24:34" x14ac:dyDescent="0.25">
      <c r="X347">
        <v>79.3</v>
      </c>
      <c r="Y347" s="12">
        <v>73.110358231891595</v>
      </c>
      <c r="Z347" s="12">
        <v>6.1896417681084017</v>
      </c>
      <c r="AA347" s="12">
        <v>6.1948257479301247</v>
      </c>
      <c r="AB347" s="12">
        <v>8.3682415497477814E-4</v>
      </c>
      <c r="AC347" s="12">
        <v>0.98881704553212757</v>
      </c>
      <c r="AD347" s="12">
        <v>4.0944887374697291E-4</v>
      </c>
      <c r="AE347" s="12">
        <v>-0.81230589119800856</v>
      </c>
      <c r="AF347" s="12">
        <v>-0.54565432978057737</v>
      </c>
      <c r="AG347" s="12">
        <v>0.99439280243379058</v>
      </c>
      <c r="AH347" s="12">
        <v>6.1948257479301292</v>
      </c>
    </row>
    <row r="348" spans="24:34" x14ac:dyDescent="0.25">
      <c r="X348">
        <v>79.599999999999994</v>
      </c>
      <c r="Y348" s="12">
        <v>73.258310309778381</v>
      </c>
      <c r="Z348" s="12">
        <v>6.3416896902216138</v>
      </c>
      <c r="AA348" s="12">
        <v>6.3471169501198261</v>
      </c>
      <c r="AB348" s="12">
        <v>8.5507482229485487E-4</v>
      </c>
      <c r="AC348" s="12">
        <v>1.013116488754326</v>
      </c>
      <c r="AD348" s="12">
        <v>4.3920209560183361E-4</v>
      </c>
      <c r="AE348" s="12">
        <v>-0.80808466725232064</v>
      </c>
      <c r="AF348" s="12">
        <v>-0.54480664400351009</v>
      </c>
      <c r="AG348" s="12">
        <v>1.006536878983739</v>
      </c>
      <c r="AH348" s="12">
        <v>6.3471169501198226</v>
      </c>
    </row>
    <row r="349" spans="24:34" x14ac:dyDescent="0.25">
      <c r="X349">
        <v>78.900000000000006</v>
      </c>
      <c r="Y349" s="12">
        <v>77.154381694130194</v>
      </c>
      <c r="Z349" s="12">
        <v>1.7456183058698116</v>
      </c>
      <c r="AA349" s="12">
        <v>1.7483912608847305</v>
      </c>
      <c r="AB349" s="12">
        <v>1.5860037034921934E-3</v>
      </c>
      <c r="AC349" s="12">
        <v>0.27897327253003096</v>
      </c>
      <c r="AD349" s="12">
        <v>6.1814268594461046E-5</v>
      </c>
      <c r="AE349" s="12">
        <v>-0.80808466725232064</v>
      </c>
      <c r="AF349" s="12">
        <v>-0.54475032739494167</v>
      </c>
      <c r="AG349" s="12">
        <v>0.52817920493903481</v>
      </c>
      <c r="AH349" s="12">
        <v>1.7483912608847281</v>
      </c>
    </row>
    <row r="350" spans="24:34" x14ac:dyDescent="0.25">
      <c r="X350">
        <v>78.900000000000006</v>
      </c>
      <c r="Y350" s="12">
        <v>73.110358231891595</v>
      </c>
      <c r="Z350" s="12">
        <v>5.7896417681084102</v>
      </c>
      <c r="AA350" s="12">
        <v>5.794490737923681</v>
      </c>
      <c r="AB350" s="12">
        <v>8.3682415497477814E-4</v>
      </c>
      <c r="AC350" s="12">
        <v>0.92491563846673641</v>
      </c>
      <c r="AD350" s="12">
        <v>3.5823831816968605E-4</v>
      </c>
      <c r="AE350" s="12">
        <v>-0.80808466725232064</v>
      </c>
      <c r="AF350" s="12">
        <v>-0.54450953155090187</v>
      </c>
      <c r="AG350" s="12">
        <v>0.96172534461078674</v>
      </c>
      <c r="AH350" s="12">
        <v>5.7944907379236827</v>
      </c>
    </row>
    <row r="351" spans="24:34" x14ac:dyDescent="0.25">
      <c r="X351">
        <v>75.8</v>
      </c>
      <c r="Y351" s="12">
        <v>73.356945028369552</v>
      </c>
      <c r="Z351" s="12">
        <v>2.4430549716304455</v>
      </c>
      <c r="AA351" s="12">
        <v>2.445176476090495</v>
      </c>
      <c r="AB351" s="12">
        <v>8.6762836171298667E-4</v>
      </c>
      <c r="AC351" s="12">
        <v>0.39029264197184521</v>
      </c>
      <c r="AD351" s="12">
        <v>6.6139581381558345E-5</v>
      </c>
      <c r="AE351" s="12">
        <v>-0.80808466725232064</v>
      </c>
      <c r="AF351" s="12">
        <v>-0.53671039044160462</v>
      </c>
      <c r="AG351" s="12">
        <v>0.62473405699693152</v>
      </c>
      <c r="AH351" s="12">
        <v>2.445176476090495</v>
      </c>
    </row>
    <row r="352" spans="24:34" x14ac:dyDescent="0.25">
      <c r="X352">
        <v>75.599999999999994</v>
      </c>
      <c r="Y352" s="12">
        <v>73.258310309778381</v>
      </c>
      <c r="Z352" s="12">
        <v>2.3416896902216138</v>
      </c>
      <c r="AA352" s="12">
        <v>2.3436937237159299</v>
      </c>
      <c r="AB352" s="12">
        <v>8.5507482229485487E-4</v>
      </c>
      <c r="AC352" s="12">
        <v>0.37409658192005008</v>
      </c>
      <c r="AD352" s="12">
        <v>5.9884319186620315E-5</v>
      </c>
      <c r="AE352" s="12">
        <v>-0.79968509868701798</v>
      </c>
      <c r="AF352" s="12">
        <v>-0.53671039044160462</v>
      </c>
      <c r="AG352" s="12">
        <v>0.61163435312288505</v>
      </c>
      <c r="AH352" s="12">
        <v>2.3436937237159339</v>
      </c>
    </row>
    <row r="353" spans="24:34" x14ac:dyDescent="0.25">
      <c r="X353">
        <v>75.400000000000006</v>
      </c>
      <c r="Y353" s="12">
        <v>73.208992950482781</v>
      </c>
      <c r="Z353" s="12">
        <v>2.1910070495172249</v>
      </c>
      <c r="AA353" s="12">
        <v>2.1928686063355229</v>
      </c>
      <c r="AB353" s="12">
        <v>8.4891398094721318E-4</v>
      </c>
      <c r="AC353" s="12">
        <v>0.35002320102414686</v>
      </c>
      <c r="AD353" s="12">
        <v>5.2047058522963729E-5</v>
      </c>
      <c r="AE353" s="12">
        <v>-0.79968509868701798</v>
      </c>
      <c r="AF353" s="12">
        <v>-0.53098874703875076</v>
      </c>
      <c r="AG353" s="12">
        <v>0.59162758642928992</v>
      </c>
      <c r="AH353" s="12">
        <v>2.1928686063355234</v>
      </c>
    </row>
    <row r="354" spans="24:34" x14ac:dyDescent="0.25">
      <c r="X354">
        <v>75.2</v>
      </c>
      <c r="Y354" s="12">
        <v>73.110358231891595</v>
      </c>
      <c r="Z354" s="12">
        <v>2.0896417681084074</v>
      </c>
      <c r="AA354" s="12">
        <v>2.0913918953639694</v>
      </c>
      <c r="AB354" s="12">
        <v>8.3682415497477814E-4</v>
      </c>
      <c r="AC354" s="12">
        <v>0.33382762311185488</v>
      </c>
      <c r="AD354" s="12">
        <v>4.6667263227892512E-5</v>
      </c>
      <c r="AE354" s="12">
        <v>-0.79968509868701798</v>
      </c>
      <c r="AF354" s="12">
        <v>-0.52861406165379821</v>
      </c>
      <c r="AG354" s="12">
        <v>0.57777817812016308</v>
      </c>
      <c r="AH354" s="12">
        <v>2.0913918953639663</v>
      </c>
    </row>
    <row r="355" spans="24:34" x14ac:dyDescent="0.25">
      <c r="X355">
        <v>75</v>
      </c>
      <c r="Y355" s="12">
        <v>73.06104087259601</v>
      </c>
      <c r="Z355" s="12">
        <v>1.9389591274039901</v>
      </c>
      <c r="AA355" s="12">
        <v>1.9405715389233933</v>
      </c>
      <c r="AB355" s="12">
        <v>8.3089517034998488E-4</v>
      </c>
      <c r="AC355" s="12">
        <v>0.30975462217559885</v>
      </c>
      <c r="AD355" s="12">
        <v>3.9894482274922852E-5</v>
      </c>
      <c r="AE355" s="12">
        <v>-0.79968509868701798</v>
      </c>
      <c r="AF355" s="12">
        <v>-0.52679050286140183</v>
      </c>
      <c r="AG355" s="12">
        <v>0.5565560368692436</v>
      </c>
      <c r="AH355" s="12">
        <v>1.9405715389234002</v>
      </c>
    </row>
    <row r="356" spans="24:34" x14ac:dyDescent="0.25">
      <c r="X356">
        <v>74.900000000000006</v>
      </c>
      <c r="Y356" s="12">
        <v>73.01172351330041</v>
      </c>
      <c r="Z356" s="12">
        <v>1.8882764866995956</v>
      </c>
      <c r="AA356" s="12">
        <v>1.8898356832919205</v>
      </c>
      <c r="AB356" s="12">
        <v>8.250434712994744E-4</v>
      </c>
      <c r="AC356" s="12">
        <v>0.30165703272553451</v>
      </c>
      <c r="AD356" s="12">
        <v>3.7569222344303253E-5</v>
      </c>
      <c r="AE356" s="12">
        <v>-0.79968509868701798</v>
      </c>
      <c r="AF356" s="12">
        <v>-0.52673891834562059</v>
      </c>
      <c r="AG356" s="12">
        <v>0.54923313148929254</v>
      </c>
      <c r="AH356" s="12">
        <v>1.8898356832919245</v>
      </c>
    </row>
    <row r="357" spans="24:34" x14ac:dyDescent="0.25">
      <c r="X357">
        <v>74.5</v>
      </c>
      <c r="Y357" s="12">
        <v>72.814454076118039</v>
      </c>
      <c r="Z357" s="12">
        <v>1.6855459238819606</v>
      </c>
      <c r="AA357" s="12">
        <v>1.6868995081248528</v>
      </c>
      <c r="AB357" s="12">
        <v>8.0240953084026066E-4</v>
      </c>
      <c r="AC357" s="12">
        <v>0.26926725331719881</v>
      </c>
      <c r="AD357" s="12">
        <v>2.9112653094446635E-5</v>
      </c>
      <c r="AE357" s="12">
        <v>-0.78926429572475043</v>
      </c>
      <c r="AF357" s="12">
        <v>-0.52304679160333711</v>
      </c>
      <c r="AG357" s="12">
        <v>0.51890967741717708</v>
      </c>
      <c r="AH357" s="12">
        <v>1.6868995081248497</v>
      </c>
    </row>
    <row r="358" spans="24:34" x14ac:dyDescent="0.25">
      <c r="X358">
        <v>74.400000000000006</v>
      </c>
      <c r="Y358" s="12">
        <v>72.863771435413639</v>
      </c>
      <c r="Z358" s="12">
        <v>1.5362285645863665</v>
      </c>
      <c r="AA358" s="12">
        <v>1.5374707673024233</v>
      </c>
      <c r="AB358" s="12">
        <v>8.0795208759363993E-4</v>
      </c>
      <c r="AC358" s="12">
        <v>0.2454143713760818</v>
      </c>
      <c r="AD358" s="12">
        <v>2.4350429466876157E-5</v>
      </c>
      <c r="AE358" s="12">
        <v>-0.78926429572475043</v>
      </c>
      <c r="AF358" s="12">
        <v>-0.52072962581501747</v>
      </c>
      <c r="AG358" s="12">
        <v>0.4953931482934355</v>
      </c>
      <c r="AH358" s="12">
        <v>1.5374707673024226</v>
      </c>
    </row>
    <row r="359" spans="24:34" x14ac:dyDescent="0.25">
      <c r="X359">
        <v>74.2</v>
      </c>
      <c r="Y359" s="12">
        <v>72.76513671682244</v>
      </c>
      <c r="Z359" s="12">
        <v>1.4348632831775632</v>
      </c>
      <c r="AA359" s="12">
        <v>1.4360077012719188</v>
      </c>
      <c r="AB359" s="12">
        <v>7.9694425966116416E-4</v>
      </c>
      <c r="AC359" s="12">
        <v>0.22921988243895547</v>
      </c>
      <c r="AD359" s="12">
        <v>2.0953123294105066E-5</v>
      </c>
      <c r="AE359" s="12">
        <v>-0.78926429572475043</v>
      </c>
      <c r="AF359" s="12">
        <v>-0.52072962581501747</v>
      </c>
      <c r="AG359" s="12">
        <v>0.47876913271320604</v>
      </c>
      <c r="AH359" s="12">
        <v>1.436007701271921</v>
      </c>
    </row>
    <row r="360" spans="24:34" x14ac:dyDescent="0.25">
      <c r="X360">
        <v>73.900000000000006</v>
      </c>
      <c r="Y360" s="12">
        <v>72.715819357526854</v>
      </c>
      <c r="Z360" s="12">
        <v>1.1841806424731516</v>
      </c>
      <c r="AA360" s="12">
        <v>1.1851187306398856</v>
      </c>
      <c r="AB360" s="12">
        <v>7.9155627405635043E-4</v>
      </c>
      <c r="AC360" s="12">
        <v>0.18917273792208555</v>
      </c>
      <c r="AD360" s="12">
        <v>1.4174664994727888E-5</v>
      </c>
      <c r="AE360" s="12">
        <v>-0.78926429572475043</v>
      </c>
      <c r="AF360" s="12">
        <v>-0.52051765669822836</v>
      </c>
      <c r="AG360" s="12">
        <v>0.43493992449772367</v>
      </c>
      <c r="AH360" s="12">
        <v>1.1851187306398914</v>
      </c>
    </row>
    <row r="361" spans="24:34" x14ac:dyDescent="0.25">
      <c r="X361">
        <v>73.5</v>
      </c>
      <c r="Y361" s="12">
        <v>77.055746975539009</v>
      </c>
      <c r="Z361" s="12">
        <v>-3.5557469755390088</v>
      </c>
      <c r="AA361" s="12">
        <v>-3.5613081297875624</v>
      </c>
      <c r="AB361" s="12">
        <v>1.5615481856345104E-3</v>
      </c>
      <c r="AC361" s="12">
        <v>-0.56824920903203457</v>
      </c>
      <c r="AD361" s="12">
        <v>2.5251185712942367E-4</v>
      </c>
      <c r="AE361" s="12">
        <v>-0.78098898173722842</v>
      </c>
      <c r="AF361" s="12">
        <v>-0.51899977213893989</v>
      </c>
      <c r="AG361" s="12">
        <v>0.75382306215187833</v>
      </c>
      <c r="AH361" s="12">
        <v>-3.5613081297875637</v>
      </c>
    </row>
    <row r="362" spans="24:34" x14ac:dyDescent="0.25">
      <c r="X362">
        <v>73.099999999999994</v>
      </c>
      <c r="Y362" s="12">
        <v>76.957112256947823</v>
      </c>
      <c r="Z362" s="12">
        <v>-3.8571122569478291</v>
      </c>
      <c r="AA362" s="12">
        <v>-3.8630513190381208</v>
      </c>
      <c r="AB362" s="12">
        <v>1.5374018100739587E-3</v>
      </c>
      <c r="AC362" s="12">
        <v>-0.61640338902223546</v>
      </c>
      <c r="AD362" s="12">
        <v>2.9252004189266642E-4</v>
      </c>
      <c r="AE362" s="12">
        <v>-0.78098898173722842</v>
      </c>
      <c r="AF362" s="12">
        <v>-0.5180960108760565</v>
      </c>
      <c r="AG362" s="12">
        <v>0.78511361535909918</v>
      </c>
      <c r="AH362" s="12">
        <v>-3.863051319038127</v>
      </c>
    </row>
    <row r="363" spans="24:34" x14ac:dyDescent="0.25">
      <c r="X363">
        <v>72.7</v>
      </c>
      <c r="Y363" s="12">
        <v>76.809160179061038</v>
      </c>
      <c r="Z363" s="12">
        <v>-4.1091601790610355</v>
      </c>
      <c r="AA363" s="12">
        <v>-4.1153404404929432</v>
      </c>
      <c r="AB363" s="12">
        <v>1.5017618885402521E-3</v>
      </c>
      <c r="AC363" s="12">
        <v>-0.65667133523884413</v>
      </c>
      <c r="AD363" s="12">
        <v>3.2427980129907057E-4</v>
      </c>
      <c r="AE363" s="12">
        <v>-0.78098898173722842</v>
      </c>
      <c r="AF363" s="12">
        <v>-0.51567813598723522</v>
      </c>
      <c r="AG363" s="12">
        <v>0.81035259932873915</v>
      </c>
      <c r="AH363" s="12">
        <v>-4.1153404404929361</v>
      </c>
    </row>
    <row r="364" spans="24:34" x14ac:dyDescent="0.25">
      <c r="X364">
        <v>72.2</v>
      </c>
      <c r="Y364" s="12">
        <v>77.055746975539009</v>
      </c>
      <c r="Z364" s="12">
        <v>-4.8557469755390059</v>
      </c>
      <c r="AA364" s="12">
        <v>-4.8633413173492386</v>
      </c>
      <c r="AB364" s="12">
        <v>1.5615481856345104E-3</v>
      </c>
      <c r="AC364" s="12">
        <v>-0.77600414120902439</v>
      </c>
      <c r="AD364" s="12">
        <v>4.7090377722586109E-4</v>
      </c>
      <c r="AE364" s="12">
        <v>-0.78098898173722842</v>
      </c>
      <c r="AF364" s="12">
        <v>-0.51263320195693374</v>
      </c>
      <c r="AG364" s="12">
        <v>0.88091097235136329</v>
      </c>
      <c r="AH364" s="12">
        <v>-4.8633413173492341</v>
      </c>
    </row>
    <row r="365" spans="24:34" x14ac:dyDescent="0.25">
      <c r="X365">
        <v>71.7</v>
      </c>
      <c r="Y365" s="12">
        <v>71.926741608797371</v>
      </c>
      <c r="Z365" s="12">
        <v>-0.2267416087973686</v>
      </c>
      <c r="AA365" s="12">
        <v>-0.22690404017437515</v>
      </c>
      <c r="AB365" s="12">
        <v>7.1585934248179239E-4</v>
      </c>
      <c r="AC365" s="12">
        <v>-3.6220577129980308E-2</v>
      </c>
      <c r="AD365" s="12">
        <v>4.699151410514912E-7</v>
      </c>
      <c r="AE365" s="12">
        <v>-0.78098898173722842</v>
      </c>
      <c r="AF365" s="12">
        <v>-0.51235888446310318</v>
      </c>
      <c r="AG365" s="12">
        <v>0.19031704371910654</v>
      </c>
      <c r="AH365" s="12">
        <v>-0.22690404017437427</v>
      </c>
    </row>
    <row r="366" spans="24:34" x14ac:dyDescent="0.25">
      <c r="X366">
        <v>74.599999999999994</v>
      </c>
      <c r="Y366" s="12">
        <v>70.496538189225191</v>
      </c>
      <c r="Z366" s="12">
        <v>4.1034618107748031</v>
      </c>
      <c r="AA366" s="12">
        <v>4.1060448722423217</v>
      </c>
      <c r="AB366" s="12">
        <v>6.2908749122243227E-4</v>
      </c>
      <c r="AC366" s="12">
        <v>0.65547432236473802</v>
      </c>
      <c r="AD366" s="12">
        <v>1.352277169171533E-4</v>
      </c>
      <c r="AE366" s="12">
        <v>-0.78098898173722842</v>
      </c>
      <c r="AF366" s="12">
        <v>-0.51136163656183053</v>
      </c>
      <c r="AG366" s="12">
        <v>0.80961368711548964</v>
      </c>
      <c r="AH366" s="12">
        <v>4.1060448722423288</v>
      </c>
    </row>
    <row r="367" spans="24:34" x14ac:dyDescent="0.25">
      <c r="X367">
        <v>74.400000000000006</v>
      </c>
      <c r="Y367" s="12">
        <v>70.447220829929591</v>
      </c>
      <c r="Z367" s="12">
        <v>3.9527791700704142</v>
      </c>
      <c r="AA367" s="12">
        <v>3.9552601253444948</v>
      </c>
      <c r="AB367" s="12">
        <v>6.2725464203462734E-4</v>
      </c>
      <c r="AC367" s="12">
        <v>0.63140416349404604</v>
      </c>
      <c r="AD367" s="12">
        <v>1.2511266346587732E-4</v>
      </c>
      <c r="AE367" s="12">
        <v>-0.78098898173722842</v>
      </c>
      <c r="AF367" s="12">
        <v>-0.50846005434614239</v>
      </c>
      <c r="AG367" s="12">
        <v>0.79460944085383611</v>
      </c>
      <c r="AH367" s="12">
        <v>3.9552601253444908</v>
      </c>
    </row>
    <row r="368" spans="24:34" x14ac:dyDescent="0.25">
      <c r="X368">
        <v>74.3</v>
      </c>
      <c r="Y368" s="12">
        <v>70.545855548520777</v>
      </c>
      <c r="Z368" s="12">
        <v>3.7541444514792204</v>
      </c>
      <c r="AA368" s="12">
        <v>3.7565148034021405</v>
      </c>
      <c r="AB368" s="12">
        <v>6.3099762598451987E-4</v>
      </c>
      <c r="AC368" s="12">
        <v>0.59967601881699517</v>
      </c>
      <c r="AD368" s="12">
        <v>1.1352858324527541E-4</v>
      </c>
      <c r="AE368" s="12">
        <v>-0.78098898173722842</v>
      </c>
      <c r="AF368" s="12">
        <v>-0.50669252272395404</v>
      </c>
      <c r="AG368" s="12">
        <v>0.7743875120487127</v>
      </c>
      <c r="AH368" s="12">
        <v>3.7565148034021427</v>
      </c>
    </row>
    <row r="369" spans="24:34" x14ac:dyDescent="0.25">
      <c r="X369">
        <v>74.2</v>
      </c>
      <c r="Y369" s="12">
        <v>70.496538189225191</v>
      </c>
      <c r="Z369" s="12">
        <v>3.7034618107748116</v>
      </c>
      <c r="AA369" s="12">
        <v>3.7057930788457725</v>
      </c>
      <c r="AB369" s="12">
        <v>6.2908749122243227E-4</v>
      </c>
      <c r="AC369" s="12">
        <v>0.59157955715516886</v>
      </c>
      <c r="AD369" s="12">
        <v>1.10149027001533E-4</v>
      </c>
      <c r="AE369" s="12">
        <v>-0.76459654801725674</v>
      </c>
      <c r="AF369" s="12">
        <v>-0.50573102345726173</v>
      </c>
      <c r="AG369" s="12">
        <v>0.76914209165483127</v>
      </c>
      <c r="AH369" s="12">
        <v>3.7057930788457725</v>
      </c>
    </row>
    <row r="370" spans="24:34" x14ac:dyDescent="0.25">
      <c r="X370">
        <v>73.599999999999994</v>
      </c>
      <c r="Y370" s="12">
        <v>76.858477538356638</v>
      </c>
      <c r="Z370" s="12">
        <v>-3.2584775383566438</v>
      </c>
      <c r="AA370" s="12">
        <v>-3.2634169306221992</v>
      </c>
      <c r="AB370" s="12">
        <v>1.5135645768105384E-3</v>
      </c>
      <c r="AC370" s="12">
        <v>-0.52072962581501747</v>
      </c>
      <c r="AD370" s="12">
        <v>2.0551965554092673E-4</v>
      </c>
      <c r="AE370" s="12">
        <v>-0.7625619542054235</v>
      </c>
      <c r="AF370" s="12">
        <v>-0.50517340056443649</v>
      </c>
      <c r="AG370" s="12">
        <v>0.72161598223363754</v>
      </c>
      <c r="AH370" s="12">
        <v>-3.2634169306221974</v>
      </c>
    </row>
    <row r="371" spans="24:34" x14ac:dyDescent="0.25">
      <c r="X371">
        <v>73.599999999999994</v>
      </c>
      <c r="Y371" s="12">
        <v>76.858477538356638</v>
      </c>
      <c r="Z371" s="12">
        <v>-3.2584775383566438</v>
      </c>
      <c r="AA371" s="12">
        <v>-3.2634169306221992</v>
      </c>
      <c r="AB371" s="12">
        <v>1.5135645768105384E-3</v>
      </c>
      <c r="AC371" s="12">
        <v>-0.52072962581501747</v>
      </c>
      <c r="AD371" s="12">
        <v>2.0551965554092673E-4</v>
      </c>
      <c r="AE371" s="12">
        <v>-0.7625619542054235</v>
      </c>
      <c r="AF371" s="12">
        <v>-0.50453670131089501</v>
      </c>
      <c r="AG371" s="12">
        <v>0.72161598223363754</v>
      </c>
      <c r="AH371" s="12">
        <v>-3.2634169306221974</v>
      </c>
    </row>
    <row r="372" spans="24:34" x14ac:dyDescent="0.25">
      <c r="X372">
        <v>73.5</v>
      </c>
      <c r="Y372" s="12">
        <v>70.397903470634006</v>
      </c>
      <c r="Z372" s="12">
        <v>3.1020965293659941</v>
      </c>
      <c r="AA372" s="12">
        <v>3.1040381023383929</v>
      </c>
      <c r="AB372" s="12">
        <v>6.2549907842110518E-4</v>
      </c>
      <c r="AC372" s="12">
        <v>0.49551843388196226</v>
      </c>
      <c r="AD372" s="12">
        <v>7.6840121887457582E-5</v>
      </c>
      <c r="AE372" s="12">
        <v>-0.7625619542054235</v>
      </c>
      <c r="AF372" s="12">
        <v>-0.50432461451603672</v>
      </c>
      <c r="AG372" s="12">
        <v>0.70393070247145939</v>
      </c>
      <c r="AH372" s="12">
        <v>3.1040381023383907</v>
      </c>
    </row>
    <row r="373" spans="24:34" x14ac:dyDescent="0.25">
      <c r="X373">
        <v>73.5</v>
      </c>
      <c r="Y373" s="12">
        <v>70.496538189225191</v>
      </c>
      <c r="Z373" s="12">
        <v>3.0034618107748088</v>
      </c>
      <c r="AA373" s="12">
        <v>3.0053524404017793</v>
      </c>
      <c r="AB373" s="12">
        <v>6.2908749122243227E-4</v>
      </c>
      <c r="AC373" s="12">
        <v>0.47976371803841994</v>
      </c>
      <c r="AD373" s="12">
        <v>7.2445122697340828E-5</v>
      </c>
      <c r="AE373" s="12">
        <v>-0.75647701124006039</v>
      </c>
      <c r="AF373" s="12">
        <v>-0.50426117706423856</v>
      </c>
      <c r="AG373" s="12">
        <v>0.69264978021971535</v>
      </c>
      <c r="AH373" s="12">
        <v>3.0053524404017806</v>
      </c>
    </row>
    <row r="374" spans="24:34" x14ac:dyDescent="0.25">
      <c r="X374">
        <v>73.099999999999994</v>
      </c>
      <c r="Y374" s="12">
        <v>70.348586111338406</v>
      </c>
      <c r="Z374" s="12">
        <v>2.7514138886615882</v>
      </c>
      <c r="AA374" s="12">
        <v>2.7531313492634411</v>
      </c>
      <c r="AB374" s="12">
        <v>6.238208003818659E-4</v>
      </c>
      <c r="AC374" s="12">
        <v>0.43950120294046674</v>
      </c>
      <c r="AD374" s="12">
        <v>6.0286628741201327E-5</v>
      </c>
      <c r="AE374" s="12">
        <v>-0.75647701124006039</v>
      </c>
      <c r="AF374" s="12">
        <v>-0.4972428447900426</v>
      </c>
      <c r="AG374" s="12">
        <v>0.66294886902420069</v>
      </c>
      <c r="AH374" s="12">
        <v>2.7531313492634419</v>
      </c>
    </row>
    <row r="375" spans="24:34" x14ac:dyDescent="0.25">
      <c r="X375">
        <v>73.099999999999994</v>
      </c>
      <c r="Y375" s="12">
        <v>70.496538189225191</v>
      </c>
      <c r="Z375" s="12">
        <v>2.6034618107748031</v>
      </c>
      <c r="AA375" s="12">
        <v>2.6051006470052158</v>
      </c>
      <c r="AB375" s="12">
        <v>6.2908749122243227E-4</v>
      </c>
      <c r="AC375" s="12">
        <v>0.4158689528288485</v>
      </c>
      <c r="AD375" s="12">
        <v>5.4433636265313499E-5</v>
      </c>
      <c r="AE375" s="12">
        <v>-0.75647701124006039</v>
      </c>
      <c r="AF375" s="12">
        <v>-0.49686463347408188</v>
      </c>
      <c r="AG375" s="12">
        <v>0.6448790218551449</v>
      </c>
      <c r="AH375" s="12">
        <v>2.6051006470052096</v>
      </c>
    </row>
    <row r="376" spans="24:34" x14ac:dyDescent="0.25">
      <c r="X376">
        <v>72.8</v>
      </c>
      <c r="Y376" s="12">
        <v>70.299268752042821</v>
      </c>
      <c r="Z376" s="12">
        <v>2.5007312479571766</v>
      </c>
      <c r="AA376" s="12">
        <v>2.5022882212535507</v>
      </c>
      <c r="AB376" s="12">
        <v>6.222198079169094E-4</v>
      </c>
      <c r="AC376" s="12">
        <v>0.39945771731551355</v>
      </c>
      <c r="AD376" s="12">
        <v>4.9673616418556197E-5</v>
      </c>
      <c r="AE376" s="12">
        <v>-0.75647701124006039</v>
      </c>
      <c r="AF376" s="12">
        <v>-0.4966523422600716</v>
      </c>
      <c r="AG376" s="12">
        <v>0.63202667452846761</v>
      </c>
      <c r="AH376" s="12">
        <v>2.5022882212535578</v>
      </c>
    </row>
    <row r="377" spans="24:34" x14ac:dyDescent="0.25">
      <c r="X377">
        <v>72.400000000000006</v>
      </c>
      <c r="Y377" s="12">
        <v>76.858477538356638</v>
      </c>
      <c r="Z377" s="12">
        <v>-4.4584775383566324</v>
      </c>
      <c r="AA377" s="12">
        <v>-4.4652359613348125</v>
      </c>
      <c r="AB377" s="12">
        <v>1.5135645768105384E-3</v>
      </c>
      <c r="AC377" s="12">
        <v>-0.71249880133407295</v>
      </c>
      <c r="AD377" s="12">
        <v>3.847663346347479E-4</v>
      </c>
      <c r="AE377" s="12">
        <v>-0.75647701124006039</v>
      </c>
      <c r="AF377" s="12">
        <v>-0.49550235558871836</v>
      </c>
      <c r="AG377" s="12">
        <v>0.84409644077799129</v>
      </c>
      <c r="AH377" s="12">
        <v>-4.4652359613348089</v>
      </c>
    </row>
    <row r="378" spans="24:34" x14ac:dyDescent="0.25">
      <c r="X378">
        <v>71.8</v>
      </c>
      <c r="Y378" s="12">
        <v>69.559508362608923</v>
      </c>
      <c r="Z378" s="12">
        <v>2.2404916373910737</v>
      </c>
      <c r="AA378" s="12">
        <v>2.2418535167492024</v>
      </c>
      <c r="AB378" s="12">
        <v>6.0747918985649756E-4</v>
      </c>
      <c r="AC378" s="12">
        <v>0.35788534875246047</v>
      </c>
      <c r="AD378" s="12">
        <v>3.8927198827804829E-5</v>
      </c>
      <c r="AE378" s="12">
        <v>-0.74639716414434454</v>
      </c>
      <c r="AF378" s="12">
        <v>-0.48898051789534785</v>
      </c>
      <c r="AG378" s="12">
        <v>0.59823519518034085</v>
      </c>
      <c r="AH378" s="12">
        <v>2.2418535167492055</v>
      </c>
    </row>
    <row r="379" spans="24:34" x14ac:dyDescent="0.25">
      <c r="X379">
        <v>71.5</v>
      </c>
      <c r="Y379" s="12">
        <v>69.460873644017738</v>
      </c>
      <c r="Z379" s="12">
        <v>2.0391263559822619</v>
      </c>
      <c r="AA379" s="12">
        <v>2.0403645055371982</v>
      </c>
      <c r="AB379" s="12">
        <v>6.0682762887791708E-4</v>
      </c>
      <c r="AC379" s="12">
        <v>0.32572012186596583</v>
      </c>
      <c r="AD379" s="12">
        <v>3.2209808994543687E-5</v>
      </c>
      <c r="AE379" s="12">
        <v>-0.74639716414434454</v>
      </c>
      <c r="AF379" s="12">
        <v>-0.48630496034518406</v>
      </c>
      <c r="AG379" s="12">
        <v>0.57071895173190612</v>
      </c>
      <c r="AH379" s="12">
        <v>2.0403645055372035</v>
      </c>
    </row>
    <row r="380" spans="24:34" x14ac:dyDescent="0.25">
      <c r="X380">
        <v>71.400000000000006</v>
      </c>
      <c r="Y380" s="12">
        <v>69.362238925426553</v>
      </c>
      <c r="Z380" s="12">
        <v>2.0377610745734529</v>
      </c>
      <c r="AA380" s="12">
        <v>2.0389976965200134</v>
      </c>
      <c r="AB380" s="12">
        <v>6.0648521019646758E-4</v>
      </c>
      <c r="AC380" s="12">
        <v>0.32550198269426794</v>
      </c>
      <c r="AD380" s="12">
        <v>3.2148518828731636E-5</v>
      </c>
      <c r="AE380" s="12">
        <v>-0.74639716414434454</v>
      </c>
      <c r="AF380" s="12">
        <v>-0.48261819863049782</v>
      </c>
      <c r="AG380" s="12">
        <v>0.57052781062299496</v>
      </c>
      <c r="AH380" s="12">
        <v>2.0389976965200169</v>
      </c>
    </row>
    <row r="381" spans="24:34" x14ac:dyDescent="0.25">
      <c r="X381">
        <v>63.2</v>
      </c>
      <c r="Y381" s="12">
        <v>76.463938663991897</v>
      </c>
      <c r="Z381" s="12">
        <v>-13.263938663991894</v>
      </c>
      <c r="AA381" s="12">
        <v>-13.282817626550568</v>
      </c>
      <c r="AB381" s="12">
        <v>1.4213070667281685E-3</v>
      </c>
      <c r="AC381" s="12">
        <v>-2.1195808985303</v>
      </c>
      <c r="AD381" s="12">
        <v>3.1972428045804278E-3</v>
      </c>
      <c r="AE381" s="12">
        <v>-0.74038552290047832</v>
      </c>
      <c r="AF381" s="12">
        <v>-0.48121782882243275</v>
      </c>
      <c r="AG381" s="12">
        <v>1.4558780507069609</v>
      </c>
      <c r="AH381" s="12">
        <v>-13.282817626550571</v>
      </c>
    </row>
    <row r="382" spans="24:34" x14ac:dyDescent="0.25">
      <c r="X382">
        <v>62.9</v>
      </c>
      <c r="Y382" s="12">
        <v>66.107293211917451</v>
      </c>
      <c r="Z382" s="12">
        <v>-3.2072932119174524</v>
      </c>
      <c r="AA382" s="12">
        <v>-3.2097602793186226</v>
      </c>
      <c r="AB382" s="12">
        <v>7.6861422239923763E-4</v>
      </c>
      <c r="AC382" s="12">
        <v>-0.51235888446310318</v>
      </c>
      <c r="AD382" s="12">
        <v>1.0096268618855866E-4</v>
      </c>
      <c r="AE382" s="12">
        <v>-0.74038552290047832</v>
      </c>
      <c r="AF382" s="12">
        <v>-0.48018880142942427</v>
      </c>
      <c r="AG382" s="12">
        <v>0.71579248701219489</v>
      </c>
      <c r="AH382" s="12">
        <v>-3.2097602793186288</v>
      </c>
    </row>
    <row r="383" spans="24:34" x14ac:dyDescent="0.25">
      <c r="X383">
        <v>62.5</v>
      </c>
      <c r="Y383" s="12">
        <v>65.91002377473508</v>
      </c>
      <c r="Z383" s="12">
        <v>-3.4100237747350803</v>
      </c>
      <c r="AA383" s="12">
        <v>-3.4127172966832831</v>
      </c>
      <c r="AB383" s="12">
        <v>7.8926020353839129E-4</v>
      </c>
      <c r="AC383" s="12">
        <v>-0.54475032739494167</v>
      </c>
      <c r="AD383" s="12">
        <v>1.1720013610625496E-4</v>
      </c>
      <c r="AE383" s="12">
        <v>-0.74038552290047832</v>
      </c>
      <c r="AF383" s="12">
        <v>-0.47996840782585676</v>
      </c>
      <c r="AG383" s="12">
        <v>0.73807203401493382</v>
      </c>
      <c r="AH383" s="12">
        <v>-3.4127172966832795</v>
      </c>
    </row>
    <row r="384" spans="24:34" x14ac:dyDescent="0.25">
      <c r="X384">
        <v>62.2</v>
      </c>
      <c r="Y384" s="12">
        <v>65.71275433755271</v>
      </c>
      <c r="Z384" s="12">
        <v>-3.5127543375527068</v>
      </c>
      <c r="AA384" s="12">
        <v>-3.5156059958817139</v>
      </c>
      <c r="AB384" s="12">
        <v>8.1114275386606999E-4</v>
      </c>
      <c r="AC384" s="12">
        <v>-0.56116765033725313</v>
      </c>
      <c r="AD384" s="12">
        <v>1.2782181192337033E-4</v>
      </c>
      <c r="AE384" s="12">
        <v>-0.74038552290047832</v>
      </c>
      <c r="AF384" s="12">
        <v>-0.47622381355522725</v>
      </c>
      <c r="AG384" s="12">
        <v>0.74911124029562737</v>
      </c>
      <c r="AH384" s="12">
        <v>-3.5156059958817143</v>
      </c>
    </row>
    <row r="385" spans="24:34" x14ac:dyDescent="0.25">
      <c r="X385">
        <v>61.8</v>
      </c>
      <c r="Y385" s="12">
        <v>65.466167541074739</v>
      </c>
      <c r="Z385" s="12">
        <v>-3.6661675410747421</v>
      </c>
      <c r="AA385" s="12">
        <v>-3.6692505733429499</v>
      </c>
      <c r="AB385" s="12">
        <v>8.4023486719703123E-4</v>
      </c>
      <c r="AC385" s="12">
        <v>-0.58568416066780149</v>
      </c>
      <c r="AD385" s="12">
        <v>1.4423236497608836E-4</v>
      </c>
      <c r="AE385" s="12">
        <v>-0.74038552290047832</v>
      </c>
      <c r="AF385" s="12">
        <v>-0.47426466175117726</v>
      </c>
      <c r="AG385" s="12">
        <v>0.76530004616999825</v>
      </c>
      <c r="AH385" s="12">
        <v>-3.6692505733429472</v>
      </c>
    </row>
    <row r="386" spans="24:34" x14ac:dyDescent="0.25">
      <c r="X386">
        <v>61.3</v>
      </c>
      <c r="Y386" s="12">
        <v>65.219580744596783</v>
      </c>
      <c r="Z386" s="12">
        <v>-3.9195807445967858</v>
      </c>
      <c r="AA386" s="12">
        <v>-3.9229986929853453</v>
      </c>
      <c r="AB386" s="12">
        <v>8.7125911988506226E-4</v>
      </c>
      <c r="AC386" s="12">
        <v>-0.62617760203975692</v>
      </c>
      <c r="AD386" s="12">
        <v>1.7095859802095361E-4</v>
      </c>
      <c r="AE386" s="12">
        <v>-0.73042509746273321</v>
      </c>
      <c r="AF386" s="12">
        <v>-0.47155479975703879</v>
      </c>
      <c r="AG386" s="12">
        <v>0.79131384547457329</v>
      </c>
      <c r="AH386" s="12">
        <v>-3.9229986929853466</v>
      </c>
    </row>
    <row r="387" spans="24:34" x14ac:dyDescent="0.25">
      <c r="X387">
        <v>61</v>
      </c>
      <c r="Y387" s="12">
        <v>65.022311307414412</v>
      </c>
      <c r="Z387" s="12">
        <v>-4.0223113074144123</v>
      </c>
      <c r="AA387" s="12">
        <v>-4.025924452473518</v>
      </c>
      <c r="AB387" s="12">
        <v>8.9746966237257749E-4</v>
      </c>
      <c r="AC387" s="12">
        <v>-0.64259788244975213</v>
      </c>
      <c r="AD387" s="12">
        <v>1.8546343640833433E-4</v>
      </c>
      <c r="AE387" s="12">
        <v>-0.73042509746273321</v>
      </c>
      <c r="AF387" s="12">
        <v>-0.46752776657117129</v>
      </c>
      <c r="AG387" s="12">
        <v>0.80162203216338312</v>
      </c>
      <c r="AH387" s="12">
        <v>-4.0259244524735109</v>
      </c>
    </row>
    <row r="388" spans="24:34" x14ac:dyDescent="0.25">
      <c r="X388">
        <v>66</v>
      </c>
      <c r="Y388" s="12">
        <v>64.825041870232042</v>
      </c>
      <c r="Z388" s="12">
        <v>1.1749581297679583</v>
      </c>
      <c r="AA388" s="12">
        <v>1.1760458743241742</v>
      </c>
      <c r="AB388" s="12">
        <v>9.2491677404861797E-4</v>
      </c>
      <c r="AC388" s="12">
        <v>0.18771196946432159</v>
      </c>
      <c r="AD388" s="12">
        <v>1.6310169142806997E-5</v>
      </c>
      <c r="AE388" s="12">
        <v>-0.73042509746273321</v>
      </c>
      <c r="AF388" s="12">
        <v>-0.45777872916734219</v>
      </c>
      <c r="AG388" s="12">
        <v>0.43325739400998292</v>
      </c>
      <c r="AH388" s="12">
        <v>1.1760458743241715</v>
      </c>
    </row>
    <row r="389" spans="24:34" x14ac:dyDescent="0.25">
      <c r="X389">
        <v>63</v>
      </c>
      <c r="Y389" s="12">
        <v>64.677089792345257</v>
      </c>
      <c r="Z389" s="12">
        <v>-1.6770897923452566</v>
      </c>
      <c r="AA389" s="12">
        <v>-1.6786783485071055</v>
      </c>
      <c r="AB389" s="12">
        <v>9.4631360633561708E-4</v>
      </c>
      <c r="AC389" s="12">
        <v>-0.26793567451673944</v>
      </c>
      <c r="AD389" s="12">
        <v>3.3999877017321217E-5</v>
      </c>
      <c r="AE389" s="12">
        <v>-0.72448350403832318</v>
      </c>
      <c r="AF389" s="12">
        <v>-0.4569820350949822</v>
      </c>
      <c r="AG389" s="12">
        <v>0.5176250327377333</v>
      </c>
      <c r="AH389" s="12">
        <v>-1.6786783485071097</v>
      </c>
    </row>
    <row r="390" spans="24:34" x14ac:dyDescent="0.25">
      <c r="X390">
        <v>60</v>
      </c>
      <c r="Y390" s="12">
        <v>64.479820355162886</v>
      </c>
      <c r="Z390" s="12">
        <v>-4.4798203551628859</v>
      </c>
      <c r="AA390" s="12">
        <v>-4.4841965934412684</v>
      </c>
      <c r="AB390" s="12">
        <v>9.7592471409157578E-4</v>
      </c>
      <c r="AC390" s="12">
        <v>-0.71571688197161154</v>
      </c>
      <c r="AD390" s="12">
        <v>2.5020321658256444E-4</v>
      </c>
      <c r="AE390" s="12">
        <v>-0.72448350403832318</v>
      </c>
      <c r="AF390" s="12">
        <v>-0.45680656730866409</v>
      </c>
      <c r="AG390" s="12">
        <v>0.84600052125965708</v>
      </c>
      <c r="AH390" s="12">
        <v>-4.4841965934412702</v>
      </c>
    </row>
    <row r="391" spans="24:34" x14ac:dyDescent="0.25">
      <c r="X391">
        <v>59.8</v>
      </c>
      <c r="Y391" s="12">
        <v>64.331868277276115</v>
      </c>
      <c r="Z391" s="12">
        <v>-4.5318682772761179</v>
      </c>
      <c r="AA391" s="12">
        <v>-4.5363998891922819</v>
      </c>
      <c r="AB391" s="12">
        <v>9.9894454343851411E-4</v>
      </c>
      <c r="AC391" s="12">
        <v>-0.72404064129541879</v>
      </c>
      <c r="AD391" s="12">
        <v>2.6210259752713476E-4</v>
      </c>
      <c r="AE391" s="12">
        <v>-0.72448350403832318</v>
      </c>
      <c r="AF391" s="12">
        <v>-0.45680656730866409</v>
      </c>
      <c r="AG391" s="12">
        <v>0.85090577697851999</v>
      </c>
      <c r="AH391" s="12">
        <v>-4.5363998891922819</v>
      </c>
    </row>
    <row r="392" spans="24:34" x14ac:dyDescent="0.25">
      <c r="X392">
        <v>59.6</v>
      </c>
      <c r="Y392" s="12">
        <v>64.23323355868493</v>
      </c>
      <c r="Z392" s="12">
        <v>-4.6332335586849283</v>
      </c>
      <c r="AA392" s="12">
        <v>-4.6379395717269958</v>
      </c>
      <c r="AB392" s="12">
        <v>1.014677524207887E-3</v>
      </c>
      <c r="AC392" s="12">
        <v>-0.74024124442007944</v>
      </c>
      <c r="AD392" s="12">
        <v>2.7828224350779821E-4</v>
      </c>
      <c r="AE392" s="12">
        <v>-0.72448350403832318</v>
      </c>
      <c r="AF392" s="12">
        <v>-0.45654623653741894</v>
      </c>
      <c r="AG392" s="12">
        <v>0.86037273574891915</v>
      </c>
      <c r="AH392" s="12">
        <v>-4.637939571726994</v>
      </c>
    </row>
    <row r="393" spans="24:34" x14ac:dyDescent="0.25">
      <c r="X393">
        <v>79.5</v>
      </c>
      <c r="Y393" s="12">
        <v>72.863771435413639</v>
      </c>
      <c r="Z393" s="12">
        <v>6.6362285645863608</v>
      </c>
      <c r="AA393" s="12">
        <v>6.6415946548526961</v>
      </c>
      <c r="AB393" s="12">
        <v>8.0795208759363993E-4</v>
      </c>
      <c r="AC393" s="12">
        <v>1.0601455402077302</v>
      </c>
      <c r="AD393" s="12">
        <v>4.5439926909071523E-4</v>
      </c>
      <c r="AE393" s="12">
        <v>-0.71660092108895201</v>
      </c>
      <c r="AF393" s="12">
        <v>-0.45589631848913981</v>
      </c>
      <c r="AG393" s="12">
        <v>1.0296336922458056</v>
      </c>
      <c r="AH393" s="12">
        <v>6.6415946548526996</v>
      </c>
    </row>
    <row r="394" spans="24:34" x14ac:dyDescent="0.25">
      <c r="X394">
        <v>79.400000000000006</v>
      </c>
      <c r="Y394" s="12">
        <v>72.863771435413639</v>
      </c>
      <c r="Z394" s="12">
        <v>6.5362285645863665</v>
      </c>
      <c r="AA394" s="12">
        <v>6.5415137943125075</v>
      </c>
      <c r="AB394" s="12">
        <v>8.0795208759363993E-4</v>
      </c>
      <c r="AC394" s="12">
        <v>1.0441704192502477</v>
      </c>
      <c r="AD394" s="12">
        <v>4.4080794567915346E-4</v>
      </c>
      <c r="AE394" s="12">
        <v>-0.71660092108895201</v>
      </c>
      <c r="AF394" s="12">
        <v>-0.45528351252968602</v>
      </c>
      <c r="AG394" s="12">
        <v>1.021846573243874</v>
      </c>
      <c r="AH394" s="12">
        <v>6.5415137943125039</v>
      </c>
    </row>
    <row r="395" spans="24:34" x14ac:dyDescent="0.25">
      <c r="X395">
        <v>79.2</v>
      </c>
      <c r="Y395" s="12">
        <v>72.814454076118039</v>
      </c>
      <c r="Z395" s="12">
        <v>6.3855459238819634</v>
      </c>
      <c r="AA395" s="12">
        <v>6.3906738614969214</v>
      </c>
      <c r="AB395" s="12">
        <v>8.0240953084026066E-4</v>
      </c>
      <c r="AC395" s="12">
        <v>1.0200958558842224</v>
      </c>
      <c r="AD395" s="12">
        <v>4.1782716411683379E-4</v>
      </c>
      <c r="AE395" s="12">
        <v>-0.7126762947196924</v>
      </c>
      <c r="AF395" s="12">
        <v>-0.45457638211201806</v>
      </c>
      <c r="AG395" s="12">
        <v>1.0099979484554522</v>
      </c>
      <c r="AH395" s="12">
        <v>6.3906738614969196</v>
      </c>
    </row>
    <row r="396" spans="24:34" x14ac:dyDescent="0.25">
      <c r="X396">
        <v>79</v>
      </c>
      <c r="Y396" s="12">
        <v>72.76513671682244</v>
      </c>
      <c r="Z396" s="12">
        <v>6.2348632831775603</v>
      </c>
      <c r="AA396" s="12">
        <v>6.2398360847265053</v>
      </c>
      <c r="AB396" s="12">
        <v>7.9694425966116416E-4</v>
      </c>
      <c r="AC396" s="12">
        <v>0.99602146458720375</v>
      </c>
      <c r="AD396" s="12">
        <v>3.9562305570807807E-4</v>
      </c>
      <c r="AE396" s="12">
        <v>-0.7126762947196924</v>
      </c>
      <c r="AF396" s="12">
        <v>-0.45413697997707825</v>
      </c>
      <c r="AG396" s="12">
        <v>0.99800874975483245</v>
      </c>
      <c r="AH396" s="12">
        <v>6.2398360847265097</v>
      </c>
    </row>
    <row r="397" spans="24:34" x14ac:dyDescent="0.25">
      <c r="X397">
        <v>78.099999999999994</v>
      </c>
      <c r="Y397" s="12">
        <v>76.809160179061038</v>
      </c>
      <c r="Z397" s="12">
        <v>1.290839820938956</v>
      </c>
      <c r="AA397" s="12">
        <v>1.2927812705813295</v>
      </c>
      <c r="AB397" s="12">
        <v>1.5017618885402521E-3</v>
      </c>
      <c r="AC397" s="12">
        <v>0.20628485429087093</v>
      </c>
      <c r="AD397" s="12">
        <v>3.2000625362052404E-5</v>
      </c>
      <c r="AE397" s="12">
        <v>-0.7126762947196924</v>
      </c>
      <c r="AF397" s="12">
        <v>-0.45288108057409915</v>
      </c>
      <c r="AG397" s="12">
        <v>0.45418592480488751</v>
      </c>
      <c r="AH397" s="12">
        <v>1.2927812705813337</v>
      </c>
    </row>
    <row r="398" spans="24:34" x14ac:dyDescent="0.25">
      <c r="X398">
        <v>79.2</v>
      </c>
      <c r="Y398" s="12">
        <v>72.863771435413639</v>
      </c>
      <c r="Z398" s="12">
        <v>6.3362285645863636</v>
      </c>
      <c r="AA398" s="12">
        <v>6.3413520732321018</v>
      </c>
      <c r="AB398" s="12">
        <v>8.0795208759363993E-4</v>
      </c>
      <c r="AC398" s="12">
        <v>1.0122201773352806</v>
      </c>
      <c r="AD398" s="12">
        <v>4.1424437804277138E-4</v>
      </c>
      <c r="AE398" s="12">
        <v>-0.7126762947196924</v>
      </c>
      <c r="AF398" s="12">
        <v>-0.45155159707920461</v>
      </c>
      <c r="AG398" s="12">
        <v>1.0060915352666877</v>
      </c>
      <c r="AH398" s="12">
        <v>6.3413520732320983</v>
      </c>
    </row>
    <row r="399" spans="24:34" x14ac:dyDescent="0.25">
      <c r="X399">
        <v>78.900000000000006</v>
      </c>
      <c r="Y399" s="12">
        <v>72.715819357526854</v>
      </c>
      <c r="Z399" s="12">
        <v>6.1841806424731516</v>
      </c>
      <c r="AA399" s="12">
        <v>6.1890796472985983</v>
      </c>
      <c r="AB399" s="12">
        <v>7.9155627405635043E-4</v>
      </c>
      <c r="AC399" s="12">
        <v>0.98792223245443933</v>
      </c>
      <c r="AD399" s="12">
        <v>3.865816386063452E-4</v>
      </c>
      <c r="AE399" s="12">
        <v>-0.7126762947196924</v>
      </c>
      <c r="AF399" s="12">
        <v>-0.44870976316948286</v>
      </c>
      <c r="AG399" s="12">
        <v>0.99394277121695462</v>
      </c>
      <c r="AH399" s="12">
        <v>6.1890796472986054</v>
      </c>
    </row>
    <row r="400" spans="24:34" x14ac:dyDescent="0.25">
      <c r="X400">
        <v>78.900000000000006</v>
      </c>
      <c r="Y400" s="12">
        <v>73.01172351330041</v>
      </c>
      <c r="Z400" s="12">
        <v>5.8882764866995956</v>
      </c>
      <c r="AA400" s="12">
        <v>5.8931385822123161</v>
      </c>
      <c r="AB400" s="12">
        <v>8.250434712994744E-4</v>
      </c>
      <c r="AC400" s="12">
        <v>0.94066733624900345</v>
      </c>
      <c r="AD400" s="12">
        <v>3.6532334350152299E-4</v>
      </c>
      <c r="AE400" s="12">
        <v>-0.70291235686137066</v>
      </c>
      <c r="AF400" s="12">
        <v>-0.44823934605122023</v>
      </c>
      <c r="AG400" s="12">
        <v>0.96988006281653372</v>
      </c>
      <c r="AH400" s="12">
        <v>5.8931385822123135</v>
      </c>
    </row>
    <row r="401" spans="24:34" x14ac:dyDescent="0.25">
      <c r="X401">
        <v>78</v>
      </c>
      <c r="Y401" s="12">
        <v>76.809160179061038</v>
      </c>
      <c r="Z401" s="12">
        <v>1.1908398209389617</v>
      </c>
      <c r="AA401" s="12">
        <v>1.1926308685244038</v>
      </c>
      <c r="AB401" s="12">
        <v>1.5017618885402521E-3</v>
      </c>
      <c r="AC401" s="12">
        <v>0.19030418411439559</v>
      </c>
      <c r="AD401" s="12">
        <v>2.7234565699382148E-5</v>
      </c>
      <c r="AE401" s="12">
        <v>-0.70291235686137066</v>
      </c>
      <c r="AF401" s="12">
        <v>-0.446040136538426</v>
      </c>
      <c r="AG401" s="12">
        <v>0.43623867792115317</v>
      </c>
      <c r="AH401" s="12">
        <v>1.1926308685244082</v>
      </c>
    </row>
    <row r="402" spans="24:34" x14ac:dyDescent="0.25">
      <c r="X402">
        <v>78.599999999999994</v>
      </c>
      <c r="Y402" s="12">
        <v>72.814454076118039</v>
      </c>
      <c r="Z402" s="12">
        <v>5.7855459238819549</v>
      </c>
      <c r="AA402" s="12">
        <v>5.790192029151541</v>
      </c>
      <c r="AB402" s="12">
        <v>8.0240953084026066E-4</v>
      </c>
      <c r="AC402" s="12">
        <v>0.9242453959820478</v>
      </c>
      <c r="AD402" s="12">
        <v>3.4299619043494758E-4</v>
      </c>
      <c r="AE402" s="12">
        <v>-0.70291235686137066</v>
      </c>
      <c r="AF402" s="12">
        <v>-0.44363863533804809</v>
      </c>
      <c r="AG402" s="12">
        <v>0.96137682309386252</v>
      </c>
      <c r="AH402" s="12">
        <v>5.790192029151541</v>
      </c>
    </row>
    <row r="403" spans="24:34" x14ac:dyDescent="0.25">
      <c r="X403">
        <v>77.7</v>
      </c>
      <c r="Y403" s="12">
        <v>77.006429616243409</v>
      </c>
      <c r="Z403" s="12">
        <v>0.69357038375659386</v>
      </c>
      <c r="AA403" s="12">
        <v>0.69464669459912898</v>
      </c>
      <c r="AB403" s="12">
        <v>1.5494363550670933E-3</v>
      </c>
      <c r="AC403" s="12">
        <v>0.11083984159040207</v>
      </c>
      <c r="AD403" s="12">
        <v>9.5325473788055456E-6</v>
      </c>
      <c r="AE403" s="12">
        <v>-0.69708605805955215</v>
      </c>
      <c r="AF403" s="12">
        <v>-0.44268831672582409</v>
      </c>
      <c r="AG403" s="12">
        <v>0.33292618039199329</v>
      </c>
      <c r="AH403" s="12">
        <v>0.69464669459913297</v>
      </c>
    </row>
    <row r="404" spans="24:34" x14ac:dyDescent="0.25">
      <c r="X404">
        <v>78</v>
      </c>
      <c r="Y404" s="12">
        <v>77.548920568494935</v>
      </c>
      <c r="Z404" s="12">
        <v>0.45107943150506458</v>
      </c>
      <c r="AA404" s="12">
        <v>0.45184165095679418</v>
      </c>
      <c r="AB404" s="12">
        <v>1.6869171978942366E-3</v>
      </c>
      <c r="AC404" s="12">
        <v>7.209220065752607E-2</v>
      </c>
      <c r="AD404" s="12">
        <v>4.3911024844377673E-6</v>
      </c>
      <c r="AE404" s="12">
        <v>-0.69708605805955215</v>
      </c>
      <c r="AF404" s="12">
        <v>-0.44061287976155689</v>
      </c>
      <c r="AG404" s="12">
        <v>0.26849990811455798</v>
      </c>
      <c r="AH404" s="12">
        <v>0.45184165095678852</v>
      </c>
    </row>
    <row r="405" spans="24:34" x14ac:dyDescent="0.25">
      <c r="X405">
        <v>78.3</v>
      </c>
      <c r="Y405" s="12">
        <v>72.715819357526854</v>
      </c>
      <c r="Z405" s="12">
        <v>5.5841806424731431</v>
      </c>
      <c r="AA405" s="12">
        <v>5.5886043372995573</v>
      </c>
      <c r="AB405" s="12">
        <v>7.9155627405635043E-4</v>
      </c>
      <c r="AC405" s="12">
        <v>0.89207229311055547</v>
      </c>
      <c r="AD405" s="12">
        <v>3.1520696560627702E-4</v>
      </c>
      <c r="AE405" s="12">
        <v>-0.69708605805955215</v>
      </c>
      <c r="AF405" s="12">
        <v>-0.43948157921561926</v>
      </c>
      <c r="AG405" s="12">
        <v>0.94449578776750265</v>
      </c>
      <c r="AH405" s="12">
        <v>5.5886043372995511</v>
      </c>
    </row>
    <row r="406" spans="24:34" x14ac:dyDescent="0.25">
      <c r="X406">
        <v>77.5</v>
      </c>
      <c r="Y406" s="12">
        <v>77.548920568494935</v>
      </c>
      <c r="Z406" s="12">
        <v>-4.8920568494935424E-2</v>
      </c>
      <c r="AA406" s="12">
        <v>-4.9003232891251969E-2</v>
      </c>
      <c r="AB406" s="12">
        <v>1.6869171978942366E-3</v>
      </c>
      <c r="AC406" s="12">
        <v>-7.8185596458027265E-3</v>
      </c>
      <c r="AD406" s="12">
        <v>5.1647643965302248E-8</v>
      </c>
      <c r="AE406" s="12">
        <v>-0.69708605805955215</v>
      </c>
      <c r="AF406" s="12">
        <v>-0.4342492178854403</v>
      </c>
      <c r="AG406" s="12">
        <v>8.8422619537099928E-2</v>
      </c>
      <c r="AH406" s="12">
        <v>-4.9003232891252094E-2</v>
      </c>
    </row>
    <row r="407" spans="24:34" x14ac:dyDescent="0.25">
      <c r="X407">
        <v>77.599999999999994</v>
      </c>
      <c r="Y407" s="12">
        <v>72.76513671682244</v>
      </c>
      <c r="Z407" s="12">
        <v>4.8348632831775546</v>
      </c>
      <c r="AA407" s="12">
        <v>4.838719472885586</v>
      </c>
      <c r="AB407" s="12">
        <v>7.9694425966116416E-4</v>
      </c>
      <c r="AC407" s="12">
        <v>0.77237100312729701</v>
      </c>
      <c r="AD407" s="12">
        <v>2.3790091876689542E-4</v>
      </c>
      <c r="AE407" s="12">
        <v>-0.69708605805955215</v>
      </c>
      <c r="AF407" s="12">
        <v>-0.43272890347261844</v>
      </c>
      <c r="AG407" s="12">
        <v>0.87884640474163456</v>
      </c>
      <c r="AH407" s="12">
        <v>4.8387194728855816</v>
      </c>
    </row>
    <row r="408" spans="24:34" x14ac:dyDescent="0.25">
      <c r="X408">
        <v>77.8</v>
      </c>
      <c r="Y408" s="12">
        <v>72.814454076118039</v>
      </c>
      <c r="Z408" s="12">
        <v>4.9855459238819577</v>
      </c>
      <c r="AA408" s="12">
        <v>4.9895495860243813</v>
      </c>
      <c r="AB408" s="12">
        <v>8.0240953084026066E-4</v>
      </c>
      <c r="AC408" s="12">
        <v>0.79644478277915076</v>
      </c>
      <c r="AD408" s="12">
        <v>2.5469830112293099E-4</v>
      </c>
      <c r="AE408" s="12">
        <v>-0.68742774275107121</v>
      </c>
      <c r="AF408" s="12">
        <v>-0.42946996338172638</v>
      </c>
      <c r="AG408" s="12">
        <v>0.89243755119288359</v>
      </c>
      <c r="AH408" s="12">
        <v>4.9895495860243839</v>
      </c>
    </row>
    <row r="409" spans="24:34" x14ac:dyDescent="0.25">
      <c r="X409">
        <v>77.7</v>
      </c>
      <c r="Y409" s="12">
        <v>72.814454076118039</v>
      </c>
      <c r="Z409" s="12">
        <v>4.8855459238819634</v>
      </c>
      <c r="AA409" s="12">
        <v>4.8894692806334916</v>
      </c>
      <c r="AB409" s="12">
        <v>8.0240953084026066E-4</v>
      </c>
      <c r="AC409" s="12">
        <v>0.78046970612878941</v>
      </c>
      <c r="AD409" s="12">
        <v>2.4458330317655861E-4</v>
      </c>
      <c r="AE409" s="12">
        <v>-0.68742774275107121</v>
      </c>
      <c r="AF409" s="12">
        <v>-0.42789841310832766</v>
      </c>
      <c r="AG409" s="12">
        <v>0.88344196534282282</v>
      </c>
      <c r="AH409" s="12">
        <v>4.8894692806334943</v>
      </c>
    </row>
    <row r="410" spans="24:34" x14ac:dyDescent="0.25">
      <c r="X410">
        <v>77.099999999999994</v>
      </c>
      <c r="Y410" s="12">
        <v>76.907794897652224</v>
      </c>
      <c r="Z410" s="12">
        <v>0.19220510234777066</v>
      </c>
      <c r="AA410" s="12">
        <v>0.19249874851469428</v>
      </c>
      <c r="AB410" s="12">
        <v>1.5254445506551072E-3</v>
      </c>
      <c r="AC410" s="12">
        <v>3.0716027736409302E-2</v>
      </c>
      <c r="AD410" s="12">
        <v>7.2070831106480915E-7</v>
      </c>
      <c r="AE410" s="12">
        <v>-0.68742774275107121</v>
      </c>
      <c r="AF410" s="12">
        <v>-0.42699947811500644</v>
      </c>
      <c r="AG410" s="12">
        <v>0.17525988627295552</v>
      </c>
      <c r="AH410" s="12">
        <v>0.19249874851470034</v>
      </c>
    </row>
    <row r="411" spans="24:34" x14ac:dyDescent="0.25">
      <c r="X411">
        <v>77</v>
      </c>
      <c r="Y411" s="12">
        <v>76.907794897652224</v>
      </c>
      <c r="Z411" s="12">
        <v>9.2205102347776347E-2</v>
      </c>
      <c r="AA411" s="12">
        <v>9.2345971006025707E-2</v>
      </c>
      <c r="AB411" s="12">
        <v>1.5254445506551072E-3</v>
      </c>
      <c r="AC411" s="12">
        <v>1.4735168039547136E-2</v>
      </c>
      <c r="AD411" s="12">
        <v>1.658592181901257E-7</v>
      </c>
      <c r="AE411" s="12">
        <v>-0.68742774275107121</v>
      </c>
      <c r="AF411" s="12">
        <v>-0.42481706335253011</v>
      </c>
      <c r="AG411" s="12">
        <v>0.12138850044195758</v>
      </c>
      <c r="AH411" s="12">
        <v>9.2345971006022431E-2</v>
      </c>
    </row>
    <row r="412" spans="24:34" x14ac:dyDescent="0.25">
      <c r="X412">
        <v>76.599999999999994</v>
      </c>
      <c r="Y412" s="12">
        <v>76.809160179061038</v>
      </c>
      <c r="Z412" s="12">
        <v>-0.209160179061044</v>
      </c>
      <c r="AA412" s="12">
        <v>-0.20947476027262724</v>
      </c>
      <c r="AB412" s="12">
        <v>1.5017618885402521E-3</v>
      </c>
      <c r="AC412" s="12">
        <v>-3.3425198356272542E-2</v>
      </c>
      <c r="AD412" s="12">
        <v>8.4017889210580564E-7</v>
      </c>
      <c r="AE412" s="12">
        <v>-0.68742774275107121</v>
      </c>
      <c r="AF412" s="12">
        <v>-0.42463192437422348</v>
      </c>
      <c r="AG412" s="12">
        <v>0.18282559546264998</v>
      </c>
      <c r="AH412" s="12">
        <v>-0.20947476027263254</v>
      </c>
    </row>
    <row r="413" spans="24:34" x14ac:dyDescent="0.25">
      <c r="X413">
        <v>76.3</v>
      </c>
      <c r="Y413" s="12">
        <v>76.661208101174267</v>
      </c>
      <c r="Z413" s="12">
        <v>-0.36120810117427027</v>
      </c>
      <c r="AA413" s="12">
        <v>-0.3617387058518915</v>
      </c>
      <c r="AB413" s="12">
        <v>1.4668175371750909E-3</v>
      </c>
      <c r="AC413" s="12">
        <v>-5.7722465254295516E-2</v>
      </c>
      <c r="AD413" s="12">
        <v>2.4472218323662668E-6</v>
      </c>
      <c r="AE413" s="12">
        <v>-0.68742774275107121</v>
      </c>
      <c r="AF413" s="12">
        <v>-0.42350710789338514</v>
      </c>
      <c r="AG413" s="12">
        <v>0.24025500047719198</v>
      </c>
      <c r="AH413" s="12">
        <v>-0.36173870585188883</v>
      </c>
    </row>
    <row r="414" spans="24:34" x14ac:dyDescent="0.25">
      <c r="X414">
        <v>76</v>
      </c>
      <c r="Y414" s="12">
        <v>71.877424249501786</v>
      </c>
      <c r="Z414" s="12">
        <v>4.1225757504982141</v>
      </c>
      <c r="AA414" s="12">
        <v>4.1255122290933173</v>
      </c>
      <c r="AB414" s="12">
        <v>7.1178521163978625E-4</v>
      </c>
      <c r="AC414" s="12">
        <v>0.65855477228595061</v>
      </c>
      <c r="AD414" s="12">
        <v>1.5445856723455528E-4</v>
      </c>
      <c r="AE414" s="12">
        <v>-0.68742774275107121</v>
      </c>
      <c r="AF414" s="12">
        <v>-0.41653486444475751</v>
      </c>
      <c r="AG414" s="12">
        <v>0.81151387682894904</v>
      </c>
      <c r="AH414" s="12">
        <v>4.1255122290933217</v>
      </c>
    </row>
    <row r="415" spans="24:34" x14ac:dyDescent="0.25">
      <c r="X415">
        <v>75.8</v>
      </c>
      <c r="Y415" s="12">
        <v>71.976058968092971</v>
      </c>
      <c r="Z415" s="12">
        <v>3.8239410319070259</v>
      </c>
      <c r="AA415" s="12">
        <v>3.8266962944100413</v>
      </c>
      <c r="AB415" s="12">
        <v>7.2001075889808119E-4</v>
      </c>
      <c r="AC415" s="12">
        <v>0.61085232448010007</v>
      </c>
      <c r="AD415" s="12">
        <v>1.3442940034138492E-4</v>
      </c>
      <c r="AE415" s="12">
        <v>-0.67401274003943057</v>
      </c>
      <c r="AF415" s="12">
        <v>-0.41653486444475751</v>
      </c>
      <c r="AG415" s="12">
        <v>0.78157042195831594</v>
      </c>
      <c r="AH415" s="12">
        <v>3.8266962944100364</v>
      </c>
    </row>
    <row r="416" spans="24:34" x14ac:dyDescent="0.25">
      <c r="X416">
        <v>83</v>
      </c>
      <c r="Y416" s="12">
        <v>74.984417885124117</v>
      </c>
      <c r="Z416" s="12">
        <v>8.0155821148758832</v>
      </c>
      <c r="AA416" s="12">
        <v>8.0245647659820776</v>
      </c>
      <c r="AB416" s="12">
        <v>1.119394181260477E-3</v>
      </c>
      <c r="AC416" s="12">
        <v>1.280698546833182</v>
      </c>
      <c r="AD416" s="12">
        <v>9.1903764685023032E-4</v>
      </c>
      <c r="AE416" s="12">
        <v>-0.67401274003943057</v>
      </c>
      <c r="AF416" s="12">
        <v>-0.41498033570482684</v>
      </c>
      <c r="AG416" s="12">
        <v>1.1316795247918829</v>
      </c>
      <c r="AH416" s="12">
        <v>8.0245647659820722</v>
      </c>
    </row>
    <row r="417" spans="24:34" x14ac:dyDescent="0.25">
      <c r="X417">
        <v>81</v>
      </c>
      <c r="Y417" s="12">
        <v>74.935100525828517</v>
      </c>
      <c r="Z417" s="12">
        <v>6.064899474171483</v>
      </c>
      <c r="AA417" s="12">
        <v>6.0716422049396357</v>
      </c>
      <c r="AB417" s="12">
        <v>1.1105283448129377E-3</v>
      </c>
      <c r="AC417" s="12">
        <v>0.96902175808893865</v>
      </c>
      <c r="AD417" s="12">
        <v>5.2197448423211537E-4</v>
      </c>
      <c r="AE417" s="12">
        <v>-0.67401274003943057</v>
      </c>
      <c r="AF417" s="12">
        <v>-0.41238534300060342</v>
      </c>
      <c r="AG417" s="12">
        <v>0.98438902781823945</v>
      </c>
      <c r="AH417" s="12">
        <v>6.0716422049396312</v>
      </c>
    </row>
    <row r="418" spans="24:34" x14ac:dyDescent="0.25">
      <c r="X418">
        <v>80</v>
      </c>
      <c r="Y418" s="12">
        <v>74.836465807237332</v>
      </c>
      <c r="Z418" s="12">
        <v>5.1635341927626683</v>
      </c>
      <c r="AA418" s="12">
        <v>5.1691842586271548</v>
      </c>
      <c r="AB418" s="12">
        <v>1.0930285286407065E-3</v>
      </c>
      <c r="AC418" s="12">
        <v>0.82499853027985059</v>
      </c>
      <c r="AD418" s="12">
        <v>3.7237696448181494E-4</v>
      </c>
      <c r="AE418" s="12">
        <v>-0.67401274003943057</v>
      </c>
      <c r="AF418" s="12">
        <v>-0.41080737818231899</v>
      </c>
      <c r="AG418" s="12">
        <v>0.90829429717457244</v>
      </c>
      <c r="AH418" s="12">
        <v>5.1691842586271486</v>
      </c>
    </row>
    <row r="419" spans="24:34" x14ac:dyDescent="0.25">
      <c r="X419">
        <v>79.7</v>
      </c>
      <c r="Y419" s="12">
        <v>74.787148447941746</v>
      </c>
      <c r="Z419" s="12">
        <v>4.9128515520582567</v>
      </c>
      <c r="AA419" s="12">
        <v>4.9181848048511938</v>
      </c>
      <c r="AB419" s="12">
        <v>1.0843945489160153E-3</v>
      </c>
      <c r="AC419" s="12">
        <v>0.78494256887237923</v>
      </c>
      <c r="AD419" s="12">
        <v>3.3442928230060029E-4</v>
      </c>
      <c r="AE419" s="12">
        <v>-0.6664012884495929</v>
      </c>
      <c r="AF419" s="12">
        <v>-0.40886427342890025</v>
      </c>
      <c r="AG419" s="12">
        <v>0.88596984648032984</v>
      </c>
      <c r="AH419" s="12">
        <v>4.9181848048511991</v>
      </c>
    </row>
    <row r="420" spans="24:34" x14ac:dyDescent="0.25">
      <c r="X420">
        <v>79.5</v>
      </c>
      <c r="Y420" s="12">
        <v>74.688513729350561</v>
      </c>
      <c r="Z420" s="12">
        <v>4.8114862706494392</v>
      </c>
      <c r="AA420" s="12">
        <v>4.8166273385213572</v>
      </c>
      <c r="AB420" s="12">
        <v>1.0673584461894812E-3</v>
      </c>
      <c r="AC420" s="12">
        <v>0.76874054678395742</v>
      </c>
      <c r="AD420" s="12">
        <v>3.1572114375489181E-4</v>
      </c>
      <c r="AE420" s="12">
        <v>-0.6664012884495929</v>
      </c>
      <c r="AF420" s="12">
        <v>-0.4073128142432364</v>
      </c>
      <c r="AG420" s="12">
        <v>0.87677850497372334</v>
      </c>
      <c r="AH420" s="12">
        <v>4.8166273385213572</v>
      </c>
    </row>
    <row r="421" spans="24:34" x14ac:dyDescent="0.25">
      <c r="X421">
        <v>79.3</v>
      </c>
      <c r="Y421" s="12">
        <v>77.302333772016965</v>
      </c>
      <c r="Z421" s="12">
        <v>1.9976662279830322</v>
      </c>
      <c r="AA421" s="12">
        <v>2.0009142452910709</v>
      </c>
      <c r="AB421" s="12">
        <v>1.6232666220858387E-3</v>
      </c>
      <c r="AC421" s="12">
        <v>0.31925987667659733</v>
      </c>
      <c r="AD421" s="12">
        <v>8.2861748764489503E-5</v>
      </c>
      <c r="AE421" s="12">
        <v>-0.6664012884495929</v>
      </c>
      <c r="AF421" s="12">
        <v>-0.40424206282635072</v>
      </c>
      <c r="AG421" s="12">
        <v>0.56503086347260478</v>
      </c>
      <c r="AH421" s="12">
        <v>2.0009142452910691</v>
      </c>
    </row>
    <row r="422" spans="24:34" x14ac:dyDescent="0.25">
      <c r="X422">
        <v>79.099999999999994</v>
      </c>
      <c r="Y422" s="12">
        <v>74.540561651463776</v>
      </c>
      <c r="Z422" s="12">
        <v>4.5594383485362187</v>
      </c>
      <c r="AA422" s="12">
        <v>4.5641959931106442</v>
      </c>
      <c r="AB422" s="12">
        <v>1.0423839339068009E-3</v>
      </c>
      <c r="AC422" s="12">
        <v>0.72846125247638949</v>
      </c>
      <c r="AD422" s="12">
        <v>2.7686213492116425E-4</v>
      </c>
      <c r="AE422" s="12">
        <v>-0.66071795340131467</v>
      </c>
      <c r="AF422" s="12">
        <v>-0.40384413818274656</v>
      </c>
      <c r="AG422" s="12">
        <v>0.85349941562744469</v>
      </c>
      <c r="AH422" s="12">
        <v>4.5641959931106388</v>
      </c>
    </row>
    <row r="423" spans="24:34" x14ac:dyDescent="0.25">
      <c r="X423">
        <v>78.900000000000006</v>
      </c>
      <c r="Y423" s="12">
        <v>74.49124429216819</v>
      </c>
      <c r="Z423" s="12">
        <v>4.4087557078318156</v>
      </c>
      <c r="AA423" s="12">
        <v>4.4133200237199617</v>
      </c>
      <c r="AB423" s="12">
        <v>1.0342136676278065E-3</v>
      </c>
      <c r="AC423" s="12">
        <v>0.70438381349447776</v>
      </c>
      <c r="AD423" s="12">
        <v>2.5683156483250781E-4</v>
      </c>
      <c r="AE423" s="12">
        <v>-0.66071795340131467</v>
      </c>
      <c r="AF423" s="12">
        <v>-0.40340210466456117</v>
      </c>
      <c r="AG423" s="12">
        <v>0.83927576725083497</v>
      </c>
      <c r="AH423" s="12">
        <v>4.4133200237199626</v>
      </c>
    </row>
    <row r="424" spans="24:34" x14ac:dyDescent="0.25">
      <c r="X424">
        <v>78.8</v>
      </c>
      <c r="Y424" s="12">
        <v>74.44192693287259</v>
      </c>
      <c r="Z424" s="12">
        <v>4.3580730671274068</v>
      </c>
      <c r="AA424" s="12">
        <v>4.3625495694883796</v>
      </c>
      <c r="AB424" s="12">
        <v>1.026120686923095E-3</v>
      </c>
      <c r="AC424" s="12">
        <v>0.69628346304935529</v>
      </c>
      <c r="AD424" s="12">
        <v>2.4899262068235769E-4</v>
      </c>
      <c r="AE424" s="12">
        <v>-0.66071795340131467</v>
      </c>
      <c r="AF424" s="12">
        <v>-0.40031217383954465</v>
      </c>
      <c r="AG424" s="12">
        <v>0.8344360149522283</v>
      </c>
      <c r="AH424" s="12">
        <v>4.3625495694883867</v>
      </c>
    </row>
    <row r="425" spans="24:34" x14ac:dyDescent="0.25">
      <c r="X425">
        <v>78.7</v>
      </c>
      <c r="Y425" s="12">
        <v>74.392609573577005</v>
      </c>
      <c r="Z425" s="12">
        <v>4.3073904264229981</v>
      </c>
      <c r="AA425" s="12">
        <v>4.3117802714408668</v>
      </c>
      <c r="AB425" s="12">
        <v>1.0181049917926659E-3</v>
      </c>
      <c r="AC425" s="12">
        <v>0.68818320485912665</v>
      </c>
      <c r="AD425" s="12">
        <v>2.4133098897368967E-4</v>
      </c>
      <c r="AE425" s="12">
        <v>-0.66071795340131467</v>
      </c>
      <c r="AF425" s="12">
        <v>-0.39899604892217266</v>
      </c>
      <c r="AG425" s="12">
        <v>0.82956808331753373</v>
      </c>
      <c r="AH425" s="12">
        <v>4.3117802714408651</v>
      </c>
    </row>
    <row r="426" spans="24:34" x14ac:dyDescent="0.25">
      <c r="X426">
        <v>78.599999999999994</v>
      </c>
      <c r="Y426" s="12">
        <v>74.392609573577005</v>
      </c>
      <c r="Z426" s="12">
        <v>4.2073904264229895</v>
      </c>
      <c r="AA426" s="12">
        <v>4.2116783571822651</v>
      </c>
      <c r="AB426" s="12">
        <v>1.0181049917926659E-3</v>
      </c>
      <c r="AC426" s="12">
        <v>0.67220640367022966</v>
      </c>
      <c r="AD426" s="12">
        <v>2.3025562288068308E-4</v>
      </c>
      <c r="AE426" s="12">
        <v>-0.66071795340131467</v>
      </c>
      <c r="AF426" s="12">
        <v>-0.39833066281058521</v>
      </c>
      <c r="AG426" s="12">
        <v>0.8198819449592909</v>
      </c>
      <c r="AH426" s="12">
        <v>4.2116783571822616</v>
      </c>
    </row>
    <row r="427" spans="24:34" x14ac:dyDescent="0.25">
      <c r="X427">
        <v>78.5</v>
      </c>
      <c r="Y427" s="12">
        <v>74.343292214281405</v>
      </c>
      <c r="Z427" s="12">
        <v>4.156707785718595</v>
      </c>
      <c r="AA427" s="12">
        <v>4.1609109989614126</v>
      </c>
      <c r="AB427" s="12">
        <v>1.0101665822365199E-3</v>
      </c>
      <c r="AC427" s="12">
        <v>0.66410630027251483</v>
      </c>
      <c r="AD427" s="12">
        <v>2.2298576216614178E-4</v>
      </c>
      <c r="AE427" s="12">
        <v>-0.66071795340131467</v>
      </c>
      <c r="AF427" s="12">
        <v>-0.39618760390725127</v>
      </c>
      <c r="AG427" s="12">
        <v>0.8149271748276129</v>
      </c>
      <c r="AH427" s="12">
        <v>4.1609109989614064</v>
      </c>
    </row>
    <row r="428" spans="24:34" x14ac:dyDescent="0.25">
      <c r="X428">
        <v>78.400000000000006</v>
      </c>
      <c r="Y428" s="12">
        <v>74.24465749569022</v>
      </c>
      <c r="Z428" s="12">
        <v>4.155342504309786</v>
      </c>
      <c r="AA428" s="12">
        <v>4.1594791962978093</v>
      </c>
      <c r="AB428" s="12">
        <v>9.9452161984707617E-4</v>
      </c>
      <c r="AC428" s="12">
        <v>0.6638829743997896</v>
      </c>
      <c r="AD428" s="12">
        <v>2.1938120891626809E-4</v>
      </c>
      <c r="AE428" s="12">
        <v>-0.64941472986293491</v>
      </c>
      <c r="AF428" s="12">
        <v>-0.39265213136956634</v>
      </c>
      <c r="AG428" s="12">
        <v>0.81479014132461713</v>
      </c>
      <c r="AH428" s="12">
        <v>4.1594791962978084</v>
      </c>
    </row>
    <row r="429" spans="24:34" x14ac:dyDescent="0.25">
      <c r="X429">
        <v>78.2</v>
      </c>
      <c r="Y429" s="12">
        <v>74.195340136394634</v>
      </c>
      <c r="Z429" s="12">
        <v>4.0046598636053687</v>
      </c>
      <c r="AA429" s="12">
        <v>4.0086156259028769</v>
      </c>
      <c r="AB429" s="12">
        <v>9.8681506701377869E-4</v>
      </c>
      <c r="AC429" s="12">
        <v>0.63980652482780975</v>
      </c>
      <c r="AD429" s="12">
        <v>2.021770640693912E-4</v>
      </c>
      <c r="AE429" s="12">
        <v>-0.64941472986293491</v>
      </c>
      <c r="AF429" s="12">
        <v>-0.39044158487358432</v>
      </c>
      <c r="AG429" s="12">
        <v>0.79987906887717075</v>
      </c>
      <c r="AH429" s="12">
        <v>4.0086156259028769</v>
      </c>
    </row>
    <row r="430" spans="24:34" x14ac:dyDescent="0.25">
      <c r="X430">
        <v>78.099999999999994</v>
      </c>
      <c r="Y430" s="12">
        <v>77.253016412721379</v>
      </c>
      <c r="Z430" s="12">
        <v>0.84698358727861489</v>
      </c>
      <c r="AA430" s="12">
        <v>0.848350082753214</v>
      </c>
      <c r="AB430" s="12">
        <v>1.6107683636470073E-3</v>
      </c>
      <c r="AC430" s="12">
        <v>0.13536104244468697</v>
      </c>
      <c r="AD430" s="12">
        <v>1.4780549764804069E-5</v>
      </c>
      <c r="AE430" s="12">
        <v>-0.64941472986293491</v>
      </c>
      <c r="AF430" s="12">
        <v>-0.38786785278210512</v>
      </c>
      <c r="AG430" s="12">
        <v>0.36791444989927613</v>
      </c>
      <c r="AH430" s="12">
        <v>0.84835008275321111</v>
      </c>
    </row>
    <row r="431" spans="24:34" x14ac:dyDescent="0.25">
      <c r="X431">
        <v>63</v>
      </c>
      <c r="Y431" s="12">
        <v>65.170263385301183</v>
      </c>
      <c r="Z431" s="12">
        <v>-2.1702633853011832</v>
      </c>
      <c r="AA431" s="12">
        <v>-2.1721698897492701</v>
      </c>
      <c r="AB431" s="12">
        <v>8.7769582714551707E-4</v>
      </c>
      <c r="AC431" s="12">
        <v>-0.34671430146147025</v>
      </c>
      <c r="AD431" s="12">
        <v>5.2800604640080364E-5</v>
      </c>
      <c r="AE431" s="12">
        <v>-0.64941472986293491</v>
      </c>
      <c r="AF431" s="12">
        <v>-0.38676381504153295</v>
      </c>
      <c r="AG431" s="12">
        <v>0.58882450820381982</v>
      </c>
      <c r="AH431" s="12">
        <v>-2.1721698897492674</v>
      </c>
    </row>
    <row r="432" spans="24:34" x14ac:dyDescent="0.25">
      <c r="X432">
        <v>62.7</v>
      </c>
      <c r="Y432" s="12">
        <v>64.972993948118813</v>
      </c>
      <c r="Z432" s="12">
        <v>-2.2729939481188097</v>
      </c>
      <c r="AA432" s="12">
        <v>-2.2750510845999372</v>
      </c>
      <c r="AB432" s="12">
        <v>9.042155119301635E-4</v>
      </c>
      <c r="AC432" s="12">
        <v>-0.36313102524046903</v>
      </c>
      <c r="AD432" s="12">
        <v>5.9670756325776303E-5</v>
      </c>
      <c r="AE432" s="12">
        <v>-0.64941472986293491</v>
      </c>
      <c r="AF432" s="12">
        <v>-0.38651940510249733</v>
      </c>
      <c r="AG432" s="12">
        <v>0.60260353902086328</v>
      </c>
      <c r="AH432" s="12">
        <v>-2.2750510845999385</v>
      </c>
    </row>
    <row r="433" spans="24:34" x14ac:dyDescent="0.25">
      <c r="X433">
        <v>62.2</v>
      </c>
      <c r="Y433" s="12">
        <v>64.627772433049671</v>
      </c>
      <c r="Z433" s="12">
        <v>-2.4277724330496682</v>
      </c>
      <c r="AA433" s="12">
        <v>-2.4300897677576785</v>
      </c>
      <c r="AB433" s="12">
        <v>9.5360045491318295E-4</v>
      </c>
      <c r="AC433" s="12">
        <v>-0.38786785278210512</v>
      </c>
      <c r="AD433" s="12">
        <v>7.1798995251993482E-5</v>
      </c>
      <c r="AE433" s="12">
        <v>-0.64941472986293491</v>
      </c>
      <c r="AF433" s="12">
        <v>-0.38588171491464868</v>
      </c>
      <c r="AG433" s="12">
        <v>0.62279037627608302</v>
      </c>
      <c r="AH433" s="12">
        <v>-2.430089767757682</v>
      </c>
    </row>
    <row r="434" spans="24:34" x14ac:dyDescent="0.25">
      <c r="X434">
        <v>61.8</v>
      </c>
      <c r="Y434" s="12">
        <v>64.381185636571701</v>
      </c>
      <c r="Z434" s="12">
        <v>-2.5811856365717034</v>
      </c>
      <c r="AA434" s="12">
        <v>-2.5837466306815315</v>
      </c>
      <c r="AB434" s="12">
        <v>9.9119398141525182E-4</v>
      </c>
      <c r="AC434" s="12">
        <v>-0.41238534300060342</v>
      </c>
      <c r="AD434" s="12">
        <v>8.4365675192125513E-5</v>
      </c>
      <c r="AE434" s="12">
        <v>-0.64941472986293491</v>
      </c>
      <c r="AF434" s="12">
        <v>-0.38544103923554146</v>
      </c>
      <c r="AG434" s="12">
        <v>0.64217236237680253</v>
      </c>
      <c r="AH434" s="12">
        <v>-2.5837466306815369</v>
      </c>
    </row>
    <row r="435" spans="24:34" x14ac:dyDescent="0.25">
      <c r="X435">
        <v>61.3</v>
      </c>
      <c r="Y435" s="12">
        <v>64.134598840093744</v>
      </c>
      <c r="Z435" s="12">
        <v>-2.8345988400937472</v>
      </c>
      <c r="AA435" s="12">
        <v>-2.8375235313471165</v>
      </c>
      <c r="AB435" s="12">
        <v>1.030719647274391E-3</v>
      </c>
      <c r="AC435" s="12">
        <v>-0.45288108057409915</v>
      </c>
      <c r="AD435" s="12">
        <v>1.0581001641700611E-4</v>
      </c>
      <c r="AE435" s="12">
        <v>-0.63633155866502356</v>
      </c>
      <c r="AF435" s="12">
        <v>-0.38457276104868904</v>
      </c>
      <c r="AG435" s="12">
        <v>0.67296439770176486</v>
      </c>
      <c r="AH435" s="12">
        <v>-2.8375235313471103</v>
      </c>
    </row>
    <row r="436" spans="24:34" x14ac:dyDescent="0.25">
      <c r="X436">
        <v>69</v>
      </c>
      <c r="Y436" s="12">
        <v>63.838694684320188</v>
      </c>
      <c r="Z436" s="12">
        <v>5.1613053156798117</v>
      </c>
      <c r="AA436" s="12">
        <v>5.166889177310253</v>
      </c>
      <c r="AB436" s="12">
        <v>1.0807008702566903E-3</v>
      </c>
      <c r="AC436" s="12">
        <v>0.82463732519519473</v>
      </c>
      <c r="AD436" s="12">
        <v>3.6785026913295949E-4</v>
      </c>
      <c r="AE436" s="12">
        <v>-0.63633155866502356</v>
      </c>
      <c r="AF436" s="12">
        <v>-0.38457276104868904</v>
      </c>
      <c r="AG436" s="12">
        <v>0.90809543837373985</v>
      </c>
      <c r="AH436" s="12">
        <v>5.1668891773102503</v>
      </c>
    </row>
    <row r="437" spans="24:34" x14ac:dyDescent="0.25">
      <c r="X437">
        <v>62</v>
      </c>
      <c r="Y437" s="12">
        <v>63.345521091364262</v>
      </c>
      <c r="Z437" s="12">
        <v>-1.3455210913642617</v>
      </c>
      <c r="AA437" s="12">
        <v>-1.3470974456050371</v>
      </c>
      <c r="AB437" s="12">
        <v>1.1701857545031464E-3</v>
      </c>
      <c r="AC437" s="12">
        <v>-0.21498759474415374</v>
      </c>
      <c r="AD437" s="12">
        <v>2.7074479473645241E-5</v>
      </c>
      <c r="AE437" s="12">
        <v>-0.63633155866502356</v>
      </c>
      <c r="AF437" s="12">
        <v>-0.38436868029226995</v>
      </c>
      <c r="AG437" s="12">
        <v>0.46366754765041918</v>
      </c>
      <c r="AH437" s="12">
        <v>-1.3470974456050362</v>
      </c>
    </row>
    <row r="438" spans="24:34" x14ac:dyDescent="0.25">
      <c r="X438">
        <v>59.8</v>
      </c>
      <c r="Y438" s="12">
        <v>63.000299576295113</v>
      </c>
      <c r="Z438" s="12">
        <v>-3.2002995762951159</v>
      </c>
      <c r="AA438" s="12">
        <v>-3.2042646091518705</v>
      </c>
      <c r="AB438" s="12">
        <v>1.2374236651454919E-3</v>
      </c>
      <c r="AC438" s="12">
        <v>-0.51136163656183053</v>
      </c>
      <c r="AD438" s="12">
        <v>1.6198785224474886E-4</v>
      </c>
      <c r="AE438" s="12">
        <v>-0.63633155866502356</v>
      </c>
      <c r="AF438" s="12">
        <v>-0.38435750892062887</v>
      </c>
      <c r="AG438" s="12">
        <v>0.71509554365960815</v>
      </c>
      <c r="AH438" s="12">
        <v>-3.2042646091518683</v>
      </c>
    </row>
    <row r="439" spans="24:34" x14ac:dyDescent="0.25">
      <c r="X439">
        <v>73.599999999999994</v>
      </c>
      <c r="Y439" s="12">
        <v>70.003364596269265</v>
      </c>
      <c r="Z439" s="12">
        <v>3.5966354037307298</v>
      </c>
      <c r="AA439" s="12">
        <v>3.5988459475298527</v>
      </c>
      <c r="AB439" s="12">
        <v>6.1423685018710918E-4</v>
      </c>
      <c r="AC439" s="12">
        <v>0.57451116806547142</v>
      </c>
      <c r="AD439" s="12">
        <v>1.0143075650498933E-4</v>
      </c>
      <c r="AE439" s="12">
        <v>-0.62890421763218984</v>
      </c>
      <c r="AF439" s="12">
        <v>-0.38280217401658212</v>
      </c>
      <c r="AG439" s="12">
        <v>0.75796514963781247</v>
      </c>
      <c r="AH439" s="12">
        <v>3.5988459475298491</v>
      </c>
    </row>
    <row r="440" spans="24:34" x14ac:dyDescent="0.25">
      <c r="X440">
        <v>73.400000000000006</v>
      </c>
      <c r="Y440" s="12">
        <v>69.855412518382479</v>
      </c>
      <c r="Z440" s="12">
        <v>3.5445874816175262</v>
      </c>
      <c r="AA440" s="12">
        <v>3.5467555733154086</v>
      </c>
      <c r="AB440" s="12">
        <v>6.1128872657502679E-4</v>
      </c>
      <c r="AC440" s="12">
        <v>0.56619642030903083</v>
      </c>
      <c r="AD440" s="12">
        <v>9.8042909311212164E-5</v>
      </c>
      <c r="AE440" s="12">
        <v>-0.62890421763218984</v>
      </c>
      <c r="AF440" s="12">
        <v>-0.38264592482670551</v>
      </c>
      <c r="AG440" s="12">
        <v>0.75246024500237274</v>
      </c>
      <c r="AH440" s="12">
        <v>3.5467555733154112</v>
      </c>
    </row>
    <row r="441" spans="24:34" x14ac:dyDescent="0.25">
      <c r="X441">
        <v>72.099999999999994</v>
      </c>
      <c r="Y441" s="12">
        <v>69.017017410357411</v>
      </c>
      <c r="Z441" s="12">
        <v>3.0829825896425831</v>
      </c>
      <c r="AA441" s="12">
        <v>3.084857322961355</v>
      </c>
      <c r="AB441" s="12">
        <v>6.0772124040130257E-4</v>
      </c>
      <c r="AC441" s="12">
        <v>0.49246085747132751</v>
      </c>
      <c r="AD441" s="12">
        <v>7.3736388728778388E-5</v>
      </c>
      <c r="AE441" s="12">
        <v>-0.62890421763218984</v>
      </c>
      <c r="AF441" s="12">
        <v>-0.38080022989733309</v>
      </c>
      <c r="AG441" s="12">
        <v>0.70175555392980504</v>
      </c>
      <c r="AH441" s="12">
        <v>3.0848573229613541</v>
      </c>
    </row>
    <row r="442" spans="24:34" x14ac:dyDescent="0.25">
      <c r="X442">
        <v>73.099999999999994</v>
      </c>
      <c r="Y442" s="12">
        <v>76.809160179061038</v>
      </c>
      <c r="Z442" s="12">
        <v>-3.709160179061044</v>
      </c>
      <c r="AA442" s="12">
        <v>-3.7147388322652262</v>
      </c>
      <c r="AB442" s="12">
        <v>1.5017618885402521E-3</v>
      </c>
      <c r="AC442" s="12">
        <v>-0.59274865453294057</v>
      </c>
      <c r="AD442" s="12">
        <v>2.6421954104648859E-4</v>
      </c>
      <c r="AE442" s="12">
        <v>-0.62335641379693996</v>
      </c>
      <c r="AF442" s="12">
        <v>-0.37712318841343073</v>
      </c>
      <c r="AG442" s="12">
        <v>0.76990171745031233</v>
      </c>
      <c r="AH442" s="12">
        <v>-3.7147388322652204</v>
      </c>
    </row>
    <row r="443" spans="24:34" x14ac:dyDescent="0.25">
      <c r="X443">
        <v>72.7</v>
      </c>
      <c r="Y443" s="12">
        <v>69.411556284722153</v>
      </c>
      <c r="Z443" s="12">
        <v>3.2884437152778503</v>
      </c>
      <c r="AA443" s="12">
        <v>3.2904397545262754</v>
      </c>
      <c r="AB443" s="12">
        <v>6.0661777675005094E-4</v>
      </c>
      <c r="AC443" s="12">
        <v>0.52527994260458089</v>
      </c>
      <c r="AD443" s="12">
        <v>8.373948852460489E-5</v>
      </c>
      <c r="AE443" s="12">
        <v>-0.62335641379693996</v>
      </c>
      <c r="AF443" s="12">
        <v>-0.37646076066191769</v>
      </c>
      <c r="AG443" s="12">
        <v>0.72476199031446242</v>
      </c>
      <c r="AH443" s="12">
        <v>3.2904397545262709</v>
      </c>
    </row>
    <row r="444" spans="24:34" x14ac:dyDescent="0.25">
      <c r="X444">
        <v>73.599999999999994</v>
      </c>
      <c r="Y444" s="12">
        <v>69.855412518382479</v>
      </c>
      <c r="Z444" s="12">
        <v>3.7445874816175149</v>
      </c>
      <c r="AA444" s="12">
        <v>3.7468779058412025</v>
      </c>
      <c r="AB444" s="12">
        <v>6.1128872657502679E-4</v>
      </c>
      <c r="AC444" s="12">
        <v>0.59814351842667257</v>
      </c>
      <c r="AD444" s="12">
        <v>1.0941900304299872E-4</v>
      </c>
      <c r="AE444" s="12">
        <v>-0.62335641379693996</v>
      </c>
      <c r="AF444" s="12">
        <v>-0.37536400697028866</v>
      </c>
      <c r="AG444" s="12">
        <v>0.77339738713462991</v>
      </c>
      <c r="AH444" s="12">
        <v>3.7468779058412087</v>
      </c>
    </row>
    <row r="445" spans="24:34" x14ac:dyDescent="0.25">
      <c r="X445">
        <v>73.3</v>
      </c>
      <c r="Y445" s="12">
        <v>69.658143081200109</v>
      </c>
      <c r="Z445" s="12">
        <v>3.6418569187998884</v>
      </c>
      <c r="AA445" s="12">
        <v>3.6440741188673371</v>
      </c>
      <c r="AB445" s="12">
        <v>6.0843989313220947E-4</v>
      </c>
      <c r="AC445" s="12">
        <v>0.58173297244017086</v>
      </c>
      <c r="AD445" s="12">
        <v>1.0301473948173167E-4</v>
      </c>
      <c r="AE445" s="12">
        <v>-0.62335641379693996</v>
      </c>
      <c r="AF445" s="12">
        <v>-0.37010925216184482</v>
      </c>
      <c r="AG445" s="12">
        <v>0.7627142141327713</v>
      </c>
      <c r="AH445" s="12">
        <v>3.644074118867338</v>
      </c>
    </row>
    <row r="446" spans="24:34" x14ac:dyDescent="0.25">
      <c r="X446">
        <v>72.900000000000006</v>
      </c>
      <c r="Y446" s="12">
        <v>69.510191003313338</v>
      </c>
      <c r="Z446" s="12">
        <v>3.3898089966866678</v>
      </c>
      <c r="AA446" s="12">
        <v>3.3918682499875246</v>
      </c>
      <c r="AB446" s="12">
        <v>6.0711476658006577E-4</v>
      </c>
      <c r="AC446" s="12">
        <v>0.54147167235552685</v>
      </c>
      <c r="AD446" s="12">
        <v>8.9054532709767674E-5</v>
      </c>
      <c r="AE446" s="12">
        <v>-0.62335641379693996</v>
      </c>
      <c r="AF446" s="12">
        <v>-0.3685917093506525</v>
      </c>
      <c r="AG446" s="12">
        <v>0.73584758772148384</v>
      </c>
      <c r="AH446" s="12">
        <v>3.3918682499875294</v>
      </c>
    </row>
    <row r="447" spans="24:34" x14ac:dyDescent="0.25">
      <c r="X447">
        <v>72.3</v>
      </c>
      <c r="Y447" s="12">
        <v>68.819747973175041</v>
      </c>
      <c r="Z447" s="12">
        <v>3.4802520268249566</v>
      </c>
      <c r="AA447" s="12">
        <v>3.4823767217635577</v>
      </c>
      <c r="AB447" s="12">
        <v>6.1012782600971583E-4</v>
      </c>
      <c r="AC447" s="12">
        <v>0.55591944199464671</v>
      </c>
      <c r="AD447" s="12">
        <v>9.4336469316893222E-5</v>
      </c>
      <c r="AE447" s="12">
        <v>-0.62335641379693996</v>
      </c>
      <c r="AF447" s="12">
        <v>-0.3685917093506525</v>
      </c>
      <c r="AG447" s="12">
        <v>0.74560005498567838</v>
      </c>
      <c r="AH447" s="12">
        <v>3.4823767217635528</v>
      </c>
    </row>
    <row r="448" spans="24:34" x14ac:dyDescent="0.25">
      <c r="X448">
        <v>69.7</v>
      </c>
      <c r="Y448" s="12">
        <v>76.217351867513926</v>
      </c>
      <c r="Z448" s="12">
        <v>-6.5173518675139235</v>
      </c>
      <c r="AA448" s="12">
        <v>-6.5262677798255453</v>
      </c>
      <c r="AB448" s="12">
        <v>1.3661579040908781E-3</v>
      </c>
      <c r="AC448" s="12">
        <v>-1.0414457902872525</v>
      </c>
      <c r="AD448" s="12">
        <v>7.4188734257754564E-4</v>
      </c>
      <c r="AE448" s="12">
        <v>-0.62335641379693996</v>
      </c>
      <c r="AF448" s="12">
        <v>-0.36682792878064346</v>
      </c>
      <c r="AG448" s="12">
        <v>1.0205125135378068</v>
      </c>
      <c r="AH448" s="12">
        <v>-6.5262677798255462</v>
      </c>
    </row>
    <row r="449" spans="24:34" x14ac:dyDescent="0.25">
      <c r="X449">
        <v>69.3</v>
      </c>
      <c r="Y449" s="12">
        <v>67.044323038533705</v>
      </c>
      <c r="Z449" s="12">
        <v>2.2556769614662926</v>
      </c>
      <c r="AA449" s="12">
        <v>2.257228654277128</v>
      </c>
      <c r="AB449" s="12">
        <v>6.8743270996904934E-4</v>
      </c>
      <c r="AC449" s="12">
        <v>0.36032539300617528</v>
      </c>
      <c r="AD449" s="12">
        <v>4.4656901500282777E-5</v>
      </c>
      <c r="AE449" s="12">
        <v>-0.62335641379693996</v>
      </c>
      <c r="AF449" s="12">
        <v>-0.36660848052596284</v>
      </c>
      <c r="AG449" s="12">
        <v>0.60027109959265512</v>
      </c>
      <c r="AH449" s="12">
        <v>2.2572286542771223</v>
      </c>
    </row>
    <row r="450" spans="24:34" x14ac:dyDescent="0.25">
      <c r="X450">
        <v>73</v>
      </c>
      <c r="Y450" s="12">
        <v>76.513256023287482</v>
      </c>
      <c r="Z450" s="12">
        <v>-3.5132560232874823</v>
      </c>
      <c r="AA450" s="12">
        <v>-3.5182962245330316</v>
      </c>
      <c r="AB450" s="12">
        <v>1.4325687559784749E-3</v>
      </c>
      <c r="AC450" s="12">
        <v>-0.56142240537326393</v>
      </c>
      <c r="AD450" s="12">
        <v>2.2609323260928941E-4</v>
      </c>
      <c r="AE450" s="12">
        <v>-0.62335641379693996</v>
      </c>
      <c r="AF450" s="12">
        <v>-0.36335163660724096</v>
      </c>
      <c r="AG450" s="12">
        <v>0.74928125918994126</v>
      </c>
      <c r="AH450" s="12">
        <v>-3.5182962245330254</v>
      </c>
    </row>
    <row r="451" spans="24:34" x14ac:dyDescent="0.25">
      <c r="X451">
        <v>71.400000000000006</v>
      </c>
      <c r="Y451" s="12">
        <v>68.277257020923514</v>
      </c>
      <c r="Z451" s="12">
        <v>3.1227429790764916</v>
      </c>
      <c r="AA451" s="12">
        <v>3.1246900421734267</v>
      </c>
      <c r="AB451" s="12">
        <v>6.2312199631118278E-4</v>
      </c>
      <c r="AC451" s="12">
        <v>0.49881583486880576</v>
      </c>
      <c r="AD451" s="12">
        <v>7.757008237872082E-5</v>
      </c>
      <c r="AE451" s="12">
        <v>-0.62335641379693996</v>
      </c>
      <c r="AF451" s="12">
        <v>-0.36313102524046903</v>
      </c>
      <c r="AG451" s="12">
        <v>0.70626895363509057</v>
      </c>
      <c r="AH451" s="12">
        <v>3.1246900421734245</v>
      </c>
    </row>
    <row r="452" spans="24:34" x14ac:dyDescent="0.25">
      <c r="X452">
        <v>71.2</v>
      </c>
      <c r="Y452" s="12">
        <v>68.326574380219114</v>
      </c>
      <c r="Z452" s="12">
        <v>2.873425619780889</v>
      </c>
      <c r="AA452" s="12">
        <v>2.8752127205539182</v>
      </c>
      <c r="AB452" s="12">
        <v>6.2155428023054436E-4</v>
      </c>
      <c r="AC452" s="12">
        <v>0.45899040838685307</v>
      </c>
      <c r="AD452" s="12">
        <v>6.5512822036096913E-5</v>
      </c>
      <c r="AE452" s="12">
        <v>-0.62335641379693996</v>
      </c>
      <c r="AF452" s="12">
        <v>-0.36291047306660845</v>
      </c>
      <c r="AG452" s="12">
        <v>0.67748830867170917</v>
      </c>
      <c r="AH452" s="12">
        <v>2.8752127205539226</v>
      </c>
    </row>
    <row r="453" spans="24:34" x14ac:dyDescent="0.25">
      <c r="X453">
        <v>72</v>
      </c>
      <c r="Y453" s="12">
        <v>68.918382691766226</v>
      </c>
      <c r="Z453" s="12">
        <v>3.0816173082337741</v>
      </c>
      <c r="AA453" s="12">
        <v>3.083494447031299</v>
      </c>
      <c r="AB453" s="12">
        <v>6.0876996205694355E-4</v>
      </c>
      <c r="AC453" s="12">
        <v>0.49224303223493071</v>
      </c>
      <c r="AD453" s="12">
        <v>7.3798382020719421E-5</v>
      </c>
      <c r="AE453" s="12">
        <v>-0.60317578841021124</v>
      </c>
      <c r="AF453" s="12">
        <v>-0.36070810282488541</v>
      </c>
      <c r="AG453" s="12">
        <v>0.70160033654134657</v>
      </c>
      <c r="AH453" s="12">
        <v>3.0834944470312959</v>
      </c>
    </row>
    <row r="454" spans="24:34" x14ac:dyDescent="0.25">
      <c r="X454">
        <v>76</v>
      </c>
      <c r="Y454" s="12">
        <v>71.630837453023815</v>
      </c>
      <c r="Z454" s="12">
        <v>4.3691625469761846</v>
      </c>
      <c r="AA454" s="12">
        <v>4.372190611821992</v>
      </c>
      <c r="AB454" s="12">
        <v>6.9257384104399783E-4</v>
      </c>
      <c r="AC454" s="12">
        <v>0.69793870684234005</v>
      </c>
      <c r="AD454" s="12">
        <v>1.6879965022280414E-4</v>
      </c>
      <c r="AE454" s="12">
        <v>-0.60317578841021124</v>
      </c>
      <c r="AF454" s="12">
        <v>-0.36046021706040732</v>
      </c>
      <c r="AG454" s="12">
        <v>0.83542726005460222</v>
      </c>
      <c r="AH454" s="12">
        <v>4.3721906118219911</v>
      </c>
    </row>
    <row r="455" spans="24:34" x14ac:dyDescent="0.25">
      <c r="X455">
        <v>76</v>
      </c>
      <c r="Y455" s="12">
        <v>71.630837453023815</v>
      </c>
      <c r="Z455" s="12">
        <v>4.3691625469761846</v>
      </c>
      <c r="AA455" s="12">
        <v>4.372190611821992</v>
      </c>
      <c r="AB455" s="12">
        <v>6.9257384104399783E-4</v>
      </c>
      <c r="AC455" s="12">
        <v>0.69793870684234005</v>
      </c>
      <c r="AD455" s="12">
        <v>1.6879965022280414E-4</v>
      </c>
      <c r="AE455" s="12">
        <v>-0.60317578841021124</v>
      </c>
      <c r="AF455" s="12">
        <v>-0.35942590498044991</v>
      </c>
      <c r="AG455" s="12">
        <v>0.83542726005460222</v>
      </c>
      <c r="AH455" s="12">
        <v>4.3721906118219911</v>
      </c>
    </row>
    <row r="456" spans="24:34" x14ac:dyDescent="0.25">
      <c r="X456">
        <v>75.5</v>
      </c>
      <c r="Y456" s="12">
        <v>71.334933297250259</v>
      </c>
      <c r="Z456" s="12">
        <v>4.1650667027497406</v>
      </c>
      <c r="AA456" s="12">
        <v>4.1678678042501929</v>
      </c>
      <c r="AB456" s="12">
        <v>6.72070620280384E-4</v>
      </c>
      <c r="AC456" s="12">
        <v>0.66532920575635857</v>
      </c>
      <c r="AD456" s="12">
        <v>1.4885042036812186E-4</v>
      </c>
      <c r="AE456" s="12">
        <v>-0.60317578841021124</v>
      </c>
      <c r="AF456" s="12">
        <v>-0.35851169946196043</v>
      </c>
      <c r="AG456" s="12">
        <v>0.81567714554004678</v>
      </c>
      <c r="AH456" s="12">
        <v>4.1678678042501893</v>
      </c>
    </row>
    <row r="457" spans="24:34" x14ac:dyDescent="0.25">
      <c r="X457">
        <v>75.3</v>
      </c>
      <c r="Y457" s="12">
        <v>71.137663860067889</v>
      </c>
      <c r="Z457" s="12">
        <v>4.1623361399321084</v>
      </c>
      <c r="AA457" s="12">
        <v>4.1650848773588649</v>
      </c>
      <c r="AB457" s="12">
        <v>6.5994751792363077E-4</v>
      </c>
      <c r="AC457" s="12">
        <v>0.66488899174397675</v>
      </c>
      <c r="AD457" s="12">
        <v>1.459702646876556E-4</v>
      </c>
      <c r="AE457" s="12">
        <v>-0.60317578841021124</v>
      </c>
      <c r="AF457" s="12">
        <v>-0.35357313749803299</v>
      </c>
      <c r="AG457" s="12">
        <v>0.81540725514553569</v>
      </c>
      <c r="AH457" s="12">
        <v>4.1650848773588622</v>
      </c>
    </row>
    <row r="458" spans="24:34" x14ac:dyDescent="0.25">
      <c r="X458">
        <v>75</v>
      </c>
      <c r="Y458" s="12">
        <v>70.989711782181118</v>
      </c>
      <c r="Z458" s="12">
        <v>4.0102882178188821</v>
      </c>
      <c r="AA458" s="12">
        <v>4.0129032932240136</v>
      </c>
      <c r="AB458" s="12">
        <v>6.5166668968603524E-4</v>
      </c>
      <c r="AC458" s="12">
        <v>0.64059829694201431</v>
      </c>
      <c r="AD458" s="12">
        <v>1.3379817621743227E-4</v>
      </c>
      <c r="AE458" s="12">
        <v>-0.60317578841021124</v>
      </c>
      <c r="AF458" s="12">
        <v>-0.35305066895935888</v>
      </c>
      <c r="AG458" s="12">
        <v>0.80037384823719371</v>
      </c>
      <c r="AH458" s="12">
        <v>4.0129032932240074</v>
      </c>
    </row>
    <row r="459" spans="24:34" x14ac:dyDescent="0.25">
      <c r="X459">
        <v>75.099999999999994</v>
      </c>
      <c r="Y459" s="12">
        <v>70.841759704294333</v>
      </c>
      <c r="Z459" s="12">
        <v>4.2582402957056615</v>
      </c>
      <c r="AA459" s="12">
        <v>4.2609847168421879</v>
      </c>
      <c r="AB459" s="12">
        <v>6.440814316169849E-4</v>
      </c>
      <c r="AC459" s="12">
        <v>0.68020326244286777</v>
      </c>
      <c r="AD459" s="12">
        <v>1.4909669465203325E-4</v>
      </c>
      <c r="AE459" s="12">
        <v>-0.60317578841021124</v>
      </c>
      <c r="AF459" s="12">
        <v>-0.35282460498830309</v>
      </c>
      <c r="AG459" s="12">
        <v>0.82474436187394928</v>
      </c>
      <c r="AH459" s="12">
        <v>4.2609847168421835</v>
      </c>
    </row>
    <row r="460" spans="24:34" x14ac:dyDescent="0.25">
      <c r="X460">
        <v>74.599999999999994</v>
      </c>
      <c r="Y460" s="12">
        <v>70.743124985703147</v>
      </c>
      <c r="Z460" s="12">
        <v>3.8568750142968469</v>
      </c>
      <c r="AA460" s="12">
        <v>3.8593427205653228</v>
      </c>
      <c r="AB460" s="12">
        <v>6.3941102077569876E-4</v>
      </c>
      <c r="AC460" s="12">
        <v>0.61608849081680206</v>
      </c>
      <c r="AD460" s="12">
        <v>1.2142667272013543E-4</v>
      </c>
      <c r="AE460" s="12">
        <v>-0.59046081866695443</v>
      </c>
      <c r="AF460" s="12">
        <v>-0.35261065765261829</v>
      </c>
      <c r="AG460" s="12">
        <v>0.78491304665982087</v>
      </c>
      <c r="AH460" s="12">
        <v>3.8593427205653268</v>
      </c>
    </row>
    <row r="461" spans="24:34" x14ac:dyDescent="0.25">
      <c r="X461">
        <v>74.7</v>
      </c>
      <c r="Y461" s="12">
        <v>76.907794897652224</v>
      </c>
      <c r="Z461" s="12">
        <v>-2.2077948976522208</v>
      </c>
      <c r="AA461" s="12">
        <v>-2.2111679116936926</v>
      </c>
      <c r="AB461" s="12">
        <v>1.5254445506551072E-3</v>
      </c>
      <c r="AC461" s="12">
        <v>-0.35282460498830309</v>
      </c>
      <c r="AD461" s="12">
        <v>9.5092695059939363E-5</v>
      </c>
      <c r="AE461" s="12">
        <v>-0.59046081866695443</v>
      </c>
      <c r="AF461" s="12">
        <v>-0.35195604385245993</v>
      </c>
      <c r="AG461" s="12">
        <v>0.59399040816186843</v>
      </c>
      <c r="AH461" s="12">
        <v>-2.2111679116936971</v>
      </c>
    </row>
    <row r="462" spans="24:34" x14ac:dyDescent="0.25">
      <c r="X462">
        <v>74.400000000000006</v>
      </c>
      <c r="Y462" s="12">
        <v>70.496538189225191</v>
      </c>
      <c r="Z462" s="12">
        <v>3.9034618107748145</v>
      </c>
      <c r="AA462" s="12">
        <v>3.9059189755440542</v>
      </c>
      <c r="AB462" s="12">
        <v>6.2908749122243227E-4</v>
      </c>
      <c r="AC462" s="12">
        <v>0.62352693975995455</v>
      </c>
      <c r="AD462" s="12">
        <v>1.2236713543736205E-4</v>
      </c>
      <c r="AE462" s="12">
        <v>-0.59046081866695443</v>
      </c>
      <c r="AF462" s="12">
        <v>-0.35041496093258362</v>
      </c>
      <c r="AG462" s="12">
        <v>0.78963722034865769</v>
      </c>
      <c r="AH462" s="12">
        <v>3.9059189755440578</v>
      </c>
    </row>
    <row r="463" spans="24:34" x14ac:dyDescent="0.25">
      <c r="X463">
        <v>74.2</v>
      </c>
      <c r="Y463" s="12">
        <v>70.151316674156035</v>
      </c>
      <c r="Z463" s="12">
        <v>4.0486833258439674</v>
      </c>
      <c r="AA463" s="12">
        <v>4.0511864751469489</v>
      </c>
      <c r="AB463" s="12">
        <v>6.1788054396773654E-4</v>
      </c>
      <c r="AC463" s="12">
        <v>0.64672055012920393</v>
      </c>
      <c r="AD463" s="12">
        <v>1.2929337498669626E-4</v>
      </c>
      <c r="AE463" s="12">
        <v>-0.59046081866695443</v>
      </c>
      <c r="AF463" s="12">
        <v>-0.35019568326473505</v>
      </c>
      <c r="AG463" s="12">
        <v>0.80418937454383466</v>
      </c>
      <c r="AH463" s="12">
        <v>4.0511864751469462</v>
      </c>
    </row>
    <row r="464" spans="24:34" x14ac:dyDescent="0.25">
      <c r="X464">
        <v>74.400000000000006</v>
      </c>
      <c r="Y464" s="12">
        <v>70.299268752042821</v>
      </c>
      <c r="Z464" s="12">
        <v>4.1007312479571851</v>
      </c>
      <c r="AA464" s="12">
        <v>4.1032843927838911</v>
      </c>
      <c r="AB464" s="12">
        <v>6.222198079169094E-4</v>
      </c>
      <c r="AC464" s="12">
        <v>0.65503589998785228</v>
      </c>
      <c r="AD464" s="12">
        <v>1.3357166906773017E-4</v>
      </c>
      <c r="AE464" s="12">
        <v>-0.59046081866695443</v>
      </c>
      <c r="AF464" s="12">
        <v>-0.34888118171645116</v>
      </c>
      <c r="AG464" s="12">
        <v>0.80934288159460099</v>
      </c>
      <c r="AH464" s="12">
        <v>4.1032843927838911</v>
      </c>
    </row>
    <row r="465" spans="24:34" x14ac:dyDescent="0.25">
      <c r="X465">
        <v>74.400000000000006</v>
      </c>
      <c r="Y465" s="12">
        <v>70.151316674156035</v>
      </c>
      <c r="Z465" s="12">
        <v>4.2486833258439702</v>
      </c>
      <c r="AA465" s="12">
        <v>4.251310127658229</v>
      </c>
      <c r="AB465" s="12">
        <v>6.1788054396773654E-4</v>
      </c>
      <c r="AC465" s="12">
        <v>0.67866775360649245</v>
      </c>
      <c r="AD465" s="12">
        <v>1.4238275062289983E-4</v>
      </c>
      <c r="AE465" s="12">
        <v>-0.59046081866695443</v>
      </c>
      <c r="AF465" s="12">
        <v>-0.34880935652316752</v>
      </c>
      <c r="AG465" s="12">
        <v>0.82381293605192463</v>
      </c>
      <c r="AH465" s="12">
        <v>4.2513101276582228</v>
      </c>
    </row>
    <row r="466" spans="24:34" x14ac:dyDescent="0.25">
      <c r="X466">
        <v>73.599999999999994</v>
      </c>
      <c r="Y466" s="12">
        <v>69.855412518382479</v>
      </c>
      <c r="Z466" s="12">
        <v>3.7445874816175149</v>
      </c>
      <c r="AA466" s="12">
        <v>3.7468779058412025</v>
      </c>
      <c r="AB466" s="12">
        <v>6.1128872657502679E-4</v>
      </c>
      <c r="AC466" s="12">
        <v>0.59814351842667257</v>
      </c>
      <c r="AD466" s="12">
        <v>1.0941900304299872E-4</v>
      </c>
      <c r="AE466" s="12">
        <v>-0.57963781842623852</v>
      </c>
      <c r="AF466" s="12">
        <v>-0.34791810603437817</v>
      </c>
      <c r="AG466" s="12">
        <v>0.77339738713462991</v>
      </c>
      <c r="AH466" s="12">
        <v>3.7468779058412087</v>
      </c>
    </row>
    <row r="467" spans="24:34" x14ac:dyDescent="0.25">
      <c r="X467">
        <v>73.400000000000006</v>
      </c>
      <c r="Y467" s="12">
        <v>69.806095159086894</v>
      </c>
      <c r="Z467" s="12">
        <v>3.5939048409131118</v>
      </c>
      <c r="AA467" s="12">
        <v>3.5961001183125063</v>
      </c>
      <c r="AB467" s="12">
        <v>6.1046058985289825E-4</v>
      </c>
      <c r="AC467" s="12">
        <v>0.57407391503943506</v>
      </c>
      <c r="AD467" s="12">
        <v>1.0065340340826797E-4</v>
      </c>
      <c r="AE467" s="12">
        <v>-0.57963781842623852</v>
      </c>
      <c r="AF467" s="12">
        <v>-0.34765989062807634</v>
      </c>
      <c r="AG467" s="12">
        <v>0.75767665599478184</v>
      </c>
      <c r="AH467" s="12">
        <v>3.5961001183125072</v>
      </c>
    </row>
    <row r="468" spans="24:34" x14ac:dyDescent="0.25">
      <c r="X468">
        <v>72.8</v>
      </c>
      <c r="Y468" s="12">
        <v>69.559508362608923</v>
      </c>
      <c r="Z468" s="12">
        <v>3.2404916373910737</v>
      </c>
      <c r="AA468" s="12">
        <v>3.2424613651943446</v>
      </c>
      <c r="AB468" s="12">
        <v>6.0747918985649756E-4</v>
      </c>
      <c r="AC468" s="12">
        <v>0.51762053489633642</v>
      </c>
      <c r="AD468" s="12">
        <v>8.1430726392189682E-5</v>
      </c>
      <c r="AE468" s="12">
        <v>-0.57963781842623852</v>
      </c>
      <c r="AF468" s="12">
        <v>-0.34747283928670414</v>
      </c>
      <c r="AG468" s="12">
        <v>0.71945850116343502</v>
      </c>
      <c r="AH468" s="12">
        <v>3.2424613651943428</v>
      </c>
    </row>
    <row r="469" spans="24:34" x14ac:dyDescent="0.25">
      <c r="X469">
        <v>73.3</v>
      </c>
      <c r="Y469" s="12">
        <v>68.671795895288255</v>
      </c>
      <c r="Z469" s="12">
        <v>4.6282041047117417</v>
      </c>
      <c r="AA469" s="12">
        <v>4.6310417489786033</v>
      </c>
      <c r="AB469" s="12">
        <v>6.1274426374599501E-4</v>
      </c>
      <c r="AC469" s="12">
        <v>0.73928899156912653</v>
      </c>
      <c r="AD469" s="12">
        <v>1.6754980638788422E-4</v>
      </c>
      <c r="AE469" s="12">
        <v>-0.57963781842623852</v>
      </c>
      <c r="AF469" s="12">
        <v>-0.3470278103858484</v>
      </c>
      <c r="AG469" s="12">
        <v>0.85981916213185583</v>
      </c>
      <c r="AH469" s="12">
        <v>4.6310417489785971</v>
      </c>
    </row>
    <row r="470" spans="24:34" x14ac:dyDescent="0.25">
      <c r="X470">
        <v>73</v>
      </c>
      <c r="Y470" s="12">
        <v>68.523843817401485</v>
      </c>
      <c r="Z470" s="12">
        <v>4.4761561825985154</v>
      </c>
      <c r="AA470" s="12">
        <v>4.47891544654955</v>
      </c>
      <c r="AB470" s="12">
        <v>6.1605627165081927E-4</v>
      </c>
      <c r="AC470" s="12">
        <v>0.71500270922523479</v>
      </c>
      <c r="AD470" s="12">
        <v>1.5756994905511104E-4</v>
      </c>
      <c r="AE470" s="12">
        <v>-0.57963781842623852</v>
      </c>
      <c r="AF470" s="12">
        <v>-0.34671430146147025</v>
      </c>
      <c r="AG470" s="12">
        <v>0.8455783282613355</v>
      </c>
      <c r="AH470" s="12">
        <v>4.4789154465495562</v>
      </c>
    </row>
    <row r="471" spans="24:34" x14ac:dyDescent="0.25">
      <c r="X471">
        <v>73</v>
      </c>
      <c r="Y471" s="12">
        <v>68.671795895288255</v>
      </c>
      <c r="Z471" s="12">
        <v>4.3282041047117445</v>
      </c>
      <c r="AA471" s="12">
        <v>4.3308578129937558</v>
      </c>
      <c r="AB471" s="12">
        <v>6.1274426374599501E-4</v>
      </c>
      <c r="AC471" s="12">
        <v>0.69136830949615014</v>
      </c>
      <c r="AD471" s="12">
        <v>1.4653264505247031E-4</v>
      </c>
      <c r="AE471" s="12">
        <v>-0.57067028430202504</v>
      </c>
      <c r="AF471" s="12">
        <v>-0.34636071111337657</v>
      </c>
      <c r="AG471" s="12">
        <v>0.83148560390192572</v>
      </c>
      <c r="AH471" s="12">
        <v>4.3308578129937558</v>
      </c>
    </row>
    <row r="472" spans="24:34" x14ac:dyDescent="0.25">
      <c r="X472">
        <v>72</v>
      </c>
      <c r="Y472" s="12">
        <v>67.882718146558773</v>
      </c>
      <c r="Z472" s="12">
        <v>4.1172818534412272</v>
      </c>
      <c r="AA472" s="12">
        <v>4.1199121949256323</v>
      </c>
      <c r="AB472" s="12">
        <v>6.384460056304697E-4</v>
      </c>
      <c r="AC472" s="12">
        <v>0.65768497273970838</v>
      </c>
      <c r="AD472" s="12">
        <v>1.3816797050458847E-4</v>
      </c>
      <c r="AE472" s="12">
        <v>-0.57067028430202504</v>
      </c>
      <c r="AF472" s="12">
        <v>-0.34472714743755201</v>
      </c>
      <c r="AG472" s="12">
        <v>0.81097778806802623</v>
      </c>
      <c r="AH472" s="12">
        <v>4.1199121949256261</v>
      </c>
    </row>
    <row r="473" spans="24:34" x14ac:dyDescent="0.25">
      <c r="X473">
        <v>72</v>
      </c>
      <c r="Y473" s="12">
        <v>68.178622302332343</v>
      </c>
      <c r="Z473" s="12">
        <v>3.821377697667657</v>
      </c>
      <c r="AA473" s="12">
        <v>3.8237732506381974</v>
      </c>
      <c r="AB473" s="12">
        <v>6.2648928519530773E-4</v>
      </c>
      <c r="AC473" s="12">
        <v>0.61041428343421622</v>
      </c>
      <c r="AD473" s="12">
        <v>1.1678987479905311E-4</v>
      </c>
      <c r="AE473" s="12">
        <v>-0.57067028430202504</v>
      </c>
      <c r="AF473" s="12">
        <v>-0.34407811717916142</v>
      </c>
      <c r="AG473" s="12">
        <v>0.78129014036669897</v>
      </c>
      <c r="AH473" s="12">
        <v>3.8237732506381983</v>
      </c>
    </row>
    <row r="474" spans="24:34" x14ac:dyDescent="0.25">
      <c r="X474">
        <v>71.400000000000006</v>
      </c>
      <c r="Y474" s="12">
        <v>76.463938663991897</v>
      </c>
      <c r="Z474" s="12">
        <v>-5.0639386639918911</v>
      </c>
      <c r="AA474" s="12">
        <v>-5.0711463200930496</v>
      </c>
      <c r="AB474" s="12">
        <v>1.4213070667281685E-3</v>
      </c>
      <c r="AC474" s="12">
        <v>-0.80921873475370421</v>
      </c>
      <c r="AD474" s="12">
        <v>4.6602314055793864E-4</v>
      </c>
      <c r="AE474" s="12">
        <v>-0.57067028430202504</v>
      </c>
      <c r="AF474" s="12">
        <v>-0.34297626128196762</v>
      </c>
      <c r="AG474" s="12">
        <v>0.89956585904185149</v>
      </c>
      <c r="AH474" s="12">
        <v>-5.0711463200930522</v>
      </c>
    </row>
    <row r="475" spans="24:34" x14ac:dyDescent="0.25">
      <c r="X475">
        <v>71.7</v>
      </c>
      <c r="Y475" s="12">
        <v>68.030670224445558</v>
      </c>
      <c r="Z475" s="12">
        <v>3.669329775554445</v>
      </c>
      <c r="AA475" s="12">
        <v>3.6716506988813933</v>
      </c>
      <c r="AB475" s="12">
        <v>6.3211986032861618E-4</v>
      </c>
      <c r="AC475" s="12">
        <v>0.58612830045260189</v>
      </c>
      <c r="AD475" s="12">
        <v>1.0864992609828593E-4</v>
      </c>
      <c r="AE475" s="12">
        <v>-0.57067028430202504</v>
      </c>
      <c r="AF475" s="12">
        <v>-0.34231826399817927</v>
      </c>
      <c r="AG475" s="12">
        <v>0.7655901648092156</v>
      </c>
      <c r="AH475" s="12">
        <v>3.6716506988813973</v>
      </c>
    </row>
    <row r="476" spans="24:34" x14ac:dyDescent="0.25">
      <c r="X476">
        <v>71.2</v>
      </c>
      <c r="Y476" s="12">
        <v>76.463938663991897</v>
      </c>
      <c r="Z476" s="12">
        <v>-5.2639386639918939</v>
      </c>
      <c r="AA476" s="12">
        <v>-5.2714309861042068</v>
      </c>
      <c r="AB476" s="12">
        <v>1.4213070667281685E-3</v>
      </c>
      <c r="AC476" s="12">
        <v>-0.84117878752874364</v>
      </c>
      <c r="AD476" s="12">
        <v>5.0356118769544764E-4</v>
      </c>
      <c r="AE476" s="12">
        <v>-0.56174840893422073</v>
      </c>
      <c r="AF476" s="12">
        <v>-0.33905698684479219</v>
      </c>
      <c r="AG476" s="12">
        <v>0.9171579948562536</v>
      </c>
      <c r="AH476" s="12">
        <v>-5.2714309861042139</v>
      </c>
    </row>
    <row r="477" spans="24:34" x14ac:dyDescent="0.25">
      <c r="X477">
        <v>75</v>
      </c>
      <c r="Y477" s="12">
        <v>67.19227511642049</v>
      </c>
      <c r="Z477" s="12">
        <v>7.8077248835795103</v>
      </c>
      <c r="AA477" s="12">
        <v>7.8130155842806062</v>
      </c>
      <c r="AB477" s="12">
        <v>6.7716500037877261E-4</v>
      </c>
      <c r="AC477" s="12">
        <v>1.2472118712967961</v>
      </c>
      <c r="AD477" s="12">
        <v>5.2703464902207166E-4</v>
      </c>
      <c r="AE477" s="12">
        <v>-0.56174840893422073</v>
      </c>
      <c r="AF477" s="12">
        <v>-0.3364180040769878</v>
      </c>
      <c r="AG477" s="12">
        <v>1.1167864036138675</v>
      </c>
      <c r="AH477" s="12">
        <v>7.8130155842805991</v>
      </c>
    </row>
    <row r="478" spans="24:34" x14ac:dyDescent="0.25">
      <c r="X478">
        <v>71</v>
      </c>
      <c r="Y478" s="12">
        <v>67.093640397829304</v>
      </c>
      <c r="Z478" s="12">
        <v>3.9063596021706957</v>
      </c>
      <c r="AA478" s="12">
        <v>3.9090331183497824</v>
      </c>
      <c r="AB478" s="12">
        <v>6.839328545313407E-4</v>
      </c>
      <c r="AC478" s="12">
        <v>0.6240069469625924</v>
      </c>
      <c r="AD478" s="12">
        <v>1.3324761680613941E-4</v>
      </c>
      <c r="AE478" s="12">
        <v>-0.56174840893422073</v>
      </c>
      <c r="AF478" s="12">
        <v>-0.3302982178788868</v>
      </c>
      <c r="AG478" s="12">
        <v>0.78994110347708357</v>
      </c>
      <c r="AH478" s="12">
        <v>3.9090331183497864</v>
      </c>
    </row>
    <row r="479" spans="24:34" x14ac:dyDescent="0.25">
      <c r="X479">
        <v>70</v>
      </c>
      <c r="Y479" s="12">
        <v>66.995005679238119</v>
      </c>
      <c r="Z479" s="12">
        <v>3.004994320761881</v>
      </c>
      <c r="AA479" s="12">
        <v>3.0070722373004628</v>
      </c>
      <c r="AB479" s="12">
        <v>6.9100985098104022E-4</v>
      </c>
      <c r="AC479" s="12">
        <v>0.48002338812921069</v>
      </c>
      <c r="AD479" s="12">
        <v>7.9667143288106906E-5</v>
      </c>
      <c r="AE479" s="12">
        <v>-0.56174840893422073</v>
      </c>
      <c r="AF479" s="12">
        <v>-0.3302982178788868</v>
      </c>
      <c r="AG479" s="12">
        <v>0.69283720175031793</v>
      </c>
      <c r="AH479" s="12">
        <v>3.0070722373004672</v>
      </c>
    </row>
    <row r="480" spans="24:34" x14ac:dyDescent="0.25">
      <c r="X480">
        <v>69.900000000000006</v>
      </c>
      <c r="Y480" s="12">
        <v>76.168034508218341</v>
      </c>
      <c r="Z480" s="12">
        <v>-6.2680345082183351</v>
      </c>
      <c r="AA480" s="12">
        <v>-6.2765414810299518</v>
      </c>
      <c r="AB480" s="12">
        <v>1.3553599282862686E-3</v>
      </c>
      <c r="AC480" s="12">
        <v>-1.0016004955874864</v>
      </c>
      <c r="AD480" s="12">
        <v>6.8077364097661941E-4</v>
      </c>
      <c r="AE480" s="12">
        <v>-0.56174840893422073</v>
      </c>
      <c r="AF480" s="12">
        <v>-0.32874619205021638</v>
      </c>
      <c r="AG480" s="12">
        <v>1.0007999278514594</v>
      </c>
      <c r="AH480" s="12">
        <v>-6.27654148102995</v>
      </c>
    </row>
    <row r="481" spans="24:34" x14ac:dyDescent="0.25">
      <c r="X481">
        <v>73</v>
      </c>
      <c r="Y481" s="12">
        <v>76.414621304696297</v>
      </c>
      <c r="Z481" s="12">
        <v>-3.414621304696297</v>
      </c>
      <c r="AA481" s="12">
        <v>-3.4194431389615687</v>
      </c>
      <c r="AB481" s="12">
        <v>1.4101226630521449E-3</v>
      </c>
      <c r="AC481" s="12">
        <v>-0.54565432978057737</v>
      </c>
      <c r="AD481" s="12">
        <v>2.1022044394171288E-4</v>
      </c>
      <c r="AE481" s="12">
        <v>-0.55287102664223609</v>
      </c>
      <c r="AF481" s="12">
        <v>-0.32874619205021638</v>
      </c>
      <c r="AG481" s="12">
        <v>0.73868418812140368</v>
      </c>
      <c r="AH481" s="12">
        <v>-3.4194431389615652</v>
      </c>
    </row>
    <row r="482" spans="24:34" x14ac:dyDescent="0.25">
      <c r="X482">
        <v>68.900000000000006</v>
      </c>
      <c r="Y482" s="12">
        <v>66.797736242055748</v>
      </c>
      <c r="Z482" s="12">
        <v>2.1022637579442573</v>
      </c>
      <c r="AA482" s="12">
        <v>2.1037491968880744</v>
      </c>
      <c r="AB482" s="12">
        <v>7.0609127077183231E-4</v>
      </c>
      <c r="AC482" s="12">
        <v>0.33582206122839892</v>
      </c>
      <c r="AD482" s="12">
        <v>3.9843368905225545E-5</v>
      </c>
      <c r="AE482" s="12">
        <v>-0.55287102664223609</v>
      </c>
      <c r="AF482" s="12">
        <v>-0.32762196893777162</v>
      </c>
      <c r="AG482" s="12">
        <v>0.5795015627488842</v>
      </c>
      <c r="AH482" s="12">
        <v>2.103749196888073</v>
      </c>
    </row>
    <row r="483" spans="24:34" x14ac:dyDescent="0.25">
      <c r="X483">
        <v>69</v>
      </c>
      <c r="Y483" s="12">
        <v>66.847053601351334</v>
      </c>
      <c r="Z483" s="12">
        <v>2.1529463986486661</v>
      </c>
      <c r="AA483" s="12">
        <v>2.1544592706938346</v>
      </c>
      <c r="AB483" s="12">
        <v>7.0220498746271023E-4</v>
      </c>
      <c r="AC483" s="12">
        <v>0.3439175929675205</v>
      </c>
      <c r="AD483" s="12">
        <v>4.1557342735388798E-5</v>
      </c>
      <c r="AE483" s="12">
        <v>-0.55287102664223609</v>
      </c>
      <c r="AF483" s="12">
        <v>-0.32371751542816551</v>
      </c>
      <c r="AG483" s="12">
        <v>0.58644487632472375</v>
      </c>
      <c r="AH483" s="12">
        <v>2.1544592706938328</v>
      </c>
    </row>
    <row r="484" spans="24:34" x14ac:dyDescent="0.25">
      <c r="X484">
        <v>57.9</v>
      </c>
      <c r="Y484" s="12">
        <v>76.020082430331556</v>
      </c>
      <c r="Z484" s="12">
        <v>-18.120082430331557</v>
      </c>
      <c r="AA484" s="12">
        <v>-18.144094864614793</v>
      </c>
      <c r="AB484" s="12">
        <v>1.3234297143181366E-3</v>
      </c>
      <c r="AC484" s="12">
        <v>-2.8954520560083385</v>
      </c>
      <c r="AD484" s="12">
        <v>5.5549324338948717E-3</v>
      </c>
      <c r="AE484" s="12">
        <v>-0.55287102664223609</v>
      </c>
      <c r="AF484" s="12">
        <v>-0.32064855425654754</v>
      </c>
      <c r="AG484" s="12">
        <v>1.70160279031516</v>
      </c>
      <c r="AH484" s="12">
        <v>-18.144094864614793</v>
      </c>
    </row>
    <row r="485" spans="24:34" x14ac:dyDescent="0.25">
      <c r="X485">
        <v>62.9</v>
      </c>
      <c r="Y485" s="12">
        <v>63.49347316925104</v>
      </c>
      <c r="Z485" s="12">
        <v>-0.5934731692510411</v>
      </c>
      <c r="AA485" s="12">
        <v>-0.59415200502283483</v>
      </c>
      <c r="AB485" s="12">
        <v>1.1425287906992399E-3</v>
      </c>
      <c r="AC485" s="12">
        <v>-9.4823933733695909E-2</v>
      </c>
      <c r="AD485" s="12">
        <v>5.1424439932199981E-6</v>
      </c>
      <c r="AE485" s="12">
        <v>-0.55287102664223609</v>
      </c>
      <c r="AF485" s="12">
        <v>-0.3187341524528699</v>
      </c>
      <c r="AG485" s="12">
        <v>0.30793495049067737</v>
      </c>
      <c r="AH485" s="12">
        <v>-0.59415200502283139</v>
      </c>
    </row>
    <row r="486" spans="24:34" x14ac:dyDescent="0.25">
      <c r="X486">
        <v>62.1</v>
      </c>
      <c r="Y486" s="12">
        <v>62.901664857703928</v>
      </c>
      <c r="Z486" s="12">
        <v>-0.80166485770392626</v>
      </c>
      <c r="AA486" s="12">
        <v>-0.80267408396363749</v>
      </c>
      <c r="AB486" s="12">
        <v>1.2573300669261357E-3</v>
      </c>
      <c r="AC486" s="12">
        <v>-0.12809573890645962</v>
      </c>
      <c r="AD486" s="12">
        <v>1.0328447990692423E-5</v>
      </c>
      <c r="AE486" s="12">
        <v>-0.55287102664223609</v>
      </c>
      <c r="AF486" s="12">
        <v>-0.31824753217350399</v>
      </c>
      <c r="AG486" s="12">
        <v>0.3579046505795358</v>
      </c>
      <c r="AH486" s="12">
        <v>-0.80267408396363615</v>
      </c>
    </row>
    <row r="487" spans="24:34" x14ac:dyDescent="0.25">
      <c r="X487">
        <v>61.4</v>
      </c>
      <c r="Y487" s="12">
        <v>62.260539186861223</v>
      </c>
      <c r="Z487" s="12">
        <v>-0.86053918686122444</v>
      </c>
      <c r="AA487" s="12">
        <v>-0.86174067484827077</v>
      </c>
      <c r="AB487" s="12">
        <v>1.3942570219928952E-3</v>
      </c>
      <c r="AC487" s="12">
        <v>-0.1375125266407887</v>
      </c>
      <c r="AD487" s="12">
        <v>1.3200892944673626E-5</v>
      </c>
      <c r="AE487" s="12">
        <v>-0.55287102664223609</v>
      </c>
      <c r="AF487" s="12">
        <v>-0.31775798237342578</v>
      </c>
      <c r="AG487" s="12">
        <v>0.37082681488909169</v>
      </c>
      <c r="AH487" s="12">
        <v>-0.86174067484826855</v>
      </c>
    </row>
    <row r="488" spans="24:34" x14ac:dyDescent="0.25">
      <c r="X488">
        <v>67</v>
      </c>
      <c r="Y488" s="12">
        <v>61.718048234609711</v>
      </c>
      <c r="Z488" s="12">
        <v>5.2819517653902892</v>
      </c>
      <c r="AA488" s="12">
        <v>5.2899942493812233</v>
      </c>
      <c r="AB488" s="12">
        <v>1.520319987470097E-3</v>
      </c>
      <c r="AC488" s="12">
        <v>0.84409913476180631</v>
      </c>
      <c r="AD488" s="12">
        <v>5.4244122578195298E-4</v>
      </c>
      <c r="AE488" s="12">
        <v>-0.54051528578164909</v>
      </c>
      <c r="AF488" s="12">
        <v>-0.31213098888288698</v>
      </c>
      <c r="AG488" s="12">
        <v>0.91874867878098543</v>
      </c>
      <c r="AH488" s="12">
        <v>5.2899942493812251</v>
      </c>
    </row>
    <row r="489" spans="24:34" x14ac:dyDescent="0.25">
      <c r="X489">
        <v>62</v>
      </c>
      <c r="Y489" s="12">
        <v>61.372826719540555</v>
      </c>
      <c r="Z489" s="12">
        <v>0.62717328045944498</v>
      </c>
      <c r="AA489" s="12">
        <v>0.62818177029916455</v>
      </c>
      <c r="AB489" s="12">
        <v>1.6054108657717699E-3</v>
      </c>
      <c r="AC489" s="12">
        <v>0.10023169578916899</v>
      </c>
      <c r="AD489" s="12">
        <v>8.0772614374713547E-6</v>
      </c>
      <c r="AE489" s="12">
        <v>-0.54051528578164909</v>
      </c>
      <c r="AF489" s="12">
        <v>-0.31151908543733442</v>
      </c>
      <c r="AG489" s="12">
        <v>0.31659389727088705</v>
      </c>
      <c r="AH489" s="12">
        <v>0.628181770299163</v>
      </c>
    </row>
    <row r="490" spans="24:34" x14ac:dyDescent="0.25">
      <c r="X490">
        <v>59.7</v>
      </c>
      <c r="Y490" s="12">
        <v>61.027605204471413</v>
      </c>
      <c r="Z490" s="12">
        <v>-1.3276052044714106</v>
      </c>
      <c r="AA490" s="12">
        <v>-1.3298583685272973</v>
      </c>
      <c r="AB490" s="12">
        <v>1.6942887372132993E-3</v>
      </c>
      <c r="AC490" s="12">
        <v>-0.21218066591592155</v>
      </c>
      <c r="AD490" s="12">
        <v>3.8203705509588243E-5</v>
      </c>
      <c r="AE490" s="12">
        <v>-0.54051528578164909</v>
      </c>
      <c r="AF490" s="12">
        <v>-0.30861849504168454</v>
      </c>
      <c r="AG490" s="12">
        <v>0.46063072619607298</v>
      </c>
      <c r="AH490" s="12">
        <v>-1.3298583685272953</v>
      </c>
    </row>
    <row r="491" spans="24:34" x14ac:dyDescent="0.25">
      <c r="X491">
        <v>59.4</v>
      </c>
      <c r="Y491" s="12">
        <v>75.92144771174037</v>
      </c>
      <c r="Z491" s="12">
        <v>-16.521447711740372</v>
      </c>
      <c r="AA491" s="12">
        <v>-16.542995448565783</v>
      </c>
      <c r="AB491" s="12">
        <v>1.3025293328774625E-3</v>
      </c>
      <c r="AC491" s="12">
        <v>-2.6399747003418512</v>
      </c>
      <c r="AD491" s="12">
        <v>4.5448870709891313E-3</v>
      </c>
      <c r="AE491" s="12">
        <v>-0.54051528578164909</v>
      </c>
      <c r="AF491" s="12">
        <v>-0.30618328992364463</v>
      </c>
      <c r="AG491" s="12">
        <v>1.6247998954769327</v>
      </c>
      <c r="AH491" s="12">
        <v>-16.542995448565787</v>
      </c>
    </row>
    <row r="492" spans="24:34" x14ac:dyDescent="0.25">
      <c r="X492">
        <v>59.1</v>
      </c>
      <c r="Y492" s="12">
        <v>60.731701048697857</v>
      </c>
      <c r="Z492" s="12">
        <v>-1.631701048697856</v>
      </c>
      <c r="AA492" s="12">
        <v>-1.6345999854669131</v>
      </c>
      <c r="AB492" s="12">
        <v>1.7734839072744968E-3</v>
      </c>
      <c r="AC492" s="12">
        <v>-0.26079225006099244</v>
      </c>
      <c r="AD492" s="12">
        <v>6.0416771921970719E-5</v>
      </c>
      <c r="AE492" s="12">
        <v>-0.53349185558387491</v>
      </c>
      <c r="AF492" s="12">
        <v>-0.30556530691658124</v>
      </c>
      <c r="AG492" s="12">
        <v>0.51067822555988462</v>
      </c>
      <c r="AH492" s="12">
        <v>-1.6345999854669127</v>
      </c>
    </row>
    <row r="493" spans="24:34" x14ac:dyDescent="0.25">
      <c r="X493">
        <v>58.8</v>
      </c>
      <c r="Y493" s="12">
        <v>60.682383689402258</v>
      </c>
      <c r="Z493" s="12">
        <v>-1.8823836894022605</v>
      </c>
      <c r="AA493" s="12">
        <v>-1.8857534433098806</v>
      </c>
      <c r="AB493" s="12">
        <v>1.7869536017946863E-3</v>
      </c>
      <c r="AC493" s="12">
        <v>-0.30086049791269542</v>
      </c>
      <c r="AD493" s="12">
        <v>8.1019652975635996E-5</v>
      </c>
      <c r="AE493" s="12">
        <v>-0.53349185558387491</v>
      </c>
      <c r="AF493" s="12">
        <v>-0.30466750255851327</v>
      </c>
      <c r="AG493" s="12">
        <v>0.54850751855621394</v>
      </c>
      <c r="AH493" s="12">
        <v>-1.8857534433098799</v>
      </c>
    </row>
    <row r="494" spans="24:34" x14ac:dyDescent="0.25">
      <c r="X494">
        <v>58.5</v>
      </c>
      <c r="Y494" s="12">
        <v>60.682383689402258</v>
      </c>
      <c r="Z494" s="12">
        <v>-2.1823836894022577</v>
      </c>
      <c r="AA494" s="12">
        <v>-2.1862904890662662</v>
      </c>
      <c r="AB494" s="12">
        <v>1.7869536017946863E-3</v>
      </c>
      <c r="AC494" s="12">
        <v>-0.34880935652316752</v>
      </c>
      <c r="AD494" s="12">
        <v>1.0890210911998179E-4</v>
      </c>
      <c r="AE494" s="12">
        <v>-0.53349185558387491</v>
      </c>
      <c r="AF494" s="12">
        <v>-0.30381759926287161</v>
      </c>
      <c r="AG494" s="12">
        <v>0.5906008436526039</v>
      </c>
      <c r="AH494" s="12">
        <v>-2.186290489066264</v>
      </c>
    </row>
    <row r="495" spans="24:34" x14ac:dyDescent="0.25">
      <c r="X495">
        <v>77.3</v>
      </c>
      <c r="Y495" s="12">
        <v>71.58152009372823</v>
      </c>
      <c r="Z495" s="12">
        <v>5.7184799062717673</v>
      </c>
      <c r="AA495" s="12">
        <v>5.722422446031743</v>
      </c>
      <c r="AB495" s="12">
        <v>6.8896342364768845E-4</v>
      </c>
      <c r="AC495" s="12">
        <v>0.91347969276621788</v>
      </c>
      <c r="AD495" s="12">
        <v>2.8764927321186568E-4</v>
      </c>
      <c r="AE495" s="12">
        <v>-0.53349185558387491</v>
      </c>
      <c r="AF495" s="12">
        <v>-0.30145524897740011</v>
      </c>
      <c r="AG495" s="12">
        <v>0.95576131579292212</v>
      </c>
      <c r="AH495" s="12">
        <v>5.7224224460317439</v>
      </c>
    </row>
    <row r="496" spans="24:34" x14ac:dyDescent="0.25">
      <c r="X496">
        <v>76.900000000000006</v>
      </c>
      <c r="Y496" s="12">
        <v>71.334933297250259</v>
      </c>
      <c r="Z496" s="12">
        <v>5.5650667027497462</v>
      </c>
      <c r="AA496" s="12">
        <v>5.5688093358943433</v>
      </c>
      <c r="AB496" s="12">
        <v>6.72070620280384E-4</v>
      </c>
      <c r="AC496" s="12">
        <v>0.88896569336505971</v>
      </c>
      <c r="AD496" s="12">
        <v>2.6573385744721987E-4</v>
      </c>
      <c r="AE496" s="12">
        <v>-0.53349185558387491</v>
      </c>
      <c r="AF496" s="12">
        <v>-0.30086049791269542</v>
      </c>
      <c r="AG496" s="12">
        <v>0.94284977242668921</v>
      </c>
      <c r="AH496" s="12">
        <v>5.5688093358943442</v>
      </c>
    </row>
    <row r="497" spans="24:34" x14ac:dyDescent="0.25">
      <c r="X497">
        <v>76.3</v>
      </c>
      <c r="Y497" s="12">
        <v>70.940394422885518</v>
      </c>
      <c r="Z497" s="12">
        <v>5.359605577114479</v>
      </c>
      <c r="AA497" s="12">
        <v>5.3630865473502354</v>
      </c>
      <c r="AB497" s="12">
        <v>6.4906098475540235E-4</v>
      </c>
      <c r="AC497" s="12">
        <v>0.85613540534641319</v>
      </c>
      <c r="AD497" s="12">
        <v>2.3802490418804153E-4</v>
      </c>
      <c r="AE497" s="12">
        <v>-0.53349185558387491</v>
      </c>
      <c r="AF497" s="12">
        <v>-0.30052226035981566</v>
      </c>
      <c r="AG497" s="12">
        <v>0.92527585364928511</v>
      </c>
      <c r="AH497" s="12">
        <v>5.36308654735023</v>
      </c>
    </row>
    <row r="498" spans="24:34" x14ac:dyDescent="0.25">
      <c r="X498">
        <v>76.099999999999994</v>
      </c>
      <c r="Y498" s="12">
        <v>70.792442344998747</v>
      </c>
      <c r="Z498" s="12">
        <v>5.3075576550012471</v>
      </c>
      <c r="AA498" s="12">
        <v>5.3109657419931153</v>
      </c>
      <c r="AB498" s="12">
        <v>6.4170758340920055E-4</v>
      </c>
      <c r="AC498" s="12">
        <v>0.84781822866300349</v>
      </c>
      <c r="AD498" s="12">
        <v>2.3077643246750671E-4</v>
      </c>
      <c r="AE498" s="12">
        <v>-0.53349185558387491</v>
      </c>
      <c r="AF498" s="12">
        <v>-0.29790113636933752</v>
      </c>
      <c r="AG498" s="12">
        <v>0.92077045383906808</v>
      </c>
      <c r="AH498" s="12">
        <v>5.3109657419931109</v>
      </c>
    </row>
    <row r="499" spans="24:34" x14ac:dyDescent="0.25">
      <c r="X499">
        <v>75.599999999999994</v>
      </c>
      <c r="Y499" s="12">
        <v>70.841759704294333</v>
      </c>
      <c r="Z499" s="12">
        <v>4.7582402957056615</v>
      </c>
      <c r="AA499" s="12">
        <v>4.7613069651121123</v>
      </c>
      <c r="AB499" s="12">
        <v>6.440814316169849E-4</v>
      </c>
      <c r="AC499" s="12">
        <v>0.76007231810992781</v>
      </c>
      <c r="AD499" s="12">
        <v>1.8616602506652053E-4</v>
      </c>
      <c r="AE499" s="12">
        <v>-0.52126361871264315</v>
      </c>
      <c r="AF499" s="12">
        <v>-0.29680879661788373</v>
      </c>
      <c r="AG499" s="12">
        <v>0.87182126500213786</v>
      </c>
      <c r="AH499" s="12">
        <v>4.7613069651121185</v>
      </c>
    </row>
    <row r="500" spans="24:34" x14ac:dyDescent="0.25">
      <c r="X500">
        <v>74.900000000000006</v>
      </c>
      <c r="Y500" s="12">
        <v>69.904729877678079</v>
      </c>
      <c r="Z500" s="12">
        <v>4.9952701223219265</v>
      </c>
      <c r="AA500" s="12">
        <v>4.9983300707453679</v>
      </c>
      <c r="AB500" s="12">
        <v>6.1219414887143811E-4</v>
      </c>
      <c r="AC500" s="12">
        <v>0.79792228505910512</v>
      </c>
      <c r="AD500" s="12">
        <v>1.9500525816330559E-4</v>
      </c>
      <c r="AE500" s="12">
        <v>-0.52126361871264315</v>
      </c>
      <c r="AF500" s="12">
        <v>-0.29549729673778596</v>
      </c>
      <c r="AG500" s="12">
        <v>0.8932649579263171</v>
      </c>
      <c r="AH500" s="12">
        <v>4.9983300707453653</v>
      </c>
    </row>
    <row r="501" spans="24:34" x14ac:dyDescent="0.25">
      <c r="X501">
        <v>74.2</v>
      </c>
      <c r="Y501" s="12">
        <v>69.362238925426553</v>
      </c>
      <c r="Z501" s="12">
        <v>4.8377610745734501</v>
      </c>
      <c r="AA501" s="12">
        <v>4.8406968856416341</v>
      </c>
      <c r="AB501" s="12">
        <v>6.0648521019646758E-4</v>
      </c>
      <c r="AC501" s="12">
        <v>0.77276028147923514</v>
      </c>
      <c r="AD501" s="12">
        <v>1.811937761779491E-4</v>
      </c>
      <c r="AE501" s="12">
        <v>-0.52126361871264315</v>
      </c>
      <c r="AF501" s="12">
        <v>-0.29177025323163375</v>
      </c>
      <c r="AG501" s="12">
        <v>0.87906784805226224</v>
      </c>
      <c r="AH501" s="12">
        <v>4.8406968856416359</v>
      </c>
    </row>
    <row r="502" spans="24:34" x14ac:dyDescent="0.25">
      <c r="X502">
        <v>73</v>
      </c>
      <c r="Y502" s="12">
        <v>68.277257020923514</v>
      </c>
      <c r="Z502" s="12">
        <v>4.7227429790764859</v>
      </c>
      <c r="AA502" s="12">
        <v>4.7256876590045067</v>
      </c>
      <c r="AB502" s="12">
        <v>6.2312199631118278E-4</v>
      </c>
      <c r="AC502" s="12">
        <v>0.75439413290283586</v>
      </c>
      <c r="AD502" s="12">
        <v>1.7742319415291942E-4</v>
      </c>
      <c r="AE502" s="12">
        <v>-0.52126361871264315</v>
      </c>
      <c r="AF502" s="12">
        <v>-0.29002972721922066</v>
      </c>
      <c r="AG502" s="12">
        <v>0.8685586525404233</v>
      </c>
      <c r="AH502" s="12">
        <v>4.7256876590045076</v>
      </c>
    </row>
    <row r="503" spans="24:34" x14ac:dyDescent="0.25">
      <c r="X503">
        <v>73</v>
      </c>
      <c r="Y503" s="12">
        <v>68.326574380219114</v>
      </c>
      <c r="Z503" s="12">
        <v>4.6734256197808861</v>
      </c>
      <c r="AA503" s="12">
        <v>4.6763322140843258</v>
      </c>
      <c r="AB503" s="12">
        <v>6.2155428023054436E-4</v>
      </c>
      <c r="AC503" s="12">
        <v>0.74651576815563458</v>
      </c>
      <c r="AD503" s="12">
        <v>1.7329939968089818E-4</v>
      </c>
      <c r="AE503" s="12">
        <v>-0.52126361871264315</v>
      </c>
      <c r="AF503" s="12">
        <v>-0.28695670260094563</v>
      </c>
      <c r="AG503" s="12">
        <v>0.8640114398291463</v>
      </c>
      <c r="AH503" s="12">
        <v>4.6763322140843302</v>
      </c>
    </row>
    <row r="504" spans="24:34" x14ac:dyDescent="0.25">
      <c r="X504">
        <v>72.8</v>
      </c>
      <c r="Y504" s="12">
        <v>68.277257020923514</v>
      </c>
      <c r="Z504" s="12">
        <v>4.522742979076483</v>
      </c>
      <c r="AA504" s="12">
        <v>4.5255629569006146</v>
      </c>
      <c r="AB504" s="12">
        <v>6.2312199631118278E-4</v>
      </c>
      <c r="AC504" s="12">
        <v>0.72244684564858153</v>
      </c>
      <c r="AD504" s="12">
        <v>1.6271424961286079E-4</v>
      </c>
      <c r="AE504" s="12">
        <v>-0.52126361871264315</v>
      </c>
      <c r="AF504" s="12">
        <v>-0.28677826626595154</v>
      </c>
      <c r="AG504" s="12">
        <v>0.84996873215935509</v>
      </c>
      <c r="AH504" s="12">
        <v>4.525562956900619</v>
      </c>
    </row>
    <row r="505" spans="24:34" x14ac:dyDescent="0.25">
      <c r="X505">
        <v>72.3</v>
      </c>
      <c r="Y505" s="12">
        <v>67.981352865149972</v>
      </c>
      <c r="Z505" s="12">
        <v>4.3186471348500248</v>
      </c>
      <c r="AA505" s="12">
        <v>4.3213875483377677</v>
      </c>
      <c r="AB505" s="12">
        <v>6.3415128985495114E-4</v>
      </c>
      <c r="AC505" s="12">
        <v>0.68984910949074341</v>
      </c>
      <c r="AD505" s="12">
        <v>1.5098944760844795E-4</v>
      </c>
      <c r="AE505" s="12">
        <v>-0.52126361871264315</v>
      </c>
      <c r="AF505" s="12">
        <v>-0.28651844238208157</v>
      </c>
      <c r="AG505" s="12">
        <v>0.83057155591239906</v>
      </c>
      <c r="AH505" s="12">
        <v>4.3213875483377668</v>
      </c>
    </row>
    <row r="506" spans="24:34" x14ac:dyDescent="0.25">
      <c r="X506">
        <v>64.2</v>
      </c>
      <c r="Y506" s="12">
        <v>66.057975852621851</v>
      </c>
      <c r="Z506" s="12">
        <v>-1.8579758526218484</v>
      </c>
      <c r="AA506" s="12">
        <v>-1.8594144067800613</v>
      </c>
      <c r="AB506" s="12">
        <v>7.7365978932260207E-4</v>
      </c>
      <c r="AC506" s="12">
        <v>-0.29680879661788373</v>
      </c>
      <c r="AD506" s="12">
        <v>3.4104343347886408E-5</v>
      </c>
      <c r="AE506" s="12">
        <v>-0.52126361871264315</v>
      </c>
      <c r="AF506" s="12">
        <v>-0.27982466288926972</v>
      </c>
      <c r="AG506" s="12">
        <v>0.54480161216527589</v>
      </c>
      <c r="AH506" s="12">
        <v>-1.8594144067800613</v>
      </c>
    </row>
    <row r="507" spans="24:34" x14ac:dyDescent="0.25">
      <c r="X507">
        <v>63.7</v>
      </c>
      <c r="Y507" s="12">
        <v>65.91002377473508</v>
      </c>
      <c r="Z507" s="12">
        <v>-2.2100237747350775</v>
      </c>
      <c r="AA507" s="12">
        <v>-2.2117694363305702</v>
      </c>
      <c r="AB507" s="12">
        <v>7.8926020353839129E-4</v>
      </c>
      <c r="AC507" s="12">
        <v>-0.35305066895935888</v>
      </c>
      <c r="AD507" s="12">
        <v>4.9227433439235995E-5</v>
      </c>
      <c r="AE507" s="12">
        <v>-0.50738317096904828</v>
      </c>
      <c r="AF507" s="12">
        <v>-0.27623372290357795</v>
      </c>
      <c r="AG507" s="12">
        <v>0.59418067030101107</v>
      </c>
      <c r="AH507" s="12">
        <v>-2.211769436330576</v>
      </c>
    </row>
    <row r="508" spans="24:34" x14ac:dyDescent="0.25">
      <c r="X508">
        <v>63.3</v>
      </c>
      <c r="Y508" s="12">
        <v>65.71275433755271</v>
      </c>
      <c r="Z508" s="12">
        <v>-2.4127543375527125</v>
      </c>
      <c r="AA508" s="12">
        <v>-2.4147130145171047</v>
      </c>
      <c r="AB508" s="12">
        <v>8.1114275386606999E-4</v>
      </c>
      <c r="AC508" s="12">
        <v>-0.38544103923554146</v>
      </c>
      <c r="AD508" s="12">
        <v>6.0302542331444476E-5</v>
      </c>
      <c r="AE508" s="12">
        <v>-0.50738317096904828</v>
      </c>
      <c r="AF508" s="12">
        <v>-0.2732811854130352</v>
      </c>
      <c r="AG508" s="12">
        <v>0.62083898011927496</v>
      </c>
      <c r="AH508" s="12">
        <v>-2.4147130145171043</v>
      </c>
    </row>
    <row r="509" spans="24:34" x14ac:dyDescent="0.25">
      <c r="X509">
        <v>62.6</v>
      </c>
      <c r="Y509" s="12">
        <v>65.318215463187968</v>
      </c>
      <c r="Z509" s="12">
        <v>-2.7182154631879669</v>
      </c>
      <c r="AA509" s="12">
        <v>-2.7205513763782889</v>
      </c>
      <c r="AB509" s="12">
        <v>8.5861756208700118E-4</v>
      </c>
      <c r="AC509" s="12">
        <v>-0.4342492178854403</v>
      </c>
      <c r="AD509" s="12">
        <v>8.1025349772995782E-5</v>
      </c>
      <c r="AE509" s="12">
        <v>-0.50738317096904828</v>
      </c>
      <c r="AF509" s="12">
        <v>-0.27295627687755103</v>
      </c>
      <c r="AG509" s="12">
        <v>0.65897588566307974</v>
      </c>
      <c r="AH509" s="12">
        <v>-2.7205513763782854</v>
      </c>
    </row>
    <row r="510" spans="24:34" x14ac:dyDescent="0.25">
      <c r="X510">
        <v>61.8</v>
      </c>
      <c r="Y510" s="12">
        <v>64.726407151640856</v>
      </c>
      <c r="Z510" s="12">
        <v>-2.9264071516408592</v>
      </c>
      <c r="AA510" s="12">
        <v>-2.9291579357018378</v>
      </c>
      <c r="AB510" s="12">
        <v>9.3910404333233475E-4</v>
      </c>
      <c r="AC510" s="12">
        <v>-0.46752776657117129</v>
      </c>
      <c r="AD510" s="12">
        <v>1.0273219600734597E-4</v>
      </c>
      <c r="AE510" s="12">
        <v>-0.50738317096904828</v>
      </c>
      <c r="AF510" s="12">
        <v>-0.2711155056293979</v>
      </c>
      <c r="AG510" s="12">
        <v>0.68376002118518986</v>
      </c>
      <c r="AH510" s="12">
        <v>-2.9291579357018356</v>
      </c>
    </row>
    <row r="511" spans="24:34" x14ac:dyDescent="0.25">
      <c r="X511">
        <v>68</v>
      </c>
      <c r="Y511" s="12">
        <v>64.085281480798159</v>
      </c>
      <c r="Z511" s="12">
        <v>3.9147185192018412</v>
      </c>
      <c r="AA511" s="12">
        <v>3.9187895797664538</v>
      </c>
      <c r="AB511" s="12">
        <v>1.038856637169067E-3</v>
      </c>
      <c r="AC511" s="12">
        <v>0.62545329115776294</v>
      </c>
      <c r="AD511" s="12">
        <v>2.0340742015387151E-4</v>
      </c>
      <c r="AE511" s="12">
        <v>-0.50738317096904828</v>
      </c>
      <c r="AF511" s="12">
        <v>-0.27057969239537133</v>
      </c>
      <c r="AG511" s="12">
        <v>0.7908560495803032</v>
      </c>
      <c r="AH511" s="12">
        <v>3.9187895797664507</v>
      </c>
    </row>
    <row r="512" spans="24:34" x14ac:dyDescent="0.25">
      <c r="X512">
        <v>59.8</v>
      </c>
      <c r="Y512" s="12">
        <v>63.345521091364262</v>
      </c>
      <c r="Z512" s="12">
        <v>-3.5455210913642645</v>
      </c>
      <c r="AA512" s="12">
        <v>-3.5496748703306409</v>
      </c>
      <c r="AB512" s="12">
        <v>1.1701857545031464E-3</v>
      </c>
      <c r="AC512" s="12">
        <v>-0.56650397859925816</v>
      </c>
      <c r="AD512" s="12">
        <v>1.879919455866461E-4</v>
      </c>
      <c r="AE512" s="12">
        <v>-0.50738317096904828</v>
      </c>
      <c r="AF512" s="12">
        <v>-0.26793567451673944</v>
      </c>
      <c r="AG512" s="12">
        <v>0.75266458572146078</v>
      </c>
      <c r="AH512" s="12">
        <v>-3.5496748703306431</v>
      </c>
    </row>
    <row r="513" spans="24:34" x14ac:dyDescent="0.25">
      <c r="X513">
        <v>58.5</v>
      </c>
      <c r="Y513" s="12">
        <v>75.674860915262414</v>
      </c>
      <c r="Z513" s="12">
        <v>-17.174860915262414</v>
      </c>
      <c r="AA513" s="12">
        <v>-17.196384440998528</v>
      </c>
      <c r="AB513" s="12">
        <v>1.2516308768257263E-3</v>
      </c>
      <c r="AC513" s="12">
        <v>-2.7443141624135095</v>
      </c>
      <c r="AD513" s="12">
        <v>4.7190854707324552E-3</v>
      </c>
      <c r="AE513" s="12">
        <v>-0.50738317096904828</v>
      </c>
      <c r="AF513" s="12">
        <v>-0.26460738508104797</v>
      </c>
      <c r="AG513" s="12">
        <v>1.6565971635897212</v>
      </c>
      <c r="AH513" s="12">
        <v>-17.196384440998532</v>
      </c>
    </row>
    <row r="514" spans="24:34" x14ac:dyDescent="0.25">
      <c r="X514">
        <v>69.7</v>
      </c>
      <c r="Y514" s="12">
        <v>76.661208101174267</v>
      </c>
      <c r="Z514" s="12">
        <v>-6.9612081011742646</v>
      </c>
      <c r="AA514" s="12">
        <v>-6.9714339227113555</v>
      </c>
      <c r="AB514" s="12">
        <v>1.4668175371750909E-3</v>
      </c>
      <c r="AC514" s="12">
        <v>-1.1124282413424851</v>
      </c>
      <c r="AD514" s="12">
        <v>9.0892407754689943E-4</v>
      </c>
      <c r="AE514" s="12">
        <v>-0.50738317096904828</v>
      </c>
      <c r="AF514" s="12">
        <v>-0.26314227165126108</v>
      </c>
      <c r="AG514" s="12">
        <v>1.0547171380718554</v>
      </c>
      <c r="AH514" s="12">
        <v>-6.9714339227113546</v>
      </c>
    </row>
    <row r="515" spans="24:34" x14ac:dyDescent="0.25">
      <c r="X515">
        <v>69.599999999999994</v>
      </c>
      <c r="Y515" s="12">
        <v>68.129304943036743</v>
      </c>
      <c r="Z515" s="12">
        <v>1.4706950569632511</v>
      </c>
      <c r="AA515" s="12">
        <v>1.471619659198339</v>
      </c>
      <c r="AB515" s="12">
        <v>6.2828885799879448E-4</v>
      </c>
      <c r="AC515" s="12">
        <v>0.23492419453069127</v>
      </c>
      <c r="AD515" s="12">
        <v>1.7348335145430316E-5</v>
      </c>
      <c r="AE515" s="12">
        <v>-0.50738317096904828</v>
      </c>
      <c r="AF515" s="12">
        <v>-0.26079225006099244</v>
      </c>
      <c r="AG515" s="12">
        <v>0.4846897920636366</v>
      </c>
      <c r="AH515" s="12">
        <v>1.4716196591983375</v>
      </c>
    </row>
    <row r="516" spans="24:34" x14ac:dyDescent="0.25">
      <c r="X516">
        <v>69.400000000000006</v>
      </c>
      <c r="Y516" s="12">
        <v>67.981352865149972</v>
      </c>
      <c r="Z516" s="12">
        <v>1.4186471348500334</v>
      </c>
      <c r="AA516" s="12">
        <v>1.4195473426283769</v>
      </c>
      <c r="AB516" s="12">
        <v>6.3415128985495114E-4</v>
      </c>
      <c r="AC516" s="12">
        <v>0.22661088810903188</v>
      </c>
      <c r="AD516" s="12">
        <v>1.6292957547006258E-5</v>
      </c>
      <c r="AE516" s="12">
        <v>-0.4918835074548818</v>
      </c>
      <c r="AF516" s="12">
        <v>-0.25829872698135492</v>
      </c>
      <c r="AG516" s="12">
        <v>0.47603664576273103</v>
      </c>
      <c r="AH516" s="12">
        <v>1.4195473426283713</v>
      </c>
    </row>
    <row r="517" spans="24:34" x14ac:dyDescent="0.25">
      <c r="X517">
        <v>69.2</v>
      </c>
      <c r="Y517" s="12">
        <v>67.882718146558773</v>
      </c>
      <c r="Z517" s="12">
        <v>1.3172818534412301</v>
      </c>
      <c r="AA517" s="12">
        <v>1.3181234040634848</v>
      </c>
      <c r="AB517" s="12">
        <v>6.384460056304697E-4</v>
      </c>
      <c r="AC517" s="12">
        <v>0.21041952208030321</v>
      </c>
      <c r="AD517" s="12">
        <v>1.4143067052929993E-5</v>
      </c>
      <c r="AE517" s="12">
        <v>-0.4918835074548818</v>
      </c>
      <c r="AF517" s="12">
        <v>-0.25763986752520551</v>
      </c>
      <c r="AG517" s="12">
        <v>0.45871507723237437</v>
      </c>
      <c r="AH517" s="12">
        <v>1.3181234040634824</v>
      </c>
    </row>
    <row r="518" spans="24:34" x14ac:dyDescent="0.25">
      <c r="X518">
        <v>69.099999999999994</v>
      </c>
      <c r="Y518" s="12">
        <v>77.499603209199336</v>
      </c>
      <c r="Z518" s="12">
        <v>-8.3996032091993413</v>
      </c>
      <c r="AA518" s="12">
        <v>-8.4136879964477203</v>
      </c>
      <c r="AB518" s="12">
        <v>1.6740325115839913E-3</v>
      </c>
      <c r="AC518" s="12">
        <v>-1.3424286944146775</v>
      </c>
      <c r="AD518" s="12">
        <v>1.5109287258681927E-3</v>
      </c>
      <c r="AE518" s="12">
        <v>-0.4918835074548818</v>
      </c>
      <c r="AF518" s="12">
        <v>-0.25611460813681047</v>
      </c>
      <c r="AG518" s="12">
        <v>1.1586322515857554</v>
      </c>
      <c r="AH518" s="12">
        <v>-8.4136879964477185</v>
      </c>
    </row>
    <row r="519" spans="24:34" x14ac:dyDescent="0.25">
      <c r="X519">
        <v>68.900000000000006</v>
      </c>
      <c r="Y519" s="12">
        <v>76.463938663991897</v>
      </c>
      <c r="Z519" s="12">
        <v>-7.5639386639918911</v>
      </c>
      <c r="AA519" s="12">
        <v>-7.5747046452325435</v>
      </c>
      <c r="AB519" s="12">
        <v>1.4213070667281685E-3</v>
      </c>
      <c r="AC519" s="12">
        <v>-1.2087193944416905</v>
      </c>
      <c r="AD519" s="12">
        <v>1.0397444379393185E-3</v>
      </c>
      <c r="AE519" s="12">
        <v>-0.4918835074548818</v>
      </c>
      <c r="AF519" s="12">
        <v>-0.25478917711867527</v>
      </c>
      <c r="AG519" s="12">
        <v>1.0994177524679554</v>
      </c>
      <c r="AH519" s="12">
        <v>-7.5747046452325391</v>
      </c>
    </row>
    <row r="520" spans="24:34" x14ac:dyDescent="0.25">
      <c r="X520">
        <v>68.7</v>
      </c>
      <c r="Y520" s="12">
        <v>76.315986586105112</v>
      </c>
      <c r="Z520" s="12">
        <v>-7.6159865861051088</v>
      </c>
      <c r="AA520" s="12">
        <v>-7.6265721592969697</v>
      </c>
      <c r="AB520" s="12">
        <v>1.3879857124229459E-3</v>
      </c>
      <c r="AC520" s="12">
        <v>-1.2170163611223521</v>
      </c>
      <c r="AD520" s="12">
        <v>1.0293215060009314E-3</v>
      </c>
      <c r="AE520" s="12">
        <v>-0.4918835074548818</v>
      </c>
      <c r="AF520" s="12">
        <v>-0.25194541560616057</v>
      </c>
      <c r="AG520" s="12">
        <v>1.1031846450718719</v>
      </c>
      <c r="AH520" s="12">
        <v>-7.626572159296976</v>
      </c>
    </row>
    <row r="521" spans="24:34" x14ac:dyDescent="0.25">
      <c r="X521">
        <v>68.599999999999994</v>
      </c>
      <c r="Y521" s="12">
        <v>76.168034508218341</v>
      </c>
      <c r="Z521" s="12">
        <v>-7.5680345082183464</v>
      </c>
      <c r="AA521" s="12">
        <v>-7.5783058402785599</v>
      </c>
      <c r="AB521" s="12">
        <v>1.3553599282862686E-3</v>
      </c>
      <c r="AC521" s="12">
        <v>-1.2093339792746807</v>
      </c>
      <c r="AD521" s="12">
        <v>9.9244439112743978E-4</v>
      </c>
      <c r="AE521" s="12">
        <v>-0.48332360885611292</v>
      </c>
      <c r="AF521" s="12">
        <v>-0.24826458178781602</v>
      </c>
      <c r="AG521" s="12">
        <v>1.0996972216363379</v>
      </c>
      <c r="AH521" s="12">
        <v>-7.5783058402785581</v>
      </c>
    </row>
    <row r="522" spans="24:34" x14ac:dyDescent="0.25">
      <c r="X522">
        <v>68.5</v>
      </c>
      <c r="Y522" s="12">
        <v>67.19227511642049</v>
      </c>
      <c r="Z522" s="12">
        <v>1.3077248835795103</v>
      </c>
      <c r="AA522" s="12">
        <v>1.3086110291675652</v>
      </c>
      <c r="AB522" s="12">
        <v>6.7716500037877261E-4</v>
      </c>
      <c r="AC522" s="12">
        <v>0.20889696083180087</v>
      </c>
      <c r="AD522" s="12">
        <v>1.4785054832848363E-5</v>
      </c>
      <c r="AE522" s="12">
        <v>-0.48332360885611292</v>
      </c>
      <c r="AF522" s="12">
        <v>-0.24780114723486452</v>
      </c>
      <c r="AG522" s="12">
        <v>0.45705247054556097</v>
      </c>
      <c r="AH522" s="12">
        <v>1.3086110291675721</v>
      </c>
    </row>
    <row r="523" spans="24:34" x14ac:dyDescent="0.25">
      <c r="X523">
        <v>68.3</v>
      </c>
      <c r="Y523" s="12">
        <v>67.044323038533705</v>
      </c>
      <c r="Z523" s="12">
        <v>1.2556769614662926</v>
      </c>
      <c r="AA523" s="12">
        <v>1.2565407486783471</v>
      </c>
      <c r="AB523" s="12">
        <v>6.8743270996904934E-4</v>
      </c>
      <c r="AC523" s="12">
        <v>0.20058381690214511</v>
      </c>
      <c r="AD523" s="12">
        <v>1.3838551392330227E-5</v>
      </c>
      <c r="AE523" s="12">
        <v>-0.48332360885611292</v>
      </c>
      <c r="AF523" s="12">
        <v>-0.24650280861414395</v>
      </c>
      <c r="AG523" s="12">
        <v>0.44786584699231657</v>
      </c>
      <c r="AH523" s="12">
        <v>1.2565407486783431</v>
      </c>
    </row>
    <row r="524" spans="24:34" x14ac:dyDescent="0.25">
      <c r="X524">
        <v>68.099999999999994</v>
      </c>
      <c r="Y524" s="12">
        <v>66.847053601351334</v>
      </c>
      <c r="Z524" s="12">
        <v>1.2529463986486604</v>
      </c>
      <c r="AA524" s="12">
        <v>1.2538268421105982</v>
      </c>
      <c r="AB524" s="12">
        <v>7.0220498746271023E-4</v>
      </c>
      <c r="AC524" s="12">
        <v>0.20014911184553363</v>
      </c>
      <c r="AD524" s="12">
        <v>1.4074932459883525E-5</v>
      </c>
      <c r="AE524" s="12">
        <v>-0.48332360885611292</v>
      </c>
      <c r="AF524" s="12">
        <v>-0.24509288997568532</v>
      </c>
      <c r="AG524" s="12">
        <v>0.44738027654952967</v>
      </c>
      <c r="AH524" s="12">
        <v>1.2538268421106051</v>
      </c>
    </row>
    <row r="525" spans="24:34" x14ac:dyDescent="0.25">
      <c r="X525">
        <v>68</v>
      </c>
      <c r="Y525" s="12">
        <v>76.513256023287482</v>
      </c>
      <c r="Z525" s="12">
        <v>-8.5132560232874823</v>
      </c>
      <c r="AA525" s="12">
        <v>-8.525469344300177</v>
      </c>
      <c r="AB525" s="12">
        <v>1.4325687559784749E-3</v>
      </c>
      <c r="AC525" s="12">
        <v>-1.3604282302432664</v>
      </c>
      <c r="AD525" s="12">
        <v>1.3275758788100554E-3</v>
      </c>
      <c r="AE525" s="12">
        <v>-0.48332360885611292</v>
      </c>
      <c r="AF525" s="12">
        <v>-0.24472350054359665</v>
      </c>
      <c r="AG525" s="12">
        <v>1.1663739667204795</v>
      </c>
      <c r="AH525" s="12">
        <v>-8.5254693443001788</v>
      </c>
    </row>
    <row r="526" spans="24:34" x14ac:dyDescent="0.25">
      <c r="X526">
        <v>67.900000000000006</v>
      </c>
      <c r="Y526" s="12">
        <v>76.513256023287482</v>
      </c>
      <c r="Z526" s="12">
        <v>-8.6132560232874766</v>
      </c>
      <c r="AA526" s="12">
        <v>-8.6256128066955142</v>
      </c>
      <c r="AB526" s="12">
        <v>1.4325687559784749E-3</v>
      </c>
      <c r="AC526" s="12">
        <v>-1.3764083467406656</v>
      </c>
      <c r="AD526" s="12">
        <v>1.3589474946803812E-3</v>
      </c>
      <c r="AE526" s="12">
        <v>-0.47479897905845492</v>
      </c>
      <c r="AF526" s="12">
        <v>-0.24428635306393784</v>
      </c>
      <c r="AG526" s="12">
        <v>1.1732043073312788</v>
      </c>
      <c r="AH526" s="12">
        <v>-8.625612806695516</v>
      </c>
    </row>
    <row r="527" spans="24:34" x14ac:dyDescent="0.25">
      <c r="X527">
        <v>67.8</v>
      </c>
      <c r="Y527" s="12">
        <v>66.699101523464563</v>
      </c>
      <c r="Z527" s="12">
        <v>1.1008984765354342</v>
      </c>
      <c r="AA527" s="12">
        <v>1.101685185182447</v>
      </c>
      <c r="AB527" s="12">
        <v>7.1409569411292522E-4</v>
      </c>
      <c r="AC527" s="12">
        <v>0.17586160389831659</v>
      </c>
      <c r="AD527" s="12">
        <v>1.1050418266620699E-5</v>
      </c>
      <c r="AE527" s="12">
        <v>-0.47479897905845492</v>
      </c>
      <c r="AF527" s="12">
        <v>-0.24100650131459608</v>
      </c>
      <c r="AG527" s="12">
        <v>0.4193585624478372</v>
      </c>
      <c r="AH527" s="12">
        <v>1.101685185182441</v>
      </c>
    </row>
    <row r="528" spans="24:34" x14ac:dyDescent="0.25">
      <c r="X528">
        <v>67.7</v>
      </c>
      <c r="Y528" s="12">
        <v>66.699101523464563</v>
      </c>
      <c r="Z528" s="12">
        <v>1.0008984765354398</v>
      </c>
      <c r="AA528" s="12">
        <v>1.0016137245833363</v>
      </c>
      <c r="AB528" s="12">
        <v>7.1409569411292522E-4</v>
      </c>
      <c r="AC528" s="12">
        <v>0.15988723317779846</v>
      </c>
      <c r="AD528" s="12">
        <v>9.1340678151419053E-6</v>
      </c>
      <c r="AE528" s="12">
        <v>-0.47479897905845492</v>
      </c>
      <c r="AF528" s="12">
        <v>-0.23459440588350627</v>
      </c>
      <c r="AG528" s="12">
        <v>0.39985901662685869</v>
      </c>
      <c r="AH528" s="12">
        <v>1.0016137245833292</v>
      </c>
    </row>
    <row r="529" spans="24:34" x14ac:dyDescent="0.25">
      <c r="X529">
        <v>82.2</v>
      </c>
      <c r="Y529" s="12">
        <v>73.702166543438707</v>
      </c>
      <c r="Z529" s="12">
        <v>8.4978334565612954</v>
      </c>
      <c r="AA529" s="12">
        <v>8.5056075839791987</v>
      </c>
      <c r="AB529" s="12">
        <v>9.1400024526635615E-4</v>
      </c>
      <c r="AC529" s="12">
        <v>1.3576112196555163</v>
      </c>
      <c r="AD529" s="12">
        <v>8.4307125160364583E-4</v>
      </c>
      <c r="AE529" s="12">
        <v>-0.46970075330452549</v>
      </c>
      <c r="AF529" s="12">
        <v>-0.23350676126899303</v>
      </c>
      <c r="AG529" s="12">
        <v>1.1651657477181161</v>
      </c>
      <c r="AH529" s="12">
        <v>8.5056075839791916</v>
      </c>
    </row>
    <row r="530" spans="24:34" x14ac:dyDescent="0.25">
      <c r="X530">
        <v>82</v>
      </c>
      <c r="Y530" s="12">
        <v>73.603531824847522</v>
      </c>
      <c r="Z530" s="12">
        <v>8.3964681751524779</v>
      </c>
      <c r="AA530" s="12">
        <v>8.4040348715540176</v>
      </c>
      <c r="AB530" s="12">
        <v>9.0036470780826508E-4</v>
      </c>
      <c r="AC530" s="12">
        <v>1.3414079802032521</v>
      </c>
      <c r="AD530" s="12">
        <v>8.1077703436007646E-4</v>
      </c>
      <c r="AE530" s="12">
        <v>-0.46970075330452549</v>
      </c>
      <c r="AF530" s="12">
        <v>-0.2328165886167213</v>
      </c>
      <c r="AG530" s="12">
        <v>1.1581916854317562</v>
      </c>
      <c r="AH530" s="12">
        <v>8.4040348715540159</v>
      </c>
    </row>
    <row r="531" spans="24:34" x14ac:dyDescent="0.25">
      <c r="X531">
        <v>81.5</v>
      </c>
      <c r="Y531" s="12">
        <v>73.504897106256337</v>
      </c>
      <c r="Z531" s="12">
        <v>7.9951028937436632</v>
      </c>
      <c r="AA531" s="12">
        <v>8.0022011527516668</v>
      </c>
      <c r="AB531" s="12">
        <v>8.8703831264730533E-4</v>
      </c>
      <c r="AC531" s="12">
        <v>1.2772779073357581</v>
      </c>
      <c r="AD531" s="12">
        <v>7.2421679152533884E-4</v>
      </c>
      <c r="AE531" s="12">
        <v>-0.46970075330452549</v>
      </c>
      <c r="AF531" s="12">
        <v>-0.23264508782305127</v>
      </c>
      <c r="AG531" s="12">
        <v>1.1301672032649674</v>
      </c>
      <c r="AH531" s="12">
        <v>8.002201152751665</v>
      </c>
    </row>
    <row r="532" spans="24:34" x14ac:dyDescent="0.25">
      <c r="X532">
        <v>81.7</v>
      </c>
      <c r="Y532" s="12">
        <v>73.504897106256337</v>
      </c>
      <c r="Z532" s="12">
        <v>8.1951028937436661</v>
      </c>
      <c r="AA532" s="12">
        <v>8.2023787179213059</v>
      </c>
      <c r="AB532" s="12">
        <v>8.8703831264730533E-4</v>
      </c>
      <c r="AC532" s="12">
        <v>1.3092294137594034</v>
      </c>
      <c r="AD532" s="12">
        <v>7.6090300087470195E-4</v>
      </c>
      <c r="AE532" s="12">
        <v>-0.46970075330452549</v>
      </c>
      <c r="AF532" s="12">
        <v>-0.22853119192202143</v>
      </c>
      <c r="AG532" s="12">
        <v>1.1442156325445845</v>
      </c>
      <c r="AH532" s="12">
        <v>8.2023787179213059</v>
      </c>
    </row>
    <row r="533" spans="24:34" x14ac:dyDescent="0.25">
      <c r="X533">
        <v>81.3</v>
      </c>
      <c r="Y533" s="12">
        <v>73.356945028369552</v>
      </c>
      <c r="Z533" s="12">
        <v>7.9430549716304455</v>
      </c>
      <c r="AA533" s="12">
        <v>7.9499525759596281</v>
      </c>
      <c r="AB533" s="12">
        <v>8.6762836171298667E-4</v>
      </c>
      <c r="AC533" s="12">
        <v>1.2689505337394402</v>
      </c>
      <c r="AD533" s="12">
        <v>6.991495778009844E-4</v>
      </c>
      <c r="AE533" s="12">
        <v>-0.46970075330452549</v>
      </c>
      <c r="AF533" s="12">
        <v>-0.22605559182968829</v>
      </c>
      <c r="AG533" s="12">
        <v>1.1264770453672992</v>
      </c>
      <c r="AH533" s="12">
        <v>7.949952575959621</v>
      </c>
    </row>
    <row r="534" spans="24:34" x14ac:dyDescent="0.25">
      <c r="X534">
        <v>81.099999999999994</v>
      </c>
      <c r="Y534" s="12">
        <v>73.258310309778381</v>
      </c>
      <c r="Z534" s="12">
        <v>7.8416896902216138</v>
      </c>
      <c r="AA534" s="12">
        <v>7.8484006600212837</v>
      </c>
      <c r="AB534" s="12">
        <v>8.5507482229485487E-4</v>
      </c>
      <c r="AC534" s="12">
        <v>1.2527489538171797</v>
      </c>
      <c r="AD534" s="12">
        <v>6.7154285659461058E-4</v>
      </c>
      <c r="AE534" s="12">
        <v>-0.46123068213767926</v>
      </c>
      <c r="AF534" s="12">
        <v>-0.22519324047398548</v>
      </c>
      <c r="AG534" s="12">
        <v>1.1192626831165147</v>
      </c>
      <c r="AH534" s="12">
        <v>7.8484006600212801</v>
      </c>
    </row>
    <row r="535" spans="24:34" x14ac:dyDescent="0.25">
      <c r="X535">
        <v>89</v>
      </c>
      <c r="Y535" s="12">
        <v>73.258310309778381</v>
      </c>
      <c r="Z535" s="12">
        <v>15.741689690221619</v>
      </c>
      <c r="AA535" s="12">
        <v>15.75516153216897</v>
      </c>
      <c r="AB535" s="12">
        <v>8.5507482229485487E-4</v>
      </c>
      <c r="AC535" s="12">
        <v>2.5148132698148755</v>
      </c>
      <c r="AD535" s="12">
        <v>2.7061827593506255E-3</v>
      </c>
      <c r="AE535" s="12">
        <v>-0.46123068213767926</v>
      </c>
      <c r="AF535" s="12">
        <v>-0.22497772741339894</v>
      </c>
      <c r="AG535" s="12">
        <v>1.5858162787078696</v>
      </c>
      <c r="AH535" s="12">
        <v>15.755161532168966</v>
      </c>
    </row>
    <row r="536" spans="24:34" x14ac:dyDescent="0.25">
      <c r="X536">
        <v>89</v>
      </c>
      <c r="Y536" s="12">
        <v>73.208992950482781</v>
      </c>
      <c r="Z536" s="12">
        <v>15.791007049517219</v>
      </c>
      <c r="AA536" s="12">
        <v>15.80442364571087</v>
      </c>
      <c r="AB536" s="12">
        <v>8.4891398094721318E-4</v>
      </c>
      <c r="AC536" s="12">
        <v>2.5226841858335303</v>
      </c>
      <c r="AD536" s="12">
        <v>2.7035119596157302E-3</v>
      </c>
      <c r="AE536" s="12">
        <v>-0.46123068213767926</v>
      </c>
      <c r="AF536" s="12">
        <v>-0.22471207324930675</v>
      </c>
      <c r="AG536" s="12">
        <v>1.5882960006980846</v>
      </c>
      <c r="AH536" s="12">
        <v>15.804423645710877</v>
      </c>
    </row>
    <row r="537" spans="24:34" x14ac:dyDescent="0.25">
      <c r="X537">
        <v>86</v>
      </c>
      <c r="Y537" s="12">
        <v>73.06104087259601</v>
      </c>
      <c r="Z537" s="12">
        <v>12.93895912740399</v>
      </c>
      <c r="AA537" s="12">
        <v>12.949718986367145</v>
      </c>
      <c r="AB537" s="12">
        <v>8.3089517034998488E-4</v>
      </c>
      <c r="AC537" s="12">
        <v>2.0670381026652125</v>
      </c>
      <c r="AD537" s="12">
        <v>1.7765367939974305E-3</v>
      </c>
      <c r="AE537" s="12">
        <v>-0.45616451589519369</v>
      </c>
      <c r="AF537" s="12">
        <v>-0.22393575202364557</v>
      </c>
      <c r="AG537" s="12">
        <v>1.4377197580423009</v>
      </c>
      <c r="AH537" s="12">
        <v>12.949718986367152</v>
      </c>
    </row>
    <row r="538" spans="24:34" x14ac:dyDescent="0.25">
      <c r="X538">
        <v>81</v>
      </c>
      <c r="Y538" s="12">
        <v>73.01172351330041</v>
      </c>
      <c r="Z538" s="12">
        <v>7.9882764866995899</v>
      </c>
      <c r="AA538" s="12">
        <v>7.9948726041455132</v>
      </c>
      <c r="AB538" s="12">
        <v>8.250434712994744E-4</v>
      </c>
      <c r="AC538" s="12">
        <v>1.2761477455988237</v>
      </c>
      <c r="AD538" s="12">
        <v>6.7236827150804013E-4</v>
      </c>
      <c r="AE538" s="12">
        <v>-0.45616451589519369</v>
      </c>
      <c r="AF538" s="12">
        <v>-0.22284080471659504</v>
      </c>
      <c r="AG538" s="12">
        <v>1.129667095032348</v>
      </c>
      <c r="AH538" s="12">
        <v>7.9948726041455114</v>
      </c>
    </row>
    <row r="539" spans="24:34" x14ac:dyDescent="0.25">
      <c r="X539">
        <v>82</v>
      </c>
      <c r="Y539" s="12">
        <v>72.96240615400481</v>
      </c>
      <c r="Z539" s="12">
        <v>9.0375938459951897</v>
      </c>
      <c r="AA539" s="12">
        <v>9.0450041380133541</v>
      </c>
      <c r="AB539" s="12">
        <v>8.192690578232467E-4</v>
      </c>
      <c r="AC539" s="12">
        <v>1.4437747247507053</v>
      </c>
      <c r="AD539" s="12">
        <v>8.5457734649913605E-4</v>
      </c>
      <c r="AE539" s="12">
        <v>-0.45616451589519369</v>
      </c>
      <c r="AF539" s="12">
        <v>-0.22242615193240281</v>
      </c>
      <c r="AG539" s="12">
        <v>1.2015717726173103</v>
      </c>
      <c r="AH539" s="12">
        <v>9.045004138013347</v>
      </c>
    </row>
    <row r="540" spans="24:34" x14ac:dyDescent="0.25">
      <c r="X540">
        <v>79.3</v>
      </c>
      <c r="Y540" s="12">
        <v>72.715819357526854</v>
      </c>
      <c r="Z540" s="12">
        <v>6.5841806424731431</v>
      </c>
      <c r="AA540" s="12">
        <v>6.589396520631297</v>
      </c>
      <c r="AB540" s="12">
        <v>7.9155627405635043E-4</v>
      </c>
      <c r="AC540" s="12">
        <v>1.0518221920170263</v>
      </c>
      <c r="AD540" s="12">
        <v>4.3820806244982416E-4</v>
      </c>
      <c r="AE540" s="12">
        <v>-0.45616451589519369</v>
      </c>
      <c r="AF540" s="12">
        <v>-0.22240307889981301</v>
      </c>
      <c r="AG540" s="12">
        <v>1.025583829834025</v>
      </c>
      <c r="AH540" s="12">
        <v>6.5893965206312943</v>
      </c>
    </row>
    <row r="541" spans="24:34" x14ac:dyDescent="0.25">
      <c r="X541">
        <v>79.2</v>
      </c>
      <c r="Y541" s="12">
        <v>77.055746975539009</v>
      </c>
      <c r="Z541" s="12">
        <v>2.1442530244609941</v>
      </c>
      <c r="AA541" s="12">
        <v>2.1476066156751585</v>
      </c>
      <c r="AB541" s="12">
        <v>1.5615481856345104E-3</v>
      </c>
      <c r="AC541" s="12">
        <v>0.34267626282092312</v>
      </c>
      <c r="AD541" s="12">
        <v>9.182736873333625E-5</v>
      </c>
      <c r="AE541" s="12">
        <v>-0.45616451589519369</v>
      </c>
      <c r="AF541" s="12">
        <v>-0.21999812835190627</v>
      </c>
      <c r="AG541" s="12">
        <v>0.58538556765684202</v>
      </c>
      <c r="AH541" s="12">
        <v>2.1476066156751581</v>
      </c>
    </row>
    <row r="542" spans="24:34" x14ac:dyDescent="0.25">
      <c r="X542">
        <v>79</v>
      </c>
      <c r="Y542" s="12">
        <v>76.957112256947823</v>
      </c>
      <c r="Z542" s="12">
        <v>2.0428877430521766</v>
      </c>
      <c r="AA542" s="12">
        <v>2.0460333183793296</v>
      </c>
      <c r="AB542" s="12">
        <v>1.5374018100739587E-3</v>
      </c>
      <c r="AC542" s="12">
        <v>0.32647297883048876</v>
      </c>
      <c r="AD542" s="12">
        <v>8.2057838893345405E-5</v>
      </c>
      <c r="AE542" s="12">
        <v>-0.44774677320100181</v>
      </c>
      <c r="AF542" s="12">
        <v>-0.219342967767441</v>
      </c>
      <c r="AG542" s="12">
        <v>0.57137813996554743</v>
      </c>
      <c r="AH542" s="12">
        <v>2.0460333183793247</v>
      </c>
    </row>
    <row r="543" spans="24:34" x14ac:dyDescent="0.25">
      <c r="X543">
        <v>78.8</v>
      </c>
      <c r="Y543" s="12">
        <v>76.957112256947823</v>
      </c>
      <c r="Z543" s="12">
        <v>1.8428877430521737</v>
      </c>
      <c r="AA543" s="12">
        <v>1.8457253645685654</v>
      </c>
      <c r="AB543" s="12">
        <v>1.5374018100739587E-3</v>
      </c>
      <c r="AC543" s="12">
        <v>0.29451106805581972</v>
      </c>
      <c r="AD543" s="12">
        <v>6.6777296526247663E-5</v>
      </c>
      <c r="AE543" s="12">
        <v>-0.44774677320100181</v>
      </c>
      <c r="AF543" s="12">
        <v>-0.21784693648203454</v>
      </c>
      <c r="AG543" s="12">
        <v>0.54268873956976449</v>
      </c>
      <c r="AH543" s="12">
        <v>1.845725364568561</v>
      </c>
    </row>
    <row r="544" spans="24:34" x14ac:dyDescent="0.25">
      <c r="X544">
        <v>65.5</v>
      </c>
      <c r="Y544" s="12">
        <v>65.91002377473508</v>
      </c>
      <c r="Z544" s="12">
        <v>-0.41002377473508034</v>
      </c>
      <c r="AA544" s="12">
        <v>-0.41034764580152228</v>
      </c>
      <c r="AB544" s="12">
        <v>7.8926020353839129E-4</v>
      </c>
      <c r="AC544" s="12">
        <v>-6.5501181305985867E-2</v>
      </c>
      <c r="AD544" s="12">
        <v>1.6944602341313564E-6</v>
      </c>
      <c r="AE544" s="12">
        <v>-0.44438857281516719</v>
      </c>
      <c r="AF544" s="12">
        <v>-0.21549944480501243</v>
      </c>
      <c r="AG544" s="12">
        <v>0.25593198570320569</v>
      </c>
      <c r="AH544" s="12">
        <v>-0.41034764580152716</v>
      </c>
    </row>
    <row r="545" spans="24:34" x14ac:dyDescent="0.25">
      <c r="X545">
        <v>64.599999999999994</v>
      </c>
      <c r="Y545" s="12">
        <v>65.022311307414412</v>
      </c>
      <c r="Z545" s="12">
        <v>-0.42231130741441802</v>
      </c>
      <c r="AA545" s="12">
        <v>-0.42269065945785655</v>
      </c>
      <c r="AB545" s="12">
        <v>8.9746966237257749E-4</v>
      </c>
      <c r="AC545" s="12">
        <v>-6.7467764461407426E-2</v>
      </c>
      <c r="AD545" s="12">
        <v>2.0444305520728903E-6</v>
      </c>
      <c r="AE545" s="12">
        <v>-0.44438857281516719</v>
      </c>
      <c r="AF545" s="12">
        <v>-0.21505642593531299</v>
      </c>
      <c r="AG545" s="12">
        <v>0.25974557640392537</v>
      </c>
      <c r="AH545" s="12">
        <v>-0.42269065945784973</v>
      </c>
    </row>
    <row r="546" spans="24:34" x14ac:dyDescent="0.25">
      <c r="X546">
        <v>63.5</v>
      </c>
      <c r="Y546" s="12">
        <v>63.986646762206966</v>
      </c>
      <c r="Z546" s="12">
        <v>-0.48664676220696634</v>
      </c>
      <c r="AA546" s="12">
        <v>-0.48716089353264636</v>
      </c>
      <c r="AB546" s="12">
        <v>1.0553624736812678E-3</v>
      </c>
      <c r="AC546" s="12">
        <v>-7.7752035602201869E-2</v>
      </c>
      <c r="AD546" s="12">
        <v>3.1934032871411758E-6</v>
      </c>
      <c r="AE546" s="12">
        <v>-0.44438857281516719</v>
      </c>
      <c r="AF546" s="12">
        <v>-0.21498759474415374</v>
      </c>
      <c r="AG546" s="12">
        <v>0.27884052001493947</v>
      </c>
      <c r="AH546" s="12">
        <v>-0.48716089353264574</v>
      </c>
    </row>
    <row r="547" spans="24:34" x14ac:dyDescent="0.25">
      <c r="X547">
        <v>62.8</v>
      </c>
      <c r="Y547" s="12">
        <v>63.345521091364262</v>
      </c>
      <c r="Z547" s="12">
        <v>-0.54552109136426452</v>
      </c>
      <c r="AA547" s="12">
        <v>-0.54616020025027723</v>
      </c>
      <c r="AB547" s="12">
        <v>1.1701857545031464E-3</v>
      </c>
      <c r="AC547" s="12">
        <v>-8.7163455160480033E-2</v>
      </c>
      <c r="AD547" s="12">
        <v>4.4504321948698405E-6</v>
      </c>
      <c r="AE547" s="12">
        <v>-0.44438857281516719</v>
      </c>
      <c r="AF547" s="12">
        <v>-0.2141072762855499</v>
      </c>
      <c r="AG547" s="12">
        <v>0.29523457649889184</v>
      </c>
      <c r="AH547" s="12">
        <v>-0.54616020025027401</v>
      </c>
    </row>
    <row r="548" spans="24:34" x14ac:dyDescent="0.25">
      <c r="X548">
        <v>62.3</v>
      </c>
      <c r="Y548" s="12">
        <v>63.098934294886298</v>
      </c>
      <c r="Z548" s="12">
        <v>-0.79893429488630119</v>
      </c>
      <c r="AA548" s="12">
        <v>-0.79990844451214116</v>
      </c>
      <c r="AB548" s="12">
        <v>1.217826405661979E-3</v>
      </c>
      <c r="AC548" s="12">
        <v>-0.12765690546252034</v>
      </c>
      <c r="AD548" s="12">
        <v>9.9351226602417953E-6</v>
      </c>
      <c r="AE548" s="12">
        <v>-0.44438857281516719</v>
      </c>
      <c r="AF548" s="12">
        <v>-0.21218066591592155</v>
      </c>
      <c r="AG548" s="12">
        <v>0.35729106546696676</v>
      </c>
      <c r="AH548" s="12">
        <v>-0.79990844451214005</v>
      </c>
    </row>
    <row r="549" spans="24:34" x14ac:dyDescent="0.25">
      <c r="X549">
        <v>61.7</v>
      </c>
      <c r="Y549" s="12">
        <v>76.069399789627155</v>
      </c>
      <c r="Z549" s="12">
        <v>-14.369399789627153</v>
      </c>
      <c r="AA549" s="12">
        <v>-14.388594114224006</v>
      </c>
      <c r="AB549" s="12">
        <v>1.3339958333998978E-3</v>
      </c>
      <c r="AC549" s="12">
        <v>-2.296133498507543</v>
      </c>
      <c r="AD549" s="12">
        <v>3.5212631383798507E-3</v>
      </c>
      <c r="AE549" s="12">
        <v>-0.44438857281516719</v>
      </c>
      <c r="AF549" s="12">
        <v>-0.21168370521389407</v>
      </c>
      <c r="AG549" s="12">
        <v>1.5152998048266035</v>
      </c>
      <c r="AH549" s="12">
        <v>-14.388594114224009</v>
      </c>
    </row>
    <row r="550" spans="24:34" x14ac:dyDescent="0.25">
      <c r="X550">
        <v>61.6</v>
      </c>
      <c r="Y550" s="12">
        <v>62.901664857703928</v>
      </c>
      <c r="Z550" s="12">
        <v>-1.3016648577039263</v>
      </c>
      <c r="AA550" s="12">
        <v>-1.3033035404316422</v>
      </c>
      <c r="AB550" s="12">
        <v>1.2573300669261357E-3</v>
      </c>
      <c r="AC550" s="12">
        <v>-0.2079893114358472</v>
      </c>
      <c r="AD550" s="12">
        <v>2.7230005861619677E-5</v>
      </c>
      <c r="AE550" s="12">
        <v>-0.44438857281516719</v>
      </c>
      <c r="AF550" s="12">
        <v>-0.20950159698972454</v>
      </c>
      <c r="AG550" s="12">
        <v>0.45605845177547932</v>
      </c>
      <c r="AH550" s="12">
        <v>-1.3033035404316422</v>
      </c>
    </row>
    <row r="551" spans="24:34" x14ac:dyDescent="0.25">
      <c r="X551">
        <v>61.6</v>
      </c>
      <c r="Y551" s="12">
        <v>63.246886372773076</v>
      </c>
      <c r="Z551" s="12">
        <v>-1.6468863727730749</v>
      </c>
      <c r="AA551" s="12">
        <v>-1.6488468684490485</v>
      </c>
      <c r="AB551" s="12">
        <v>1.1890101582438311E-3</v>
      </c>
      <c r="AC551" s="12">
        <v>-0.26314227165126108</v>
      </c>
      <c r="AD551" s="12">
        <v>4.1214828422304329E-5</v>
      </c>
      <c r="AE551" s="12">
        <v>-0.43267393579163727</v>
      </c>
      <c r="AF551" s="12">
        <v>-0.20878119237030099</v>
      </c>
      <c r="AG551" s="12">
        <v>0.51297394831634591</v>
      </c>
      <c r="AH551" s="12">
        <v>-1.6488468684490494</v>
      </c>
    </row>
    <row r="552" spans="24:34" x14ac:dyDescent="0.25">
      <c r="X552">
        <v>61.4</v>
      </c>
      <c r="Y552" s="12">
        <v>63.394838450659854</v>
      </c>
      <c r="Z552" s="12">
        <v>-1.9948384506598558</v>
      </c>
      <c r="AA552" s="12">
        <v>-1.9971569291307816</v>
      </c>
      <c r="AB552" s="12">
        <v>1.160889480994228E-3</v>
      </c>
      <c r="AC552" s="12">
        <v>-0.3187341524528699</v>
      </c>
      <c r="AD552" s="12">
        <v>5.9036763759549191E-5</v>
      </c>
      <c r="AE552" s="12">
        <v>-0.43267393579163727</v>
      </c>
      <c r="AF552" s="12">
        <v>-0.2079893114358472</v>
      </c>
      <c r="AG552" s="12">
        <v>0.56456545453372353</v>
      </c>
      <c r="AH552" s="12">
        <v>-1.9971569291307785</v>
      </c>
    </row>
    <row r="553" spans="24:34" x14ac:dyDescent="0.25">
      <c r="X553">
        <v>65</v>
      </c>
      <c r="Y553" s="12">
        <v>75.773495633853599</v>
      </c>
      <c r="Z553" s="12">
        <v>-10.773495633853599</v>
      </c>
      <c r="AA553" s="12">
        <v>-10.787214364361304</v>
      </c>
      <c r="AB553" s="12">
        <v>1.2717584025235722E-3</v>
      </c>
      <c r="AC553" s="12">
        <v>-1.7214785443511207</v>
      </c>
      <c r="AD553" s="12">
        <v>1.8868202026184346E-3</v>
      </c>
      <c r="AE553" s="12">
        <v>-0.43267393579163727</v>
      </c>
      <c r="AF553" s="12">
        <v>-0.20708547642124775</v>
      </c>
      <c r="AG553" s="12">
        <v>1.3120512735221594</v>
      </c>
      <c r="AH553" s="12">
        <v>-10.787214364361299</v>
      </c>
    </row>
    <row r="554" spans="24:34" x14ac:dyDescent="0.25">
      <c r="X554">
        <v>74.5</v>
      </c>
      <c r="Y554" s="12">
        <v>71.433568015841445</v>
      </c>
      <c r="Z554" s="12">
        <v>3.0664319841585552</v>
      </c>
      <c r="AA554" s="12">
        <v>3.0685142653117623</v>
      </c>
      <c r="AB554" s="12">
        <v>6.7859588490445737E-4</v>
      </c>
      <c r="AC554" s="12">
        <v>0.48983451239030779</v>
      </c>
      <c r="AD554" s="12">
        <v>8.1465700950909736E-5</v>
      </c>
      <c r="AE554" s="12">
        <v>-0.43267393579163727</v>
      </c>
      <c r="AF554" s="12">
        <v>-0.20534899975215445</v>
      </c>
      <c r="AG554" s="12">
        <v>0.69988178458244488</v>
      </c>
      <c r="AH554" s="12">
        <v>3.0685142653117663</v>
      </c>
    </row>
    <row r="555" spans="24:34" x14ac:dyDescent="0.25">
      <c r="X555">
        <v>74.5</v>
      </c>
      <c r="Y555" s="12">
        <v>71.285615937954674</v>
      </c>
      <c r="Z555" s="12">
        <v>3.2143840620453261</v>
      </c>
      <c r="AA555" s="12">
        <v>3.2165356796892013</v>
      </c>
      <c r="AB555" s="12">
        <v>6.6892391632977148E-4</v>
      </c>
      <c r="AC555" s="12">
        <v>0.51346602120969664</v>
      </c>
      <c r="AD555" s="12">
        <v>8.8239035798593358E-5</v>
      </c>
      <c r="AE555" s="12">
        <v>-0.42600652312983872</v>
      </c>
      <c r="AF555" s="12">
        <v>-0.20447003706863462</v>
      </c>
      <c r="AG555" s="12">
        <v>0.71656543400424821</v>
      </c>
      <c r="AH555" s="12">
        <v>3.2165356796891982</v>
      </c>
    </row>
    <row r="556" spans="24:34" x14ac:dyDescent="0.25">
      <c r="X556">
        <v>74.2</v>
      </c>
      <c r="Y556" s="12">
        <v>76.957112256947823</v>
      </c>
      <c r="Z556" s="12">
        <v>-2.7571122569478206</v>
      </c>
      <c r="AA556" s="12">
        <v>-2.7613575730789393</v>
      </c>
      <c r="AB556" s="12">
        <v>1.5374018100739587E-3</v>
      </c>
      <c r="AC556" s="12">
        <v>-0.44061287976155689</v>
      </c>
      <c r="AD556" s="12">
        <v>1.4946515864136406E-4</v>
      </c>
      <c r="AE556" s="12">
        <v>-0.42600652312983872</v>
      </c>
      <c r="AF556" s="12">
        <v>-0.2044613756328805</v>
      </c>
      <c r="AG556" s="12">
        <v>0.66378677281304488</v>
      </c>
      <c r="AH556" s="12">
        <v>-2.7613575730789335</v>
      </c>
    </row>
    <row r="557" spans="24:34" x14ac:dyDescent="0.25">
      <c r="X557">
        <v>73.900000000000006</v>
      </c>
      <c r="Y557" s="12">
        <v>71.334933297250259</v>
      </c>
      <c r="Z557" s="12">
        <v>2.5650667027497462</v>
      </c>
      <c r="AA557" s="12">
        <v>2.5667917680854515</v>
      </c>
      <c r="AB557" s="12">
        <v>6.72070620280384E-4</v>
      </c>
      <c r="AC557" s="12">
        <v>0.40974464848927361</v>
      </c>
      <c r="AD557" s="12">
        <v>5.6455137543088241E-5</v>
      </c>
      <c r="AE557" s="12">
        <v>-0.42600652312983872</v>
      </c>
      <c r="AF557" s="12">
        <v>-0.20402448472478024</v>
      </c>
      <c r="AG557" s="12">
        <v>0.64011299665705401</v>
      </c>
      <c r="AH557" s="12">
        <v>2.5667917680854542</v>
      </c>
    </row>
    <row r="558" spans="24:34" x14ac:dyDescent="0.25">
      <c r="X558">
        <v>73.8</v>
      </c>
      <c r="Y558" s="12">
        <v>71.088346500772303</v>
      </c>
      <c r="Z558" s="12">
        <v>2.7116534992276939</v>
      </c>
      <c r="AA558" s="12">
        <v>2.7134365253842248</v>
      </c>
      <c r="AB558" s="12">
        <v>6.5710995627014956E-4</v>
      </c>
      <c r="AC558" s="12">
        <v>0.43315723208680679</v>
      </c>
      <c r="AD558" s="12">
        <v>6.1685723748588827E-5</v>
      </c>
      <c r="AE558" s="12">
        <v>-0.42600652312983872</v>
      </c>
      <c r="AF558" s="12">
        <v>-0.20133014365844731</v>
      </c>
      <c r="AG558" s="12">
        <v>0.65814681651346363</v>
      </c>
      <c r="AH558" s="12">
        <v>2.713436525384231</v>
      </c>
    </row>
    <row r="559" spans="24:34" x14ac:dyDescent="0.25">
      <c r="X559">
        <v>73.2</v>
      </c>
      <c r="Y559" s="12">
        <v>71.039029141476703</v>
      </c>
      <c r="Z559" s="12">
        <v>2.1609708585232994</v>
      </c>
      <c r="AA559" s="12">
        <v>2.1623858149897899</v>
      </c>
      <c r="AB559" s="12">
        <v>6.5434968019095101E-4</v>
      </c>
      <c r="AC559" s="12">
        <v>0.34519117698975671</v>
      </c>
      <c r="AD559" s="12">
        <v>3.9010682255344675E-5</v>
      </c>
      <c r="AE559" s="12">
        <v>-0.42600652312983872</v>
      </c>
      <c r="AF559" s="12">
        <v>-0.20089854895154247</v>
      </c>
      <c r="AG559" s="12">
        <v>0.58752972434571915</v>
      </c>
      <c r="AH559" s="12">
        <v>2.1623858149897872</v>
      </c>
    </row>
    <row r="560" spans="24:34" x14ac:dyDescent="0.25">
      <c r="X560">
        <v>73.900000000000006</v>
      </c>
      <c r="Y560" s="12">
        <v>71.285615937954674</v>
      </c>
      <c r="Z560" s="12">
        <v>2.6143840620453318</v>
      </c>
      <c r="AA560" s="12">
        <v>2.6161340566841744</v>
      </c>
      <c r="AB560" s="12">
        <v>6.6892391632977148E-4</v>
      </c>
      <c r="AC560" s="12">
        <v>0.41762196313227362</v>
      </c>
      <c r="AD560" s="12">
        <v>5.8371922388846537E-5</v>
      </c>
      <c r="AE560" s="12">
        <v>-0.42600652312983872</v>
      </c>
      <c r="AF560" s="12">
        <v>-0.20046705802554837</v>
      </c>
      <c r="AG560" s="12">
        <v>0.64623677017968706</v>
      </c>
      <c r="AH560" s="12">
        <v>2.6161340566841726</v>
      </c>
    </row>
    <row r="561" spans="24:34" x14ac:dyDescent="0.25">
      <c r="X561">
        <v>74.400000000000006</v>
      </c>
      <c r="Y561" s="12">
        <v>77.006429616243409</v>
      </c>
      <c r="Z561" s="12">
        <v>-2.6064296162434033</v>
      </c>
      <c r="AA561" s="12">
        <v>-2.6104743801519845</v>
      </c>
      <c r="AB561" s="12">
        <v>1.5494363550670933E-3</v>
      </c>
      <c r="AC561" s="12">
        <v>-0.41653486444475751</v>
      </c>
      <c r="AD561" s="12">
        <v>1.3462319581738436E-4</v>
      </c>
      <c r="AE561" s="12">
        <v>-0.42600652312983872</v>
      </c>
      <c r="AF561" s="12">
        <v>-0.19944476553286963</v>
      </c>
      <c r="AG561" s="12">
        <v>0.6453951227308411</v>
      </c>
      <c r="AH561" s="12">
        <v>-2.6104743801519819</v>
      </c>
    </row>
    <row r="562" spans="24:34" x14ac:dyDescent="0.25">
      <c r="X562">
        <v>73.900000000000006</v>
      </c>
      <c r="Y562" s="12">
        <v>71.384250656545859</v>
      </c>
      <c r="Z562" s="12">
        <v>2.5157493434541465</v>
      </c>
      <c r="AA562" s="12">
        <v>2.5174493634397379</v>
      </c>
      <c r="AB562" s="12">
        <v>6.752946098052793E-4</v>
      </c>
      <c r="AC562" s="12">
        <v>0.40186732458276708</v>
      </c>
      <c r="AD562" s="12">
        <v>5.4565991937614293E-5</v>
      </c>
      <c r="AE562" s="12">
        <v>-0.42600652312983872</v>
      </c>
      <c r="AF562" s="12">
        <v>-0.19702077987082353</v>
      </c>
      <c r="AG562" s="12">
        <v>0.63393006284823494</v>
      </c>
      <c r="AH562" s="12">
        <v>2.5174493634397352</v>
      </c>
    </row>
    <row r="563" spans="24:34" x14ac:dyDescent="0.25">
      <c r="X563">
        <v>73.900000000000006</v>
      </c>
      <c r="Y563" s="12">
        <v>71.285615937954674</v>
      </c>
      <c r="Z563" s="12">
        <v>2.6143840620453318</v>
      </c>
      <c r="AA563" s="12">
        <v>2.6161340566841744</v>
      </c>
      <c r="AB563" s="12">
        <v>6.6892391632977148E-4</v>
      </c>
      <c r="AC563" s="12">
        <v>0.41762196313227362</v>
      </c>
      <c r="AD563" s="12">
        <v>5.8371922388846537E-5</v>
      </c>
      <c r="AE563" s="12">
        <v>-0.41272795222137554</v>
      </c>
      <c r="AF563" s="12">
        <v>-0.19352010146208923</v>
      </c>
      <c r="AG563" s="12">
        <v>0.64623677017968706</v>
      </c>
      <c r="AH563" s="12">
        <v>2.6161340566841726</v>
      </c>
    </row>
    <row r="564" spans="24:34" x14ac:dyDescent="0.25">
      <c r="X564">
        <v>72.3</v>
      </c>
      <c r="Y564" s="12">
        <v>70.989711782181118</v>
      </c>
      <c r="Z564" s="12">
        <v>1.3102882178188793</v>
      </c>
      <c r="AA564" s="12">
        <v>1.3111426458065836</v>
      </c>
      <c r="AB564" s="12">
        <v>6.5166668968603524E-4</v>
      </c>
      <c r="AC564" s="12">
        <v>0.20930375954236957</v>
      </c>
      <c r="AD564" s="12">
        <v>1.4283435984996747E-5</v>
      </c>
      <c r="AE564" s="12">
        <v>-0.41272795222137554</v>
      </c>
      <c r="AF564" s="12">
        <v>-0.19309204437508232</v>
      </c>
      <c r="AG564" s="12">
        <v>0.45749727818028552</v>
      </c>
      <c r="AH564" s="12">
        <v>1.3111426458065782</v>
      </c>
    </row>
    <row r="565" spans="24:34" x14ac:dyDescent="0.25">
      <c r="X565">
        <v>72.7</v>
      </c>
      <c r="Y565" s="12">
        <v>71.088346500772303</v>
      </c>
      <c r="Z565" s="12">
        <v>1.6116534992276996</v>
      </c>
      <c r="AA565" s="12">
        <v>1.6127132291471753</v>
      </c>
      <c r="AB565" s="12">
        <v>6.5710995627014956E-4</v>
      </c>
      <c r="AC565" s="12">
        <v>0.25744416423680705</v>
      </c>
      <c r="AD565" s="12">
        <v>2.1790120312541329E-5</v>
      </c>
      <c r="AE565" s="12">
        <v>-0.41272795222137554</v>
      </c>
      <c r="AF565" s="12">
        <v>-0.19025101864005389</v>
      </c>
      <c r="AG565" s="12">
        <v>0.50738955865962299</v>
      </c>
      <c r="AH565" s="12">
        <v>1.6127132291471808</v>
      </c>
    </row>
    <row r="566" spans="24:34" x14ac:dyDescent="0.25">
      <c r="X566">
        <v>71.7</v>
      </c>
      <c r="Y566" s="12">
        <v>70.595172907816377</v>
      </c>
      <c r="Z566" s="12">
        <v>1.1048270921836263</v>
      </c>
      <c r="AA566" s="12">
        <v>1.1055268741632744</v>
      </c>
      <c r="AB566" s="12">
        <v>6.3298504632089045E-4</v>
      </c>
      <c r="AC566" s="12">
        <v>0.1764820132716288</v>
      </c>
      <c r="AD566" s="12">
        <v>9.8636883634919605E-6</v>
      </c>
      <c r="AE566" s="12">
        <v>-0.40776731506460179</v>
      </c>
      <c r="AF566" s="12">
        <v>-0.18981145939450556</v>
      </c>
      <c r="AG566" s="12">
        <v>0.42009762350152469</v>
      </c>
      <c r="AH566" s="12">
        <v>1.1055268741632776</v>
      </c>
    </row>
    <row r="567" spans="24:34" x14ac:dyDescent="0.25">
      <c r="X567">
        <v>73</v>
      </c>
      <c r="Y567" s="12">
        <v>71.630837453023815</v>
      </c>
      <c r="Z567" s="12">
        <v>1.3691625469761846</v>
      </c>
      <c r="AA567" s="12">
        <v>1.370111450325993</v>
      </c>
      <c r="AB567" s="12">
        <v>6.9257384104399783E-4</v>
      </c>
      <c r="AC567" s="12">
        <v>0.21871274579950567</v>
      </c>
      <c r="AD567" s="12">
        <v>1.6576206917153647E-5</v>
      </c>
      <c r="AE567" s="12">
        <v>-0.40776731506460179</v>
      </c>
      <c r="AF567" s="12">
        <v>-0.18964229599538671</v>
      </c>
      <c r="AG567" s="12">
        <v>0.4676673452353774</v>
      </c>
      <c r="AH567" s="12">
        <v>1.3701114503259952</v>
      </c>
    </row>
    <row r="568" spans="24:34" x14ac:dyDescent="0.25">
      <c r="X568">
        <v>71.8</v>
      </c>
      <c r="Y568" s="12">
        <v>71.236298578659074</v>
      </c>
      <c r="Z568" s="12">
        <v>0.56370142134092305</v>
      </c>
      <c r="AA568" s="12">
        <v>0.56407701455826498</v>
      </c>
      <c r="AB568" s="12">
        <v>6.6585449795344173E-4</v>
      </c>
      <c r="AC568" s="12">
        <v>9.0045581322698548E-2</v>
      </c>
      <c r="AD568" s="12">
        <v>2.7012415898694696E-6</v>
      </c>
      <c r="AE568" s="12">
        <v>-0.40776731506460179</v>
      </c>
      <c r="AF568" s="12">
        <v>-0.18942143782233006</v>
      </c>
      <c r="AG568" s="12">
        <v>0.30007595925481695</v>
      </c>
      <c r="AH568" s="12">
        <v>0.56407701455825876</v>
      </c>
    </row>
    <row r="569" spans="24:34" x14ac:dyDescent="0.25">
      <c r="X569">
        <v>89</v>
      </c>
      <c r="Y569" s="12">
        <v>74.195340136394634</v>
      </c>
      <c r="Z569" s="12">
        <v>14.804659863605366</v>
      </c>
      <c r="AA569" s="12">
        <v>14.81928375609823</v>
      </c>
      <c r="AB569" s="12">
        <v>9.8681506701377869E-4</v>
      </c>
      <c r="AC569" s="12">
        <v>2.3652740310542679</v>
      </c>
      <c r="AD569" s="12">
        <v>2.7631056013963139E-3</v>
      </c>
      <c r="AE569" s="12">
        <v>-0.40776731506460179</v>
      </c>
      <c r="AF569" s="12">
        <v>-0.18260019955176843</v>
      </c>
      <c r="AG569" s="12">
        <v>1.5379447425230426</v>
      </c>
      <c r="AH569" s="12">
        <v>14.819283756098237</v>
      </c>
    </row>
    <row r="570" spans="24:34" x14ac:dyDescent="0.25">
      <c r="X570">
        <v>86</v>
      </c>
      <c r="Y570" s="12">
        <v>74.096705417803449</v>
      </c>
      <c r="Z570" s="12">
        <v>11.903294582196551</v>
      </c>
      <c r="AA570" s="12">
        <v>11.914871474258902</v>
      </c>
      <c r="AB570" s="12">
        <v>9.7163381807003171E-4</v>
      </c>
      <c r="AC570" s="12">
        <v>1.9017214781924545</v>
      </c>
      <c r="AD570" s="12">
        <v>1.7586873096088413E-3</v>
      </c>
      <c r="AE570" s="12">
        <v>-0.40776731506460179</v>
      </c>
      <c r="AF570" s="12">
        <v>-0.18061004531174771</v>
      </c>
      <c r="AG570" s="12">
        <v>1.3790291796015248</v>
      </c>
      <c r="AH570" s="12">
        <v>11.9148714742589</v>
      </c>
    </row>
    <row r="571" spans="24:34" x14ac:dyDescent="0.25">
      <c r="X571">
        <v>86</v>
      </c>
      <c r="Y571" s="12">
        <v>74.096705417803449</v>
      </c>
      <c r="Z571" s="12">
        <v>11.903294582196551</v>
      </c>
      <c r="AA571" s="12">
        <v>11.914871474258902</v>
      </c>
      <c r="AB571" s="12">
        <v>9.7163381807003171E-4</v>
      </c>
      <c r="AC571" s="12">
        <v>1.9017214781924545</v>
      </c>
      <c r="AD571" s="12">
        <v>1.7586873096088413E-3</v>
      </c>
      <c r="AE571" s="12">
        <v>-0.40776731506460179</v>
      </c>
      <c r="AF571" s="12">
        <v>-0.17681908897423024</v>
      </c>
      <c r="AG571" s="12">
        <v>1.3790291796015248</v>
      </c>
      <c r="AH571" s="12">
        <v>11.9148714742589</v>
      </c>
    </row>
    <row r="572" spans="24:34" x14ac:dyDescent="0.25">
      <c r="X572">
        <v>85</v>
      </c>
      <c r="Y572" s="12">
        <v>73.948753339916664</v>
      </c>
      <c r="Z572" s="12">
        <v>11.051246660083336</v>
      </c>
      <c r="AA572" s="12">
        <v>11.061749144740361</v>
      </c>
      <c r="AB572" s="12">
        <v>9.494415864615322E-4</v>
      </c>
      <c r="AC572" s="12">
        <v>1.7655750318460264</v>
      </c>
      <c r="AD572" s="12">
        <v>1.4812322014119857E-3</v>
      </c>
      <c r="AE572" s="12">
        <v>-0.39787592189543292</v>
      </c>
      <c r="AF572" s="12">
        <v>-0.17142223461031084</v>
      </c>
      <c r="AG572" s="12">
        <v>1.3287494240247204</v>
      </c>
      <c r="AH572" s="12">
        <v>11.061749144740357</v>
      </c>
    </row>
    <row r="573" spans="24:34" x14ac:dyDescent="0.25">
      <c r="X573">
        <v>81</v>
      </c>
      <c r="Y573" s="12">
        <v>73.850118621325478</v>
      </c>
      <c r="Z573" s="12">
        <v>7.1498813786745217</v>
      </c>
      <c r="AA573" s="12">
        <v>7.15657301199073</v>
      </c>
      <c r="AB573" s="12">
        <v>9.3503319326061329E-4</v>
      </c>
      <c r="AC573" s="12">
        <v>1.1422748403336687</v>
      </c>
      <c r="AD573" s="12">
        <v>6.105827418549049E-4</v>
      </c>
      <c r="AE573" s="12">
        <v>-0.39787592189543292</v>
      </c>
      <c r="AF573" s="12">
        <v>-0.16551632770762573</v>
      </c>
      <c r="AG573" s="12">
        <v>1.0687725858823609</v>
      </c>
      <c r="AH573" s="12">
        <v>7.1565730119907256</v>
      </c>
    </row>
    <row r="574" spans="24:34" x14ac:dyDescent="0.25">
      <c r="X574">
        <v>80</v>
      </c>
      <c r="Y574" s="12">
        <v>73.702166543438707</v>
      </c>
      <c r="Z574" s="12">
        <v>6.2978334565612926</v>
      </c>
      <c r="AA574" s="12">
        <v>6.3035949438860683</v>
      </c>
      <c r="AB574" s="12">
        <v>9.1400024526635615E-4</v>
      </c>
      <c r="AC574" s="12">
        <v>1.0061399065838259</v>
      </c>
      <c r="AD574" s="12">
        <v>4.6305245701356825E-4</v>
      </c>
      <c r="AE574" s="12">
        <v>-0.39787592189543292</v>
      </c>
      <c r="AF574" s="12">
        <v>-0.164417928464833</v>
      </c>
      <c r="AG574" s="12">
        <v>1.0030652553965897</v>
      </c>
      <c r="AH574" s="12">
        <v>6.3035949438860639</v>
      </c>
    </row>
    <row r="575" spans="24:34" x14ac:dyDescent="0.25">
      <c r="X575">
        <v>79.900000000000006</v>
      </c>
      <c r="Y575" s="12">
        <v>77.20369905342578</v>
      </c>
      <c r="Z575" s="12">
        <v>2.696300946574226</v>
      </c>
      <c r="AA575" s="12">
        <v>2.7006174714632465</v>
      </c>
      <c r="AB575" s="12">
        <v>1.5983473907824589E-3</v>
      </c>
      <c r="AC575" s="12">
        <v>0.43090780276277685</v>
      </c>
      <c r="AD575" s="12">
        <v>1.4862935942660261E-4</v>
      </c>
      <c r="AE575" s="12">
        <v>-0.39787592189543292</v>
      </c>
      <c r="AF575" s="12">
        <v>-0.16376288153317697</v>
      </c>
      <c r="AG575" s="12">
        <v>0.65643568059847024</v>
      </c>
      <c r="AH575" s="12">
        <v>2.7006174714632407</v>
      </c>
    </row>
    <row r="576" spans="24:34" x14ac:dyDescent="0.25">
      <c r="X576">
        <v>79.8</v>
      </c>
      <c r="Y576" s="12">
        <v>73.554214465551922</v>
      </c>
      <c r="Z576" s="12">
        <v>6.2457855344480748</v>
      </c>
      <c r="AA576" s="12">
        <v>6.2513721536123086</v>
      </c>
      <c r="AB576" s="12">
        <v>8.9366286744064377E-4</v>
      </c>
      <c r="AC576" s="12">
        <v>0.99781459110162474</v>
      </c>
      <c r="AD576" s="12">
        <v>4.4527847785130888E-4</v>
      </c>
      <c r="AE576" s="12">
        <v>-0.39787592189543292</v>
      </c>
      <c r="AF576" s="12">
        <v>-0.16181220601800564</v>
      </c>
      <c r="AG576" s="12">
        <v>0.99890669789606712</v>
      </c>
      <c r="AH576" s="12">
        <v>6.2513721536123104</v>
      </c>
    </row>
    <row r="577" spans="24:34" x14ac:dyDescent="0.25">
      <c r="X577">
        <v>79.599999999999994</v>
      </c>
      <c r="Y577" s="12">
        <v>73.455579746960737</v>
      </c>
      <c r="Z577" s="12">
        <v>6.1444202530392573</v>
      </c>
      <c r="AA577" s="12">
        <v>6.1498351277878385</v>
      </c>
      <c r="AB577" s="12">
        <v>8.8049104342824967E-4</v>
      </c>
      <c r="AC577" s="12">
        <v>0.98161419962885577</v>
      </c>
      <c r="AD577" s="12">
        <v>4.2457964730165468E-4</v>
      </c>
      <c r="AE577" s="12">
        <v>-0.39787592189543292</v>
      </c>
      <c r="AF577" s="12">
        <v>-0.15951798563254801</v>
      </c>
      <c r="AG577" s="12">
        <v>0.99076445214231201</v>
      </c>
      <c r="AH577" s="12">
        <v>6.1498351277878349</v>
      </c>
    </row>
    <row r="578" spans="24:34" x14ac:dyDescent="0.25">
      <c r="X578">
        <v>79.2</v>
      </c>
      <c r="Y578" s="12">
        <v>73.406262387665151</v>
      </c>
      <c r="Z578" s="12">
        <v>5.7937376123348514</v>
      </c>
      <c r="AA578" s="12">
        <v>5.7988058908050135</v>
      </c>
      <c r="AB578" s="12">
        <v>8.7402105978347678E-4</v>
      </c>
      <c r="AC578" s="12">
        <v>0.92558719305698611</v>
      </c>
      <c r="AD578" s="12">
        <v>3.7471952574059069E-4</v>
      </c>
      <c r="AE578" s="12">
        <v>-0.39787592189543292</v>
      </c>
      <c r="AF578" s="12">
        <v>-0.15918393405728543</v>
      </c>
      <c r="AG578" s="12">
        <v>0.96207442178710167</v>
      </c>
      <c r="AH578" s="12">
        <v>5.7988058908050117</v>
      </c>
    </row>
    <row r="579" spans="24:34" x14ac:dyDescent="0.25">
      <c r="X579">
        <v>79.099999999999994</v>
      </c>
      <c r="Y579" s="12">
        <v>73.356945028369552</v>
      </c>
      <c r="Z579" s="12">
        <v>5.7430549716304427</v>
      </c>
      <c r="AA579" s="12">
        <v>5.7480421360119749</v>
      </c>
      <c r="AB579" s="12">
        <v>8.6762836171298667E-4</v>
      </c>
      <c r="AC579" s="12">
        <v>0.9174873770324018</v>
      </c>
      <c r="AD579" s="12">
        <v>3.6549455379266256E-4</v>
      </c>
      <c r="AE579" s="12">
        <v>-0.39787592189543292</v>
      </c>
      <c r="AF579" s="12">
        <v>-0.15695833107859</v>
      </c>
      <c r="AG579" s="12">
        <v>0.95785561387528639</v>
      </c>
      <c r="AH579" s="12">
        <v>5.7480421360119678</v>
      </c>
    </row>
    <row r="580" spans="24:34" x14ac:dyDescent="0.25">
      <c r="X580">
        <v>78.5</v>
      </c>
      <c r="Y580" s="12">
        <v>77.154381694130194</v>
      </c>
      <c r="Z580" s="12">
        <v>1.3456183058698059</v>
      </c>
      <c r="AA580" s="12">
        <v>1.3477558516419066</v>
      </c>
      <c r="AB580" s="12">
        <v>1.5860037034921934E-3</v>
      </c>
      <c r="AC580" s="12">
        <v>0.21504789512261946</v>
      </c>
      <c r="AD580" s="12">
        <v>3.6731099872493845E-5</v>
      </c>
      <c r="AE580" s="12">
        <v>-0.39787592189543292</v>
      </c>
      <c r="AF580" s="12">
        <v>-0.1564194106754602</v>
      </c>
      <c r="AG580" s="12">
        <v>0.46373256853775047</v>
      </c>
      <c r="AH580" s="12">
        <v>1.3477558516419132</v>
      </c>
    </row>
    <row r="581" spans="24:34" x14ac:dyDescent="0.25">
      <c r="X581">
        <v>78.400000000000006</v>
      </c>
      <c r="Y581" s="12">
        <v>73.110358231891595</v>
      </c>
      <c r="Z581" s="12">
        <v>5.2896417681084102</v>
      </c>
      <c r="AA581" s="12">
        <v>5.2940719754156191</v>
      </c>
      <c r="AB581" s="12">
        <v>8.3682415497477814E-4</v>
      </c>
      <c r="AC581" s="12">
        <v>0.84503887963499569</v>
      </c>
      <c r="AD581" s="12">
        <v>2.9903441591077581E-4</v>
      </c>
      <c r="AE581" s="12">
        <v>-0.39787592189543292</v>
      </c>
      <c r="AF581" s="12">
        <v>-0.15239534740151697</v>
      </c>
      <c r="AG581" s="12">
        <v>0.91925996303276236</v>
      </c>
      <c r="AH581" s="12">
        <v>5.2940719754156129</v>
      </c>
    </row>
    <row r="582" spans="24:34" x14ac:dyDescent="0.25">
      <c r="X582">
        <v>78.3</v>
      </c>
      <c r="Y582" s="12">
        <v>73.06104087259601</v>
      </c>
      <c r="Z582" s="12">
        <v>5.2389591274039873</v>
      </c>
      <c r="AA582" s="12">
        <v>5.2433157731565245</v>
      </c>
      <c r="AB582" s="12">
        <v>8.3089517034998488E-4</v>
      </c>
      <c r="AC582" s="12">
        <v>0.8369396663224824</v>
      </c>
      <c r="AD582" s="12">
        <v>2.912497391978435E-4</v>
      </c>
      <c r="AE582" s="12">
        <v>-0.38147581702590427</v>
      </c>
      <c r="AF582" s="12">
        <v>-0.15237865040876719</v>
      </c>
      <c r="AG582" s="12">
        <v>0.91484406667064433</v>
      </c>
      <c r="AH582" s="12">
        <v>5.2433157731565228</v>
      </c>
    </row>
    <row r="583" spans="24:34" x14ac:dyDescent="0.25">
      <c r="X583">
        <v>78</v>
      </c>
      <c r="Y583" s="12">
        <v>72.913088794709225</v>
      </c>
      <c r="Z583" s="12">
        <v>5.0869112052907752</v>
      </c>
      <c r="AA583" s="12">
        <v>5.091053143221842</v>
      </c>
      <c r="AB583" s="12">
        <v>8.1357192992130198E-4</v>
      </c>
      <c r="AC583" s="12">
        <v>0.81264250335597521</v>
      </c>
      <c r="AD583" s="12">
        <v>2.6885523710926785E-4</v>
      </c>
      <c r="AE583" s="12">
        <v>-0.38147581702590427</v>
      </c>
      <c r="AF583" s="12">
        <v>-0.15128495311931919</v>
      </c>
      <c r="AG583" s="12">
        <v>0.90146686203985071</v>
      </c>
      <c r="AH583" s="12">
        <v>5.0910531432218376</v>
      </c>
    </row>
    <row r="584" spans="24:34" x14ac:dyDescent="0.25">
      <c r="X584">
        <v>62.1</v>
      </c>
      <c r="Y584" s="12">
        <v>65.120946026005598</v>
      </c>
      <c r="Z584" s="12">
        <v>-3.0209460260055963</v>
      </c>
      <c r="AA584" s="12">
        <v>-3.0236195400948347</v>
      </c>
      <c r="AB584" s="12">
        <v>8.8420981998025433E-4</v>
      </c>
      <c r="AC584" s="12">
        <v>-0.48261819863049782</v>
      </c>
      <c r="AD584" s="12">
        <v>1.0306635188652311E-4</v>
      </c>
      <c r="AE584" s="12">
        <v>-0.38147581702590427</v>
      </c>
      <c r="AF584" s="12">
        <v>-0.14493833498342898</v>
      </c>
      <c r="AG584" s="12">
        <v>0.69470727549846334</v>
      </c>
      <c r="AH584" s="12">
        <v>-3.0236195400948325</v>
      </c>
    </row>
    <row r="585" spans="24:34" x14ac:dyDescent="0.25">
      <c r="X585">
        <v>61.9</v>
      </c>
      <c r="Y585" s="12">
        <v>65.071628666709998</v>
      </c>
      <c r="Z585" s="12">
        <v>-3.1716286667099993</v>
      </c>
      <c r="AA585" s="12">
        <v>-3.1744564760256324</v>
      </c>
      <c r="AB585" s="12">
        <v>8.9080109838927468E-4</v>
      </c>
      <c r="AC585" s="12">
        <v>-0.50669252272395404</v>
      </c>
      <c r="AD585" s="12">
        <v>1.1445289478822247E-4</v>
      </c>
      <c r="AE585" s="12">
        <v>-0.38147581702590427</v>
      </c>
      <c r="AF585" s="12">
        <v>-0.14318849547748858</v>
      </c>
      <c r="AG585" s="12">
        <v>0.71182337888267899</v>
      </c>
      <c r="AH585" s="12">
        <v>-3.174456476025632</v>
      </c>
    </row>
    <row r="586" spans="24:34" x14ac:dyDescent="0.25">
      <c r="X586">
        <v>61.6</v>
      </c>
      <c r="Y586" s="12">
        <v>64.923676588823227</v>
      </c>
      <c r="Z586" s="12">
        <v>-3.3236765888232256</v>
      </c>
      <c r="AA586" s="12">
        <v>-3.3267073477845273</v>
      </c>
      <c r="AB586" s="12">
        <v>9.1103864706203229E-4</v>
      </c>
      <c r="AC586" s="12">
        <v>-0.53098874703875076</v>
      </c>
      <c r="AD586" s="12">
        <v>1.2855035463131719E-4</v>
      </c>
      <c r="AE586" s="12">
        <v>-0.38147581702590427</v>
      </c>
      <c r="AF586" s="12">
        <v>-0.14318849547748858</v>
      </c>
      <c r="AG586" s="12">
        <v>0.72868974676384102</v>
      </c>
      <c r="AH586" s="12">
        <v>-3.3267073477845224</v>
      </c>
    </row>
    <row r="587" spans="24:34" x14ac:dyDescent="0.25">
      <c r="X587">
        <v>61.2</v>
      </c>
      <c r="Y587" s="12">
        <v>64.627772433049671</v>
      </c>
      <c r="Z587" s="12">
        <v>-3.4277724330496682</v>
      </c>
      <c r="AA587" s="12">
        <v>-3.4310442784344133</v>
      </c>
      <c r="AB587" s="12">
        <v>9.5360045491318295E-4</v>
      </c>
      <c r="AC587" s="12">
        <v>-0.54763070678851689</v>
      </c>
      <c r="AD587" s="12">
        <v>1.4312858533541503E-4</v>
      </c>
      <c r="AE587" s="12">
        <v>-0.38147581702590427</v>
      </c>
      <c r="AF587" s="12">
        <v>-0.14059078313859988</v>
      </c>
      <c r="AG587" s="12">
        <v>0.74002074753922742</v>
      </c>
      <c r="AH587" s="12">
        <v>-3.4310442784344106</v>
      </c>
    </row>
    <row r="588" spans="24:34" x14ac:dyDescent="0.25">
      <c r="X588">
        <v>69</v>
      </c>
      <c r="Y588" s="12">
        <v>64.4305029958673</v>
      </c>
      <c r="Z588" s="12">
        <v>4.5694970041326997</v>
      </c>
      <c r="AA588" s="12">
        <v>4.5739956235328663</v>
      </c>
      <c r="AB588" s="12">
        <v>9.8352070496627252E-4</v>
      </c>
      <c r="AC588" s="12">
        <v>0.73004681485224099</v>
      </c>
      <c r="AD588" s="12">
        <v>2.623507319576933E-4</v>
      </c>
      <c r="AE588" s="12">
        <v>-0.37168505980560429</v>
      </c>
      <c r="AF588" s="12">
        <v>-0.14034823184707976</v>
      </c>
      <c r="AG588" s="12">
        <v>0.85442777041259665</v>
      </c>
      <c r="AH588" s="12">
        <v>4.5739956235328698</v>
      </c>
    </row>
    <row r="589" spans="24:34" x14ac:dyDescent="0.25">
      <c r="X589">
        <v>66</v>
      </c>
      <c r="Y589" s="12">
        <v>64.23323355868493</v>
      </c>
      <c r="Z589" s="12">
        <v>1.7667664413150703</v>
      </c>
      <c r="AA589" s="12">
        <v>1.768560960371758</v>
      </c>
      <c r="AB589" s="12">
        <v>1.014677524207887E-3</v>
      </c>
      <c r="AC589" s="12">
        <v>0.28227227756891043</v>
      </c>
      <c r="AD589" s="12">
        <v>4.0464613110724629E-5</v>
      </c>
      <c r="AE589" s="12">
        <v>-0.37168505980560429</v>
      </c>
      <c r="AF589" s="12">
        <v>-0.14034823184707976</v>
      </c>
      <c r="AG589" s="12">
        <v>0.53129302420501479</v>
      </c>
      <c r="AH589" s="12">
        <v>1.7685609603717511</v>
      </c>
    </row>
    <row r="590" spans="24:34" x14ac:dyDescent="0.25">
      <c r="X590">
        <v>63</v>
      </c>
      <c r="Y590" s="12">
        <v>64.035964121502559</v>
      </c>
      <c r="Z590" s="12">
        <v>-1.035964121502559</v>
      </c>
      <c r="AA590" s="12">
        <v>-1.0370499863782499</v>
      </c>
      <c r="AB590" s="12">
        <v>1.0470709126380263E-3</v>
      </c>
      <c r="AC590" s="12">
        <v>-0.16551632770762573</v>
      </c>
      <c r="AD590" s="12">
        <v>1.435763006113319E-5</v>
      </c>
      <c r="AE590" s="12">
        <v>-0.37168505980560429</v>
      </c>
      <c r="AF590" s="12">
        <v>-0.13969333398032444</v>
      </c>
      <c r="AG590" s="12">
        <v>0.40683697927748125</v>
      </c>
      <c r="AH590" s="12">
        <v>-1.0370499863782474</v>
      </c>
    </row>
    <row r="591" spans="24:34" x14ac:dyDescent="0.25">
      <c r="X591">
        <v>59.9</v>
      </c>
      <c r="Y591" s="12">
        <v>76.217351867513926</v>
      </c>
      <c r="Z591" s="12">
        <v>-16.317351867513928</v>
      </c>
      <c r="AA591" s="12">
        <v>-16.339674442904375</v>
      </c>
      <c r="AB591" s="12">
        <v>1.3661579040908781E-3</v>
      </c>
      <c r="AC591" s="12">
        <v>-2.6074451336230413</v>
      </c>
      <c r="AD591" s="12">
        <v>4.6504500211373935E-3</v>
      </c>
      <c r="AE591" s="12">
        <v>-0.37168505980560429</v>
      </c>
      <c r="AF591" s="12">
        <v>-0.13762441798824934</v>
      </c>
      <c r="AG591" s="12">
        <v>1.6147585372503968</v>
      </c>
      <c r="AH591" s="12">
        <v>-16.339674442904375</v>
      </c>
    </row>
    <row r="592" spans="24:34" x14ac:dyDescent="0.25">
      <c r="X592">
        <v>59.4</v>
      </c>
      <c r="Y592" s="12">
        <v>63.394838450659854</v>
      </c>
      <c r="Z592" s="12">
        <v>-3.9948384506598558</v>
      </c>
      <c r="AA592" s="12">
        <v>-3.9994814065541533</v>
      </c>
      <c r="AB592" s="12">
        <v>1.160889480994228E-3</v>
      </c>
      <c r="AC592" s="12">
        <v>-0.63829301432204888</v>
      </c>
      <c r="AD592" s="12">
        <v>2.3675846952501701E-4</v>
      </c>
      <c r="AE592" s="12">
        <v>-0.37168505980560429</v>
      </c>
      <c r="AF592" s="12">
        <v>-0.1375125266407887</v>
      </c>
      <c r="AG592" s="12">
        <v>0.79893242162403755</v>
      </c>
      <c r="AH592" s="12">
        <v>-3.9994814065541564</v>
      </c>
    </row>
    <row r="593" spans="24:34" x14ac:dyDescent="0.25">
      <c r="X593">
        <v>58.9</v>
      </c>
      <c r="Y593" s="12">
        <v>63.000299576295113</v>
      </c>
      <c r="Z593" s="12">
        <v>-4.1002995762951144</v>
      </c>
      <c r="AA593" s="12">
        <v>-4.105379670253491</v>
      </c>
      <c r="AB593" s="12">
        <v>1.2374236651454919E-3</v>
      </c>
      <c r="AC593" s="12">
        <v>-0.65516863398000202</v>
      </c>
      <c r="AD593" s="12">
        <v>2.6590858308639593E-4</v>
      </c>
      <c r="AE593" s="12">
        <v>-0.37168505980560429</v>
      </c>
      <c r="AF593" s="12">
        <v>-0.13749797329965918</v>
      </c>
      <c r="AG593" s="12">
        <v>0.80942487852795952</v>
      </c>
      <c r="AH593" s="12">
        <v>-4.1053796702534928</v>
      </c>
    </row>
    <row r="594" spans="24:34" x14ac:dyDescent="0.25">
      <c r="X594">
        <v>58.3</v>
      </c>
      <c r="Y594" s="12">
        <v>75.92144771174037</v>
      </c>
      <c r="Z594" s="12">
        <v>-17.621447711740373</v>
      </c>
      <c r="AA594" s="12">
        <v>-17.644430099506891</v>
      </c>
      <c r="AB594" s="12">
        <v>1.3025293328774625E-3</v>
      </c>
      <c r="AC594" s="12">
        <v>-2.8157445372861303</v>
      </c>
      <c r="AD594" s="12">
        <v>5.1702324271816688E-3</v>
      </c>
      <c r="AE594" s="12">
        <v>-0.37168505980560429</v>
      </c>
      <c r="AF594" s="12">
        <v>-0.13740783827246839</v>
      </c>
      <c r="AG594" s="12">
        <v>1.6780180384269205</v>
      </c>
      <c r="AH594" s="12">
        <v>-17.644430099506888</v>
      </c>
    </row>
    <row r="595" spans="24:34" x14ac:dyDescent="0.25">
      <c r="X595">
        <v>57.9</v>
      </c>
      <c r="Y595" s="12">
        <v>75.724178274558</v>
      </c>
      <c r="Z595" s="12">
        <v>-17.824178274558001</v>
      </c>
      <c r="AA595" s="12">
        <v>-17.846694663905332</v>
      </c>
      <c r="AB595" s="12">
        <v>1.2616559968875079E-3</v>
      </c>
      <c r="AC595" s="12">
        <v>-2.8480807275711038</v>
      </c>
      <c r="AD595" s="12">
        <v>5.1234656267411336E-3</v>
      </c>
      <c r="AE595" s="12">
        <v>-0.36030729595554811</v>
      </c>
      <c r="AF595" s="12">
        <v>-0.13334303930465358</v>
      </c>
      <c r="AG595" s="12">
        <v>1.6876257664456014</v>
      </c>
      <c r="AH595" s="12">
        <v>-17.846694663905339</v>
      </c>
    </row>
    <row r="596" spans="24:34" x14ac:dyDescent="0.25">
      <c r="X596">
        <v>57.6</v>
      </c>
      <c r="Y596" s="12">
        <v>76.069399789627155</v>
      </c>
      <c r="Z596" s="12">
        <v>-18.469399789627154</v>
      </c>
      <c r="AA596" s="12">
        <v>-18.494070803020982</v>
      </c>
      <c r="AB596" s="12">
        <v>1.3339958333998978E-3</v>
      </c>
      <c r="AC596" s="12">
        <v>-2.9512859392292996</v>
      </c>
      <c r="AD596" s="12">
        <v>5.8173713630581799E-3</v>
      </c>
      <c r="AE596" s="12">
        <v>-0.36030729595554811</v>
      </c>
      <c r="AF596" s="12">
        <v>-0.13247055862519061</v>
      </c>
      <c r="AG596" s="12">
        <v>1.7179307143273559</v>
      </c>
      <c r="AH596" s="12">
        <v>-18.494070803020985</v>
      </c>
    </row>
    <row r="597" spans="24:34" x14ac:dyDescent="0.25">
      <c r="X597">
        <v>88</v>
      </c>
      <c r="Y597" s="12">
        <v>73.998070699212263</v>
      </c>
      <c r="Z597" s="12">
        <v>14.001929300787737</v>
      </c>
      <c r="AA597" s="12">
        <v>14.015338640171279</v>
      </c>
      <c r="AB597" s="12">
        <v>9.5676171142341604E-4</v>
      </c>
      <c r="AC597" s="12">
        <v>2.236991725919987</v>
      </c>
      <c r="AD597" s="12">
        <v>2.3961735066293753E-3</v>
      </c>
      <c r="AE597" s="12">
        <v>-0.36030729595554811</v>
      </c>
      <c r="AF597" s="12">
        <v>-0.13224728637184727</v>
      </c>
      <c r="AG597" s="12">
        <v>1.4956576232279857</v>
      </c>
      <c r="AH597" s="12">
        <v>14.015338640171286</v>
      </c>
    </row>
    <row r="598" spans="24:34" x14ac:dyDescent="0.25">
      <c r="X598">
        <v>86</v>
      </c>
      <c r="Y598" s="12">
        <v>73.948753339916664</v>
      </c>
      <c r="Z598" s="12">
        <v>12.051246660083336</v>
      </c>
      <c r="AA598" s="12">
        <v>12.062699488622826</v>
      </c>
      <c r="AB598" s="12">
        <v>9.494415864615322E-4</v>
      </c>
      <c r="AC598" s="12">
        <v>1.9253375533200257</v>
      </c>
      <c r="AD598" s="12">
        <v>1.7614266029572423E-3</v>
      </c>
      <c r="AE598" s="12">
        <v>-0.36030729595554811</v>
      </c>
      <c r="AF598" s="12">
        <v>-0.13094276860157744</v>
      </c>
      <c r="AG598" s="12">
        <v>1.3875653329915769</v>
      </c>
      <c r="AH598" s="12">
        <v>12.062699488622822</v>
      </c>
    </row>
    <row r="599" spans="24:34" x14ac:dyDescent="0.25">
      <c r="X599">
        <v>84</v>
      </c>
      <c r="Y599" s="12">
        <v>73.850118621325478</v>
      </c>
      <c r="Z599" s="12">
        <v>10.149881378674522</v>
      </c>
      <c r="AA599" s="12">
        <v>10.159380736886476</v>
      </c>
      <c r="AB599" s="12">
        <v>9.3503319326061329E-4</v>
      </c>
      <c r="AC599" s="12">
        <v>1.6215589486297826</v>
      </c>
      <c r="AD599" s="12">
        <v>1.2304636400774773E-3</v>
      </c>
      <c r="AE599" s="12">
        <v>-0.36030729595554811</v>
      </c>
      <c r="AF599" s="12">
        <v>-0.12940106745118088</v>
      </c>
      <c r="AG599" s="12">
        <v>1.2734044717330715</v>
      </c>
      <c r="AH599" s="12">
        <v>10.159380736886483</v>
      </c>
    </row>
    <row r="600" spans="24:34" x14ac:dyDescent="0.25">
      <c r="X600">
        <v>85</v>
      </c>
      <c r="Y600" s="12">
        <v>73.850118621325478</v>
      </c>
      <c r="Z600" s="12">
        <v>11.149881378674522</v>
      </c>
      <c r="AA600" s="12">
        <v>11.160316645185063</v>
      </c>
      <c r="AB600" s="12">
        <v>9.3503319326061329E-4</v>
      </c>
      <c r="AC600" s="12">
        <v>1.7813203180618205</v>
      </c>
      <c r="AD600" s="12">
        <v>1.4848662823785373E-3</v>
      </c>
      <c r="AE600" s="12">
        <v>-0.36030729595554811</v>
      </c>
      <c r="AF600" s="12">
        <v>-0.12832602718261343</v>
      </c>
      <c r="AG600" s="12">
        <v>1.3346611248035287</v>
      </c>
      <c r="AH600" s="12">
        <v>11.160316645185068</v>
      </c>
    </row>
    <row r="601" spans="24:34" x14ac:dyDescent="0.25">
      <c r="X601">
        <v>83</v>
      </c>
      <c r="Y601" s="12">
        <v>73.850118621325478</v>
      </c>
      <c r="Z601" s="12">
        <v>9.1498813786745217</v>
      </c>
      <c r="AA601" s="12">
        <v>9.1584448285879034</v>
      </c>
      <c r="AB601" s="12">
        <v>9.3503319326061329E-4</v>
      </c>
      <c r="AC601" s="12">
        <v>1.4617975791977447</v>
      </c>
      <c r="AD601" s="12">
        <v>9.9994883588985176E-4</v>
      </c>
      <c r="AE601" s="12">
        <v>-0.35059197017921911</v>
      </c>
      <c r="AF601" s="12">
        <v>-0.12809573890645962</v>
      </c>
      <c r="AG601" s="12">
        <v>1.2090482121064257</v>
      </c>
      <c r="AH601" s="12">
        <v>9.1584448285878981</v>
      </c>
    </row>
    <row r="602" spans="24:34" x14ac:dyDescent="0.25">
      <c r="X602">
        <v>80</v>
      </c>
      <c r="Y602" s="12">
        <v>73.751483902734293</v>
      </c>
      <c r="Z602" s="12">
        <v>6.248516097265707</v>
      </c>
      <c r="AA602" s="12">
        <v>6.2542758722012763</v>
      </c>
      <c r="AB602" s="12">
        <v>9.2093394235682568E-4</v>
      </c>
      <c r="AC602" s="12">
        <v>0.99826444466536512</v>
      </c>
      <c r="AD602" s="12">
        <v>4.5929300487624198E-4</v>
      </c>
      <c r="AE602" s="12">
        <v>-0.35059197017921911</v>
      </c>
      <c r="AF602" s="12">
        <v>-0.12765690546252034</v>
      </c>
      <c r="AG602" s="12">
        <v>0.99913184548655298</v>
      </c>
      <c r="AH602" s="12">
        <v>6.2542758722012808</v>
      </c>
    </row>
    <row r="603" spans="24:34" x14ac:dyDescent="0.25">
      <c r="X603">
        <v>79.900000000000006</v>
      </c>
      <c r="Y603" s="12">
        <v>73.800801262029893</v>
      </c>
      <c r="Z603" s="12">
        <v>6.0991987379701129</v>
      </c>
      <c r="AA603" s="12">
        <v>6.1048637152726428</v>
      </c>
      <c r="AB603" s="12">
        <v>9.2794492502157821E-4</v>
      </c>
      <c r="AC603" s="12">
        <v>0.97441288614032495</v>
      </c>
      <c r="AD603" s="12">
        <v>4.4094196287021366E-4</v>
      </c>
      <c r="AE603" s="12">
        <v>-0.35059197017921911</v>
      </c>
      <c r="AF603" s="12">
        <v>-0.12765143979154384</v>
      </c>
      <c r="AG603" s="12">
        <v>0.98712354147812975</v>
      </c>
      <c r="AH603" s="12">
        <v>6.1048637152726482</v>
      </c>
    </row>
    <row r="604" spans="24:34" x14ac:dyDescent="0.25">
      <c r="X604">
        <v>79.400000000000006</v>
      </c>
      <c r="Y604" s="12">
        <v>77.20369905342578</v>
      </c>
      <c r="Z604" s="12">
        <v>2.196300946574226</v>
      </c>
      <c r="AA604" s="12">
        <v>2.1998170183657351</v>
      </c>
      <c r="AB604" s="12">
        <v>1.5983473907824589E-3</v>
      </c>
      <c r="AC604" s="12">
        <v>0.35100058704372572</v>
      </c>
      <c r="AD604" s="12">
        <v>9.8616951937218389E-5</v>
      </c>
      <c r="AE604" s="12">
        <v>-0.35059197017921911</v>
      </c>
      <c r="AF604" s="12">
        <v>-0.12465456830957675</v>
      </c>
      <c r="AG604" s="12">
        <v>0.59245302517898046</v>
      </c>
      <c r="AH604" s="12">
        <v>2.1998170183657297</v>
      </c>
    </row>
    <row r="605" spans="24:34" x14ac:dyDescent="0.25">
      <c r="X605">
        <v>79.7</v>
      </c>
      <c r="Y605" s="12">
        <v>73.800801262029893</v>
      </c>
      <c r="Z605" s="12">
        <v>5.8991987379701101</v>
      </c>
      <c r="AA605" s="12">
        <v>5.9046779539113317</v>
      </c>
      <c r="AB605" s="12">
        <v>9.2794492502157821E-4</v>
      </c>
      <c r="AC605" s="12">
        <v>0.94246072560244309</v>
      </c>
      <c r="AD605" s="12">
        <v>4.124980655579907E-4</v>
      </c>
      <c r="AE605" s="12">
        <v>-0.35059197017921911</v>
      </c>
      <c r="AF605" s="12">
        <v>-0.12393799177410744</v>
      </c>
      <c r="AG605" s="12">
        <v>0.9708041643928208</v>
      </c>
      <c r="AH605" s="12">
        <v>5.904677953911329</v>
      </c>
    </row>
    <row r="606" spans="24:34" x14ac:dyDescent="0.25">
      <c r="X606">
        <v>79.3</v>
      </c>
      <c r="Y606" s="12">
        <v>73.603531824847522</v>
      </c>
      <c r="Z606" s="12">
        <v>5.6964681751524751</v>
      </c>
      <c r="AA606" s="12">
        <v>5.7016016960976259</v>
      </c>
      <c r="AB606" s="12">
        <v>9.0036470780826508E-4</v>
      </c>
      <c r="AC606" s="12">
        <v>0.91005976676433042</v>
      </c>
      <c r="AD606" s="12">
        <v>3.731809766727406E-4</v>
      </c>
      <c r="AE606" s="12">
        <v>-0.35059197017921911</v>
      </c>
      <c r="AF606" s="12">
        <v>-0.12350150145318071</v>
      </c>
      <c r="AG606" s="12">
        <v>0.953970527198996</v>
      </c>
      <c r="AH606" s="12">
        <v>5.7016016960976215</v>
      </c>
    </row>
    <row r="607" spans="24:34" x14ac:dyDescent="0.25">
      <c r="X607">
        <v>79.2</v>
      </c>
      <c r="Y607" s="12">
        <v>73.603531824847522</v>
      </c>
      <c r="Z607" s="12">
        <v>5.5964681751524807</v>
      </c>
      <c r="AA607" s="12">
        <v>5.6015115784881289</v>
      </c>
      <c r="AB607" s="12">
        <v>9.0036470780826508E-4</v>
      </c>
      <c r="AC607" s="12">
        <v>0.89408390700733431</v>
      </c>
      <c r="AD607" s="12">
        <v>3.6019379168826716E-4</v>
      </c>
      <c r="AE607" s="12">
        <v>-0.35059197017921911</v>
      </c>
      <c r="AF607" s="12">
        <v>-0.12350150145318071</v>
      </c>
      <c r="AG607" s="12">
        <v>0.94556010227131215</v>
      </c>
      <c r="AH607" s="12">
        <v>5.6015115784881306</v>
      </c>
    </row>
    <row r="608" spans="24:34" x14ac:dyDescent="0.25">
      <c r="X608">
        <v>79.099999999999994</v>
      </c>
      <c r="Y608" s="12">
        <v>73.603531824847522</v>
      </c>
      <c r="Z608" s="12">
        <v>5.4964681751524722</v>
      </c>
      <c r="AA608" s="12">
        <v>5.5014214608786318</v>
      </c>
      <c r="AB608" s="12">
        <v>9.0036470780826508E-4</v>
      </c>
      <c r="AC608" s="12">
        <v>0.87810804725033587</v>
      </c>
      <c r="AD608" s="12">
        <v>3.4743661216174562E-4</v>
      </c>
      <c r="AE608" s="12">
        <v>-0.35059197017921911</v>
      </c>
      <c r="AF608" s="12">
        <v>-0.11933640175887968</v>
      </c>
      <c r="AG608" s="12">
        <v>0.93707419516830992</v>
      </c>
      <c r="AH608" s="12">
        <v>5.5014214608786265</v>
      </c>
    </row>
    <row r="609" spans="24:34" x14ac:dyDescent="0.25">
      <c r="X609">
        <v>79</v>
      </c>
      <c r="Y609" s="12">
        <v>73.603531824847522</v>
      </c>
      <c r="Z609" s="12">
        <v>5.3964681751524779</v>
      </c>
      <c r="AA609" s="12">
        <v>5.4013313432691348</v>
      </c>
      <c r="AB609" s="12">
        <v>9.0036470780826508E-4</v>
      </c>
      <c r="AC609" s="12">
        <v>0.86213218749333964</v>
      </c>
      <c r="AD609" s="12">
        <v>3.3490943809317961E-4</v>
      </c>
      <c r="AE609" s="12">
        <v>-0.337689309602062</v>
      </c>
      <c r="AF609" s="12">
        <v>-0.11562382307168499</v>
      </c>
      <c r="AG609" s="12">
        <v>0.92851073633714098</v>
      </c>
      <c r="AH609" s="12">
        <v>5.4013313432691366</v>
      </c>
    </row>
    <row r="610" spans="24:34" x14ac:dyDescent="0.25">
      <c r="X610">
        <v>78.7</v>
      </c>
      <c r="Y610" s="12">
        <v>73.504897106256337</v>
      </c>
      <c r="Z610" s="12">
        <v>5.1951028937436661</v>
      </c>
      <c r="AA610" s="12">
        <v>5.199715240376733</v>
      </c>
      <c r="AB610" s="12">
        <v>8.8703831264730533E-4</v>
      </c>
      <c r="AC610" s="12">
        <v>0.82995681740473159</v>
      </c>
      <c r="AD610" s="12">
        <v>3.0577979317854606E-4</v>
      </c>
      <c r="AE610" s="12">
        <v>-0.337689309602062</v>
      </c>
      <c r="AF610" s="12">
        <v>-0.11500531692795446</v>
      </c>
      <c r="AG610" s="12">
        <v>0.91101965807809637</v>
      </c>
      <c r="AH610" s="12">
        <v>5.1997152403767366</v>
      </c>
    </row>
    <row r="611" spans="24:34" x14ac:dyDescent="0.25">
      <c r="X611">
        <v>78.2</v>
      </c>
      <c r="Y611" s="12">
        <v>73.455579746960737</v>
      </c>
      <c r="Z611" s="12">
        <v>4.7444202530392658</v>
      </c>
      <c r="AA611" s="12">
        <v>4.7486013540002716</v>
      </c>
      <c r="AB611" s="12">
        <v>8.8049104342824967E-4</v>
      </c>
      <c r="AC611" s="12">
        <v>0.75795438749269373</v>
      </c>
      <c r="AD611" s="12">
        <v>2.5314167548772415E-4</v>
      </c>
      <c r="AE611" s="12">
        <v>-0.337689309602062</v>
      </c>
      <c r="AF611" s="12">
        <v>-0.11431479757712931</v>
      </c>
      <c r="AG611" s="12">
        <v>0.87060575893609482</v>
      </c>
      <c r="AH611" s="12">
        <v>4.7486013540002743</v>
      </c>
    </row>
    <row r="612" spans="24:34" x14ac:dyDescent="0.25">
      <c r="X612">
        <v>71.7</v>
      </c>
      <c r="Y612" s="12">
        <v>68.375891739514714</v>
      </c>
      <c r="Z612" s="12">
        <v>3.3241082604852892</v>
      </c>
      <c r="AA612" s="12">
        <v>3.3261706986935593</v>
      </c>
      <c r="AB612" s="12">
        <v>6.2006384972418892E-4</v>
      </c>
      <c r="AC612" s="12">
        <v>0.53098039489625559</v>
      </c>
      <c r="AD612" s="12">
        <v>8.7464690320850032E-5</v>
      </c>
      <c r="AE612" s="12">
        <v>-0.337689309602062</v>
      </c>
      <c r="AF612" s="12">
        <v>-0.11344247142886124</v>
      </c>
      <c r="AG612" s="12">
        <v>0.72868401580949727</v>
      </c>
      <c r="AH612" s="12">
        <v>3.3261706986935611</v>
      </c>
    </row>
    <row r="613" spans="24:34" x14ac:dyDescent="0.25">
      <c r="X613">
        <v>71.400000000000006</v>
      </c>
      <c r="Y613" s="12">
        <v>68.277257020923514</v>
      </c>
      <c r="Z613" s="12">
        <v>3.1227429790764916</v>
      </c>
      <c r="AA613" s="12">
        <v>3.1246900421734267</v>
      </c>
      <c r="AB613" s="12">
        <v>6.2312199631118278E-4</v>
      </c>
      <c r="AC613" s="12">
        <v>0.49881583486880576</v>
      </c>
      <c r="AD613" s="12">
        <v>7.757008237872082E-5</v>
      </c>
      <c r="AE613" s="12">
        <v>-0.337689309602062</v>
      </c>
      <c r="AF613" s="12">
        <v>-0.11255142674536274</v>
      </c>
      <c r="AG613" s="12">
        <v>0.70626895363509057</v>
      </c>
      <c r="AH613" s="12">
        <v>3.1246900421734245</v>
      </c>
    </row>
    <row r="614" spans="24:34" x14ac:dyDescent="0.25">
      <c r="X614">
        <v>71.3</v>
      </c>
      <c r="Y614" s="12">
        <v>68.277257020923514</v>
      </c>
      <c r="Z614" s="12">
        <v>3.022742979076483</v>
      </c>
      <c r="AA614" s="12">
        <v>3.0246276911214665</v>
      </c>
      <c r="AB614" s="12">
        <v>6.2312199631118278E-4</v>
      </c>
      <c r="AC614" s="12">
        <v>0.48284219124167749</v>
      </c>
      <c r="AD614" s="12">
        <v>7.2681555559290863E-5</v>
      </c>
      <c r="AE614" s="12">
        <v>-0.337689309602062</v>
      </c>
      <c r="AF614" s="12">
        <v>-0.11104499085087131</v>
      </c>
      <c r="AG614" s="12">
        <v>0.69486847046162448</v>
      </c>
      <c r="AH614" s="12">
        <v>3.0246276911214727</v>
      </c>
    </row>
    <row r="615" spans="24:34" x14ac:dyDescent="0.25">
      <c r="X615">
        <v>71.099999999999994</v>
      </c>
      <c r="Y615" s="12">
        <v>68.079987583741143</v>
      </c>
      <c r="Z615" s="12">
        <v>3.0200124162588509</v>
      </c>
      <c r="AA615" s="12">
        <v>3.0219167245764282</v>
      </c>
      <c r="AB615" s="12">
        <v>6.3016571637656389E-4</v>
      </c>
      <c r="AC615" s="12">
        <v>0.48240772090296852</v>
      </c>
      <c r="AD615" s="12">
        <v>7.3371439585964362E-5</v>
      </c>
      <c r="AE615" s="12">
        <v>-0.337689309602062</v>
      </c>
      <c r="AF615" s="12">
        <v>-0.1059853293581956</v>
      </c>
      <c r="AG615" s="12">
        <v>0.69455577234874988</v>
      </c>
      <c r="AH615" s="12">
        <v>3.0219167245764238</v>
      </c>
    </row>
    <row r="616" spans="24:34" x14ac:dyDescent="0.25">
      <c r="X616">
        <v>77</v>
      </c>
      <c r="Y616" s="12">
        <v>67.932035505854373</v>
      </c>
      <c r="Z616" s="12">
        <v>9.0679644941456274</v>
      </c>
      <c r="AA616" s="12">
        <v>9.073737750571766</v>
      </c>
      <c r="AB616" s="12">
        <v>6.3626000495556898E-4</v>
      </c>
      <c r="AC616" s="12">
        <v>1.448493853655707</v>
      </c>
      <c r="AD616" s="12">
        <v>6.6790447679909183E-4</v>
      </c>
      <c r="AE616" s="12">
        <v>-0.337689309602062</v>
      </c>
      <c r="AF616" s="12">
        <v>-0.10501281662753761</v>
      </c>
      <c r="AG616" s="12">
        <v>1.2035339021630038</v>
      </c>
      <c r="AH616" s="12">
        <v>9.0737377505717713</v>
      </c>
    </row>
    <row r="617" spans="24:34" x14ac:dyDescent="0.25">
      <c r="X617">
        <v>76</v>
      </c>
      <c r="Y617" s="12">
        <v>67.833400787263187</v>
      </c>
      <c r="Z617" s="12">
        <v>8.1665992127368128</v>
      </c>
      <c r="AA617" s="12">
        <v>8.1718349833423503</v>
      </c>
      <c r="AB617" s="12">
        <v>6.4070929187965309E-4</v>
      </c>
      <c r="AC617" s="12">
        <v>1.3045149333462531</v>
      </c>
      <c r="AD617" s="12">
        <v>5.4551598677993836E-4</v>
      </c>
      <c r="AE617" s="12">
        <v>-0.337689309602062</v>
      </c>
      <c r="AF617" s="12">
        <v>-9.9650235912127488E-2</v>
      </c>
      <c r="AG617" s="12">
        <v>1.1421536382406061</v>
      </c>
      <c r="AH617" s="12">
        <v>8.1718349833423467</v>
      </c>
    </row>
    <row r="618" spans="24:34" x14ac:dyDescent="0.25">
      <c r="X618">
        <v>79</v>
      </c>
      <c r="Y618" s="12">
        <v>76.661208101174267</v>
      </c>
      <c r="Z618" s="12">
        <v>2.3387918988257326</v>
      </c>
      <c r="AA618" s="12">
        <v>2.342227519226995</v>
      </c>
      <c r="AB618" s="12">
        <v>1.4668175371750909E-3</v>
      </c>
      <c r="AC618" s="12">
        <v>0.37374807950905564</v>
      </c>
      <c r="AD618" s="12">
        <v>1.0259862391942205E-4</v>
      </c>
      <c r="AE618" s="12">
        <v>-0.337689309602062</v>
      </c>
      <c r="AF618" s="12">
        <v>-9.8763172018455636E-2</v>
      </c>
      <c r="AG618" s="12">
        <v>0.61134939233555774</v>
      </c>
      <c r="AH618" s="12">
        <v>2.3422275192269888</v>
      </c>
    </row>
    <row r="619" spans="24:34" x14ac:dyDescent="0.25">
      <c r="X619">
        <v>75</v>
      </c>
      <c r="Y619" s="12">
        <v>68.129304943036743</v>
      </c>
      <c r="Z619" s="12">
        <v>6.8706950569632568</v>
      </c>
      <c r="AA619" s="12">
        <v>6.8750145520048562</v>
      </c>
      <c r="AB619" s="12">
        <v>6.2828885799879448E-4</v>
      </c>
      <c r="AC619" s="12">
        <v>1.0975031802010247</v>
      </c>
      <c r="AD619" s="12">
        <v>3.7862900942171196E-4</v>
      </c>
      <c r="AE619" s="12">
        <v>-0.32163939638952632</v>
      </c>
      <c r="AF619" s="12">
        <v>-9.8575544529416456E-2</v>
      </c>
      <c r="AG619" s="12">
        <v>1.047617859813885</v>
      </c>
      <c r="AH619" s="12">
        <v>6.8750145520048616</v>
      </c>
    </row>
    <row r="620" spans="24:34" x14ac:dyDescent="0.25">
      <c r="X620">
        <v>69.7</v>
      </c>
      <c r="Y620" s="12">
        <v>76.414621304696297</v>
      </c>
      <c r="Z620" s="12">
        <v>-6.7146213046962941</v>
      </c>
      <c r="AA620" s="12">
        <v>-6.7241031148872992</v>
      </c>
      <c r="AB620" s="12">
        <v>1.4101226630521449E-3</v>
      </c>
      <c r="AC620" s="12">
        <v>-1.0729922473995437</v>
      </c>
      <c r="AD620" s="12">
        <v>8.1289210522496563E-4</v>
      </c>
      <c r="AE620" s="12">
        <v>-0.32163939638952632</v>
      </c>
      <c r="AF620" s="12">
        <v>-9.7451124378583373E-2</v>
      </c>
      <c r="AG620" s="12">
        <v>1.0358533908809411</v>
      </c>
      <c r="AH620" s="12">
        <v>-6.7241031148872965</v>
      </c>
    </row>
    <row r="621" spans="24:34" x14ac:dyDescent="0.25">
      <c r="X621">
        <v>69.2</v>
      </c>
      <c r="Y621" s="12">
        <v>76.217351867513926</v>
      </c>
      <c r="Z621" s="12">
        <v>-7.0173518675139235</v>
      </c>
      <c r="AA621" s="12">
        <v>-7.0269517932479317</v>
      </c>
      <c r="AB621" s="12">
        <v>1.3661579040908781E-3</v>
      </c>
      <c r="AC621" s="12">
        <v>-1.1213437159676498</v>
      </c>
      <c r="AD621" s="12">
        <v>8.6008650033794277E-4</v>
      </c>
      <c r="AE621" s="12">
        <v>-0.32163939638952632</v>
      </c>
      <c r="AF621" s="12">
        <v>-9.6554061358735802E-2</v>
      </c>
      <c r="AG621" s="12">
        <v>1.0589351802483709</v>
      </c>
      <c r="AH621" s="12">
        <v>-7.0269517932479344</v>
      </c>
    </row>
    <row r="622" spans="24:34" x14ac:dyDescent="0.25">
      <c r="X622">
        <v>58.1</v>
      </c>
      <c r="Y622" s="12">
        <v>62.852347498408335</v>
      </c>
      <c r="Z622" s="12">
        <v>-4.7523474984083336</v>
      </c>
      <c r="AA622" s="12">
        <v>-4.7583782631942171</v>
      </c>
      <c r="AB622" s="12">
        <v>1.2673991961778825E-3</v>
      </c>
      <c r="AC622" s="12">
        <v>-0.75936786700706227</v>
      </c>
      <c r="AD622" s="12">
        <v>3.6587997177584875E-4</v>
      </c>
      <c r="AE622" s="12">
        <v>-0.32163939638952632</v>
      </c>
      <c r="AF622" s="12">
        <v>-9.5921192473454056E-2</v>
      </c>
      <c r="AG622" s="12">
        <v>0.8714171601518198</v>
      </c>
      <c r="AH622" s="12">
        <v>-4.7583782631942162</v>
      </c>
    </row>
    <row r="623" spans="24:34" x14ac:dyDescent="0.25">
      <c r="X623">
        <v>58.8</v>
      </c>
      <c r="Y623" s="12">
        <v>63.592107887842225</v>
      </c>
      <c r="Z623" s="12">
        <v>-4.7921078878422279</v>
      </c>
      <c r="AA623" s="12">
        <v>-4.7975025703043386</v>
      </c>
      <c r="AB623" s="12">
        <v>1.1244772427013831E-3</v>
      </c>
      <c r="AC623" s="12">
        <v>-0.76566631541022234</v>
      </c>
      <c r="AD623" s="12">
        <v>3.2998058369160515E-4</v>
      </c>
      <c r="AE623" s="12">
        <v>-0.32163939638952632</v>
      </c>
      <c r="AF623" s="12">
        <v>-9.4823933733695909E-2</v>
      </c>
      <c r="AG623" s="12">
        <v>0.8750236084873495</v>
      </c>
      <c r="AH623" s="12">
        <v>-4.7975025703043368</v>
      </c>
    </row>
    <row r="624" spans="24:34" x14ac:dyDescent="0.25">
      <c r="X624">
        <v>58.4</v>
      </c>
      <c r="Y624" s="12">
        <v>63.394838450659854</v>
      </c>
      <c r="Z624" s="12">
        <v>-4.9948384506598558</v>
      </c>
      <c r="AA624" s="12">
        <v>-5.0006436452658463</v>
      </c>
      <c r="AB624" s="12">
        <v>1.160889480994228E-3</v>
      </c>
      <c r="AC624" s="12">
        <v>-0.79807244525663834</v>
      </c>
      <c r="AD624" s="12">
        <v>3.7012632387713992E-4</v>
      </c>
      <c r="AE624" s="12">
        <v>-0.32163939638952632</v>
      </c>
      <c r="AF624" s="12">
        <v>-9.220897933489125E-2</v>
      </c>
      <c r="AG624" s="12">
        <v>0.89334900529224204</v>
      </c>
      <c r="AH624" s="12">
        <v>-5.0006436452658454</v>
      </c>
    </row>
    <row r="625" spans="24:34" x14ac:dyDescent="0.25">
      <c r="X625">
        <v>58.1</v>
      </c>
      <c r="Y625" s="12">
        <v>76.168034508218341</v>
      </c>
      <c r="Z625" s="12">
        <v>-18.068034508218339</v>
      </c>
      <c r="AA625" s="12">
        <v>-18.09255643420952</v>
      </c>
      <c r="AB625" s="12">
        <v>1.3553599282862686E-3</v>
      </c>
      <c r="AC625" s="12">
        <v>-2.8871813475173873</v>
      </c>
      <c r="AD625" s="12">
        <v>5.6566824190996158E-3</v>
      </c>
      <c r="AE625" s="12">
        <v>-0.31204933220437475</v>
      </c>
      <c r="AF625" s="12">
        <v>-9.1554346015093185E-2</v>
      </c>
      <c r="AG625" s="12">
        <v>1.6991707823280706</v>
      </c>
      <c r="AH625" s="12">
        <v>-18.092556434209524</v>
      </c>
    </row>
    <row r="626" spans="24:34" x14ac:dyDescent="0.25">
      <c r="X626">
        <v>57.8</v>
      </c>
      <c r="Y626" s="12">
        <v>63.246886372773076</v>
      </c>
      <c r="Z626" s="12">
        <v>-5.4468863727730792</v>
      </c>
      <c r="AA626" s="12">
        <v>-5.4533704856772189</v>
      </c>
      <c r="AB626" s="12">
        <v>1.1890101582438311E-3</v>
      </c>
      <c r="AC626" s="12">
        <v>-0.87031265620612519</v>
      </c>
      <c r="AD626" s="12">
        <v>4.5084043007613252E-4</v>
      </c>
      <c r="AE626" s="12">
        <v>-0.31204933220437475</v>
      </c>
      <c r="AF626" s="12">
        <v>-8.7387850398437897E-2</v>
      </c>
      <c r="AG626" s="12">
        <v>0.93290549157249858</v>
      </c>
      <c r="AH626" s="12">
        <v>-5.4533704856772163</v>
      </c>
    </row>
    <row r="627" spans="24:34" x14ac:dyDescent="0.25">
      <c r="X627">
        <v>57.3</v>
      </c>
      <c r="Y627" s="12">
        <v>62.95098221699952</v>
      </c>
      <c r="Z627" s="12">
        <v>-5.6509822169995232</v>
      </c>
      <c r="AA627" s="12">
        <v>-5.6580397061937191</v>
      </c>
      <c r="AB627" s="12">
        <v>1.2473382232486725E-3</v>
      </c>
      <c r="AC627" s="12">
        <v>-0.90294979849790091</v>
      </c>
      <c r="AD627" s="12">
        <v>5.0912391364817014E-4</v>
      </c>
      <c r="AE627" s="12">
        <v>-0.31204933220437475</v>
      </c>
      <c r="AF627" s="12">
        <v>-8.7163455160480033E-2</v>
      </c>
      <c r="AG627" s="12">
        <v>0.95023670656205494</v>
      </c>
      <c r="AH627" s="12">
        <v>-5.6580397061937173</v>
      </c>
    </row>
    <row r="628" spans="24:34" x14ac:dyDescent="0.25">
      <c r="X628">
        <v>56.8</v>
      </c>
      <c r="Y628" s="12">
        <v>75.97076507103597</v>
      </c>
      <c r="Z628" s="12">
        <v>-19.170765071035973</v>
      </c>
      <c r="AA628" s="12">
        <v>-19.195968242488277</v>
      </c>
      <c r="AB628" s="12">
        <v>1.3129408808106582E-3</v>
      </c>
      <c r="AC628" s="12">
        <v>-3.0633271047677773</v>
      </c>
      <c r="AD628" s="12">
        <v>6.1683995997703243E-3</v>
      </c>
      <c r="AE628" s="12">
        <v>-0.31204933220437475</v>
      </c>
      <c r="AF628" s="12">
        <v>-8.3676648752572247E-2</v>
      </c>
      <c r="AG628" s="12">
        <v>1.7502362996943519</v>
      </c>
      <c r="AH628" s="12">
        <v>-19.195968242488281</v>
      </c>
    </row>
    <row r="629" spans="24:34" x14ac:dyDescent="0.25">
      <c r="X629">
        <v>56.4</v>
      </c>
      <c r="Y629" s="12">
        <v>75.822812993149185</v>
      </c>
      <c r="Z629" s="12">
        <v>-19.422812993149186</v>
      </c>
      <c r="AA629" s="12">
        <v>-19.447743796759433</v>
      </c>
      <c r="AB629" s="12">
        <v>1.2819380937339195E-3</v>
      </c>
      <c r="AC629" s="12">
        <v>-3.103554071665271</v>
      </c>
      <c r="AD629" s="12">
        <v>6.1817691917099779E-3</v>
      </c>
      <c r="AE629" s="12">
        <v>-0.31204933220437475</v>
      </c>
      <c r="AF629" s="12">
        <v>-8.1346465487333708E-2</v>
      </c>
      <c r="AG629" s="12">
        <v>1.7616906855816861</v>
      </c>
      <c r="AH629" s="12">
        <v>-19.447743796759429</v>
      </c>
    </row>
    <row r="630" spans="24:34" x14ac:dyDescent="0.25">
      <c r="X630">
        <v>58.4</v>
      </c>
      <c r="Y630" s="12">
        <v>63.69074260643341</v>
      </c>
      <c r="Z630" s="12">
        <v>-5.2907426064334118</v>
      </c>
      <c r="AA630" s="12">
        <v>-5.2966045431991873</v>
      </c>
      <c r="AB630" s="12">
        <v>1.1067348370006574E-3</v>
      </c>
      <c r="AC630" s="12">
        <v>-0.84532892734159548</v>
      </c>
      <c r="AD630" s="12">
        <v>3.9586395716627461E-4</v>
      </c>
      <c r="AE630" s="12">
        <v>-0.31204933220437475</v>
      </c>
      <c r="AF630" s="12">
        <v>-8.0383653407703093E-2</v>
      </c>
      <c r="AG630" s="12">
        <v>0.91941771102235981</v>
      </c>
      <c r="AH630" s="12">
        <v>-5.2966045431991864</v>
      </c>
    </row>
    <row r="631" spans="24:34" x14ac:dyDescent="0.25">
      <c r="X631">
        <v>58.1</v>
      </c>
      <c r="Y631" s="12">
        <v>63.838694684320188</v>
      </c>
      <c r="Z631" s="12">
        <v>-5.7386946843201869</v>
      </c>
      <c r="AA631" s="12">
        <v>-5.744903206214687</v>
      </c>
      <c r="AB631" s="12">
        <v>1.0807008702566903E-3</v>
      </c>
      <c r="AC631" s="12">
        <v>-0.91688856697026644</v>
      </c>
      <c r="AD631" s="12">
        <v>4.5475576827575811E-4</v>
      </c>
      <c r="AE631" s="12">
        <v>-0.31204933220437475</v>
      </c>
      <c r="AF631" s="12">
        <v>-7.9533420593903323E-2</v>
      </c>
      <c r="AG631" s="12">
        <v>0.95754298439822871</v>
      </c>
      <c r="AH631" s="12">
        <v>-5.7449032062146834</v>
      </c>
    </row>
    <row r="632" spans="24:34" x14ac:dyDescent="0.25">
      <c r="X632">
        <v>57.6</v>
      </c>
      <c r="Y632" s="12">
        <v>63.542790528546632</v>
      </c>
      <c r="Z632" s="12">
        <v>-5.9427905285466309</v>
      </c>
      <c r="AA632" s="12">
        <v>-5.9495341135056705</v>
      </c>
      <c r="AB632" s="12">
        <v>1.1334643739131702E-3</v>
      </c>
      <c r="AC632" s="12">
        <v>-0.94952265339111408</v>
      </c>
      <c r="AD632" s="12">
        <v>5.1154173959497143E-4</v>
      </c>
      <c r="AE632" s="12">
        <v>-0.31204933220437475</v>
      </c>
      <c r="AF632" s="12">
        <v>-7.7752035602201869E-2</v>
      </c>
      <c r="AG632" s="12">
        <v>0.97443453006916481</v>
      </c>
      <c r="AH632" s="12">
        <v>-5.9495341135056705</v>
      </c>
    </row>
    <row r="633" spans="24:34" x14ac:dyDescent="0.25">
      <c r="X633">
        <v>57.1</v>
      </c>
      <c r="Y633" s="12">
        <v>63.345521091364262</v>
      </c>
      <c r="Z633" s="12">
        <v>-6.2455210913642603</v>
      </c>
      <c r="AA633" s="12">
        <v>-6.2528380734029696</v>
      </c>
      <c r="AB633" s="12">
        <v>1.1701857545031464E-3</v>
      </c>
      <c r="AC633" s="12">
        <v>-0.99791044969415788</v>
      </c>
      <c r="AD633" s="12">
        <v>5.8333287771850225E-4</v>
      </c>
      <c r="AE633" s="12">
        <v>-0.31204933220437475</v>
      </c>
      <c r="AF633" s="12">
        <v>-7.5144451134394746E-2</v>
      </c>
      <c r="AG633" s="12">
        <v>0.99895467849855824</v>
      </c>
      <c r="AH633" s="12">
        <v>-6.2528380734029714</v>
      </c>
    </row>
    <row r="634" spans="24:34" x14ac:dyDescent="0.25">
      <c r="X634">
        <v>56.7</v>
      </c>
      <c r="Y634" s="12">
        <v>63.444155809955447</v>
      </c>
      <c r="Z634" s="12">
        <v>-6.7441558099554442</v>
      </c>
      <c r="AA634" s="12">
        <v>-6.7519318105928576</v>
      </c>
      <c r="AB634" s="12">
        <v>1.1516704930595928E-3</v>
      </c>
      <c r="AC634" s="12">
        <v>-1.0775724046239485</v>
      </c>
      <c r="AD634" s="12">
        <v>6.6940911063547153E-4</v>
      </c>
      <c r="AE634" s="12">
        <v>-0.31204933220437475</v>
      </c>
      <c r="AF634" s="12">
        <v>-7.3835784078024644E-2</v>
      </c>
      <c r="AG634" s="12">
        <v>1.0380618500956234</v>
      </c>
      <c r="AH634" s="12">
        <v>-6.751931810592855</v>
      </c>
    </row>
    <row r="635" spans="24:34" x14ac:dyDescent="0.25">
      <c r="X635">
        <v>56.3</v>
      </c>
      <c r="Y635" s="12">
        <v>63.394838450659854</v>
      </c>
      <c r="Z635" s="12">
        <v>-7.0948384506598572</v>
      </c>
      <c r="AA635" s="12">
        <v>-7.1030843465603937</v>
      </c>
      <c r="AB635" s="12">
        <v>1.160889480994228E-3</v>
      </c>
      <c r="AC635" s="12">
        <v>-1.1336092502192765</v>
      </c>
      <c r="AD635" s="12">
        <v>7.4677901120517246E-4</v>
      </c>
      <c r="AE635" s="12">
        <v>-0.31204933220437475</v>
      </c>
      <c r="AF635" s="12">
        <v>-7.2942473867271124E-2</v>
      </c>
      <c r="AG635" s="12">
        <v>1.0647108763506066</v>
      </c>
      <c r="AH635" s="12">
        <v>-7.1030843465603937</v>
      </c>
    </row>
    <row r="636" spans="24:34" x14ac:dyDescent="0.25">
      <c r="X636">
        <v>66</v>
      </c>
      <c r="Y636" s="12">
        <v>66.896370960646934</v>
      </c>
      <c r="Z636" s="12">
        <v>-0.89637096064693367</v>
      </c>
      <c r="AA636" s="12">
        <v>-0.89699742004789584</v>
      </c>
      <c r="AB636" s="12">
        <v>6.9839598972787061E-4</v>
      </c>
      <c r="AC636" s="12">
        <v>-0.14318849547748858</v>
      </c>
      <c r="AD636" s="12">
        <v>7.164591087286156E-6</v>
      </c>
      <c r="AE636" s="12">
        <v>-0.31204933220437475</v>
      </c>
      <c r="AF636" s="12">
        <v>-7.2833601533058762E-2</v>
      </c>
      <c r="AG636" s="12">
        <v>0.37840255744047052</v>
      </c>
      <c r="AH636" s="12">
        <v>-0.8969974200478914</v>
      </c>
    </row>
    <row r="637" spans="24:34" x14ac:dyDescent="0.25">
      <c r="X637">
        <v>65.900000000000006</v>
      </c>
      <c r="Y637" s="12">
        <v>66.847053601351334</v>
      </c>
      <c r="Z637" s="12">
        <v>-0.94705360135132821</v>
      </c>
      <c r="AA637" s="12">
        <v>-0.94771909442614799</v>
      </c>
      <c r="AB637" s="12">
        <v>7.0220498746271023E-4</v>
      </c>
      <c r="AC637" s="12">
        <v>-0.15128495311931919</v>
      </c>
      <c r="AD637" s="12">
        <v>8.0413775846717537E-6</v>
      </c>
      <c r="AE637" s="12">
        <v>-0.29295400660571042</v>
      </c>
      <c r="AF637" s="12">
        <v>-7.0550504643360767E-2</v>
      </c>
      <c r="AG637" s="12">
        <v>0.38895366448886837</v>
      </c>
      <c r="AH637" s="12">
        <v>-0.94771909442614799</v>
      </c>
    </row>
    <row r="638" spans="24:34" x14ac:dyDescent="0.25">
      <c r="X638">
        <v>65.8</v>
      </c>
      <c r="Y638" s="12">
        <v>76.513256023287482</v>
      </c>
      <c r="Z638" s="12">
        <v>-10.713256023287485</v>
      </c>
      <c r="AA638" s="12">
        <v>-10.728625516997724</v>
      </c>
      <c r="AB638" s="12">
        <v>1.4325687559784749E-3</v>
      </c>
      <c r="AC638" s="12">
        <v>-1.7119907931860681</v>
      </c>
      <c r="AD638" s="12">
        <v>2.1023786217062019E-3</v>
      </c>
      <c r="AE638" s="12">
        <v>-0.29295400660571042</v>
      </c>
      <c r="AF638" s="12">
        <v>-6.8779417216605104E-2</v>
      </c>
      <c r="AG638" s="12">
        <v>1.3084306604425273</v>
      </c>
      <c r="AH638" s="12">
        <v>-10.728625516997731</v>
      </c>
    </row>
    <row r="639" spans="24:34" x14ac:dyDescent="0.25">
      <c r="X639">
        <v>65.599999999999994</v>
      </c>
      <c r="Y639" s="12">
        <v>66.304562649099822</v>
      </c>
      <c r="Z639" s="12">
        <v>-0.70456264909982735</v>
      </c>
      <c r="AA639" s="12">
        <v>-0.70509090659885487</v>
      </c>
      <c r="AB639" s="12">
        <v>7.4920481044860878E-4</v>
      </c>
      <c r="AC639" s="12">
        <v>-0.11255142674536274</v>
      </c>
      <c r="AD639" s="12">
        <v>4.7489551529438629E-6</v>
      </c>
      <c r="AE639" s="12">
        <v>-0.29295400660571042</v>
      </c>
      <c r="AF639" s="12">
        <v>-6.8342144769281674E-2</v>
      </c>
      <c r="AG639" s="12">
        <v>0.33548685033151859</v>
      </c>
      <c r="AH639" s="12">
        <v>-0.70509090659885476</v>
      </c>
    </row>
    <row r="640" spans="24:34" x14ac:dyDescent="0.25">
      <c r="X640">
        <v>65.900000000000006</v>
      </c>
      <c r="Y640" s="12">
        <v>66.699101523464563</v>
      </c>
      <c r="Z640" s="12">
        <v>-0.79910152346455732</v>
      </c>
      <c r="AA640" s="12">
        <v>-0.79967256620078331</v>
      </c>
      <c r="AB640" s="12">
        <v>7.1409569411292522E-4</v>
      </c>
      <c r="AC640" s="12">
        <v>-0.12765143979154384</v>
      </c>
      <c r="AD640" s="12">
        <v>5.8222130386517893E-6</v>
      </c>
      <c r="AE640" s="12">
        <v>-0.29295400660571042</v>
      </c>
      <c r="AF640" s="12">
        <v>-6.7467764461407426E-2</v>
      </c>
      <c r="AG640" s="12">
        <v>0.35728341661983676</v>
      </c>
      <c r="AH640" s="12">
        <v>-0.79967256620078153</v>
      </c>
    </row>
    <row r="641" spans="24:34" x14ac:dyDescent="0.25">
      <c r="X641">
        <v>66.099999999999994</v>
      </c>
      <c r="Y641" s="12">
        <v>66.847053601351334</v>
      </c>
      <c r="Z641" s="12">
        <v>-0.74705360135133958</v>
      </c>
      <c r="AA641" s="12">
        <v>-0.74757855474099699</v>
      </c>
      <c r="AB641" s="12">
        <v>7.0220498746271023E-4</v>
      </c>
      <c r="AC641" s="12">
        <v>-0.11933640175887968</v>
      </c>
      <c r="AD641" s="12">
        <v>5.0036262541082072E-6</v>
      </c>
      <c r="AE641" s="12">
        <v>-0.29295400660571042</v>
      </c>
      <c r="AF641" s="12">
        <v>-6.5501181305985867E-2</v>
      </c>
      <c r="AG641" s="12">
        <v>0.34545101209705503</v>
      </c>
      <c r="AH641" s="12">
        <v>-0.74757855474099888</v>
      </c>
    </row>
    <row r="642" spans="24:34" x14ac:dyDescent="0.25">
      <c r="X642">
        <v>66.3</v>
      </c>
      <c r="Y642" s="12">
        <v>66.847053601351334</v>
      </c>
      <c r="Z642" s="12">
        <v>-0.54705360135133674</v>
      </c>
      <c r="AA642" s="12">
        <v>-0.54743801505583178</v>
      </c>
      <c r="AB642" s="12">
        <v>7.0220498746271023E-4</v>
      </c>
      <c r="AC642" s="12">
        <v>-8.7387850398437897E-2</v>
      </c>
      <c r="AD642" s="12">
        <v>2.6831261873883104E-6</v>
      </c>
      <c r="AE642" s="12">
        <v>-0.29295400660571042</v>
      </c>
      <c r="AF642" s="12">
        <v>-6.495172708798598E-2</v>
      </c>
      <c r="AG642" s="12">
        <v>0.2956143609475661</v>
      </c>
      <c r="AH642" s="12">
        <v>-0.54743801505583567</v>
      </c>
    </row>
    <row r="643" spans="24:34" x14ac:dyDescent="0.25">
      <c r="X643">
        <v>65.7</v>
      </c>
      <c r="Y643" s="12">
        <v>66.156610571213037</v>
      </c>
      <c r="Z643" s="12">
        <v>-0.45661057121303372</v>
      </c>
      <c r="AA643" s="12">
        <v>-0.45695952650066829</v>
      </c>
      <c r="AB643" s="12">
        <v>7.6364594105015639E-4</v>
      </c>
      <c r="AC643" s="12">
        <v>-7.2942473867271124E-2</v>
      </c>
      <c r="AD643" s="12">
        <v>2.0330815673281133E-6</v>
      </c>
      <c r="AE643" s="12">
        <v>-0.29295400660571042</v>
      </c>
      <c r="AF643" s="12">
        <v>-6.0261692080636926E-2</v>
      </c>
      <c r="AG643" s="12">
        <v>0.27007864385632407</v>
      </c>
      <c r="AH643" s="12">
        <v>-0.45695952650067018</v>
      </c>
    </row>
    <row r="644" spans="24:34" x14ac:dyDescent="0.25">
      <c r="X644">
        <v>65.2</v>
      </c>
      <c r="Y644" s="12">
        <v>76.414621304696297</v>
      </c>
      <c r="Z644" s="12">
        <v>-11.214621304696294</v>
      </c>
      <c r="AA644" s="12">
        <v>-11.230457627513303</v>
      </c>
      <c r="AB644" s="12">
        <v>1.4101226630521449E-3</v>
      </c>
      <c r="AC644" s="12">
        <v>-1.7920894077890441</v>
      </c>
      <c r="AD644" s="12">
        <v>2.2675615453844949E-3</v>
      </c>
      <c r="AE644" s="12">
        <v>-0.29295400660571042</v>
      </c>
      <c r="AF644" s="12">
        <v>-5.7722465254295516E-2</v>
      </c>
      <c r="AG644" s="12">
        <v>1.3386894366465449</v>
      </c>
      <c r="AH644" s="12">
        <v>-11.230457627513298</v>
      </c>
    </row>
    <row r="645" spans="24:34" x14ac:dyDescent="0.25">
      <c r="X645">
        <v>65</v>
      </c>
      <c r="Y645" s="12">
        <v>65.860706415439481</v>
      </c>
      <c r="Z645" s="12">
        <v>-0.86070641543948057</v>
      </c>
      <c r="AA645" s="12">
        <v>-0.86139088948597475</v>
      </c>
      <c r="AB645" s="12">
        <v>7.9461491275888715E-4</v>
      </c>
      <c r="AC645" s="12">
        <v>-0.13749797329965918</v>
      </c>
      <c r="AD645" s="12">
        <v>7.5173460577193898E-6</v>
      </c>
      <c r="AE645" s="12">
        <v>-0.28028330588569778</v>
      </c>
      <c r="AF645" s="12">
        <v>-5.739670629987955E-2</v>
      </c>
      <c r="AG645" s="12">
        <v>0.37080719154253089</v>
      </c>
      <c r="AH645" s="12">
        <v>-0.86139088948598075</v>
      </c>
    </row>
    <row r="646" spans="24:34" x14ac:dyDescent="0.25">
      <c r="X646">
        <v>65.099999999999994</v>
      </c>
      <c r="Y646" s="12">
        <v>65.91002377473508</v>
      </c>
      <c r="Z646" s="12">
        <v>-0.81002377473508602</v>
      </c>
      <c r="AA646" s="12">
        <v>-0.81066359925243603</v>
      </c>
      <c r="AB646" s="12">
        <v>7.8926020353839129E-4</v>
      </c>
      <c r="AC646" s="12">
        <v>-0.12940106745118088</v>
      </c>
      <c r="AD646" s="12">
        <v>6.6131570120367375E-6</v>
      </c>
      <c r="AE646" s="12">
        <v>-0.28028330588569778</v>
      </c>
      <c r="AF646" s="12">
        <v>-5.6967707082199184E-2</v>
      </c>
      <c r="AG646" s="12">
        <v>0.3597235986854086</v>
      </c>
      <c r="AH646" s="12">
        <v>-0.81066359925243314</v>
      </c>
    </row>
    <row r="647" spans="24:34" x14ac:dyDescent="0.25">
      <c r="X647">
        <v>65.3</v>
      </c>
      <c r="Y647" s="12">
        <v>65.91002377473508</v>
      </c>
      <c r="Z647" s="12">
        <v>-0.61002377473508318</v>
      </c>
      <c r="AA647" s="12">
        <v>-0.61050562252698626</v>
      </c>
      <c r="AB647" s="12">
        <v>7.8926020353839129E-4</v>
      </c>
      <c r="AC647" s="12">
        <v>-9.7451124378583373E-2</v>
      </c>
      <c r="AD647" s="12">
        <v>3.7506524690438621E-6</v>
      </c>
      <c r="AE647" s="12">
        <v>-0.28028330588569778</v>
      </c>
      <c r="AF647" s="12">
        <v>-4.9330345075884942E-2</v>
      </c>
      <c r="AG647" s="12">
        <v>0.3121716264790626</v>
      </c>
      <c r="AH647" s="12">
        <v>-0.61050562252698015</v>
      </c>
    </row>
    <row r="648" spans="24:34" x14ac:dyDescent="0.25">
      <c r="X648">
        <v>65.3</v>
      </c>
      <c r="Y648" s="12">
        <v>65.564802259665925</v>
      </c>
      <c r="Z648" s="12">
        <v>-0.26480225966592741</v>
      </c>
      <c r="AA648" s="12">
        <v>-0.26502179475372145</v>
      </c>
      <c r="AB648" s="12">
        <v>8.2836616514179843E-4</v>
      </c>
      <c r="AC648" s="12">
        <v>-4.2302913418611393E-2</v>
      </c>
      <c r="AD648" s="12">
        <v>7.4181022768657407E-7</v>
      </c>
      <c r="AE648" s="12">
        <v>-0.28028330588569778</v>
      </c>
      <c r="AF648" s="12">
        <v>-4.5602334934591121E-2</v>
      </c>
      <c r="AG648" s="12">
        <v>0.20567672065309528</v>
      </c>
      <c r="AH648" s="12">
        <v>-0.26502179475372656</v>
      </c>
    </row>
    <row r="649" spans="24:34" x14ac:dyDescent="0.25">
      <c r="X649">
        <v>65.400000000000006</v>
      </c>
      <c r="Y649" s="12">
        <v>65.416850181779154</v>
      </c>
      <c r="Z649" s="12">
        <v>-1.6850181779147988E-2</v>
      </c>
      <c r="AA649" s="12">
        <v>-1.6864453915999889E-2</v>
      </c>
      <c r="AB649" s="12">
        <v>8.4628514658607163E-4</v>
      </c>
      <c r="AC649" s="12">
        <v>-2.6918885571507044E-3</v>
      </c>
      <c r="AD649" s="12">
        <v>3.0687998772175037E-9</v>
      </c>
      <c r="AE649" s="12">
        <v>-0.27396491687072577</v>
      </c>
      <c r="AF649" s="12">
        <v>-4.4069895838697484E-2</v>
      </c>
      <c r="AG649" s="12">
        <v>5.188341312163941E-2</v>
      </c>
      <c r="AH649" s="12">
        <v>-1.6864453916002387E-2</v>
      </c>
    </row>
    <row r="650" spans="24:34" x14ac:dyDescent="0.25">
      <c r="X650">
        <v>63.1</v>
      </c>
      <c r="Y650" s="12">
        <v>65.515484900370339</v>
      </c>
      <c r="Z650" s="12">
        <v>-2.4154849003703376</v>
      </c>
      <c r="AA650" s="12">
        <v>-2.4175017298924288</v>
      </c>
      <c r="AB650" s="12">
        <v>8.3426187338227317E-4</v>
      </c>
      <c r="AC650" s="12">
        <v>-0.38588171491464868</v>
      </c>
      <c r="AD650" s="12">
        <v>6.216461768542784E-5</v>
      </c>
      <c r="AE650" s="12">
        <v>-0.27396491687072577</v>
      </c>
      <c r="AF650" s="12">
        <v>-4.363361285796305E-2</v>
      </c>
      <c r="AG650" s="12">
        <v>0.62119378209593235</v>
      </c>
      <c r="AH650" s="12">
        <v>-2.4175017298924226</v>
      </c>
    </row>
    <row r="651" spans="24:34" x14ac:dyDescent="0.25">
      <c r="X651">
        <v>62.7</v>
      </c>
      <c r="Y651" s="12">
        <v>65.120946026005598</v>
      </c>
      <c r="Z651" s="12">
        <v>-2.4209460260055948</v>
      </c>
      <c r="AA651" s="12">
        <v>-2.4230885446914954</v>
      </c>
      <c r="AB651" s="12">
        <v>8.8420981998025433E-4</v>
      </c>
      <c r="AC651" s="12">
        <v>-0.38676381504153295</v>
      </c>
      <c r="AD651" s="12">
        <v>6.6191342018939934E-5</v>
      </c>
      <c r="AE651" s="12">
        <v>-0.27396491687072577</v>
      </c>
      <c r="AF651" s="12">
        <v>-4.2302913418611393E-2</v>
      </c>
      <c r="AG651" s="12">
        <v>0.62190338079281493</v>
      </c>
      <c r="AH651" s="12">
        <v>-2.4230885446914927</v>
      </c>
    </row>
    <row r="652" spans="24:34" x14ac:dyDescent="0.25">
      <c r="X652">
        <v>74.5</v>
      </c>
      <c r="Y652" s="12">
        <v>70.249951392747221</v>
      </c>
      <c r="Z652" s="12">
        <v>4.2500486072527792</v>
      </c>
      <c r="AA652" s="12">
        <v>4.2526882342586703</v>
      </c>
      <c r="AB652" s="12">
        <v>6.2069610102623556E-4</v>
      </c>
      <c r="AC652" s="12">
        <v>0.67888679453516132</v>
      </c>
      <c r="AD652" s="12">
        <v>1.4312430548881099E-4</v>
      </c>
      <c r="AE652" s="12">
        <v>-0.27396491687072577</v>
      </c>
      <c r="AF652" s="12">
        <v>-4.1452616607229285E-2</v>
      </c>
      <c r="AG652" s="12">
        <v>0.82394586869233177</v>
      </c>
      <c r="AH652" s="12">
        <v>4.252688234258664</v>
      </c>
    </row>
    <row r="653" spans="24:34" x14ac:dyDescent="0.25">
      <c r="X653">
        <v>74.3</v>
      </c>
      <c r="Y653" s="12">
        <v>76.858477538356638</v>
      </c>
      <c r="Z653" s="12">
        <v>-2.5584775383566409</v>
      </c>
      <c r="AA653" s="12">
        <v>-2.5623558293731605</v>
      </c>
      <c r="AB653" s="12">
        <v>1.5135645768105384E-3</v>
      </c>
      <c r="AC653" s="12">
        <v>-0.40886427342890025</v>
      </c>
      <c r="AD653" s="12">
        <v>1.267030639468723E-4</v>
      </c>
      <c r="AE653" s="12">
        <v>-0.27396491687072577</v>
      </c>
      <c r="AF653" s="12">
        <v>-3.7263198052648945E-2</v>
      </c>
      <c r="AG653" s="12">
        <v>0.63942495527536325</v>
      </c>
      <c r="AH653" s="12">
        <v>-2.5623558293731641</v>
      </c>
    </row>
    <row r="654" spans="24:34" x14ac:dyDescent="0.25">
      <c r="X654">
        <v>74.099999999999994</v>
      </c>
      <c r="Y654" s="12">
        <v>70.151316674156035</v>
      </c>
      <c r="Z654" s="12">
        <v>3.9486833258439589</v>
      </c>
      <c r="AA654" s="12">
        <v>3.9511246488912946</v>
      </c>
      <c r="AB654" s="12">
        <v>6.1788054396773654E-4</v>
      </c>
      <c r="AC654" s="12">
        <v>0.63074694839055856</v>
      </c>
      <c r="AD654" s="12">
        <v>1.2298531722579789E-4</v>
      </c>
      <c r="AE654" s="12">
        <v>-0.27396491687072577</v>
      </c>
      <c r="AF654" s="12">
        <v>-3.6220577129980308E-2</v>
      </c>
      <c r="AG654" s="12">
        <v>0.79419578719013517</v>
      </c>
      <c r="AH654" s="12">
        <v>3.9511246488912999</v>
      </c>
    </row>
    <row r="655" spans="24:34" x14ac:dyDescent="0.25">
      <c r="X655">
        <v>73.900000000000006</v>
      </c>
      <c r="Y655" s="12">
        <v>70.05268195556485</v>
      </c>
      <c r="Z655" s="12">
        <v>3.8473180444351556</v>
      </c>
      <c r="AA655" s="12">
        <v>3.8496870422465008</v>
      </c>
      <c r="AB655" s="12">
        <v>6.1537412920636893E-4</v>
      </c>
      <c r="AC655" s="12">
        <v>0.61455449139715546</v>
      </c>
      <c r="AD655" s="12">
        <v>1.1627795052302998E-4</v>
      </c>
      <c r="AE655" s="12">
        <v>-0.27396491687072577</v>
      </c>
      <c r="AF655" s="12">
        <v>-3.3753033775846444E-2</v>
      </c>
      <c r="AG655" s="12">
        <v>0.78393525969760758</v>
      </c>
      <c r="AH655" s="12">
        <v>3.8496870422464951</v>
      </c>
    </row>
    <row r="656" spans="24:34" x14ac:dyDescent="0.25">
      <c r="X656">
        <v>73.599999999999994</v>
      </c>
      <c r="Y656" s="12">
        <v>69.904729877678079</v>
      </c>
      <c r="Z656" s="12">
        <v>3.6952701223219151</v>
      </c>
      <c r="AA656" s="12">
        <v>3.6975337308371934</v>
      </c>
      <c r="AB656" s="12">
        <v>6.1219414887143811E-4</v>
      </c>
      <c r="AC656" s="12">
        <v>0.59026605322860637</v>
      </c>
      <c r="AD656" s="12">
        <v>1.0671383984190833E-4</v>
      </c>
      <c r="AE656" s="12">
        <v>-0.26293383539244392</v>
      </c>
      <c r="AF656" s="12">
        <v>-3.3425198356272542E-2</v>
      </c>
      <c r="AG656" s="12">
        <v>0.7682877411677258</v>
      </c>
      <c r="AH656" s="12">
        <v>3.6975337308371885</v>
      </c>
    </row>
    <row r="657" spans="24:34" x14ac:dyDescent="0.25">
      <c r="X657">
        <v>73.400000000000006</v>
      </c>
      <c r="Y657" s="12">
        <v>69.855412518382479</v>
      </c>
      <c r="Z657" s="12">
        <v>3.5445874816175262</v>
      </c>
      <c r="AA657" s="12">
        <v>3.5467555733154086</v>
      </c>
      <c r="AB657" s="12">
        <v>6.1128872657502679E-4</v>
      </c>
      <c r="AC657" s="12">
        <v>0.56619642030903083</v>
      </c>
      <c r="AD657" s="12">
        <v>9.8042909311212164E-5</v>
      </c>
      <c r="AE657" s="12">
        <v>-0.26293383539244392</v>
      </c>
      <c r="AF657" s="12">
        <v>-3.3332960155392548E-2</v>
      </c>
      <c r="AG657" s="12">
        <v>0.75246024500237274</v>
      </c>
      <c r="AH657" s="12">
        <v>3.5467555733154112</v>
      </c>
    </row>
    <row r="658" spans="24:34" x14ac:dyDescent="0.25">
      <c r="X658">
        <v>73.2</v>
      </c>
      <c r="Y658" s="12">
        <v>69.756777799791294</v>
      </c>
      <c r="Z658" s="12">
        <v>3.4432222002087087</v>
      </c>
      <c r="AA658" s="12">
        <v>3.4453228471015649</v>
      </c>
      <c r="AB658" s="12">
        <v>6.0970973870505248E-4</v>
      </c>
      <c r="AC658" s="12">
        <v>0.55000435286405214</v>
      </c>
      <c r="AD658" s="12">
        <v>9.227631944651592E-5</v>
      </c>
      <c r="AE658" s="12">
        <v>-0.26293383539244392</v>
      </c>
      <c r="AF658" s="12">
        <v>-3.2920697704848345E-2</v>
      </c>
      <c r="AG658" s="12">
        <v>0.74162278340410503</v>
      </c>
      <c r="AH658" s="12">
        <v>3.4453228471015693</v>
      </c>
    </row>
    <row r="659" spans="24:34" x14ac:dyDescent="0.25">
      <c r="X659">
        <v>73</v>
      </c>
      <c r="Y659" s="12">
        <v>76.809160179061038</v>
      </c>
      <c r="Z659" s="12">
        <v>-3.8091601790610383</v>
      </c>
      <c r="AA659" s="12">
        <v>-3.8148892343221519</v>
      </c>
      <c r="AB659" s="12">
        <v>1.5017618885402521E-3</v>
      </c>
      <c r="AC659" s="12">
        <v>-0.60872932470941588</v>
      </c>
      <c r="AD659" s="12">
        <v>2.7865845684577479E-4</v>
      </c>
      <c r="AE659" s="12">
        <v>-0.26293383539244392</v>
      </c>
      <c r="AF659" s="12">
        <v>-3.2459920950662358E-2</v>
      </c>
      <c r="AG659" s="12">
        <v>0.78021107702301684</v>
      </c>
      <c r="AH659" s="12">
        <v>-3.8148892343221457</v>
      </c>
    </row>
    <row r="660" spans="24:34" x14ac:dyDescent="0.25">
      <c r="X660">
        <v>72.8</v>
      </c>
      <c r="Y660" s="12">
        <v>69.658143081200109</v>
      </c>
      <c r="Z660" s="12">
        <v>3.1418569187998884</v>
      </c>
      <c r="AA660" s="12">
        <v>3.1437697137085365</v>
      </c>
      <c r="AB660" s="12">
        <v>6.0843989313220947E-4</v>
      </c>
      <c r="AC660" s="12">
        <v>0.50186534098035618</v>
      </c>
      <c r="AD660" s="12">
        <v>7.6670168296285527E-5</v>
      </c>
      <c r="AE660" s="12">
        <v>-0.26293383539244392</v>
      </c>
      <c r="AF660" s="12">
        <v>-3.1150570304102371E-2</v>
      </c>
      <c r="AG660" s="12">
        <v>0.70842454854441361</v>
      </c>
      <c r="AH660" s="12">
        <v>3.1437697137085294</v>
      </c>
    </row>
    <row r="661" spans="24:34" x14ac:dyDescent="0.25">
      <c r="X661">
        <v>72.5</v>
      </c>
      <c r="Y661" s="12">
        <v>69.559508362608923</v>
      </c>
      <c r="Z661" s="12">
        <v>2.9404916373910766</v>
      </c>
      <c r="AA661" s="12">
        <v>2.9422790106607977</v>
      </c>
      <c r="AB661" s="12">
        <v>6.0747918985649756E-4</v>
      </c>
      <c r="AC661" s="12">
        <v>0.46969997905317407</v>
      </c>
      <c r="AD661" s="12">
        <v>6.7051175507400055E-5</v>
      </c>
      <c r="AE661" s="12">
        <v>-0.26293383539244392</v>
      </c>
      <c r="AF661" s="12">
        <v>-2.8929219116197454E-2</v>
      </c>
      <c r="AG661" s="12">
        <v>0.68534661234529648</v>
      </c>
      <c r="AH661" s="12">
        <v>2.9422790106608043</v>
      </c>
    </row>
    <row r="662" spans="24:34" x14ac:dyDescent="0.25">
      <c r="X662">
        <v>72.2</v>
      </c>
      <c r="Y662" s="12">
        <v>69.460873644017738</v>
      </c>
      <c r="Z662" s="12">
        <v>2.7391263559822647</v>
      </c>
      <c r="AA662" s="12">
        <v>2.7407895428017781</v>
      </c>
      <c r="AB662" s="12">
        <v>6.0682762887791708E-4</v>
      </c>
      <c r="AC662" s="12">
        <v>0.43753471571753016</v>
      </c>
      <c r="AD662" s="12">
        <v>5.8119786052328713E-5</v>
      </c>
      <c r="AE662" s="12">
        <v>-0.26293383539244392</v>
      </c>
      <c r="AF662" s="12">
        <v>-2.7878153456206617E-2</v>
      </c>
      <c r="AG662" s="12">
        <v>0.66146406986134187</v>
      </c>
      <c r="AH662" s="12">
        <v>2.7407895428017763</v>
      </c>
    </row>
    <row r="663" spans="24:34" x14ac:dyDescent="0.25">
      <c r="X663">
        <v>71.900000000000006</v>
      </c>
      <c r="Y663" s="12">
        <v>69.411556284722153</v>
      </c>
      <c r="Z663" s="12">
        <v>2.4884437152778531</v>
      </c>
      <c r="AA663" s="12">
        <v>2.4899541657380837</v>
      </c>
      <c r="AB663" s="12">
        <v>6.0661777675005094E-4</v>
      </c>
      <c r="AC663" s="12">
        <v>0.3974918487620937</v>
      </c>
      <c r="AD663" s="12">
        <v>4.7951822979593967E-5</v>
      </c>
      <c r="AE663" s="12">
        <v>-0.25193465741015014</v>
      </c>
      <c r="AF663" s="12">
        <v>-2.4890155646059189E-2</v>
      </c>
      <c r="AG663" s="12">
        <v>0.63046954626063711</v>
      </c>
      <c r="AH663" s="12">
        <v>2.4899541657380828</v>
      </c>
    </row>
    <row r="664" spans="24:34" x14ac:dyDescent="0.25">
      <c r="X664">
        <v>71.599999999999994</v>
      </c>
      <c r="Y664" s="12">
        <v>69.263604206835367</v>
      </c>
      <c r="Z664" s="12">
        <v>2.3363957931646269</v>
      </c>
      <c r="AA664" s="12">
        <v>2.3378135647218414</v>
      </c>
      <c r="AB664" s="12">
        <v>6.0645193381214928E-4</v>
      </c>
      <c r="AC664" s="12">
        <v>0.37320442512220137</v>
      </c>
      <c r="AD664" s="12">
        <v>4.2259408827564829E-5</v>
      </c>
      <c r="AE664" s="12">
        <v>-0.25193465741015014</v>
      </c>
      <c r="AF664" s="12">
        <v>-2.4672270155170199E-2</v>
      </c>
      <c r="AG664" s="12">
        <v>0.61090459576123779</v>
      </c>
      <c r="AH664" s="12">
        <v>2.3378135647218445</v>
      </c>
    </row>
    <row r="665" spans="24:34" x14ac:dyDescent="0.25">
      <c r="X665">
        <v>71.3</v>
      </c>
      <c r="Y665" s="12">
        <v>69.164969488244182</v>
      </c>
      <c r="Z665" s="12">
        <v>2.135030511755815</v>
      </c>
      <c r="AA665" s="12">
        <v>2.1363266805421972</v>
      </c>
      <c r="AB665" s="12">
        <v>6.0672779972496219E-4</v>
      </c>
      <c r="AC665" s="12">
        <v>0.34103936801350437</v>
      </c>
      <c r="AD665" s="12">
        <v>3.5305023662261307E-5</v>
      </c>
      <c r="AE665" s="12">
        <v>-0.25193465741015014</v>
      </c>
      <c r="AF665" s="12">
        <v>-2.2557628782060461E-2</v>
      </c>
      <c r="AG665" s="12">
        <v>0.58398576011192638</v>
      </c>
      <c r="AH665" s="12">
        <v>2.1363266805421941</v>
      </c>
    </row>
    <row r="666" spans="24:34" x14ac:dyDescent="0.25">
      <c r="X666">
        <v>71</v>
      </c>
      <c r="Y666" s="12">
        <v>69.017017410357411</v>
      </c>
      <c r="Z666" s="12">
        <v>1.9829825896425888</v>
      </c>
      <c r="AA666" s="12">
        <v>1.9841884230922631</v>
      </c>
      <c r="AB666" s="12">
        <v>6.0772124040130257E-4</v>
      </c>
      <c r="AC666" s="12">
        <v>0.31675213143494119</v>
      </c>
      <c r="AD666" s="12">
        <v>3.0505456053369592E-5</v>
      </c>
      <c r="AE666" s="12">
        <v>-0.25193465741015014</v>
      </c>
      <c r="AF666" s="12">
        <v>-2.1035350633672317E-2</v>
      </c>
      <c r="AG666" s="12">
        <v>0.56280736618752703</v>
      </c>
      <c r="AH666" s="12">
        <v>1.9841884230922604</v>
      </c>
    </row>
    <row r="667" spans="24:34" x14ac:dyDescent="0.25">
      <c r="X667">
        <v>68</v>
      </c>
      <c r="Y667" s="12">
        <v>68.523843817401485</v>
      </c>
      <c r="Z667" s="12">
        <v>-0.52384381740148456</v>
      </c>
      <c r="AA667" s="12">
        <v>-0.52416673360511368</v>
      </c>
      <c r="AB667" s="12">
        <v>6.1605627165081927E-4</v>
      </c>
      <c r="AC667" s="12">
        <v>-8.3676648752572247E-2</v>
      </c>
      <c r="AD667" s="12">
        <v>2.1580752129828962E-6</v>
      </c>
      <c r="AE667" s="12">
        <v>-0.25193465741015014</v>
      </c>
      <c r="AF667" s="12">
        <v>-1.6225638825576223E-2</v>
      </c>
      <c r="AG667" s="12">
        <v>0.2892691631553081</v>
      </c>
      <c r="AH667" s="12">
        <v>-0.52416673360511268</v>
      </c>
    </row>
    <row r="668" spans="24:34" x14ac:dyDescent="0.25">
      <c r="X668">
        <v>67.599999999999994</v>
      </c>
      <c r="Y668" s="12">
        <v>68.375891739514714</v>
      </c>
      <c r="Z668" s="12">
        <v>-0.77589173951471935</v>
      </c>
      <c r="AA668" s="12">
        <v>-0.77637314043299455</v>
      </c>
      <c r="AB668" s="12">
        <v>6.2006384972418892E-4</v>
      </c>
      <c r="AC668" s="12">
        <v>-0.12393799177410744</v>
      </c>
      <c r="AD668" s="12">
        <v>4.7652391379348378E-6</v>
      </c>
      <c r="AE668" s="12">
        <v>-0.25193465741015014</v>
      </c>
      <c r="AF668" s="12">
        <v>-1.5808115899066097E-2</v>
      </c>
      <c r="AG668" s="12">
        <v>0.35204828045895559</v>
      </c>
      <c r="AH668" s="12">
        <v>-0.77637314043299877</v>
      </c>
    </row>
    <row r="669" spans="24:34" x14ac:dyDescent="0.25">
      <c r="X669">
        <v>67.3</v>
      </c>
      <c r="Y669" s="12">
        <v>76.661208101174267</v>
      </c>
      <c r="Z669" s="12">
        <v>-9.3612081011742703</v>
      </c>
      <c r="AA669" s="12">
        <v>-9.3749594561148086</v>
      </c>
      <c r="AB669" s="12">
        <v>1.4668175371750909E-3</v>
      </c>
      <c r="AC669" s="12">
        <v>-1.4959576144654645</v>
      </c>
      <c r="AD669" s="12">
        <v>1.6436985567449931E-3</v>
      </c>
      <c r="AE669" s="12">
        <v>-0.24253103988010652</v>
      </c>
      <c r="AF669" s="12">
        <v>-1.5759403696945132E-2</v>
      </c>
      <c r="AG669" s="12">
        <v>1.2230934610508979</v>
      </c>
      <c r="AH669" s="12">
        <v>-9.3749594561148051</v>
      </c>
    </row>
    <row r="670" spans="24:34" x14ac:dyDescent="0.25">
      <c r="X670">
        <v>66.8</v>
      </c>
      <c r="Y670" s="12">
        <v>68.079987583741143</v>
      </c>
      <c r="Z670" s="12">
        <v>-1.2799875837411463</v>
      </c>
      <c r="AA670" s="12">
        <v>-1.2807946966486981</v>
      </c>
      <c r="AB670" s="12">
        <v>6.3016571637656389E-4</v>
      </c>
      <c r="AC670" s="12">
        <v>-0.2044613756328805</v>
      </c>
      <c r="AD670" s="12">
        <v>1.3180172583821526E-5</v>
      </c>
      <c r="AE670" s="12">
        <v>-0.24253103988010652</v>
      </c>
      <c r="AF670" s="12">
        <v>-1.2970693045081264E-2</v>
      </c>
      <c r="AG670" s="12">
        <v>0.45217405457730597</v>
      </c>
      <c r="AH670" s="12">
        <v>-1.2807946966486912</v>
      </c>
    </row>
    <row r="671" spans="24:34" x14ac:dyDescent="0.25">
      <c r="X671">
        <v>66.400000000000006</v>
      </c>
      <c r="Y671" s="12">
        <v>67.932035505854373</v>
      </c>
      <c r="Z671" s="12">
        <v>-1.5320355058543669</v>
      </c>
      <c r="AA671" s="12">
        <v>-1.533010899376805</v>
      </c>
      <c r="AB671" s="12">
        <v>6.3626000495556898E-4</v>
      </c>
      <c r="AC671" s="12">
        <v>-0.24472350054359665</v>
      </c>
      <c r="AD671" s="12">
        <v>1.9064806135386196E-5</v>
      </c>
      <c r="AE671" s="12">
        <v>-0.24253103988010652</v>
      </c>
      <c r="AF671" s="12">
        <v>-1.2776976599619723E-2</v>
      </c>
      <c r="AG671" s="12">
        <v>0.49469536135241521</v>
      </c>
      <c r="AH671" s="12">
        <v>-1.5330108993768012</v>
      </c>
    </row>
    <row r="672" spans="24:34" x14ac:dyDescent="0.25">
      <c r="X672">
        <v>66</v>
      </c>
      <c r="Y672" s="12">
        <v>77.499603209199336</v>
      </c>
      <c r="Z672" s="12">
        <v>-11.499603209199336</v>
      </c>
      <c r="AA672" s="12">
        <v>-11.518886199194029</v>
      </c>
      <c r="AB672" s="12">
        <v>1.6740325115839913E-3</v>
      </c>
      <c r="AC672" s="12">
        <v>-1.8378722110950534</v>
      </c>
      <c r="AD672" s="12">
        <v>2.8319928156738663E-3</v>
      </c>
      <c r="AE672" s="12">
        <v>-0.23783731322627524</v>
      </c>
      <c r="AF672" s="12">
        <v>-1.1686457419875531E-2</v>
      </c>
      <c r="AG672" s="12">
        <v>1.3556814563514001</v>
      </c>
      <c r="AH672" s="12">
        <v>-11.518886199194023</v>
      </c>
    </row>
    <row r="673" spans="24:34" x14ac:dyDescent="0.25">
      <c r="X673">
        <v>65.5</v>
      </c>
      <c r="Y673" s="12">
        <v>76.463938663991897</v>
      </c>
      <c r="Z673" s="12">
        <v>-10.963938663991897</v>
      </c>
      <c r="AA673" s="12">
        <v>-10.979543967422245</v>
      </c>
      <c r="AB673" s="12">
        <v>1.4213070667281685E-3</v>
      </c>
      <c r="AC673" s="12">
        <v>-1.752040291617353</v>
      </c>
      <c r="AD673" s="12">
        <v>2.1845591251154371E-3</v>
      </c>
      <c r="AE673" s="12">
        <v>-0.23783731322627524</v>
      </c>
      <c r="AF673" s="12">
        <v>-1.1686457419875531E-2</v>
      </c>
      <c r="AG673" s="12">
        <v>1.3236465886396387</v>
      </c>
      <c r="AH673" s="12">
        <v>-10.979543967422247</v>
      </c>
    </row>
    <row r="674" spans="24:34" x14ac:dyDescent="0.25">
      <c r="X674">
        <v>65.2</v>
      </c>
      <c r="Y674" s="12">
        <v>76.315986586105112</v>
      </c>
      <c r="Z674" s="12">
        <v>-11.115986586105109</v>
      </c>
      <c r="AA674" s="12">
        <v>-11.131436861427503</v>
      </c>
      <c r="AB674" s="12">
        <v>1.3879857124229459E-3</v>
      </c>
      <c r="AC674" s="12">
        <v>-1.7763079533238837</v>
      </c>
      <c r="AD674" s="12">
        <v>2.192778346292861E-3</v>
      </c>
      <c r="AE674" s="12">
        <v>-0.23783731322627524</v>
      </c>
      <c r="AF674" s="12">
        <v>-1.1443240570873769E-2</v>
      </c>
      <c r="AG674" s="12">
        <v>1.3327820351895068</v>
      </c>
      <c r="AH674" s="12">
        <v>-11.131436861427508</v>
      </c>
    </row>
    <row r="675" spans="24:34" x14ac:dyDescent="0.25">
      <c r="X675">
        <v>64.8</v>
      </c>
      <c r="Y675" s="12">
        <v>76.217351867513926</v>
      </c>
      <c r="Z675" s="12">
        <v>-11.417351867513929</v>
      </c>
      <c r="AA675" s="12">
        <v>-11.432971111364964</v>
      </c>
      <c r="AB675" s="12">
        <v>1.3661579040908781E-3</v>
      </c>
      <c r="AC675" s="12">
        <v>-1.8244454619551473</v>
      </c>
      <c r="AD675" s="12">
        <v>2.2768079284362502E-3</v>
      </c>
      <c r="AE675" s="12">
        <v>-0.23783731322627524</v>
      </c>
      <c r="AF675" s="12">
        <v>-9.9417413944591915E-3</v>
      </c>
      <c r="AG675" s="12">
        <v>1.3507203492785422</v>
      </c>
      <c r="AH675" s="12">
        <v>-11.432971111364964</v>
      </c>
    </row>
    <row r="676" spans="24:34" x14ac:dyDescent="0.25">
      <c r="X676">
        <v>64.400000000000006</v>
      </c>
      <c r="Y676" s="12">
        <v>67.19227511642049</v>
      </c>
      <c r="Z676" s="12">
        <v>-2.792275116420484</v>
      </c>
      <c r="AA676" s="12">
        <v>-2.7941672286729471</v>
      </c>
      <c r="AB676" s="12">
        <v>6.7716500037877261E-4</v>
      </c>
      <c r="AC676" s="12">
        <v>-0.446040136538426</v>
      </c>
      <c r="AD676" s="12">
        <v>6.7407244840426606E-5</v>
      </c>
      <c r="AE676" s="12">
        <v>-0.23783731322627524</v>
      </c>
      <c r="AF676" s="12">
        <v>-9.8510089020517697E-3</v>
      </c>
      <c r="AG676" s="12">
        <v>0.6678623634690205</v>
      </c>
      <c r="AH676" s="12">
        <v>-2.7941672286729466</v>
      </c>
    </row>
    <row r="677" spans="24:34" x14ac:dyDescent="0.25">
      <c r="X677">
        <v>64</v>
      </c>
      <c r="Y677" s="12">
        <v>67.044323038533705</v>
      </c>
      <c r="Z677" s="12">
        <v>-3.0443230385337046</v>
      </c>
      <c r="AA677" s="12">
        <v>-3.0464172453963982</v>
      </c>
      <c r="AB677" s="12">
        <v>6.8743270996904934E-4</v>
      </c>
      <c r="AC677" s="12">
        <v>-0.48630496034518406</v>
      </c>
      <c r="AD677" s="12">
        <v>8.1342262381919341E-5</v>
      </c>
      <c r="AE677" s="12">
        <v>-0.23002600999886993</v>
      </c>
      <c r="AF677" s="12">
        <v>-9.0434067269810868E-3</v>
      </c>
      <c r="AG677" s="12">
        <v>0.69735569141234088</v>
      </c>
      <c r="AH677" s="12">
        <v>-3.046417245396404</v>
      </c>
    </row>
    <row r="678" spans="24:34" x14ac:dyDescent="0.25">
      <c r="X678">
        <v>68.900000000000006</v>
      </c>
      <c r="Y678" s="12">
        <v>68.770430613879455</v>
      </c>
      <c r="Z678" s="12">
        <v>0.12956938612055069</v>
      </c>
      <c r="AA678" s="12">
        <v>0.12964859138628526</v>
      </c>
      <c r="AB678" s="12">
        <v>6.1092268634752608E-4</v>
      </c>
      <c r="AC678" s="12">
        <v>2.06968256669284E-2</v>
      </c>
      <c r="AD678" s="12">
        <v>1.3092697734297673E-7</v>
      </c>
      <c r="AE678" s="12">
        <v>-0.23002600999886993</v>
      </c>
      <c r="AF678" s="12">
        <v>-7.8185596458027265E-3</v>
      </c>
      <c r="AG678" s="12">
        <v>0.14386391370642049</v>
      </c>
      <c r="AH678" s="12">
        <v>0.12964859138628157</v>
      </c>
    </row>
    <row r="679" spans="24:34" x14ac:dyDescent="0.25">
      <c r="X679">
        <v>68.7</v>
      </c>
      <c r="Y679" s="12">
        <v>68.671795895288255</v>
      </c>
      <c r="Z679" s="12">
        <v>2.8204104711747391E-2</v>
      </c>
      <c r="AA679" s="12">
        <v>2.8221397210998589E-2</v>
      </c>
      <c r="AB679" s="12">
        <v>6.1274426374599501E-4</v>
      </c>
      <c r="AC679" s="12">
        <v>4.5051997834819864E-3</v>
      </c>
      <c r="AD679" s="12">
        <v>6.2221941865924107E-9</v>
      </c>
      <c r="AE679" s="12">
        <v>-0.23002600999886993</v>
      </c>
      <c r="AF679" s="12">
        <v>-7.1705443871609501E-3</v>
      </c>
      <c r="AG679" s="12">
        <v>6.71207850332666E-2</v>
      </c>
      <c r="AH679" s="12">
        <v>2.8221397211003332E-2</v>
      </c>
    </row>
    <row r="680" spans="24:34" x14ac:dyDescent="0.25">
      <c r="X680">
        <v>68.5</v>
      </c>
      <c r="Y680" s="12">
        <v>68.573161176697084</v>
      </c>
      <c r="Z680" s="12">
        <v>-7.3161176697084329E-2</v>
      </c>
      <c r="AA680" s="12">
        <v>-7.3206189351552098E-2</v>
      </c>
      <c r="AB680" s="12">
        <v>6.1487498344159504E-4</v>
      </c>
      <c r="AC680" s="12">
        <v>-1.1686457419875531E-2</v>
      </c>
      <c r="AD680" s="12">
        <v>4.2013581899986407E-8</v>
      </c>
      <c r="AE680" s="12">
        <v>-0.23002600999886993</v>
      </c>
      <c r="AF680" s="12">
        <v>-6.2344733757536382E-3</v>
      </c>
      <c r="AG680" s="12">
        <v>0.1081039195398369</v>
      </c>
      <c r="AH680" s="12">
        <v>-7.3206189351549683E-2</v>
      </c>
    </row>
    <row r="681" spans="24:34" x14ac:dyDescent="0.25">
      <c r="X681">
        <v>68.3</v>
      </c>
      <c r="Y681" s="12">
        <v>68.474526458105885</v>
      </c>
      <c r="Z681" s="12">
        <v>-0.17452645810588763</v>
      </c>
      <c r="AA681" s="12">
        <v>-0.17463426242861146</v>
      </c>
      <c r="AB681" s="12">
        <v>6.1731484543432638E-4</v>
      </c>
      <c r="AC681" s="12">
        <v>-2.7878153456206617E-2</v>
      </c>
      <c r="AD681" s="12">
        <v>2.4003408347082549E-7</v>
      </c>
      <c r="AE681" s="12">
        <v>-0.22378708008709278</v>
      </c>
      <c r="AF681" s="12">
        <v>-4.6810792666232863E-3</v>
      </c>
      <c r="AG681" s="12">
        <v>0.16696752215986982</v>
      </c>
      <c r="AH681" s="12">
        <v>-0.17463426242860627</v>
      </c>
    </row>
    <row r="682" spans="24:34" x14ac:dyDescent="0.25">
      <c r="X682">
        <v>68.099999999999994</v>
      </c>
      <c r="Y682" s="12">
        <v>68.375891739514714</v>
      </c>
      <c r="Z682" s="12">
        <v>-0.27589173951471935</v>
      </c>
      <c r="AA682" s="12">
        <v>-0.27606291614927159</v>
      </c>
      <c r="AB682" s="12">
        <v>6.2006384972418892E-4</v>
      </c>
      <c r="AC682" s="12">
        <v>-4.4069895838697484E-2</v>
      </c>
      <c r="AD682" s="12">
        <v>6.0250386688310607E-7</v>
      </c>
      <c r="AE682" s="12">
        <v>-0.22378708008709278</v>
      </c>
      <c r="AF682" s="12">
        <v>-4.2448934628521902E-3</v>
      </c>
      <c r="AG682" s="12">
        <v>0.2099283111890759</v>
      </c>
      <c r="AH682" s="12">
        <v>-0.27606291614927297</v>
      </c>
    </row>
    <row r="683" spans="24:34" x14ac:dyDescent="0.25">
      <c r="X683">
        <v>67.900000000000006</v>
      </c>
      <c r="Y683" s="12">
        <v>68.277257020923514</v>
      </c>
      <c r="Z683" s="12">
        <v>-0.37725702092350843</v>
      </c>
      <c r="AA683" s="12">
        <v>-0.37749224464458564</v>
      </c>
      <c r="AB683" s="12">
        <v>6.2312199631118278E-4</v>
      </c>
      <c r="AC683" s="12">
        <v>-6.0261692080636926E-2</v>
      </c>
      <c r="AD683" s="12">
        <v>1.1321303507390944E-6</v>
      </c>
      <c r="AE683" s="12">
        <v>-0.22378708008709278</v>
      </c>
      <c r="AF683" s="12">
        <v>-2.6918885571507044E-3</v>
      </c>
      <c r="AG683" s="12">
        <v>0.24548256981023506</v>
      </c>
      <c r="AH683" s="12">
        <v>-0.37749224464458336</v>
      </c>
    </row>
    <row r="684" spans="24:34" x14ac:dyDescent="0.25">
      <c r="X684">
        <v>67.7</v>
      </c>
      <c r="Y684" s="12">
        <v>68.277257020923514</v>
      </c>
      <c r="Z684" s="12">
        <v>-0.57725702092351128</v>
      </c>
      <c r="AA684" s="12">
        <v>-0.57761694674847774</v>
      </c>
      <c r="AB684" s="12">
        <v>6.2312199631118278E-4</v>
      </c>
      <c r="AC684" s="12">
        <v>-9.220897933489125E-2</v>
      </c>
      <c r="AD684" s="12">
        <v>2.6506978081753582E-6</v>
      </c>
      <c r="AE684" s="12">
        <v>-0.22378708008709278</v>
      </c>
      <c r="AF684" s="12">
        <v>-1.409778642819151E-3</v>
      </c>
      <c r="AG684" s="12">
        <v>0.30365931458608553</v>
      </c>
      <c r="AH684" s="12">
        <v>-0.57761694674847242</v>
      </c>
    </row>
    <row r="685" spans="24:34" x14ac:dyDescent="0.25">
      <c r="X685">
        <v>67.5</v>
      </c>
      <c r="Y685" s="12">
        <v>76.661208101174267</v>
      </c>
      <c r="Z685" s="12">
        <v>-9.1612081011742674</v>
      </c>
      <c r="AA685" s="12">
        <v>-9.1746656616645197</v>
      </c>
      <c r="AB685" s="12">
        <v>1.4668175371750909E-3</v>
      </c>
      <c r="AC685" s="12">
        <v>-1.4639968333718825</v>
      </c>
      <c r="AD685" s="12">
        <v>1.5742143652408534E-3</v>
      </c>
      <c r="AE685" s="12">
        <v>-0.22378708008709278</v>
      </c>
      <c r="AF685" s="12">
        <v>3.6161963791983911E-4</v>
      </c>
      <c r="AG685" s="12">
        <v>1.2099573684109215</v>
      </c>
      <c r="AH685" s="12">
        <v>-9.1746656616645144</v>
      </c>
    </row>
    <row r="686" spans="24:34" x14ac:dyDescent="0.25">
      <c r="X686">
        <v>67.3</v>
      </c>
      <c r="Y686" s="12">
        <v>68.178622302332343</v>
      </c>
      <c r="Z686" s="12">
        <v>-0.87862230233234584</v>
      </c>
      <c r="AA686" s="12">
        <v>-0.87917309485609962</v>
      </c>
      <c r="AB686" s="12">
        <v>6.2648928519530773E-4</v>
      </c>
      <c r="AC686" s="12">
        <v>-0.14034823184707976</v>
      </c>
      <c r="AD686" s="12">
        <v>6.1740438459070294E-6</v>
      </c>
      <c r="AE686" s="12">
        <v>-0.22378708008709278</v>
      </c>
      <c r="AF686" s="12">
        <v>4.5051997834819864E-3</v>
      </c>
      <c r="AG686" s="12">
        <v>0.37463079404539046</v>
      </c>
      <c r="AH686" s="12">
        <v>-0.87917309485610518</v>
      </c>
    </row>
    <row r="687" spans="24:34" x14ac:dyDescent="0.25">
      <c r="X687">
        <v>67.2</v>
      </c>
      <c r="Y687" s="12">
        <v>76.661208101174267</v>
      </c>
      <c r="Z687" s="12">
        <v>-9.4612081011742646</v>
      </c>
      <c r="AA687" s="12">
        <v>-9.4751063533399389</v>
      </c>
      <c r="AB687" s="12">
        <v>1.4668175371750909E-3</v>
      </c>
      <c r="AC687" s="12">
        <v>-1.5119380050122544</v>
      </c>
      <c r="AD687" s="12">
        <v>1.6790033560132628E-3</v>
      </c>
      <c r="AE687" s="12">
        <v>-0.21444491222324932</v>
      </c>
      <c r="AF687" s="12">
        <v>7.5635760811150424E-3</v>
      </c>
      <c r="AG687" s="12">
        <v>1.2296088829429683</v>
      </c>
      <c r="AH687" s="12">
        <v>-9.4751063533399424</v>
      </c>
    </row>
    <row r="688" spans="24:34" x14ac:dyDescent="0.25">
      <c r="X688">
        <v>65.3</v>
      </c>
      <c r="Y688" s="12">
        <v>67.093640397829304</v>
      </c>
      <c r="Z688" s="12">
        <v>-1.7936403978293072</v>
      </c>
      <c r="AA688" s="12">
        <v>-1.7948679670014798</v>
      </c>
      <c r="AB688" s="12">
        <v>6.839328545313407E-4</v>
      </c>
      <c r="AC688" s="12">
        <v>-0.28651844238208157</v>
      </c>
      <c r="AD688" s="12">
        <v>2.809220079488504E-5</v>
      </c>
      <c r="AE688" s="12">
        <v>-0.21444491222324932</v>
      </c>
      <c r="AF688" s="12">
        <v>7.7101732525431269E-3</v>
      </c>
      <c r="AG688" s="12">
        <v>0.53527417496277696</v>
      </c>
      <c r="AH688" s="12">
        <v>-1.7948679670014855</v>
      </c>
    </row>
    <row r="689" spans="24:34" x14ac:dyDescent="0.25">
      <c r="X689">
        <v>66.900000000000006</v>
      </c>
      <c r="Y689" s="12">
        <v>68.277257020923514</v>
      </c>
      <c r="Z689" s="12">
        <v>-1.3772570209235084</v>
      </c>
      <c r="AA689" s="12">
        <v>-1.3781157551640177</v>
      </c>
      <c r="AB689" s="12">
        <v>6.2312199631118278E-4</v>
      </c>
      <c r="AC689" s="12">
        <v>-0.21999812835190627</v>
      </c>
      <c r="AD689" s="12">
        <v>1.5088697833016245E-5</v>
      </c>
      <c r="AE689" s="12">
        <v>-0.21444491222324932</v>
      </c>
      <c r="AF689" s="12">
        <v>9.5213060344802036E-3</v>
      </c>
      <c r="AG689" s="12">
        <v>0.46903958079452768</v>
      </c>
      <c r="AH689" s="12">
        <v>-1.3781157551640142</v>
      </c>
    </row>
    <row r="690" spans="24:34" x14ac:dyDescent="0.25">
      <c r="X690">
        <v>66.7</v>
      </c>
      <c r="Y690" s="12">
        <v>68.277257020923514</v>
      </c>
      <c r="Z690" s="12">
        <v>-1.5772570209235113</v>
      </c>
      <c r="AA690" s="12">
        <v>-1.5782404572679098</v>
      </c>
      <c r="AB690" s="12">
        <v>6.2312199631118278E-4</v>
      </c>
      <c r="AC690" s="12">
        <v>-0.25194541560616057</v>
      </c>
      <c r="AD690" s="12">
        <v>1.9789130388000533E-5</v>
      </c>
      <c r="AE690" s="12">
        <v>-0.21444491222324932</v>
      </c>
      <c r="AF690" s="12">
        <v>1.1946805296111499E-2</v>
      </c>
      <c r="AG690" s="12">
        <v>0.50194164561845289</v>
      </c>
      <c r="AH690" s="12">
        <v>-1.5782404572679032</v>
      </c>
    </row>
    <row r="691" spans="24:34" x14ac:dyDescent="0.25">
      <c r="X691">
        <v>66.5</v>
      </c>
      <c r="Y691" s="12">
        <v>68.326574380219114</v>
      </c>
      <c r="Z691" s="12">
        <v>-1.8265743802191139</v>
      </c>
      <c r="AA691" s="12">
        <v>-1.8277104014421468</v>
      </c>
      <c r="AB691" s="12">
        <v>6.2155428023054436E-4</v>
      </c>
      <c r="AC691" s="12">
        <v>-0.29177025323163375</v>
      </c>
      <c r="AD691" s="12">
        <v>2.6472875182121134E-5</v>
      </c>
      <c r="AE691" s="12">
        <v>-0.21444491222324932</v>
      </c>
      <c r="AF691" s="12">
        <v>1.2694197269849505E-2</v>
      </c>
      <c r="AG691" s="12">
        <v>0.54015761887770664</v>
      </c>
      <c r="AH691" s="12">
        <v>-1.8277104014421521</v>
      </c>
    </row>
    <row r="692" spans="24:34" x14ac:dyDescent="0.25">
      <c r="X692">
        <v>66.3</v>
      </c>
      <c r="Y692" s="12">
        <v>68.326574380219114</v>
      </c>
      <c r="Z692" s="12">
        <v>-2.0265743802191167</v>
      </c>
      <c r="AA692" s="12">
        <v>-2.0278347896122</v>
      </c>
      <c r="AB692" s="12">
        <v>6.2155428023054436E-4</v>
      </c>
      <c r="AC692" s="12">
        <v>-0.32371751542816551</v>
      </c>
      <c r="AD692" s="12">
        <v>3.258753302433324E-5</v>
      </c>
      <c r="AE692" s="12">
        <v>-0.21444491222324932</v>
      </c>
      <c r="AF692" s="12">
        <v>1.4735168039547136E-2</v>
      </c>
      <c r="AG692" s="12">
        <v>0.56896178731806368</v>
      </c>
      <c r="AH692" s="12">
        <v>-2.0278347896122009</v>
      </c>
    </row>
    <row r="693" spans="24:34" x14ac:dyDescent="0.25">
      <c r="X693">
        <v>67.900000000000006</v>
      </c>
      <c r="Y693" s="12">
        <v>67.784083427967602</v>
      </c>
      <c r="Z693" s="12">
        <v>0.11591657203240402</v>
      </c>
      <c r="AA693" s="12">
        <v>0.1159911601321113</v>
      </c>
      <c r="AB693" s="12">
        <v>6.4304986370311915E-4</v>
      </c>
      <c r="AC693" s="12">
        <v>1.8516284732226374E-2</v>
      </c>
      <c r="AD693" s="12">
        <v>1.1030665592677151E-7</v>
      </c>
      <c r="AE693" s="12">
        <v>-0.21444491222324932</v>
      </c>
      <c r="AF693" s="12">
        <v>1.4953531402189789E-2</v>
      </c>
      <c r="AG693" s="12">
        <v>0.13607455578551919</v>
      </c>
      <c r="AH693" s="12">
        <v>0.11599116013211774</v>
      </c>
    </row>
    <row r="694" spans="24:34" x14ac:dyDescent="0.25">
      <c r="X694">
        <v>69.5</v>
      </c>
      <c r="Y694" s="12">
        <v>76.759842819765453</v>
      </c>
      <c r="Z694" s="12">
        <v>-7.2598428197654528</v>
      </c>
      <c r="AA694" s="12">
        <v>-7.2706763928675855</v>
      </c>
      <c r="AB694" s="12">
        <v>1.4900364858442489E-3</v>
      </c>
      <c r="AC694" s="12">
        <v>-1.1601647244481175</v>
      </c>
      <c r="AD694" s="12">
        <v>1.0042776950067768E-3</v>
      </c>
      <c r="AE694" s="12">
        <v>-0.21444491222324932</v>
      </c>
      <c r="AF694" s="12">
        <v>1.6117896693126171E-2</v>
      </c>
      <c r="AG694" s="12">
        <v>1.0771094301175335</v>
      </c>
      <c r="AH694" s="12">
        <v>-7.2706763928675917</v>
      </c>
    </row>
    <row r="695" spans="24:34" x14ac:dyDescent="0.25">
      <c r="X695">
        <v>76</v>
      </c>
      <c r="Y695" s="12">
        <v>70.348586111338406</v>
      </c>
      <c r="Z695" s="12">
        <v>5.6514138886615939</v>
      </c>
      <c r="AA695" s="12">
        <v>5.6549415588309415</v>
      </c>
      <c r="AB695" s="12">
        <v>6.238208003818659E-4</v>
      </c>
      <c r="AC695" s="12">
        <v>0.90273703008363648</v>
      </c>
      <c r="AD695" s="12">
        <v>2.5434510121185157E-4</v>
      </c>
      <c r="AE695" s="12">
        <v>-0.21444491222324932</v>
      </c>
      <c r="AF695" s="12">
        <v>1.6117896693126171E-2</v>
      </c>
      <c r="AG695" s="12">
        <v>0.95012474448549988</v>
      </c>
      <c r="AH695" s="12">
        <v>5.6549415588309362</v>
      </c>
    </row>
    <row r="696" spans="24:34" x14ac:dyDescent="0.25">
      <c r="X696">
        <v>77</v>
      </c>
      <c r="Y696" s="12">
        <v>70.496538189225191</v>
      </c>
      <c r="Z696" s="12">
        <v>6.5034618107748088</v>
      </c>
      <c r="AA696" s="12">
        <v>6.507555632621731</v>
      </c>
      <c r="AB696" s="12">
        <v>6.2908749122243227E-4</v>
      </c>
      <c r="AC696" s="12">
        <v>1.0388429136221622</v>
      </c>
      <c r="AD696" s="12">
        <v>3.3966759210377675E-4</v>
      </c>
      <c r="AE696" s="12">
        <v>-0.21444491222324932</v>
      </c>
      <c r="AF696" s="12">
        <v>1.8271721143007399E-2</v>
      </c>
      <c r="AG696" s="12">
        <v>1.0192364365652173</v>
      </c>
      <c r="AH696" s="12">
        <v>6.5075556326217256</v>
      </c>
    </row>
    <row r="697" spans="24:34" x14ac:dyDescent="0.25">
      <c r="X697">
        <v>76</v>
      </c>
      <c r="Y697" s="12">
        <v>70.447220829929591</v>
      </c>
      <c r="Z697" s="12">
        <v>5.5527791700704086</v>
      </c>
      <c r="AA697" s="12">
        <v>5.5562643626842743</v>
      </c>
      <c r="AB697" s="12">
        <v>6.2725464203462734E-4</v>
      </c>
      <c r="AC697" s="12">
        <v>0.88698298996627567</v>
      </c>
      <c r="AD697" s="12">
        <v>2.4689765756677316E-4</v>
      </c>
      <c r="AE697" s="12">
        <v>-0.198915705174462</v>
      </c>
      <c r="AF697" s="12">
        <v>1.8516284732226374E-2</v>
      </c>
      <c r="AG697" s="12">
        <v>0.94179774366170343</v>
      </c>
      <c r="AH697" s="12">
        <v>5.5562643626842734</v>
      </c>
    </row>
    <row r="698" spans="24:34" x14ac:dyDescent="0.25">
      <c r="X698">
        <v>74</v>
      </c>
      <c r="Y698" s="12">
        <v>70.299268752042821</v>
      </c>
      <c r="Z698" s="12">
        <v>3.7007312479571794</v>
      </c>
      <c r="AA698" s="12">
        <v>3.7030353499012989</v>
      </c>
      <c r="AB698" s="12">
        <v>6.222198079169094E-4</v>
      </c>
      <c r="AC698" s="12">
        <v>0.591141354319767</v>
      </c>
      <c r="AD698" s="12">
        <v>1.0878445291570812E-4</v>
      </c>
      <c r="AE698" s="12">
        <v>-0.198915705174462</v>
      </c>
      <c r="AF698" s="12">
        <v>2.06968256669284E-2</v>
      </c>
      <c r="AG698" s="12">
        <v>0.76885717420062294</v>
      </c>
      <c r="AH698" s="12">
        <v>3.7030353499013047</v>
      </c>
    </row>
    <row r="699" spans="24:34" x14ac:dyDescent="0.25">
      <c r="X699">
        <v>69.3</v>
      </c>
      <c r="Y699" s="12">
        <v>69.362238925426553</v>
      </c>
      <c r="Z699" s="12">
        <v>-6.2238925426555625E-2</v>
      </c>
      <c r="AA699" s="12">
        <v>-6.2276695321202169E-2</v>
      </c>
      <c r="AB699" s="12">
        <v>6.0648521019646758E-4</v>
      </c>
      <c r="AC699" s="12">
        <v>-9.9417413944591915E-3</v>
      </c>
      <c r="AD699" s="12">
        <v>2.9990148490211312E-8</v>
      </c>
      <c r="AE699" s="12">
        <v>-0.198915705174462</v>
      </c>
      <c r="AF699" s="12">
        <v>2.359309062089248E-2</v>
      </c>
      <c r="AG699" s="12">
        <v>9.9708281473803326E-2</v>
      </c>
      <c r="AH699" s="12">
        <v>-6.2276695321207845E-2</v>
      </c>
    </row>
    <row r="700" spans="24:34" x14ac:dyDescent="0.25">
      <c r="X700">
        <v>65.900000000000006</v>
      </c>
      <c r="Y700" s="12">
        <v>66.403197367691007</v>
      </c>
      <c r="Z700" s="12">
        <v>-0.50319736769100132</v>
      </c>
      <c r="AA700" s="12">
        <v>-0.50356999126432811</v>
      </c>
      <c r="AB700" s="12">
        <v>7.3996381791899106E-4</v>
      </c>
      <c r="AC700" s="12">
        <v>-8.0383653407703093E-2</v>
      </c>
      <c r="AD700" s="12">
        <v>2.3924201505291129E-6</v>
      </c>
      <c r="AE700" s="12">
        <v>-0.198915705174462</v>
      </c>
      <c r="AF700" s="12">
        <v>2.5416819425706519E-2</v>
      </c>
      <c r="AG700" s="12">
        <v>0.28352011111683612</v>
      </c>
      <c r="AH700" s="12">
        <v>-0.50356999126432667</v>
      </c>
    </row>
    <row r="701" spans="24:34" x14ac:dyDescent="0.25">
      <c r="X701">
        <v>64.7</v>
      </c>
      <c r="Y701" s="12">
        <v>65.318215463187968</v>
      </c>
      <c r="Z701" s="12">
        <v>-0.6182154631879655</v>
      </c>
      <c r="AA701" s="12">
        <v>-0.618746729996829</v>
      </c>
      <c r="AB701" s="12">
        <v>8.5861756208700118E-4</v>
      </c>
      <c r="AC701" s="12">
        <v>-9.8763172018455636E-2</v>
      </c>
      <c r="AD701" s="12">
        <v>4.1911469124542395E-6</v>
      </c>
      <c r="AE701" s="12">
        <v>-0.198915705174462</v>
      </c>
      <c r="AF701" s="12">
        <v>2.6585989915189717E-2</v>
      </c>
      <c r="AG701" s="12">
        <v>0.31426608474102902</v>
      </c>
      <c r="AH701" s="12">
        <v>-0.61874672999682467</v>
      </c>
    </row>
    <row r="702" spans="24:34" x14ac:dyDescent="0.25">
      <c r="X702">
        <v>66.8</v>
      </c>
      <c r="Y702" s="12">
        <v>76.168034508218341</v>
      </c>
      <c r="Z702" s="12">
        <v>-9.3680345082183436</v>
      </c>
      <c r="AA702" s="12">
        <v>-9.3807487992381482</v>
      </c>
      <c r="AB702" s="12">
        <v>1.3553599282862686E-3</v>
      </c>
      <c r="AC702" s="12">
        <v>-1.4969649566877159</v>
      </c>
      <c r="AD702" s="12">
        <v>1.5206768621165072E-3</v>
      </c>
      <c r="AE702" s="12">
        <v>-0.198915705174462</v>
      </c>
      <c r="AF702" s="12">
        <v>2.8138461364321184E-2</v>
      </c>
      <c r="AG702" s="12">
        <v>1.2235051927506135</v>
      </c>
      <c r="AH702" s="12">
        <v>-9.38074879923815</v>
      </c>
    </row>
    <row r="703" spans="24:34" x14ac:dyDescent="0.25">
      <c r="X703">
        <v>67.2</v>
      </c>
      <c r="Y703" s="12">
        <v>76.562573382583082</v>
      </c>
      <c r="Z703" s="12">
        <v>-9.3625733825830793</v>
      </c>
      <c r="AA703" s="12">
        <v>-9.3761116226398826</v>
      </c>
      <c r="AB703" s="12">
        <v>1.4439077308030642E-3</v>
      </c>
      <c r="AC703" s="12">
        <v>-1.4961586283370989</v>
      </c>
      <c r="AD703" s="12">
        <v>1.6184238257152934E-3</v>
      </c>
      <c r="AE703" s="12">
        <v>-0.198915705174462</v>
      </c>
      <c r="AF703" s="12">
        <v>2.8356513358735447E-2</v>
      </c>
      <c r="AG703" s="12">
        <v>1.2231756326615972</v>
      </c>
      <c r="AH703" s="12">
        <v>-9.3761116226398808</v>
      </c>
    </row>
    <row r="704" spans="24:34" x14ac:dyDescent="0.25">
      <c r="X704">
        <v>81.2</v>
      </c>
      <c r="Y704" s="12">
        <v>74.343292214281405</v>
      </c>
      <c r="Z704" s="12">
        <v>6.8567077857185978</v>
      </c>
      <c r="AA704" s="12">
        <v>6.8636412066980625</v>
      </c>
      <c r="AB704" s="12">
        <v>1.0101665822365199E-3</v>
      </c>
      <c r="AC704" s="12">
        <v>1.0954782184276444</v>
      </c>
      <c r="AD704" s="12">
        <v>6.0674949961101658E-4</v>
      </c>
      <c r="AE704" s="12">
        <v>-0.1880739545732803</v>
      </c>
      <c r="AF704" s="12">
        <v>2.9603790189802748E-2</v>
      </c>
      <c r="AG704" s="12">
        <v>1.0466509534833686</v>
      </c>
      <c r="AH704" s="12">
        <v>6.8636412066980661</v>
      </c>
    </row>
    <row r="705" spans="24:34" x14ac:dyDescent="0.25">
      <c r="X705">
        <v>81</v>
      </c>
      <c r="Y705" s="12">
        <v>74.293974854985819</v>
      </c>
      <c r="Z705" s="12">
        <v>6.7060251450141806</v>
      </c>
      <c r="AA705" s="12">
        <v>6.7127533743612133</v>
      </c>
      <c r="AB705" s="12">
        <v>1.0023054582546567E-3</v>
      </c>
      <c r="AC705" s="12">
        <v>1.0713998326951428</v>
      </c>
      <c r="AD705" s="12">
        <v>5.7584919253884155E-4</v>
      </c>
      <c r="AE705" s="12">
        <v>-0.1880739545732803</v>
      </c>
      <c r="AF705" s="12">
        <v>3.0658756343039967E-2</v>
      </c>
      <c r="AG705" s="12">
        <v>1.0350844567933299</v>
      </c>
      <c r="AH705" s="12">
        <v>6.7127533743612204</v>
      </c>
    </row>
    <row r="706" spans="24:34" x14ac:dyDescent="0.25">
      <c r="X706">
        <v>85</v>
      </c>
      <c r="Y706" s="12">
        <v>74.195340136394634</v>
      </c>
      <c r="Z706" s="12">
        <v>10.804659863605366</v>
      </c>
      <c r="AA706" s="12">
        <v>10.815332596766623</v>
      </c>
      <c r="AB706" s="12">
        <v>9.8681506701377869E-4</v>
      </c>
      <c r="AC706" s="12">
        <v>1.7262119917111352</v>
      </c>
      <c r="AD706" s="12">
        <v>1.4717119443413763E-3</v>
      </c>
      <c r="AE706" s="12">
        <v>-0.1880739545732803</v>
      </c>
      <c r="AF706" s="12">
        <v>3.0716027736409302E-2</v>
      </c>
      <c r="AG706" s="12">
        <v>1.3138538699989186</v>
      </c>
      <c r="AH706" s="12">
        <v>10.815332596766622</v>
      </c>
    </row>
    <row r="707" spans="24:34" x14ac:dyDescent="0.25">
      <c r="X707">
        <v>84</v>
      </c>
      <c r="Y707" s="12">
        <v>77.253016412721379</v>
      </c>
      <c r="Z707" s="12">
        <v>6.7469835872786206</v>
      </c>
      <c r="AA707" s="12">
        <v>6.7578689487869923</v>
      </c>
      <c r="AB707" s="12">
        <v>1.6107683636470073E-3</v>
      </c>
      <c r="AC707" s="12">
        <v>1.0782720532585777</v>
      </c>
      <c r="AD707" s="12">
        <v>9.379072780657579E-4</v>
      </c>
      <c r="AE707" s="12">
        <v>-0.1880739545732803</v>
      </c>
      <c r="AF707" s="12">
        <v>3.0934583100226305E-2</v>
      </c>
      <c r="AG707" s="12">
        <v>1.0383987929781977</v>
      </c>
      <c r="AH707" s="12">
        <v>6.7578689487869994</v>
      </c>
    </row>
    <row r="708" spans="24:34" x14ac:dyDescent="0.25">
      <c r="X708">
        <v>86</v>
      </c>
      <c r="Y708" s="12">
        <v>74.24465749569022</v>
      </c>
      <c r="Z708" s="12">
        <v>11.75534250430978</v>
      </c>
      <c r="AA708" s="12">
        <v>11.767045085048579</v>
      </c>
      <c r="AB708" s="12">
        <v>9.9452161984707617E-4</v>
      </c>
      <c r="AC708" s="12">
        <v>1.8781055325175278</v>
      </c>
      <c r="AD708" s="12">
        <v>1.7557244100761136E-3</v>
      </c>
      <c r="AE708" s="12">
        <v>-0.1880739545732803</v>
      </c>
      <c r="AF708" s="12">
        <v>3.6234275737254608E-2</v>
      </c>
      <c r="AG708" s="12">
        <v>1.3704399047450158</v>
      </c>
      <c r="AH708" s="12">
        <v>11.767045085048576</v>
      </c>
    </row>
    <row r="709" spans="24:34" x14ac:dyDescent="0.25">
      <c r="X709">
        <v>82.2</v>
      </c>
      <c r="Y709" s="12">
        <v>77.302333772016965</v>
      </c>
      <c r="Z709" s="12">
        <v>4.8976662279830379</v>
      </c>
      <c r="AA709" s="12">
        <v>4.9056293724035811</v>
      </c>
      <c r="AB709" s="12">
        <v>1.6232666220858387E-3</v>
      </c>
      <c r="AC709" s="12">
        <v>0.78272751175642408</v>
      </c>
      <c r="AD709" s="12">
        <v>4.9806567127906826E-4</v>
      </c>
      <c r="AE709" s="12">
        <v>-0.1880739545732803</v>
      </c>
      <c r="AF709" s="12">
        <v>3.7791396312061236E-2</v>
      </c>
      <c r="AG709" s="12">
        <v>0.88471888854959124</v>
      </c>
      <c r="AH709" s="12">
        <v>4.9056293724035847</v>
      </c>
    </row>
    <row r="710" spans="24:34" x14ac:dyDescent="0.25">
      <c r="X710">
        <v>82.1</v>
      </c>
      <c r="Y710" s="12">
        <v>74.589879010759375</v>
      </c>
      <c r="Z710" s="12">
        <v>7.5101209892406189</v>
      </c>
      <c r="AA710" s="12">
        <v>7.5180196574032436</v>
      </c>
      <c r="AB710" s="12">
        <v>1.0506314857600782E-3</v>
      </c>
      <c r="AC710" s="12">
        <v>1.1998966337585826</v>
      </c>
      <c r="AD710" s="12">
        <v>7.5711980947700626E-4</v>
      </c>
      <c r="AE710" s="12">
        <v>-0.17879863688351211</v>
      </c>
      <c r="AF710" s="12">
        <v>3.9297976429623856E-2</v>
      </c>
      <c r="AG710" s="12">
        <v>1.0953979339758599</v>
      </c>
      <c r="AH710" s="12">
        <v>7.5180196574032498</v>
      </c>
    </row>
    <row r="711" spans="24:34" x14ac:dyDescent="0.25">
      <c r="X711">
        <v>81.8</v>
      </c>
      <c r="Y711" s="12">
        <v>77.302333772016965</v>
      </c>
      <c r="Z711" s="12">
        <v>4.4976662279830322</v>
      </c>
      <c r="AA711" s="12">
        <v>4.504979010043229</v>
      </c>
      <c r="AB711" s="12">
        <v>1.6232666220858387E-3</v>
      </c>
      <c r="AC711" s="12">
        <v>0.71880094140058515</v>
      </c>
      <c r="AD711" s="12">
        <v>4.2003229767488158E-4</v>
      </c>
      <c r="AE711" s="12">
        <v>-0.17879863688351211</v>
      </c>
      <c r="AF711" s="12">
        <v>4.2778314418602713E-2</v>
      </c>
      <c r="AG711" s="12">
        <v>0.84782129095734859</v>
      </c>
      <c r="AH711" s="12">
        <v>4.5049790100432325</v>
      </c>
    </row>
    <row r="712" spans="24:34" x14ac:dyDescent="0.25">
      <c r="X712">
        <v>81.8</v>
      </c>
      <c r="Y712" s="12">
        <v>74.589879010759375</v>
      </c>
      <c r="Z712" s="12">
        <v>7.2101209892406217</v>
      </c>
      <c r="AA712" s="12">
        <v>7.2177041364612933</v>
      </c>
      <c r="AB712" s="12">
        <v>1.0506314857600782E-3</v>
      </c>
      <c r="AC712" s="12">
        <v>1.1519654498744241</v>
      </c>
      <c r="AD712" s="12">
        <v>6.9783997995497807E-4</v>
      </c>
      <c r="AE712" s="12">
        <v>-0.17879863688351211</v>
      </c>
      <c r="AF712" s="12">
        <v>4.4112048523876415E-2</v>
      </c>
      <c r="AG712" s="12">
        <v>1.0732965339897562</v>
      </c>
      <c r="AH712" s="12">
        <v>7.2177041364612888</v>
      </c>
    </row>
    <row r="713" spans="24:34" x14ac:dyDescent="0.25">
      <c r="X713">
        <v>81.7</v>
      </c>
      <c r="Y713" s="12">
        <v>74.589879010759375</v>
      </c>
      <c r="Z713" s="12">
        <v>7.1101209892406274</v>
      </c>
      <c r="AA713" s="12">
        <v>7.1175989628139718</v>
      </c>
      <c r="AB713" s="12">
        <v>1.0506314857600782E-3</v>
      </c>
      <c r="AC713" s="12">
        <v>1.1359883885797051</v>
      </c>
      <c r="AD713" s="12">
        <v>6.7861698293179731E-4</v>
      </c>
      <c r="AE713" s="12">
        <v>-0.17879863688351211</v>
      </c>
      <c r="AF713" s="12">
        <v>4.5452229714775673E-2</v>
      </c>
      <c r="AG713" s="12">
        <v>1.065827560433537</v>
      </c>
      <c r="AH713" s="12">
        <v>7.1175989628139735</v>
      </c>
    </row>
    <row r="714" spans="24:34" x14ac:dyDescent="0.25">
      <c r="X714">
        <v>81.5</v>
      </c>
      <c r="Y714" s="12">
        <v>74.49124429216819</v>
      </c>
      <c r="Z714" s="12">
        <v>7.0087557078318099</v>
      </c>
      <c r="AA714" s="12">
        <v>7.0160117630894376</v>
      </c>
      <c r="AB714" s="12">
        <v>1.0342136676278065E-3</v>
      </c>
      <c r="AC714" s="12">
        <v>1.1197839936025069</v>
      </c>
      <c r="AD714" s="12">
        <v>6.4907991940694695E-4</v>
      </c>
      <c r="AE714" s="12">
        <v>-0.17879863688351211</v>
      </c>
      <c r="AF714" s="12">
        <v>4.6915634798260546E-2</v>
      </c>
      <c r="AG714" s="12">
        <v>1.0581984660745389</v>
      </c>
      <c r="AH714" s="12">
        <v>7.0160117630894341</v>
      </c>
    </row>
    <row r="715" spans="24:34" x14ac:dyDescent="0.25">
      <c r="X715">
        <v>81</v>
      </c>
      <c r="Y715" s="12">
        <v>74.392609573577005</v>
      </c>
      <c r="Z715" s="12">
        <v>6.6073904264229952</v>
      </c>
      <c r="AA715" s="12">
        <v>6.6141242993885356</v>
      </c>
      <c r="AB715" s="12">
        <v>1.0181049917926659E-3</v>
      </c>
      <c r="AC715" s="12">
        <v>1.0556496322037261</v>
      </c>
      <c r="AD715" s="12">
        <v>5.6786428498743703E-4</v>
      </c>
      <c r="AE715" s="12">
        <v>-0.17879863688351211</v>
      </c>
      <c r="AF715" s="12">
        <v>4.7353167311330539E-2</v>
      </c>
      <c r="AG715" s="12">
        <v>1.0274481165507707</v>
      </c>
      <c r="AH715" s="12">
        <v>6.6141242993885401</v>
      </c>
    </row>
    <row r="716" spans="24:34" x14ac:dyDescent="0.25">
      <c r="X716">
        <v>84</v>
      </c>
      <c r="Y716" s="12">
        <v>74.24465749569022</v>
      </c>
      <c r="Z716" s="12">
        <v>9.7553425043097803</v>
      </c>
      <c r="AA716" s="12">
        <v>9.7650540616931067</v>
      </c>
      <c r="AB716" s="12">
        <v>9.9452161984707617E-4</v>
      </c>
      <c r="AC716" s="12">
        <v>1.5585732803812806</v>
      </c>
      <c r="AD716" s="12">
        <v>1.2091239296379652E-3</v>
      </c>
      <c r="AE716" s="12">
        <v>-0.17879863688351211</v>
      </c>
      <c r="AF716" s="12">
        <v>4.850244735378674E-2</v>
      </c>
      <c r="AG716" s="12">
        <v>1.2484283240864413</v>
      </c>
      <c r="AH716" s="12">
        <v>9.7650540616931085</v>
      </c>
    </row>
    <row r="717" spans="24:34" x14ac:dyDescent="0.25">
      <c r="X717">
        <v>84</v>
      </c>
      <c r="Y717" s="12">
        <v>74.24465749569022</v>
      </c>
      <c r="Z717" s="12">
        <v>9.7553425043097803</v>
      </c>
      <c r="AA717" s="12">
        <v>9.7650540616931067</v>
      </c>
      <c r="AB717" s="12">
        <v>9.9452161984707617E-4</v>
      </c>
      <c r="AC717" s="12">
        <v>1.5585732803812806</v>
      </c>
      <c r="AD717" s="12">
        <v>1.2091239296379652E-3</v>
      </c>
      <c r="AE717" s="12">
        <v>-0.16799678341230881</v>
      </c>
      <c r="AF717" s="12">
        <v>4.9783265868624915E-2</v>
      </c>
      <c r="AG717" s="12">
        <v>1.2484283240864413</v>
      </c>
      <c r="AH717" s="12">
        <v>9.7650540616931085</v>
      </c>
    </row>
    <row r="718" spans="24:34" x14ac:dyDescent="0.25">
      <c r="X718">
        <v>80</v>
      </c>
      <c r="Y718" s="12">
        <v>74.096705417803449</v>
      </c>
      <c r="Z718" s="12">
        <v>5.9032945821965512</v>
      </c>
      <c r="AA718" s="12">
        <v>5.9090360014077135</v>
      </c>
      <c r="AB718" s="12">
        <v>9.7163381807003171E-4</v>
      </c>
      <c r="AC718" s="12">
        <v>0.94313570260215207</v>
      </c>
      <c r="AD718" s="12">
        <v>4.3255683393990222E-4</v>
      </c>
      <c r="AE718" s="12">
        <v>-0.16799678341230881</v>
      </c>
      <c r="AF718" s="12">
        <v>5.0656251638726661E-2</v>
      </c>
      <c r="AG718" s="12">
        <v>0.97115174025594586</v>
      </c>
      <c r="AH718" s="12">
        <v>5.9090360014077126</v>
      </c>
    </row>
    <row r="719" spans="24:34" x14ac:dyDescent="0.25">
      <c r="X719">
        <v>81</v>
      </c>
      <c r="Y719" s="12">
        <v>74.195340136394634</v>
      </c>
      <c r="Z719" s="12">
        <v>6.8046598636053659</v>
      </c>
      <c r="AA719" s="12">
        <v>6.8113814374350028</v>
      </c>
      <c r="AB719" s="12">
        <v>9.8681506701377869E-4</v>
      </c>
      <c r="AC719" s="12">
        <v>1.0871499523680024</v>
      </c>
      <c r="AD719" s="12">
        <v>5.8373194163127869E-4</v>
      </c>
      <c r="AE719" s="12">
        <v>-0.16799678341230881</v>
      </c>
      <c r="AF719" s="12">
        <v>5.1323736485835401E-2</v>
      </c>
      <c r="AG719" s="12">
        <v>1.042664832229419</v>
      </c>
      <c r="AH719" s="12">
        <v>6.8113814374350046</v>
      </c>
    </row>
    <row r="720" spans="24:34" x14ac:dyDescent="0.25">
      <c r="X720">
        <v>79.7</v>
      </c>
      <c r="Y720" s="12">
        <v>74.096705417803449</v>
      </c>
      <c r="Z720" s="12">
        <v>5.6032945821965541</v>
      </c>
      <c r="AA720" s="12">
        <v>5.6087442277651576</v>
      </c>
      <c r="AB720" s="12">
        <v>9.7163381807003171E-4</v>
      </c>
      <c r="AC720" s="12">
        <v>0.89520641382263733</v>
      </c>
      <c r="AD720" s="12">
        <v>3.8970966534116613E-4</v>
      </c>
      <c r="AE720" s="12">
        <v>-0.16799678341230881</v>
      </c>
      <c r="AF720" s="12">
        <v>5.2643917934033849E-2</v>
      </c>
      <c r="AG720" s="12">
        <v>0.94615348322702764</v>
      </c>
      <c r="AH720" s="12">
        <v>5.6087442277651558</v>
      </c>
    </row>
    <row r="721" spans="24:34" x14ac:dyDescent="0.25">
      <c r="X721">
        <v>79.3</v>
      </c>
      <c r="Y721" s="12">
        <v>73.948753339916664</v>
      </c>
      <c r="Z721" s="12">
        <v>5.3512466600833335</v>
      </c>
      <c r="AA721" s="12">
        <v>5.3563321846103094</v>
      </c>
      <c r="AB721" s="12">
        <v>9.494415864615322E-4</v>
      </c>
      <c r="AC721" s="12">
        <v>0.85492865944423024</v>
      </c>
      <c r="AD721" s="12">
        <v>3.47304603415919E-4</v>
      </c>
      <c r="AE721" s="12">
        <v>-0.16799678341230881</v>
      </c>
      <c r="AF721" s="12">
        <v>5.3298073242605812E-2</v>
      </c>
      <c r="AG721" s="12">
        <v>0.92462352308614248</v>
      </c>
      <c r="AH721" s="12">
        <v>5.3563321846103049</v>
      </c>
    </row>
    <row r="722" spans="24:34" x14ac:dyDescent="0.25">
      <c r="X722">
        <v>79.3</v>
      </c>
      <c r="Y722" s="12">
        <v>73.948753339916664</v>
      </c>
      <c r="Z722" s="12">
        <v>5.3512466600833335</v>
      </c>
      <c r="AA722" s="12">
        <v>5.3563321846103094</v>
      </c>
      <c r="AB722" s="12">
        <v>9.494415864615322E-4</v>
      </c>
      <c r="AC722" s="12">
        <v>0.85492865944423024</v>
      </c>
      <c r="AD722" s="12">
        <v>3.47304603415919E-4</v>
      </c>
      <c r="AE722" s="12">
        <v>-0.16799678341230881</v>
      </c>
      <c r="AF722" s="12">
        <v>5.3734217022999679E-2</v>
      </c>
      <c r="AG722" s="12">
        <v>0.92462352308614248</v>
      </c>
      <c r="AH722" s="12">
        <v>5.3563321846103049</v>
      </c>
    </row>
    <row r="723" spans="24:34" x14ac:dyDescent="0.25">
      <c r="X723">
        <v>78.900000000000006</v>
      </c>
      <c r="Y723" s="12">
        <v>73.850118621325478</v>
      </c>
      <c r="Z723" s="12">
        <v>5.0498813786745274</v>
      </c>
      <c r="AA723" s="12">
        <v>5.0546076045636994</v>
      </c>
      <c r="AB723" s="12">
        <v>9.3503319326061329E-4</v>
      </c>
      <c r="AC723" s="12">
        <v>0.80677596452639011</v>
      </c>
      <c r="AD723" s="12">
        <v>3.0458548619654842E-4</v>
      </c>
      <c r="AE723" s="12">
        <v>-0.16799678341230881</v>
      </c>
      <c r="AF723" s="12">
        <v>5.8752456024557628E-2</v>
      </c>
      <c r="AG723" s="12">
        <v>0.89820708332009391</v>
      </c>
      <c r="AH723" s="12">
        <v>5.0546076045637021</v>
      </c>
    </row>
    <row r="724" spans="24:34" x14ac:dyDescent="0.25">
      <c r="X724">
        <v>82.5</v>
      </c>
      <c r="Y724" s="12">
        <v>74.787148447941746</v>
      </c>
      <c r="Z724" s="12">
        <v>7.7128515520582539</v>
      </c>
      <c r="AA724" s="12">
        <v>7.7212244057147643</v>
      </c>
      <c r="AB724" s="12">
        <v>1.0843945489160153E-3</v>
      </c>
      <c r="AC724" s="12">
        <v>1.2323078453423892</v>
      </c>
      <c r="AD724" s="12">
        <v>8.2426518936791699E-4</v>
      </c>
      <c r="AE724" s="12">
        <v>-0.16799678341230881</v>
      </c>
      <c r="AF724" s="12">
        <v>5.8777723322315095E-2</v>
      </c>
      <c r="AG724" s="12">
        <v>1.1100936200800315</v>
      </c>
      <c r="AH724" s="12">
        <v>7.7212244057147688</v>
      </c>
    </row>
    <row r="725" spans="24:34" x14ac:dyDescent="0.25">
      <c r="X725">
        <v>82.3</v>
      </c>
      <c r="Y725" s="12">
        <v>74.737831088646146</v>
      </c>
      <c r="Z725" s="12">
        <v>7.5621689113538508</v>
      </c>
      <c r="AA725" s="12">
        <v>7.5703133410185615</v>
      </c>
      <c r="AB725" s="12">
        <v>1.0758378547656069E-3</v>
      </c>
      <c r="AC725" s="12">
        <v>1.208227605804173</v>
      </c>
      <c r="AD725" s="12">
        <v>7.8610727674476954E-4</v>
      </c>
      <c r="AE725" s="12">
        <v>-0.15567569037416348</v>
      </c>
      <c r="AF725" s="12">
        <v>5.9468138435847258E-2</v>
      </c>
      <c r="AG725" s="12">
        <v>1.099194071037582</v>
      </c>
      <c r="AH725" s="12">
        <v>7.5703133410185561</v>
      </c>
    </row>
    <row r="726" spans="24:34" x14ac:dyDescent="0.25">
      <c r="X726">
        <v>82</v>
      </c>
      <c r="Y726" s="12">
        <v>77.302333772016965</v>
      </c>
      <c r="Z726" s="12">
        <v>4.697666227983035</v>
      </c>
      <c r="AA726" s="12">
        <v>4.705304191223405</v>
      </c>
      <c r="AB726" s="12">
        <v>1.6232666220858387E-3</v>
      </c>
      <c r="AC726" s="12">
        <v>0.75076422657850461</v>
      </c>
      <c r="AD726" s="12">
        <v>4.5821842979495688E-4</v>
      </c>
      <c r="AE726" s="12">
        <v>-0.15567569037416348</v>
      </c>
      <c r="AF726" s="12">
        <v>6.0957751131657849E-2</v>
      </c>
      <c r="AG726" s="12">
        <v>0.86646651786350326</v>
      </c>
      <c r="AH726" s="12">
        <v>4.7053041912234086</v>
      </c>
    </row>
    <row r="727" spans="24:34" x14ac:dyDescent="0.25">
      <c r="X727">
        <v>82</v>
      </c>
      <c r="Y727" s="12">
        <v>77.302333772016965</v>
      </c>
      <c r="Z727" s="12">
        <v>4.697666227983035</v>
      </c>
      <c r="AA727" s="12">
        <v>4.705304191223405</v>
      </c>
      <c r="AB727" s="12">
        <v>1.6232666220858387E-3</v>
      </c>
      <c r="AC727" s="12">
        <v>0.75076422657850461</v>
      </c>
      <c r="AD727" s="12">
        <v>4.5821842979495688E-4</v>
      </c>
      <c r="AE727" s="12">
        <v>-0.15567569037416348</v>
      </c>
      <c r="AF727" s="12">
        <v>6.3823179230292765E-2</v>
      </c>
      <c r="AG727" s="12">
        <v>0.86646651786350326</v>
      </c>
      <c r="AH727" s="12">
        <v>4.7053041912234086</v>
      </c>
    </row>
    <row r="728" spans="24:34" x14ac:dyDescent="0.25">
      <c r="X728">
        <v>81.8</v>
      </c>
      <c r="Y728" s="12">
        <v>77.302333772016965</v>
      </c>
      <c r="Z728" s="12">
        <v>4.4976662279830322</v>
      </c>
      <c r="AA728" s="12">
        <v>4.504979010043229</v>
      </c>
      <c r="AB728" s="12">
        <v>1.6232666220858387E-3</v>
      </c>
      <c r="AC728" s="12">
        <v>0.71880094140058515</v>
      </c>
      <c r="AD728" s="12">
        <v>4.2003229767488158E-4</v>
      </c>
      <c r="AE728" s="12">
        <v>-0.15567569037416348</v>
      </c>
      <c r="AF728" s="12">
        <v>6.5102412748285224E-2</v>
      </c>
      <c r="AG728" s="12">
        <v>0.84782129095734859</v>
      </c>
      <c r="AH728" s="12">
        <v>4.5049790100432325</v>
      </c>
    </row>
    <row r="729" spans="24:34" x14ac:dyDescent="0.25">
      <c r="X729">
        <v>81.599999999999994</v>
      </c>
      <c r="Y729" s="12">
        <v>74.589879010759375</v>
      </c>
      <c r="Z729" s="12">
        <v>7.0101209892406189</v>
      </c>
      <c r="AA729" s="12">
        <v>7.0174937891666502</v>
      </c>
      <c r="AB729" s="12">
        <v>1.0506314857600782E-3</v>
      </c>
      <c r="AC729" s="12">
        <v>1.1200113272849841</v>
      </c>
      <c r="AD729" s="12">
        <v>6.5966245898402829E-4</v>
      </c>
      <c r="AE729" s="12">
        <v>-0.15567569037416348</v>
      </c>
      <c r="AF729" s="12">
        <v>6.5171581673500706E-2</v>
      </c>
      <c r="AG729" s="12">
        <v>1.0583058760514297</v>
      </c>
      <c r="AH729" s="12">
        <v>7.0174937891666431</v>
      </c>
    </row>
    <row r="730" spans="24:34" x14ac:dyDescent="0.25">
      <c r="X730">
        <v>81.5</v>
      </c>
      <c r="Y730" s="12">
        <v>74.589879010759375</v>
      </c>
      <c r="Z730" s="12">
        <v>6.9101209892406246</v>
      </c>
      <c r="AA730" s="12">
        <v>6.9173886155193287</v>
      </c>
      <c r="AB730" s="12">
        <v>1.0506314857600782E-3</v>
      </c>
      <c r="AC730" s="12">
        <v>1.1040342659902653</v>
      </c>
      <c r="AD730" s="12">
        <v>6.4097640811167599E-4</v>
      </c>
      <c r="AE730" s="12">
        <v>-0.15567569037416348</v>
      </c>
      <c r="AF730" s="12">
        <v>6.6259441506857322E-2</v>
      </c>
      <c r="AG730" s="12">
        <v>1.0507303488480122</v>
      </c>
      <c r="AH730" s="12">
        <v>6.9173886155193278</v>
      </c>
    </row>
    <row r="731" spans="24:34" x14ac:dyDescent="0.25">
      <c r="X731">
        <v>81.3</v>
      </c>
      <c r="Y731" s="12">
        <v>74.49124429216819</v>
      </c>
      <c r="Z731" s="12">
        <v>6.8087557078318071</v>
      </c>
      <c r="AA731" s="12">
        <v>6.8158047062148626</v>
      </c>
      <c r="AB731" s="12">
        <v>1.0342136676278065E-3</v>
      </c>
      <c r="AC731" s="12">
        <v>1.0878301335941964</v>
      </c>
      <c r="AD731" s="12">
        <v>6.1256451156076815E-4</v>
      </c>
      <c r="AE731" s="12">
        <v>-0.15567569037416348</v>
      </c>
      <c r="AF731" s="12">
        <v>6.750373892081496E-2</v>
      </c>
      <c r="AG731" s="12">
        <v>1.0429909556627019</v>
      </c>
      <c r="AH731" s="12">
        <v>6.8158047062148563</v>
      </c>
    </row>
    <row r="732" spans="24:34" x14ac:dyDescent="0.25">
      <c r="X732">
        <v>81.2</v>
      </c>
      <c r="Y732" s="12">
        <v>74.392609573577005</v>
      </c>
      <c r="Z732" s="12">
        <v>6.8073904264229981</v>
      </c>
      <c r="AA732" s="12">
        <v>6.8143281279057391</v>
      </c>
      <c r="AB732" s="12">
        <v>1.0181049917926659E-3</v>
      </c>
      <c r="AC732" s="12">
        <v>1.0876032345815179</v>
      </c>
      <c r="AD732" s="12">
        <v>6.027620965859716E-4</v>
      </c>
      <c r="AE732" s="12">
        <v>-0.15567569037416348</v>
      </c>
      <c r="AF732" s="12">
        <v>7.0070228801718384E-2</v>
      </c>
      <c r="AG732" s="12">
        <v>1.0428821767493766</v>
      </c>
      <c r="AH732" s="12">
        <v>6.8143281279057319</v>
      </c>
    </row>
    <row r="733" spans="24:34" x14ac:dyDescent="0.25">
      <c r="X733">
        <v>88</v>
      </c>
      <c r="Y733" s="12">
        <v>74.343292214281405</v>
      </c>
      <c r="Z733" s="12">
        <v>13.656707785718595</v>
      </c>
      <c r="AA733" s="12">
        <v>13.67051728544223</v>
      </c>
      <c r="AB733" s="12">
        <v>1.0101665822365199E-3</v>
      </c>
      <c r="AC733" s="12">
        <v>2.1818963826701916</v>
      </c>
      <c r="AD733" s="12">
        <v>2.406967231019443E-3</v>
      </c>
      <c r="AE733" s="12">
        <v>-0.14337818601426075</v>
      </c>
      <c r="AF733" s="12">
        <v>7.0143907348106438E-2</v>
      </c>
      <c r="AG733" s="12">
        <v>1.4771243626283441</v>
      </c>
      <c r="AH733" s="12">
        <v>13.670517285442235</v>
      </c>
    </row>
    <row r="734" spans="24:34" x14ac:dyDescent="0.25">
      <c r="X734">
        <v>89</v>
      </c>
      <c r="Y734" s="12">
        <v>74.343292214281405</v>
      </c>
      <c r="Z734" s="12">
        <v>14.656707785718595</v>
      </c>
      <c r="AA734" s="12">
        <v>14.671528473492856</v>
      </c>
      <c r="AB734" s="12">
        <v>1.0101665822365199E-3</v>
      </c>
      <c r="AC734" s="12">
        <v>2.3416637597646837</v>
      </c>
      <c r="AD734" s="12">
        <v>2.7723687996469592E-3</v>
      </c>
      <c r="AE734" s="12">
        <v>-0.14337818601426075</v>
      </c>
      <c r="AF734" s="12">
        <v>7.0339654231959689E-2</v>
      </c>
      <c r="AG734" s="12">
        <v>1.5302495743389977</v>
      </c>
      <c r="AH734" s="12">
        <v>14.671528473492849</v>
      </c>
    </row>
    <row r="735" spans="24:34" x14ac:dyDescent="0.25">
      <c r="X735">
        <v>79.900000000000006</v>
      </c>
      <c r="Y735" s="12">
        <v>74.047388058507849</v>
      </c>
      <c r="Z735" s="12">
        <v>5.8526119414921567</v>
      </c>
      <c r="AA735" s="12">
        <v>5.8582602365380296</v>
      </c>
      <c r="AB735" s="12">
        <v>9.6415912195958243E-4</v>
      </c>
      <c r="AC735" s="12">
        <v>0.93503492825090018</v>
      </c>
      <c r="AD735" s="12">
        <v>4.2188425576555194E-4</v>
      </c>
      <c r="AE735" s="12">
        <v>-0.14337818601426075</v>
      </c>
      <c r="AF735" s="12">
        <v>7.0558665368742973E-2</v>
      </c>
      <c r="AG735" s="12">
        <v>0.96697204109058921</v>
      </c>
      <c r="AH735" s="12">
        <v>5.8582602365380279</v>
      </c>
    </row>
    <row r="736" spans="24:34" x14ac:dyDescent="0.25">
      <c r="X736">
        <v>80</v>
      </c>
      <c r="Y736" s="12">
        <v>74.047388058507849</v>
      </c>
      <c r="Z736" s="12">
        <v>5.952611941492151</v>
      </c>
      <c r="AA736" s="12">
        <v>5.9583567455002111</v>
      </c>
      <c r="AB736" s="12">
        <v>9.6415912195958243E-4</v>
      </c>
      <c r="AC736" s="12">
        <v>0.95101129807685614</v>
      </c>
      <c r="AD736" s="12">
        <v>4.3642437901710707E-4</v>
      </c>
      <c r="AE736" s="12">
        <v>-0.14337818601426075</v>
      </c>
      <c r="AF736" s="12">
        <v>7.209220065752607E-2</v>
      </c>
      <c r="AG736" s="12">
        <v>0.97519808145671416</v>
      </c>
      <c r="AH736" s="12">
        <v>5.9583567455002147</v>
      </c>
    </row>
    <row r="737" spans="24:34" x14ac:dyDescent="0.25">
      <c r="X737">
        <v>79.8</v>
      </c>
      <c r="Y737" s="12">
        <v>73.899435980621078</v>
      </c>
      <c r="Z737" s="12">
        <v>5.9005640193789191</v>
      </c>
      <c r="AA737" s="12">
        <v>5.9061287665027749</v>
      </c>
      <c r="AB737" s="12">
        <v>9.4219874707393136E-4</v>
      </c>
      <c r="AC737" s="12">
        <v>0.94268556875650023</v>
      </c>
      <c r="AD737" s="12">
        <v>4.1904014240128496E-4</v>
      </c>
      <c r="AE737" s="12">
        <v>-0.14337818601426075</v>
      </c>
      <c r="AF737" s="12">
        <v>7.209220065752607E-2</v>
      </c>
      <c r="AG737" s="12">
        <v>0.97091996001550007</v>
      </c>
      <c r="AH737" s="12">
        <v>5.9061287665027749</v>
      </c>
    </row>
    <row r="738" spans="24:34" x14ac:dyDescent="0.25">
      <c r="X738">
        <v>79.400000000000006</v>
      </c>
      <c r="Y738" s="12">
        <v>73.800801262029893</v>
      </c>
      <c r="Z738" s="12">
        <v>5.5991987379701129</v>
      </c>
      <c r="AA738" s="12">
        <v>5.6043993118693578</v>
      </c>
      <c r="AB738" s="12">
        <v>9.2794492502157821E-4</v>
      </c>
      <c r="AC738" s="12">
        <v>0.89453248479562131</v>
      </c>
      <c r="AD738" s="12">
        <v>3.7161020060978451E-4</v>
      </c>
      <c r="AE738" s="12">
        <v>-0.14337818601426075</v>
      </c>
      <c r="AF738" s="12">
        <v>7.2354906403768765E-2</v>
      </c>
      <c r="AG738" s="12">
        <v>0.94579727468185348</v>
      </c>
      <c r="AH738" s="12">
        <v>5.6043993118693569</v>
      </c>
    </row>
    <row r="739" spans="24:34" x14ac:dyDescent="0.25">
      <c r="X739">
        <v>75.8</v>
      </c>
      <c r="Y739" s="12">
        <v>71.039029141476703</v>
      </c>
      <c r="Z739" s="12">
        <v>4.7609708585232937</v>
      </c>
      <c r="AA739" s="12">
        <v>4.7640882381383278</v>
      </c>
      <c r="AB739" s="12">
        <v>6.5434968019095101E-4</v>
      </c>
      <c r="AC739" s="12">
        <v>0.76051240014899479</v>
      </c>
      <c r="AD739" s="12">
        <v>1.8935499746617024E-4</v>
      </c>
      <c r="AE739" s="12">
        <v>-0.14337818601426075</v>
      </c>
      <c r="AF739" s="12">
        <v>8.023315334993833E-2</v>
      </c>
      <c r="AG739" s="12">
        <v>0.87207362083083029</v>
      </c>
      <c r="AH739" s="12">
        <v>4.7640882381383207</v>
      </c>
    </row>
    <row r="740" spans="24:34" x14ac:dyDescent="0.25">
      <c r="X740">
        <v>75.599999999999994</v>
      </c>
      <c r="Y740" s="12">
        <v>70.891077063589933</v>
      </c>
      <c r="Z740" s="12">
        <v>4.7089229364100618</v>
      </c>
      <c r="AA740" s="12">
        <v>4.7119693780601466</v>
      </c>
      <c r="AB740" s="12">
        <v>6.4653256539905224E-4</v>
      </c>
      <c r="AC740" s="12">
        <v>0.75219537874051923</v>
      </c>
      <c r="AD740" s="12">
        <v>1.8302170944322482E-4</v>
      </c>
      <c r="AE740" s="12">
        <v>-0.14337818601426075</v>
      </c>
      <c r="AF740" s="12">
        <v>8.6977884756933743E-2</v>
      </c>
      <c r="AG740" s="12">
        <v>0.86729198009696784</v>
      </c>
      <c r="AH740" s="12">
        <v>4.7119693780601404</v>
      </c>
    </row>
    <row r="741" spans="24:34" x14ac:dyDescent="0.25">
      <c r="X741">
        <v>75.3</v>
      </c>
      <c r="Y741" s="12">
        <v>70.792442344998747</v>
      </c>
      <c r="Z741" s="12">
        <v>4.5075576550012499</v>
      </c>
      <c r="AA741" s="12">
        <v>4.5104520462839588</v>
      </c>
      <c r="AB741" s="12">
        <v>6.4170758340920055E-4</v>
      </c>
      <c r="AC741" s="12">
        <v>0.72002789137080481</v>
      </c>
      <c r="AD741" s="12">
        <v>1.6645030492719177E-4</v>
      </c>
      <c r="AE741" s="12">
        <v>-0.14337818601426075</v>
      </c>
      <c r="AF741" s="12">
        <v>8.8299157240555343E-2</v>
      </c>
      <c r="AG741" s="12">
        <v>0.84854457241255443</v>
      </c>
      <c r="AH741" s="12">
        <v>4.5104520462839535</v>
      </c>
    </row>
    <row r="742" spans="24:34" x14ac:dyDescent="0.25">
      <c r="X742">
        <v>75.2</v>
      </c>
      <c r="Y742" s="12">
        <v>70.743124985703147</v>
      </c>
      <c r="Z742" s="12">
        <v>4.4568750142968554</v>
      </c>
      <c r="AA742" s="12">
        <v>4.4597266126426263</v>
      </c>
      <c r="AB742" s="12">
        <v>6.3941102077569876E-4</v>
      </c>
      <c r="AC742" s="12">
        <v>0.71193113366103178</v>
      </c>
      <c r="AD742" s="12">
        <v>1.6214511701504803E-4</v>
      </c>
      <c r="AE742" s="12">
        <v>-0.12956927093944987</v>
      </c>
      <c r="AF742" s="12">
        <v>8.8546941812676569E-2</v>
      </c>
      <c r="AG742" s="12">
        <v>0.84376011618293012</v>
      </c>
      <c r="AH742" s="12">
        <v>4.4597266126426254</v>
      </c>
    </row>
    <row r="743" spans="24:34" x14ac:dyDescent="0.25">
      <c r="X743">
        <v>75</v>
      </c>
      <c r="Y743" s="12">
        <v>70.792442344998747</v>
      </c>
      <c r="Z743" s="12">
        <v>4.2075576550012528</v>
      </c>
      <c r="AA743" s="12">
        <v>4.2102594103930215</v>
      </c>
      <c r="AB743" s="12">
        <v>6.4170758340920055E-4</v>
      </c>
      <c r="AC743" s="12">
        <v>0.67210651488623063</v>
      </c>
      <c r="AD743" s="12">
        <v>1.4503144223734942E-4</v>
      </c>
      <c r="AE743" s="12">
        <v>-0.12956927093944987</v>
      </c>
      <c r="AF743" s="12">
        <v>8.8735674585821572E-2</v>
      </c>
      <c r="AG743" s="12">
        <v>0.8198210261308444</v>
      </c>
      <c r="AH743" s="12">
        <v>4.2102594103930215</v>
      </c>
    </row>
    <row r="744" spans="24:34" x14ac:dyDescent="0.25">
      <c r="X744">
        <v>74.7</v>
      </c>
      <c r="Y744" s="12">
        <v>70.595172907816377</v>
      </c>
      <c r="Z744" s="12">
        <v>4.1048270921836263</v>
      </c>
      <c r="AA744" s="12">
        <v>4.1074270320737867</v>
      </c>
      <c r="AB744" s="12">
        <v>6.3298504632089045E-4</v>
      </c>
      <c r="AC744" s="12">
        <v>0.65569368680912976</v>
      </c>
      <c r="AD744" s="12">
        <v>1.3615714864653579E-4</v>
      </c>
      <c r="AE744" s="12">
        <v>-0.12956927093944987</v>
      </c>
      <c r="AF744" s="12">
        <v>9.0045581322698548E-2</v>
      </c>
      <c r="AG744" s="12">
        <v>0.80974915054548202</v>
      </c>
      <c r="AH744" s="12">
        <v>4.1074270320737831</v>
      </c>
    </row>
    <row r="745" spans="24:34" x14ac:dyDescent="0.25">
      <c r="X745">
        <v>74.5</v>
      </c>
      <c r="Y745" s="12">
        <v>70.447220829929591</v>
      </c>
      <c r="Z745" s="12">
        <v>4.0527791700704086</v>
      </c>
      <c r="AA745" s="12">
        <v>4.0553228901782177</v>
      </c>
      <c r="AB745" s="12">
        <v>6.2725464203462734E-4</v>
      </c>
      <c r="AC745" s="12">
        <v>0.64737784014855959</v>
      </c>
      <c r="AD745" s="12">
        <v>1.3152310276058485E-4</v>
      </c>
      <c r="AE745" s="12">
        <v>-0.12956927093944987</v>
      </c>
      <c r="AF745" s="12">
        <v>9.0919156188083605E-2</v>
      </c>
      <c r="AG745" s="12">
        <v>0.80459793695271153</v>
      </c>
      <c r="AH745" s="12">
        <v>4.0553228901782221</v>
      </c>
    </row>
    <row r="746" spans="24:34" x14ac:dyDescent="0.25">
      <c r="X746">
        <v>74.2</v>
      </c>
      <c r="Y746" s="12">
        <v>70.299268752042821</v>
      </c>
      <c r="Z746" s="12">
        <v>3.9007312479571823</v>
      </c>
      <c r="AA746" s="12">
        <v>3.903159871342595</v>
      </c>
      <c r="AB746" s="12">
        <v>6.222198079169094E-4</v>
      </c>
      <c r="AC746" s="12">
        <v>0.62308862715380964</v>
      </c>
      <c r="AD746" s="12">
        <v>1.208603357425751E-4</v>
      </c>
      <c r="AE746" s="12">
        <v>-0.12344005334831042</v>
      </c>
      <c r="AF746" s="12">
        <v>9.6395126780995821E-2</v>
      </c>
      <c r="AG746" s="12">
        <v>0.78935963106419982</v>
      </c>
      <c r="AH746" s="12">
        <v>3.9031598713425981</v>
      </c>
    </row>
    <row r="747" spans="24:34" x14ac:dyDescent="0.25">
      <c r="X747">
        <v>74</v>
      </c>
      <c r="Y747" s="12">
        <v>76.858477538356638</v>
      </c>
      <c r="Z747" s="12">
        <v>-2.8584775383566381</v>
      </c>
      <c r="AA747" s="12">
        <v>-2.8628105870513139</v>
      </c>
      <c r="AB747" s="12">
        <v>1.5135645768105384E-3</v>
      </c>
      <c r="AC747" s="12">
        <v>-0.45680656730866409</v>
      </c>
      <c r="AD747" s="12">
        <v>1.5815883888170633E-4</v>
      </c>
      <c r="AE747" s="12">
        <v>-0.12344005334831042</v>
      </c>
      <c r="AF747" s="12">
        <v>9.6425183061604997E-2</v>
      </c>
      <c r="AG747" s="12">
        <v>0.67587466834366861</v>
      </c>
      <c r="AH747" s="12">
        <v>-2.862810587051317</v>
      </c>
    </row>
    <row r="748" spans="24:34" x14ac:dyDescent="0.25">
      <c r="X748">
        <v>73.5</v>
      </c>
      <c r="Y748" s="12">
        <v>69.658143081200109</v>
      </c>
      <c r="Z748" s="12">
        <v>3.8418569187998912</v>
      </c>
      <c r="AA748" s="12">
        <v>3.8441958809308687</v>
      </c>
      <c r="AB748" s="12">
        <v>6.0843989313220947E-4</v>
      </c>
      <c r="AC748" s="12">
        <v>0.61368002502409713</v>
      </c>
      <c r="AD748" s="12">
        <v>1.1463994871938524E-4</v>
      </c>
      <c r="AE748" s="12">
        <v>-0.12344005334831042</v>
      </c>
      <c r="AF748" s="12">
        <v>9.7049997071335464E-2</v>
      </c>
      <c r="AG748" s="12">
        <v>0.78337731970238778</v>
      </c>
      <c r="AH748" s="12">
        <v>3.8441958809308638</v>
      </c>
    </row>
    <row r="749" spans="24:34" x14ac:dyDescent="0.25">
      <c r="X749">
        <v>73.3</v>
      </c>
      <c r="Y749" s="12">
        <v>69.460873644017738</v>
      </c>
      <c r="Z749" s="12">
        <v>3.839126355982259</v>
      </c>
      <c r="AA749" s="12">
        <v>3.8414574585032426</v>
      </c>
      <c r="AB749" s="12">
        <v>6.0682762887791708E-4</v>
      </c>
      <c r="AC749" s="12">
        <v>0.61324336319855821</v>
      </c>
      <c r="AD749" s="12">
        <v>1.1417333468306702E-4</v>
      </c>
      <c r="AE749" s="12">
        <v>-0.12344005334831042</v>
      </c>
      <c r="AF749" s="12">
        <v>9.804120624823956E-2</v>
      </c>
      <c r="AG749" s="12">
        <v>0.78309856544279166</v>
      </c>
      <c r="AH749" s="12">
        <v>3.8414574585032377</v>
      </c>
    </row>
    <row r="750" spans="24:34" x14ac:dyDescent="0.25">
      <c r="X750">
        <v>73.099999999999994</v>
      </c>
      <c r="Y750" s="12">
        <v>69.411556284722153</v>
      </c>
      <c r="Z750" s="12">
        <v>3.6884437152778418</v>
      </c>
      <c r="AA750" s="12">
        <v>3.6906825489203641</v>
      </c>
      <c r="AB750" s="12">
        <v>6.0661777675005094E-4</v>
      </c>
      <c r="AC750" s="12">
        <v>0.58917398952582334</v>
      </c>
      <c r="AD750" s="12">
        <v>1.0535030550099652E-4</v>
      </c>
      <c r="AE750" s="12">
        <v>-0.11731546960548965</v>
      </c>
      <c r="AF750" s="12">
        <v>9.9889470835375208E-2</v>
      </c>
      <c r="AG750" s="12">
        <v>0.76757669944170615</v>
      </c>
      <c r="AH750" s="12">
        <v>3.6906825489203583</v>
      </c>
    </row>
    <row r="751" spans="24:34" x14ac:dyDescent="0.25">
      <c r="X751">
        <v>74</v>
      </c>
      <c r="Y751" s="12">
        <v>72.025376327388557</v>
      </c>
      <c r="Z751" s="12">
        <v>1.9746236726114432</v>
      </c>
      <c r="AA751" s="12">
        <v>1.9760548094813544</v>
      </c>
      <c r="AB751" s="12">
        <v>7.2423946088865298E-4</v>
      </c>
      <c r="AC751" s="12">
        <v>0.31543530679649878</v>
      </c>
      <c r="AD751" s="12">
        <v>3.6056821548411889E-5</v>
      </c>
      <c r="AE751" s="12">
        <v>-0.11731546960548965</v>
      </c>
      <c r="AF751" s="12">
        <v>9.9889470835375208E-2</v>
      </c>
      <c r="AG751" s="12">
        <v>0.56163627624691304</v>
      </c>
      <c r="AH751" s="12">
        <v>1.9760548094813484</v>
      </c>
    </row>
    <row r="752" spans="24:34" x14ac:dyDescent="0.25">
      <c r="X752">
        <v>73.900000000000006</v>
      </c>
      <c r="Y752" s="12">
        <v>71.976058968092971</v>
      </c>
      <c r="Z752" s="12">
        <v>1.9239410319070345</v>
      </c>
      <c r="AA752" s="12">
        <v>1.9253272882689885</v>
      </c>
      <c r="AB752" s="12">
        <v>7.2001075889808119E-4</v>
      </c>
      <c r="AC752" s="12">
        <v>0.30733838249512757</v>
      </c>
      <c r="AD752" s="12">
        <v>3.4029487010446763E-5</v>
      </c>
      <c r="AE752" s="12">
        <v>-0.11731546960548965</v>
      </c>
      <c r="AF752" s="12">
        <v>9.9910624285641347E-2</v>
      </c>
      <c r="AG752" s="12">
        <v>0.55438108057105229</v>
      </c>
      <c r="AH752" s="12">
        <v>1.9253272882689882</v>
      </c>
    </row>
    <row r="753" spans="24:34" x14ac:dyDescent="0.25">
      <c r="X753">
        <v>73.7</v>
      </c>
      <c r="Y753" s="12">
        <v>71.926741608797371</v>
      </c>
      <c r="Z753" s="12">
        <v>1.7732583912026314</v>
      </c>
      <c r="AA753" s="12">
        <v>1.7745287041540081</v>
      </c>
      <c r="AB753" s="12">
        <v>7.1585934248179239E-4</v>
      </c>
      <c r="AC753" s="12">
        <v>0.28326711921382952</v>
      </c>
      <c r="AD753" s="12">
        <v>2.874094465208405E-5</v>
      </c>
      <c r="AE753" s="12">
        <v>-0.11731546960548965</v>
      </c>
      <c r="AF753" s="12">
        <v>0.10023169578916899</v>
      </c>
      <c r="AG753" s="12">
        <v>0.53222844645305223</v>
      </c>
      <c r="AH753" s="12">
        <v>1.7745287041540021</v>
      </c>
    </row>
    <row r="754" spans="24:34" x14ac:dyDescent="0.25">
      <c r="X754">
        <v>73.599999999999994</v>
      </c>
      <c r="Y754" s="12">
        <v>71.877424249501786</v>
      </c>
      <c r="Z754" s="12">
        <v>1.7225757504982084</v>
      </c>
      <c r="AA754" s="12">
        <v>1.7238027277876284</v>
      </c>
      <c r="AB754" s="12">
        <v>7.1178521163978625E-4</v>
      </c>
      <c r="AC754" s="12">
        <v>0.27517031821126742</v>
      </c>
      <c r="AD754" s="12">
        <v>2.6966921540537045E-5</v>
      </c>
      <c r="AE754" s="12">
        <v>-0.11731546960548965</v>
      </c>
      <c r="AF754" s="12">
        <v>0.10066560604465799</v>
      </c>
      <c r="AG754" s="12">
        <v>0.5245667909916405</v>
      </c>
      <c r="AH754" s="12">
        <v>1.723802727787632</v>
      </c>
    </row>
    <row r="755" spans="24:34" x14ac:dyDescent="0.25">
      <c r="X755">
        <v>73.400000000000006</v>
      </c>
      <c r="Y755" s="12">
        <v>71.828106890206186</v>
      </c>
      <c r="Z755" s="12">
        <v>1.5718931097938196</v>
      </c>
      <c r="AA755" s="12">
        <v>1.5730064654703142</v>
      </c>
      <c r="AB755" s="12">
        <v>7.0778836637206289E-4</v>
      </c>
      <c r="AC755" s="12">
        <v>0.25109924024152469</v>
      </c>
      <c r="AD755" s="12">
        <v>2.2329125728891839E-5</v>
      </c>
      <c r="AE755" s="12">
        <v>-0.11731546960548965</v>
      </c>
      <c r="AF755" s="12">
        <v>0.10142346496114826</v>
      </c>
      <c r="AG755" s="12">
        <v>0.50109803456162616</v>
      </c>
      <c r="AH755" s="12">
        <v>1.5730064654703075</v>
      </c>
    </row>
    <row r="756" spans="24:34" x14ac:dyDescent="0.25">
      <c r="X756">
        <v>73.3</v>
      </c>
      <c r="Y756" s="12">
        <v>71.778789530910601</v>
      </c>
      <c r="Z756" s="12">
        <v>1.5212104690893966</v>
      </c>
      <c r="AA756" s="12">
        <v>1.5222819558731118</v>
      </c>
      <c r="AB756" s="12">
        <v>7.0386880667862241E-4</v>
      </c>
      <c r="AC756" s="12">
        <v>0.24300255630701856</v>
      </c>
      <c r="AD756" s="12">
        <v>2.0796449788437787E-5</v>
      </c>
      <c r="AE756" s="12">
        <v>-0.11731546960548965</v>
      </c>
      <c r="AF756" s="12">
        <v>0.10212724181411238</v>
      </c>
      <c r="AG756" s="12">
        <v>0.49295289461267855</v>
      </c>
      <c r="AH756" s="12">
        <v>1.5222819558731053</v>
      </c>
    </row>
    <row r="757" spans="24:34" x14ac:dyDescent="0.25">
      <c r="X757">
        <v>73.099999999999994</v>
      </c>
      <c r="Y757" s="12">
        <v>71.729472171615001</v>
      </c>
      <c r="Z757" s="12">
        <v>1.3705278283849935</v>
      </c>
      <c r="AA757" s="12">
        <v>1.3714879063084879</v>
      </c>
      <c r="AB757" s="12">
        <v>7.0002653255946481E-4</v>
      </c>
      <c r="AC757" s="12">
        <v>0.21893165494655195</v>
      </c>
      <c r="AD757" s="12">
        <v>1.6788262434288564E-5</v>
      </c>
      <c r="AE757" s="12">
        <v>-0.10660788786182936</v>
      </c>
      <c r="AF757" s="12">
        <v>0.10295903338593436</v>
      </c>
      <c r="AG757" s="12">
        <v>0.4679013303534752</v>
      </c>
      <c r="AH757" s="12">
        <v>1.3714879063084939</v>
      </c>
    </row>
    <row r="758" spans="24:34" x14ac:dyDescent="0.25">
      <c r="X758">
        <v>73</v>
      </c>
      <c r="Y758" s="12">
        <v>77.006429616243409</v>
      </c>
      <c r="Z758" s="12">
        <v>-4.006429616243409</v>
      </c>
      <c r="AA758" s="12">
        <v>-4.0126469573191343</v>
      </c>
      <c r="AB758" s="12">
        <v>1.5494363550670933E-3</v>
      </c>
      <c r="AC758" s="12">
        <v>-0.64026958821725055</v>
      </c>
      <c r="AD758" s="12">
        <v>3.180848082506686E-4</v>
      </c>
      <c r="AE758" s="12">
        <v>-0.10660788786182936</v>
      </c>
      <c r="AF758" s="12">
        <v>0.10536441161696232</v>
      </c>
      <c r="AG758" s="12">
        <v>0.80016847489591247</v>
      </c>
      <c r="AH758" s="12">
        <v>-4.012646957319129</v>
      </c>
    </row>
    <row r="759" spans="24:34" x14ac:dyDescent="0.25">
      <c r="X759">
        <v>72.8</v>
      </c>
      <c r="Y759" s="12">
        <v>71.630837453023815</v>
      </c>
      <c r="Z759" s="12">
        <v>1.1691625469761817</v>
      </c>
      <c r="AA759" s="12">
        <v>1.1699728395595912</v>
      </c>
      <c r="AB759" s="12">
        <v>6.9257384104399783E-4</v>
      </c>
      <c r="AC759" s="12">
        <v>0.18676434839664957</v>
      </c>
      <c r="AD759" s="12">
        <v>1.2087178269662139E-5</v>
      </c>
      <c r="AE759" s="12">
        <v>-0.10660788786182936</v>
      </c>
      <c r="AF759" s="12">
        <v>0.10536441161696232</v>
      </c>
      <c r="AG759" s="12">
        <v>0.43216240974505127</v>
      </c>
      <c r="AH759" s="12">
        <v>1.1699728395595927</v>
      </c>
    </row>
    <row r="760" spans="24:34" x14ac:dyDescent="0.25">
      <c r="X760">
        <v>72.400000000000006</v>
      </c>
      <c r="Y760" s="12">
        <v>71.334933297250259</v>
      </c>
      <c r="Z760" s="12">
        <v>1.0650667027497462</v>
      </c>
      <c r="AA760" s="12">
        <v>1.0657829841810127</v>
      </c>
      <c r="AB760" s="12">
        <v>6.72070620280384E-4</v>
      </c>
      <c r="AC760" s="12">
        <v>0.17013412605138056</v>
      </c>
      <c r="AD760" s="12">
        <v>9.7332921382965451E-6</v>
      </c>
      <c r="AE760" s="12">
        <v>-0.10660788786182936</v>
      </c>
      <c r="AF760" s="12">
        <v>0.10558277901327269</v>
      </c>
      <c r="AG760" s="12">
        <v>0.41247318222083307</v>
      </c>
      <c r="AH760" s="12">
        <v>1.0657829841810091</v>
      </c>
    </row>
    <row r="761" spans="24:34" x14ac:dyDescent="0.25">
      <c r="X761">
        <v>72.5</v>
      </c>
      <c r="Y761" s="12">
        <v>71.433568015841445</v>
      </c>
      <c r="Z761" s="12">
        <v>1.0664319841585552</v>
      </c>
      <c r="AA761" s="12">
        <v>1.0671561519318118</v>
      </c>
      <c r="AB761" s="12">
        <v>6.7859588490445737E-4</v>
      </c>
      <c r="AC761" s="12">
        <v>0.17035277275229596</v>
      </c>
      <c r="AD761" s="12">
        <v>9.8531353826148464E-6</v>
      </c>
      <c r="AE761" s="12">
        <v>-0.10660788786182936</v>
      </c>
      <c r="AF761" s="12">
        <v>0.10800639716210189</v>
      </c>
      <c r="AG761" s="12">
        <v>0.41273814065615011</v>
      </c>
      <c r="AH761" s="12">
        <v>1.0671561519318067</v>
      </c>
    </row>
    <row r="762" spans="24:34" x14ac:dyDescent="0.25">
      <c r="X762">
        <v>72.3</v>
      </c>
      <c r="Y762" s="12">
        <v>71.334933297250259</v>
      </c>
      <c r="Z762" s="12">
        <v>0.96506670274973771</v>
      </c>
      <c r="AA762" s="12">
        <v>0.96571573192071014</v>
      </c>
      <c r="AB762" s="12">
        <v>6.72070620280384E-4</v>
      </c>
      <c r="AC762" s="12">
        <v>0.15416009122218632</v>
      </c>
      <c r="AD762" s="12">
        <v>7.9913620487271598E-6</v>
      </c>
      <c r="AE762" s="12">
        <v>-0.10660788786182936</v>
      </c>
      <c r="AF762" s="12">
        <v>0.11083984159040207</v>
      </c>
      <c r="AG762" s="12">
        <v>0.39263225952815739</v>
      </c>
      <c r="AH762" s="12">
        <v>0.96571573192070426</v>
      </c>
    </row>
    <row r="763" spans="24:34" x14ac:dyDescent="0.25">
      <c r="X763">
        <v>72.099999999999994</v>
      </c>
      <c r="Y763" s="12">
        <v>71.236298578659074</v>
      </c>
      <c r="Z763" s="12">
        <v>0.86370142134092021</v>
      </c>
      <c r="AA763" s="12">
        <v>0.86427690400492452</v>
      </c>
      <c r="AB763" s="12">
        <v>6.6585449795344173E-4</v>
      </c>
      <c r="AC763" s="12">
        <v>0.13796753676597143</v>
      </c>
      <c r="AD763" s="12">
        <v>6.3415064218720531E-6</v>
      </c>
      <c r="AE763" s="12">
        <v>-9.743972564826138E-2</v>
      </c>
      <c r="AF763" s="12">
        <v>0.11223613855126145</v>
      </c>
      <c r="AG763" s="12">
        <v>0.37143981580596797</v>
      </c>
      <c r="AH763" s="12">
        <v>0.86427690400492918</v>
      </c>
    </row>
    <row r="764" spans="24:34" x14ac:dyDescent="0.25">
      <c r="X764">
        <v>71.900000000000006</v>
      </c>
      <c r="Y764" s="12">
        <v>71.137663860067889</v>
      </c>
      <c r="Z764" s="12">
        <v>0.76233613993211691</v>
      </c>
      <c r="AA764" s="12">
        <v>0.76283957401555824</v>
      </c>
      <c r="AB764" s="12">
        <v>6.5994751792363077E-4</v>
      </c>
      <c r="AC764" s="12">
        <v>0.12177510186808888</v>
      </c>
      <c r="AD764" s="12">
        <v>4.8964701739235613E-6</v>
      </c>
      <c r="AE764" s="12">
        <v>-9.743972564826138E-2</v>
      </c>
      <c r="AF764" s="12">
        <v>0.11288741741192092</v>
      </c>
      <c r="AG764" s="12">
        <v>0.34896289468665415</v>
      </c>
      <c r="AH764" s="12">
        <v>0.76283957401556246</v>
      </c>
    </row>
    <row r="765" spans="24:34" x14ac:dyDescent="0.25">
      <c r="X765">
        <v>71.7</v>
      </c>
      <c r="Y765" s="12">
        <v>71.039029141476703</v>
      </c>
      <c r="Z765" s="12">
        <v>0.6609708585232994</v>
      </c>
      <c r="AA765" s="12">
        <v>0.66140364778870264</v>
      </c>
      <c r="AB765" s="12">
        <v>6.5434968019095101E-4</v>
      </c>
      <c r="AC765" s="12">
        <v>0.10558277901327269</v>
      </c>
      <c r="AD765" s="12">
        <v>3.649642705832364E-6</v>
      </c>
      <c r="AE765" s="12">
        <v>-9.743972564826138E-2</v>
      </c>
      <c r="AF765" s="12">
        <v>0.11332167075822226</v>
      </c>
      <c r="AG765" s="12">
        <v>0.32493503814343061</v>
      </c>
      <c r="AH765" s="12">
        <v>0.66140364778870708</v>
      </c>
    </row>
    <row r="766" spans="24:34" x14ac:dyDescent="0.25">
      <c r="X766">
        <v>69.900000000000006</v>
      </c>
      <c r="Y766" s="12">
        <v>76.513256023287482</v>
      </c>
      <c r="Z766" s="12">
        <v>-6.6132560232874766</v>
      </c>
      <c r="AA766" s="12">
        <v>-6.6227435587886561</v>
      </c>
      <c r="AB766" s="12">
        <v>1.4325687559784749E-3</v>
      </c>
      <c r="AC766" s="12">
        <v>-1.0568060167926645</v>
      </c>
      <c r="AD766" s="12">
        <v>8.0112196001106155E-4</v>
      </c>
      <c r="AE766" s="12">
        <v>-9.743972564826138E-2</v>
      </c>
      <c r="AF766" s="12">
        <v>0.1134605290091162</v>
      </c>
      <c r="AG766" s="12">
        <v>1.0280107085009691</v>
      </c>
      <c r="AH766" s="12">
        <v>-6.6227435587886552</v>
      </c>
    </row>
    <row r="767" spans="24:34" x14ac:dyDescent="0.25">
      <c r="X767">
        <v>69.5</v>
      </c>
      <c r="Y767" s="12">
        <v>76.217351867513926</v>
      </c>
      <c r="Z767" s="12">
        <v>-6.7173518675139263</v>
      </c>
      <c r="AA767" s="12">
        <v>-6.7265413851945084</v>
      </c>
      <c r="AB767" s="12">
        <v>1.3661579040908781E-3</v>
      </c>
      <c r="AC767" s="12">
        <v>-1.073404960559412</v>
      </c>
      <c r="AD767" s="12">
        <v>7.881190404503321E-4</v>
      </c>
      <c r="AE767" s="12">
        <v>-9.743972564826138E-2</v>
      </c>
      <c r="AF767" s="12">
        <v>0.11397315393673892</v>
      </c>
      <c r="AG767" s="12">
        <v>1.036052585807985</v>
      </c>
      <c r="AH767" s="12">
        <v>-6.726541385194504</v>
      </c>
    </row>
    <row r="768" spans="24:34" x14ac:dyDescent="0.25">
      <c r="X768">
        <v>69.099999999999994</v>
      </c>
      <c r="Y768" s="12">
        <v>67.044323038533705</v>
      </c>
      <c r="Z768" s="12">
        <v>2.0556769614662898</v>
      </c>
      <c r="AA768" s="12">
        <v>2.0570910731573662</v>
      </c>
      <c r="AB768" s="12">
        <v>6.8743270996904934E-4</v>
      </c>
      <c r="AC768" s="12">
        <v>0.32837707778536879</v>
      </c>
      <c r="AD768" s="12">
        <v>3.7088948081035054E-5</v>
      </c>
      <c r="AE768" s="12">
        <v>-9.743972564826138E-2</v>
      </c>
      <c r="AF768" s="12">
        <v>0.11404634942881192</v>
      </c>
      <c r="AG768" s="12">
        <v>0.57304195115660495</v>
      </c>
      <c r="AH768" s="12">
        <v>2.0570910731573635</v>
      </c>
    </row>
    <row r="769" spans="24:34" x14ac:dyDescent="0.25">
      <c r="X769">
        <v>68.5</v>
      </c>
      <c r="Y769" s="12">
        <v>66.551149445577778</v>
      </c>
      <c r="Z769" s="12">
        <v>1.9488505544222221</v>
      </c>
      <c r="AA769" s="12">
        <v>1.9502677788556042</v>
      </c>
      <c r="AB769" s="12">
        <v>7.266819709316856E-4</v>
      </c>
      <c r="AC769" s="12">
        <v>0.31131857292937404</v>
      </c>
      <c r="AD769" s="12">
        <v>3.5240345728647718E-5</v>
      </c>
      <c r="AE769" s="12">
        <v>-9.743972564826138E-2</v>
      </c>
      <c r="AF769" s="12">
        <v>0.11435910206666261</v>
      </c>
      <c r="AG769" s="12">
        <v>0.55795929325478044</v>
      </c>
      <c r="AH769" s="12">
        <v>1.9502677788556055</v>
      </c>
    </row>
    <row r="770" spans="24:34" x14ac:dyDescent="0.25">
      <c r="X770">
        <v>67.8</v>
      </c>
      <c r="Y770" s="12">
        <v>65.959341134030666</v>
      </c>
      <c r="Z770" s="12">
        <v>1.8406588659693313</v>
      </c>
      <c r="AA770" s="12">
        <v>1.842103043033859</v>
      </c>
      <c r="AB770" s="12">
        <v>7.8398277989217885E-4</v>
      </c>
      <c r="AC770" s="12">
        <v>0.29404395340985634</v>
      </c>
      <c r="AD770" s="12">
        <v>3.3918891227939778E-5</v>
      </c>
      <c r="AE770" s="12">
        <v>-9.743972564826138E-2</v>
      </c>
      <c r="AF770" s="12">
        <v>0.11484199494068538</v>
      </c>
      <c r="AG770" s="12">
        <v>0.54225819810294829</v>
      </c>
      <c r="AH770" s="12">
        <v>1.842103043033857</v>
      </c>
    </row>
    <row r="771" spans="24:34" x14ac:dyDescent="0.25">
      <c r="X771">
        <v>67.8</v>
      </c>
      <c r="Y771" s="12">
        <v>66.008658493326266</v>
      </c>
      <c r="Z771" s="12">
        <v>1.7913415066737315</v>
      </c>
      <c r="AA771" s="12">
        <v>1.792737659644402</v>
      </c>
      <c r="AB771" s="12">
        <v>7.7878264182024886E-4</v>
      </c>
      <c r="AC771" s="12">
        <v>0.28616479547415208</v>
      </c>
      <c r="AD771" s="12">
        <v>3.1912220942259878E-5</v>
      </c>
      <c r="AE771" s="12">
        <v>-9.743972564826138E-2</v>
      </c>
      <c r="AF771" s="12">
        <v>0.12177510186808888</v>
      </c>
      <c r="AG771" s="12">
        <v>0.53494373112894045</v>
      </c>
      <c r="AH771" s="12">
        <v>1.7927376596444</v>
      </c>
    </row>
    <row r="772" spans="24:34" x14ac:dyDescent="0.25">
      <c r="X772">
        <v>66.599999999999994</v>
      </c>
      <c r="Y772" s="12">
        <v>64.874359229527627</v>
      </c>
      <c r="Z772" s="12">
        <v>1.7256407704723671</v>
      </c>
      <c r="AA772" s="12">
        <v>1.7272262589343228</v>
      </c>
      <c r="AB772" s="12">
        <v>9.1793906776818353E-4</v>
      </c>
      <c r="AC772" s="12">
        <v>0.27568837411737407</v>
      </c>
      <c r="AD772" s="12">
        <v>3.4915607398184219E-5</v>
      </c>
      <c r="AE772" s="12">
        <v>-9.743972564826138E-2</v>
      </c>
      <c r="AF772" s="12">
        <v>0.12194399246830354</v>
      </c>
      <c r="AG772" s="12">
        <v>0.52506035283324726</v>
      </c>
      <c r="AH772" s="12">
        <v>1.7272262589343179</v>
      </c>
    </row>
    <row r="773" spans="24:34" x14ac:dyDescent="0.25">
      <c r="X773">
        <v>65.3</v>
      </c>
      <c r="Y773" s="12">
        <v>63.394838450659854</v>
      </c>
      <c r="Z773" s="12">
        <v>1.9051615493401428</v>
      </c>
      <c r="AA773" s="12">
        <v>1.9073758018448075</v>
      </c>
      <c r="AB773" s="12">
        <v>1.160889480994228E-3</v>
      </c>
      <c r="AC773" s="12">
        <v>0.30440562819202882</v>
      </c>
      <c r="AD773" s="12">
        <v>5.3848138787100454E-5</v>
      </c>
      <c r="AE773" s="12">
        <v>-9.743972564826138E-2</v>
      </c>
      <c r="AF773" s="12">
        <v>0.12250453975813076</v>
      </c>
      <c r="AG773" s="12">
        <v>0.55172966948681379</v>
      </c>
      <c r="AH773" s="12">
        <v>1.9073758018448075</v>
      </c>
    </row>
    <row r="774" spans="24:34" x14ac:dyDescent="0.25">
      <c r="X774">
        <v>65</v>
      </c>
      <c r="Y774" s="12">
        <v>63.049616935590706</v>
      </c>
      <c r="Z774" s="12">
        <v>1.9503830644092943</v>
      </c>
      <c r="AA774" s="12">
        <v>1.9527802708976196</v>
      </c>
      <c r="AB774" s="12">
        <v>1.2275863926165943E-3</v>
      </c>
      <c r="AC774" s="12">
        <v>0.31164150115117928</v>
      </c>
      <c r="AD774" s="12">
        <v>5.9685124881880209E-5</v>
      </c>
      <c r="AE774" s="12">
        <v>-9.743972564826138E-2</v>
      </c>
      <c r="AF774" s="12">
        <v>0.12308610533613572</v>
      </c>
      <c r="AG774" s="12">
        <v>0.55824860156670275</v>
      </c>
      <c r="AH774" s="12">
        <v>1.9527802708976183</v>
      </c>
    </row>
    <row r="775" spans="24:34" x14ac:dyDescent="0.25">
      <c r="X775">
        <v>64.599999999999994</v>
      </c>
      <c r="Y775" s="12">
        <v>63.098934294886298</v>
      </c>
      <c r="Z775" s="12">
        <v>1.501065705113696</v>
      </c>
      <c r="AA775" s="12">
        <v>1.5028959715127641</v>
      </c>
      <c r="AB775" s="12">
        <v>1.217826405661979E-3</v>
      </c>
      <c r="AC775" s="12">
        <v>0.23984626024597025</v>
      </c>
      <c r="AD775" s="12">
        <v>3.5071190697699741E-5</v>
      </c>
      <c r="AE775" s="12">
        <v>-9.743972564826138E-2</v>
      </c>
      <c r="AF775" s="12">
        <v>0.12682789379569709</v>
      </c>
      <c r="AG775" s="12">
        <v>0.48974101344074733</v>
      </c>
      <c r="AH775" s="12">
        <v>1.5028959715127672</v>
      </c>
    </row>
    <row r="776" spans="24:34" x14ac:dyDescent="0.25">
      <c r="X776">
        <v>64.7</v>
      </c>
      <c r="Y776" s="12">
        <v>63.444155809955447</v>
      </c>
      <c r="Z776" s="12">
        <v>1.2558441900445558</v>
      </c>
      <c r="AA776" s="12">
        <v>1.2572921763452101</v>
      </c>
      <c r="AB776" s="12">
        <v>1.1516704930595928E-3</v>
      </c>
      <c r="AC776" s="12">
        <v>0.20065714402708432</v>
      </c>
      <c r="AD776" s="12">
        <v>2.3211753497621924E-5</v>
      </c>
      <c r="AE776" s="12">
        <v>-9.743972564826138E-2</v>
      </c>
      <c r="AF776" s="12">
        <v>0.12862634867128031</v>
      </c>
      <c r="AG776" s="12">
        <v>0.44794770233486442</v>
      </c>
      <c r="AH776" s="12">
        <v>1.2572921763452074</v>
      </c>
    </row>
    <row r="777" spans="24:34" x14ac:dyDescent="0.25">
      <c r="X777">
        <v>64.400000000000006</v>
      </c>
      <c r="Y777" s="12">
        <v>63.69074260643341</v>
      </c>
      <c r="Z777" s="12">
        <v>0.70925739356659534</v>
      </c>
      <c r="AA777" s="12">
        <v>0.71004322313741852</v>
      </c>
      <c r="AB777" s="12">
        <v>1.1067348370006574E-3</v>
      </c>
      <c r="AC777" s="12">
        <v>0.11332167075822226</v>
      </c>
      <c r="AD777" s="12">
        <v>7.1141077342314116E-6</v>
      </c>
      <c r="AE777" s="12">
        <v>-7.6077819866612773E-2</v>
      </c>
      <c r="AF777" s="12">
        <v>0.12908218914148026</v>
      </c>
      <c r="AG777" s="12">
        <v>0.33663284266129212</v>
      </c>
      <c r="AH777" s="12">
        <v>0.71004322313741774</v>
      </c>
    </row>
    <row r="778" spans="24:34" x14ac:dyDescent="0.25">
      <c r="X778">
        <v>64.7</v>
      </c>
      <c r="Y778" s="12">
        <v>63.986646762206966</v>
      </c>
      <c r="Z778" s="12">
        <v>0.7133532377930365</v>
      </c>
      <c r="AA778" s="12">
        <v>0.71410687939575013</v>
      </c>
      <c r="AB778" s="12">
        <v>1.0553624736812678E-3</v>
      </c>
      <c r="AC778" s="12">
        <v>0.11397315393673892</v>
      </c>
      <c r="AD778" s="12">
        <v>6.8617574902839304E-6</v>
      </c>
      <c r="AE778" s="12">
        <v>-7.6077819866612773E-2</v>
      </c>
      <c r="AF778" s="12">
        <v>0.12943440076465768</v>
      </c>
      <c r="AG778" s="12">
        <v>0.33759910239326602</v>
      </c>
      <c r="AH778" s="12">
        <v>0.71410687939574846</v>
      </c>
    </row>
    <row r="779" spans="24:34" x14ac:dyDescent="0.25">
      <c r="X779">
        <v>64.400000000000006</v>
      </c>
      <c r="Y779" s="12">
        <v>63.592107887842225</v>
      </c>
      <c r="Z779" s="12">
        <v>0.80789211215778067</v>
      </c>
      <c r="AA779" s="12">
        <v>0.80880159114087746</v>
      </c>
      <c r="AB779" s="12">
        <v>1.1244772427013831E-3</v>
      </c>
      <c r="AC779" s="12">
        <v>0.12908218914148026</v>
      </c>
      <c r="AD779" s="12">
        <v>9.3786849703410002E-6</v>
      </c>
      <c r="AE779" s="12">
        <v>-7.6077819866612773E-2</v>
      </c>
      <c r="AF779" s="12">
        <v>0.13055069160540933</v>
      </c>
      <c r="AG779" s="12">
        <v>0.35928009844894032</v>
      </c>
      <c r="AH779" s="12">
        <v>0.80880159114087924</v>
      </c>
    </row>
    <row r="780" spans="24:34" x14ac:dyDescent="0.25">
      <c r="X780">
        <v>63.9</v>
      </c>
      <c r="Y780" s="12">
        <v>63.197569013477484</v>
      </c>
      <c r="Z780" s="12">
        <v>0.7024309865225149</v>
      </c>
      <c r="AA780" s="12">
        <v>0.70327388720361483</v>
      </c>
      <c r="AB780" s="12">
        <v>1.1985382884755974E-3</v>
      </c>
      <c r="AC780" s="12">
        <v>0.11223613855126145</v>
      </c>
      <c r="AD780" s="12">
        <v>7.5580225034182017E-6</v>
      </c>
      <c r="AE780" s="12">
        <v>-7.6077819866612773E-2</v>
      </c>
      <c r="AF780" s="12">
        <v>0.13120416729721907</v>
      </c>
      <c r="AG780" s="12">
        <v>0.33501662429088719</v>
      </c>
      <c r="AH780" s="12">
        <v>0.7032738872036135</v>
      </c>
    </row>
    <row r="781" spans="24:34" x14ac:dyDescent="0.25">
      <c r="X781">
        <v>62.9</v>
      </c>
      <c r="Y781" s="12">
        <v>65.022311307414412</v>
      </c>
      <c r="Z781" s="12">
        <v>-2.1223113074144138</v>
      </c>
      <c r="AA781" s="12">
        <v>-2.1242177283819146</v>
      </c>
      <c r="AB781" s="12">
        <v>8.9746966237257749E-4</v>
      </c>
      <c r="AC781" s="12">
        <v>-0.33905698684479219</v>
      </c>
      <c r="AD781" s="12">
        <v>5.1632733607941013E-5</v>
      </c>
      <c r="AE781" s="12">
        <v>-7.6077819866612773E-2</v>
      </c>
      <c r="AF781" s="12">
        <v>0.13183844326960098</v>
      </c>
      <c r="AG781" s="12">
        <v>0.58228600090058169</v>
      </c>
      <c r="AH781" s="12">
        <v>-2.1242177283819106</v>
      </c>
    </row>
    <row r="782" spans="24:34" x14ac:dyDescent="0.25">
      <c r="X782">
        <v>62.6</v>
      </c>
      <c r="Y782" s="12">
        <v>64.874359229527627</v>
      </c>
      <c r="Z782" s="12">
        <v>-2.2743592295276258</v>
      </c>
      <c r="AA782" s="12">
        <v>-2.2764488708819854</v>
      </c>
      <c r="AB782" s="12">
        <v>9.1793906776818353E-4</v>
      </c>
      <c r="AC782" s="12">
        <v>-0.36335163660724096</v>
      </c>
      <c r="AD782" s="12">
        <v>6.0650856547433767E-5</v>
      </c>
      <c r="AE782" s="12">
        <v>-7.6077819866612773E-2</v>
      </c>
      <c r="AF782" s="12">
        <v>0.13536104244468697</v>
      </c>
      <c r="AG782" s="12">
        <v>0.6027865597433647</v>
      </c>
      <c r="AH782" s="12">
        <v>-2.276448870881985</v>
      </c>
    </row>
    <row r="783" spans="24:34" x14ac:dyDescent="0.25">
      <c r="X783">
        <v>62.1</v>
      </c>
      <c r="Y783" s="12">
        <v>64.627772433049671</v>
      </c>
      <c r="Z783" s="12">
        <v>-2.5277724330496696</v>
      </c>
      <c r="AA783" s="12">
        <v>-2.5301852188253591</v>
      </c>
      <c r="AB783" s="12">
        <v>9.5360045491318295E-4</v>
      </c>
      <c r="AC783" s="12">
        <v>-0.40384413818274656</v>
      </c>
      <c r="AD783" s="12">
        <v>7.7835615105857636E-5</v>
      </c>
      <c r="AE783" s="12">
        <v>-7.6077819866612773E-2</v>
      </c>
      <c r="AF783" s="12">
        <v>0.13796753676597143</v>
      </c>
      <c r="AG783" s="12">
        <v>0.63548732338477576</v>
      </c>
      <c r="AH783" s="12">
        <v>-2.530185218825356</v>
      </c>
    </row>
    <row r="784" spans="24:34" x14ac:dyDescent="0.25">
      <c r="X784">
        <v>61.2</v>
      </c>
      <c r="Y784" s="12">
        <v>63.888012043615781</v>
      </c>
      <c r="Z784" s="12">
        <v>-2.6880120436157782</v>
      </c>
      <c r="AA784" s="12">
        <v>-2.6908971628807876</v>
      </c>
      <c r="AB784" s="12">
        <v>1.0721774524905998E-3</v>
      </c>
      <c r="AC784" s="12">
        <v>-0.42946996338172638</v>
      </c>
      <c r="AD784" s="12">
        <v>9.8984719151127144E-5</v>
      </c>
      <c r="AE784" s="12">
        <v>-7.6077819866612773E-2</v>
      </c>
      <c r="AF784" s="12">
        <v>0.13796753676597143</v>
      </c>
      <c r="AG784" s="12">
        <v>0.65533957867789916</v>
      </c>
      <c r="AH784" s="12">
        <v>-2.6908971628807898</v>
      </c>
    </row>
    <row r="785" spans="24:34" x14ac:dyDescent="0.25">
      <c r="X785">
        <v>63</v>
      </c>
      <c r="Y785" s="12">
        <v>63.098934294886298</v>
      </c>
      <c r="Z785" s="12">
        <v>-9.8934294886298346E-2</v>
      </c>
      <c r="AA785" s="12">
        <v>-9.9054926591513492E-2</v>
      </c>
      <c r="AB785" s="12">
        <v>1.217826405661979E-3</v>
      </c>
      <c r="AC785" s="12">
        <v>-1.5808115899066097E-2</v>
      </c>
      <c r="AD785" s="12">
        <v>1.5235083227675964E-7</v>
      </c>
      <c r="AE785" s="12">
        <v>-6.3887210036911155E-2</v>
      </c>
      <c r="AF785" s="12">
        <v>0.13816621097186754</v>
      </c>
      <c r="AG785" s="12">
        <v>0.12573033006823015</v>
      </c>
      <c r="AH785" s="12">
        <v>-9.9054926591512396E-2</v>
      </c>
    </row>
    <row r="786" spans="24:34" x14ac:dyDescent="0.25">
      <c r="X786">
        <v>59.1</v>
      </c>
      <c r="Y786" s="12">
        <v>61.964635031087667</v>
      </c>
      <c r="Z786" s="12">
        <v>-2.8646350310876656</v>
      </c>
      <c r="AA786" s="12">
        <v>-2.8688288553904258</v>
      </c>
      <c r="AB786" s="12">
        <v>1.4618593559116726E-3</v>
      </c>
      <c r="AC786" s="12">
        <v>-0.45777872916734219</v>
      </c>
      <c r="AD786" s="12">
        <v>1.5339886851343352E-4</v>
      </c>
      <c r="AE786" s="12">
        <v>-6.3887210036911155E-2</v>
      </c>
      <c r="AF786" s="12">
        <v>0.13924144994964524</v>
      </c>
      <c r="AG786" s="12">
        <v>0.67659347407977721</v>
      </c>
      <c r="AH786" s="12">
        <v>-2.8688288553904275</v>
      </c>
    </row>
    <row r="787" spans="24:34" x14ac:dyDescent="0.25">
      <c r="X787">
        <v>57.9</v>
      </c>
      <c r="Y787" s="12">
        <v>60.879653126584628</v>
      </c>
      <c r="Z787" s="12">
        <v>-2.9796531265846298</v>
      </c>
      <c r="AA787" s="12">
        <v>-2.9848274399786021</v>
      </c>
      <c r="AB787" s="12">
        <v>1.7335385371596258E-3</v>
      </c>
      <c r="AC787" s="12">
        <v>-0.47622381355522725</v>
      </c>
      <c r="AD787" s="12">
        <v>1.969152002700139E-4</v>
      </c>
      <c r="AE787" s="12">
        <v>-6.3887210036911155E-2</v>
      </c>
      <c r="AF787" s="12">
        <v>0.13995357148121462</v>
      </c>
      <c r="AG787" s="12">
        <v>0.69008971413521825</v>
      </c>
      <c r="AH787" s="12">
        <v>-2.9848274399786043</v>
      </c>
    </row>
    <row r="788" spans="24:34" x14ac:dyDescent="0.25">
      <c r="X788">
        <v>56.8</v>
      </c>
      <c r="Y788" s="12">
        <v>60.04125801855956</v>
      </c>
      <c r="Z788" s="12">
        <v>-3.241258018559563</v>
      </c>
      <c r="AA788" s="12">
        <v>-3.2476529480047134</v>
      </c>
      <c r="AB788" s="12">
        <v>1.9690926178168831E-3</v>
      </c>
      <c r="AC788" s="12">
        <v>-0.5180960108760565</v>
      </c>
      <c r="AD788" s="12">
        <v>2.6479675232858303E-4</v>
      </c>
      <c r="AE788" s="12">
        <v>-6.3887210036911155E-2</v>
      </c>
      <c r="AF788" s="12">
        <v>0.14124776825014251</v>
      </c>
      <c r="AG788" s="12">
        <v>0.71978886548491183</v>
      </c>
      <c r="AH788" s="12">
        <v>-3.2476529480047103</v>
      </c>
    </row>
    <row r="789" spans="24:34" x14ac:dyDescent="0.25">
      <c r="X789">
        <v>55.3</v>
      </c>
      <c r="Y789" s="12">
        <v>58.463102521100595</v>
      </c>
      <c r="Z789" s="12">
        <v>-3.1631025211005976</v>
      </c>
      <c r="AA789" s="12">
        <v>-3.1709445219252217</v>
      </c>
      <c r="AB789" s="12">
        <v>2.4730804245859054E-3</v>
      </c>
      <c r="AC789" s="12">
        <v>-0.50573102345726173</v>
      </c>
      <c r="AD789" s="12">
        <v>3.1704638895954727E-4</v>
      </c>
      <c r="AE789" s="12">
        <v>-6.3887210036911155E-2</v>
      </c>
      <c r="AF789" s="12">
        <v>0.14239080544085833</v>
      </c>
      <c r="AG789" s="12">
        <v>0.7111476804836403</v>
      </c>
      <c r="AH789" s="12">
        <v>-3.170944521925219</v>
      </c>
    </row>
    <row r="790" spans="24:34" x14ac:dyDescent="0.25">
      <c r="X790">
        <v>54.1</v>
      </c>
      <c r="Y790" s="12">
        <v>57.279485898006371</v>
      </c>
      <c r="Z790" s="12">
        <v>-3.1794858980063694</v>
      </c>
      <c r="AA790" s="12">
        <v>-3.1887428413878851</v>
      </c>
      <c r="AB790" s="12">
        <v>2.903007185580714E-3</v>
      </c>
      <c r="AC790" s="12">
        <v>-0.50846005434614239</v>
      </c>
      <c r="AD790" s="12">
        <v>3.7635213820699711E-4</v>
      </c>
      <c r="AE790" s="12">
        <v>-6.3887210036911155E-2</v>
      </c>
      <c r="AF790" s="12">
        <v>0.14347788809380854</v>
      </c>
      <c r="AG790" s="12">
        <v>0.71306385011872697</v>
      </c>
      <c r="AH790" s="12">
        <v>-3.1887428413878873</v>
      </c>
    </row>
    <row r="791" spans="24:34" x14ac:dyDescent="0.25">
      <c r="X791">
        <v>53</v>
      </c>
      <c r="Y791" s="12">
        <v>56.293138712094517</v>
      </c>
      <c r="Z791" s="12">
        <v>-3.2931387120945175</v>
      </c>
      <c r="AA791" s="12">
        <v>-3.3040264212596711</v>
      </c>
      <c r="AB791" s="12">
        <v>3.2952851390941522E-3</v>
      </c>
      <c r="AC791" s="12">
        <v>-0.52673891834562059</v>
      </c>
      <c r="AD791" s="12">
        <v>4.5865624021209348E-4</v>
      </c>
      <c r="AE791" s="12">
        <v>-6.3887210036911155E-2</v>
      </c>
      <c r="AF791" s="12">
        <v>0.1456267574231698</v>
      </c>
      <c r="AG791" s="12">
        <v>0.7257678129716284</v>
      </c>
      <c r="AH791" s="12">
        <v>-3.3040264212596688</v>
      </c>
    </row>
    <row r="792" spans="24:34" x14ac:dyDescent="0.25">
      <c r="X792">
        <v>52.4</v>
      </c>
      <c r="Y792" s="12">
        <v>56.046551915616561</v>
      </c>
      <c r="Z792" s="12">
        <v>-3.6465519156165627</v>
      </c>
      <c r="AA792" s="12">
        <v>-3.6589858262783252</v>
      </c>
      <c r="AB792" s="12">
        <v>3.3981849758651875E-3</v>
      </c>
      <c r="AC792" s="12">
        <v>-0.58329761910489852</v>
      </c>
      <c r="AD792" s="12">
        <v>5.8006378683851277E-4</v>
      </c>
      <c r="AE792" s="12">
        <v>-6.3887210036911155E-2</v>
      </c>
      <c r="AF792" s="12">
        <v>0.14628235503663461</v>
      </c>
      <c r="AG792" s="12">
        <v>0.76373923501735752</v>
      </c>
      <c r="AH792" s="12">
        <v>-3.6589858262783252</v>
      </c>
    </row>
    <row r="793" spans="24:34" x14ac:dyDescent="0.25">
      <c r="X793">
        <v>52.1</v>
      </c>
      <c r="Y793" s="12">
        <v>56.046551915616561</v>
      </c>
      <c r="Z793" s="12">
        <v>-3.9465519156165598</v>
      </c>
      <c r="AA793" s="12">
        <v>-3.9600087578818872</v>
      </c>
      <c r="AB793" s="12">
        <v>3.3981849758651875E-3</v>
      </c>
      <c r="AC793" s="12">
        <v>-0.63128522212847438</v>
      </c>
      <c r="AD793" s="12">
        <v>6.7943292998166426E-4</v>
      </c>
      <c r="AE793" s="12">
        <v>-5.1706087511076533E-2</v>
      </c>
      <c r="AF793" s="12">
        <v>0.14650093554875349</v>
      </c>
      <c r="AG793" s="12">
        <v>0.79453459467066279</v>
      </c>
      <c r="AH793" s="12">
        <v>-3.9600087578818886</v>
      </c>
    </row>
    <row r="794" spans="24:34" x14ac:dyDescent="0.25">
      <c r="X794">
        <v>66.099999999999994</v>
      </c>
      <c r="Y794" s="12">
        <v>77.499603209199336</v>
      </c>
      <c r="Z794" s="12">
        <v>-11.399603209199341</v>
      </c>
      <c r="AA794" s="12">
        <v>-11.418718515234474</v>
      </c>
      <c r="AB794" s="12">
        <v>1.6740325115839913E-3</v>
      </c>
      <c r="AC794" s="12">
        <v>-1.8218901621698806</v>
      </c>
      <c r="AD794" s="12">
        <v>2.7829532213978006E-3</v>
      </c>
      <c r="AE794" s="12">
        <v>-5.1706087511076533E-2</v>
      </c>
      <c r="AF794" s="12">
        <v>0.14650093554875349</v>
      </c>
      <c r="AG794" s="12">
        <v>1.3497741152392428</v>
      </c>
      <c r="AH794" s="12">
        <v>-11.41871851523447</v>
      </c>
    </row>
    <row r="795" spans="24:34" x14ac:dyDescent="0.25">
      <c r="X795">
        <v>65.8</v>
      </c>
      <c r="Y795" s="12">
        <v>76.513256023287482</v>
      </c>
      <c r="Z795" s="12">
        <v>-10.713256023287485</v>
      </c>
      <c r="AA795" s="12">
        <v>-10.728625516997724</v>
      </c>
      <c r="AB795" s="12">
        <v>1.4325687559784749E-3</v>
      </c>
      <c r="AC795" s="12">
        <v>-1.7119907931860681</v>
      </c>
      <c r="AD795" s="12">
        <v>2.1023786217062019E-3</v>
      </c>
      <c r="AE795" s="12">
        <v>-5.1706087511076533E-2</v>
      </c>
      <c r="AF795" s="12">
        <v>0.14826724600241126</v>
      </c>
      <c r="AG795" s="12">
        <v>1.3084306604425273</v>
      </c>
      <c r="AH795" s="12">
        <v>-10.728625516997731</v>
      </c>
    </row>
    <row r="796" spans="24:34" x14ac:dyDescent="0.25">
      <c r="X796">
        <v>65.7</v>
      </c>
      <c r="Y796" s="12">
        <v>76.414621304696297</v>
      </c>
      <c r="Z796" s="12">
        <v>-10.714621304696294</v>
      </c>
      <c r="AA796" s="12">
        <v>-10.729751570554853</v>
      </c>
      <c r="AB796" s="12">
        <v>1.4101226630521449E-3</v>
      </c>
      <c r="AC796" s="12">
        <v>-1.7121897233013219</v>
      </c>
      <c r="AD796" s="12">
        <v>2.0698720949108981E-3</v>
      </c>
      <c r="AE796" s="12">
        <v>-4.7140240828996732E-2</v>
      </c>
      <c r="AF796" s="12">
        <v>0.14826724600241126</v>
      </c>
      <c r="AG796" s="12">
        <v>1.3085066768271845</v>
      </c>
      <c r="AH796" s="12">
        <v>-10.729751570554853</v>
      </c>
    </row>
    <row r="797" spans="24:34" x14ac:dyDescent="0.25">
      <c r="X797">
        <v>65.5</v>
      </c>
      <c r="Y797" s="12">
        <v>76.315986586105112</v>
      </c>
      <c r="Z797" s="12">
        <v>-10.815986586105112</v>
      </c>
      <c r="AA797" s="12">
        <v>-10.831019886959183</v>
      </c>
      <c r="AB797" s="12">
        <v>1.3879857124229459E-3</v>
      </c>
      <c r="AC797" s="12">
        <v>-1.7283686739923243</v>
      </c>
      <c r="AD797" s="12">
        <v>2.0760173837531732E-3</v>
      </c>
      <c r="AE797" s="12">
        <v>-4.7140240828996732E-2</v>
      </c>
      <c r="AF797" s="12">
        <v>0.15048691465701367</v>
      </c>
      <c r="AG797" s="12">
        <v>1.3146743604377185</v>
      </c>
      <c r="AH797" s="12">
        <v>-10.831019886959179</v>
      </c>
    </row>
    <row r="798" spans="24:34" x14ac:dyDescent="0.25">
      <c r="X798">
        <v>65.3</v>
      </c>
      <c r="Y798" s="12">
        <v>76.266669226809526</v>
      </c>
      <c r="Z798" s="12">
        <v>-10.966669226809529</v>
      </c>
      <c r="AA798" s="12">
        <v>-10.981791517946021</v>
      </c>
      <c r="AB798" s="12">
        <v>1.3770331654697706E-3</v>
      </c>
      <c r="AC798" s="12">
        <v>-1.7524377878618098</v>
      </c>
      <c r="AD798" s="12">
        <v>2.1173764246973374E-3</v>
      </c>
      <c r="AE798" s="12">
        <v>-4.7140240828996732E-2</v>
      </c>
      <c r="AF798" s="12">
        <v>0.15358852852406735</v>
      </c>
      <c r="AG798" s="12">
        <v>1.3237967320785355</v>
      </c>
      <c r="AH798" s="12">
        <v>-10.981791517946016</v>
      </c>
    </row>
    <row r="799" spans="24:34" x14ac:dyDescent="0.25">
      <c r="X799">
        <v>65.2</v>
      </c>
      <c r="Y799" s="12">
        <v>76.217351867513926</v>
      </c>
      <c r="Z799" s="12">
        <v>-11.017351867513923</v>
      </c>
      <c r="AA799" s="12">
        <v>-11.032423900627052</v>
      </c>
      <c r="AB799" s="12">
        <v>1.3661579040908781E-3</v>
      </c>
      <c r="AC799" s="12">
        <v>-1.7605271214108287</v>
      </c>
      <c r="AD799" s="12">
        <v>2.120069331833114E-3</v>
      </c>
      <c r="AE799" s="12">
        <v>-4.7140240828996732E-2</v>
      </c>
      <c r="AF799" s="12">
        <v>0.15416009122218632</v>
      </c>
      <c r="AG799" s="12">
        <v>1.3268485676258721</v>
      </c>
      <c r="AH799" s="12">
        <v>-11.032423900627046</v>
      </c>
    </row>
    <row r="800" spans="24:34" x14ac:dyDescent="0.25">
      <c r="X800">
        <v>65.099999999999994</v>
      </c>
      <c r="Y800" s="12">
        <v>76.562573382583082</v>
      </c>
      <c r="Z800" s="12">
        <v>-11.462573382583088</v>
      </c>
      <c r="AA800" s="12">
        <v>-11.4791482134315</v>
      </c>
      <c r="AB800" s="12">
        <v>1.4439077308030642E-3</v>
      </c>
      <c r="AC800" s="12">
        <v>-1.8317429801086713</v>
      </c>
      <c r="AD800" s="12">
        <v>2.4258617791911726E-3</v>
      </c>
      <c r="AE800" s="12">
        <v>-4.7140240828996732E-2</v>
      </c>
      <c r="AF800" s="12">
        <v>0.15459730566027804</v>
      </c>
      <c r="AG800" s="12">
        <v>1.3534189965079815</v>
      </c>
      <c r="AH800" s="12">
        <v>-11.479148213431495</v>
      </c>
    </row>
    <row r="801" spans="24:34" x14ac:dyDescent="0.25">
      <c r="X801">
        <v>65</v>
      </c>
      <c r="Y801" s="12">
        <v>67.19227511642049</v>
      </c>
      <c r="Z801" s="12">
        <v>-2.1922751164204897</v>
      </c>
      <c r="AA801" s="12">
        <v>-2.1937606543548327</v>
      </c>
      <c r="AB801" s="12">
        <v>6.7716500037877261E-4</v>
      </c>
      <c r="AC801" s="12">
        <v>-0.35019568326473505</v>
      </c>
      <c r="AD801" s="12">
        <v>4.1550884493207673E-5</v>
      </c>
      <c r="AE801" s="12">
        <v>-4.7140240828996732E-2</v>
      </c>
      <c r="AF801" s="12">
        <v>0.15592715864076986</v>
      </c>
      <c r="AG801" s="12">
        <v>0.59177333774405128</v>
      </c>
      <c r="AH801" s="12">
        <v>-2.1937606543548269</v>
      </c>
    </row>
    <row r="802" spans="24:34" x14ac:dyDescent="0.25">
      <c r="X802">
        <v>65</v>
      </c>
      <c r="Y802" s="12">
        <v>67.14295775712489</v>
      </c>
      <c r="Z802" s="12">
        <v>-2.1429577571248899</v>
      </c>
      <c r="AA802" s="12">
        <v>-2.1444170549854249</v>
      </c>
      <c r="AB802" s="12">
        <v>6.8051028466791538E-4</v>
      </c>
      <c r="AC802" s="12">
        <v>-0.34231826399817927</v>
      </c>
      <c r="AD802" s="12">
        <v>3.9898859535332053E-5</v>
      </c>
      <c r="AE802" s="12">
        <v>-4.7140240828996732E-2</v>
      </c>
      <c r="AF802" s="12">
        <v>0.15725064926897789</v>
      </c>
      <c r="AG802" s="12">
        <v>0.58507970738881321</v>
      </c>
      <c r="AH802" s="12">
        <v>-2.1444170549854245</v>
      </c>
    </row>
    <row r="803" spans="24:34" x14ac:dyDescent="0.25">
      <c r="X803">
        <v>64.900000000000006</v>
      </c>
      <c r="Y803" s="12">
        <v>67.093640397829304</v>
      </c>
      <c r="Z803" s="12">
        <v>-2.1936403978292986</v>
      </c>
      <c r="AA803" s="12">
        <v>-2.1951417273770062</v>
      </c>
      <c r="AB803" s="12">
        <v>6.839328545313407E-4</v>
      </c>
      <c r="AC803" s="12">
        <v>-0.35041496093258362</v>
      </c>
      <c r="AD803" s="12">
        <v>4.2019016305190012E-5</v>
      </c>
      <c r="AE803" s="12">
        <v>-4.7140240828996732E-2</v>
      </c>
      <c r="AF803" s="12">
        <v>0.15988723317779846</v>
      </c>
      <c r="AG803" s="12">
        <v>0.59195858041976523</v>
      </c>
      <c r="AH803" s="12">
        <v>-2.1951417273770044</v>
      </c>
    </row>
    <row r="804" spans="24:34" x14ac:dyDescent="0.25">
      <c r="X804">
        <v>64.8</v>
      </c>
      <c r="Y804" s="12">
        <v>67.044323038533705</v>
      </c>
      <c r="Z804" s="12">
        <v>-2.2443230385337074</v>
      </c>
      <c r="AA804" s="12">
        <v>-2.2458669209173792</v>
      </c>
      <c r="AB804" s="12">
        <v>6.8743270996904934E-4</v>
      </c>
      <c r="AC804" s="12">
        <v>-0.35851169946196043</v>
      </c>
      <c r="AD804" s="12">
        <v>4.4208472971368499E-5</v>
      </c>
      <c r="AE804" s="12">
        <v>-4.7140240828996732E-2</v>
      </c>
      <c r="AF804" s="12">
        <v>0.16269371006258512</v>
      </c>
      <c r="AG804" s="12">
        <v>0.5987584650440948</v>
      </c>
      <c r="AH804" s="12">
        <v>-2.2458669209173836</v>
      </c>
    </row>
    <row r="805" spans="24:34" x14ac:dyDescent="0.25">
      <c r="X805">
        <v>64.7</v>
      </c>
      <c r="Y805" s="12">
        <v>66.995005679238119</v>
      </c>
      <c r="Z805" s="12">
        <v>-2.2950056792381162</v>
      </c>
      <c r="AA805" s="12">
        <v>-2.2965926473811464</v>
      </c>
      <c r="AB805" s="12">
        <v>6.9100985098104022E-4</v>
      </c>
      <c r="AC805" s="12">
        <v>-0.36660848052596284</v>
      </c>
      <c r="AD805" s="12">
        <v>4.6468586542518781E-5</v>
      </c>
      <c r="AE805" s="12">
        <v>-4.7140240828996732E-2</v>
      </c>
      <c r="AF805" s="12">
        <v>0.16464308947585463</v>
      </c>
      <c r="AG805" s="12">
        <v>0.60548202328885281</v>
      </c>
      <c r="AH805" s="12">
        <v>-2.2965926473811473</v>
      </c>
    </row>
    <row r="806" spans="24:34" x14ac:dyDescent="0.25">
      <c r="X806">
        <v>64.599999999999994</v>
      </c>
      <c r="Y806" s="12">
        <v>66.896370960646934</v>
      </c>
      <c r="Z806" s="12">
        <v>-2.2963709606469394</v>
      </c>
      <c r="AA806" s="12">
        <v>-2.2979758577704956</v>
      </c>
      <c r="AB806" s="12">
        <v>6.9839598972787061E-4</v>
      </c>
      <c r="AC806" s="12">
        <v>-0.36682792878064346</v>
      </c>
      <c r="AD806" s="12">
        <v>4.7021875155713783E-5</v>
      </c>
      <c r="AE806" s="12">
        <v>-4.7140240828996732E-2</v>
      </c>
      <c r="AF806" s="12">
        <v>0.16721921127327877</v>
      </c>
      <c r="AG806" s="12">
        <v>0.60566321398995615</v>
      </c>
      <c r="AH806" s="12">
        <v>-2.2979758577704978</v>
      </c>
    </row>
    <row r="807" spans="24:34" x14ac:dyDescent="0.25">
      <c r="X807">
        <v>64.3</v>
      </c>
      <c r="Y807" s="12">
        <v>66.797736242055748</v>
      </c>
      <c r="Z807" s="12">
        <v>-2.4977362420557512</v>
      </c>
      <c r="AA807" s="12">
        <v>-2.4995011179764361</v>
      </c>
      <c r="AB807" s="12">
        <v>7.0609127077183231E-4</v>
      </c>
      <c r="AC807" s="12">
        <v>-0.39899604892217266</v>
      </c>
      <c r="AD807" s="12">
        <v>5.6243818334941772E-5</v>
      </c>
      <c r="AE807" s="12">
        <v>-4.7140240828996732E-2</v>
      </c>
      <c r="AF807" s="12">
        <v>0.1682005604850941</v>
      </c>
      <c r="AG807" s="12">
        <v>0.63166134037328314</v>
      </c>
      <c r="AH807" s="12">
        <v>-2.4995011179764388</v>
      </c>
    </row>
    <row r="808" spans="24:34" x14ac:dyDescent="0.25">
      <c r="X808">
        <v>64.099999999999994</v>
      </c>
      <c r="Y808" s="12">
        <v>66.649784164168963</v>
      </c>
      <c r="Z808" s="12">
        <v>-2.5497841641689689</v>
      </c>
      <c r="AA808" s="12">
        <v>-2.5516167706330748</v>
      </c>
      <c r="AB808" s="12">
        <v>7.1821383414489594E-4</v>
      </c>
      <c r="AC808" s="12">
        <v>-0.4073128142432364</v>
      </c>
      <c r="AD808" s="12">
        <v>5.9619996431385339E-5</v>
      </c>
      <c r="AE808" s="12">
        <v>-4.7140240828996732E-2</v>
      </c>
      <c r="AF808" s="12">
        <v>0.17013412605138056</v>
      </c>
      <c r="AG808" s="12">
        <v>0.6382106346992632</v>
      </c>
      <c r="AH808" s="12">
        <v>-2.5516167706330739</v>
      </c>
    </row>
    <row r="809" spans="24:34" x14ac:dyDescent="0.25">
      <c r="X809">
        <v>74.400000000000006</v>
      </c>
      <c r="Y809" s="12">
        <v>69.904729877678079</v>
      </c>
      <c r="Z809" s="12">
        <v>4.4952701223219265</v>
      </c>
      <c r="AA809" s="12">
        <v>4.4980237861653052</v>
      </c>
      <c r="AB809" s="12">
        <v>6.1219414887143811E-4</v>
      </c>
      <c r="AC809" s="12">
        <v>0.718054503585837</v>
      </c>
      <c r="AD809" s="12">
        <v>1.5792102478347382E-4</v>
      </c>
      <c r="AE809" s="12">
        <v>-2.7365033500434788E-2</v>
      </c>
      <c r="AF809" s="12">
        <v>0.17035277275229596</v>
      </c>
      <c r="AG809" s="12">
        <v>0.84738096720768807</v>
      </c>
      <c r="AH809" s="12">
        <v>4.4980237861653016</v>
      </c>
    </row>
    <row r="810" spans="24:34" x14ac:dyDescent="0.25">
      <c r="X810">
        <v>74.099999999999994</v>
      </c>
      <c r="Y810" s="12">
        <v>69.658143081200109</v>
      </c>
      <c r="Z810" s="12">
        <v>4.4418569187998855</v>
      </c>
      <c r="AA810" s="12">
        <v>4.4445611671214351</v>
      </c>
      <c r="AB810" s="12">
        <v>6.0843989313220947E-4</v>
      </c>
      <c r="AC810" s="12">
        <v>0.70952118277587373</v>
      </c>
      <c r="AD810" s="12">
        <v>1.5324373904997352E-4</v>
      </c>
      <c r="AE810" s="12">
        <v>-2.7365033500434788E-2</v>
      </c>
      <c r="AF810" s="12">
        <v>0.17079014969522266</v>
      </c>
      <c r="AG810" s="12">
        <v>0.84233080364894275</v>
      </c>
      <c r="AH810" s="12">
        <v>4.444561167121428</v>
      </c>
    </row>
    <row r="811" spans="24:34" x14ac:dyDescent="0.25">
      <c r="X811">
        <v>73.8</v>
      </c>
      <c r="Y811" s="12">
        <v>69.559508362608923</v>
      </c>
      <c r="Z811" s="12">
        <v>4.2404916373910737</v>
      </c>
      <c r="AA811" s="12">
        <v>4.2430692136394867</v>
      </c>
      <c r="AB811" s="12">
        <v>6.0747918985649756E-4</v>
      </c>
      <c r="AC811" s="12">
        <v>0.67735572104021224</v>
      </c>
      <c r="AD811" s="12">
        <v>1.3944370743728199E-4</v>
      </c>
      <c r="AE811" s="12">
        <v>-2.7365033500434788E-2</v>
      </c>
      <c r="AF811" s="12">
        <v>0.17102945485140875</v>
      </c>
      <c r="AG811" s="12">
        <v>0.82301623376468847</v>
      </c>
      <c r="AH811" s="12">
        <v>4.2430692136394805</v>
      </c>
    </row>
    <row r="812" spans="24:34" x14ac:dyDescent="0.25">
      <c r="X812">
        <v>73.599999999999994</v>
      </c>
      <c r="Y812" s="12">
        <v>69.263604206835367</v>
      </c>
      <c r="Z812" s="12">
        <v>4.3363957931646269</v>
      </c>
      <c r="AA812" s="12">
        <v>4.3390272046037239</v>
      </c>
      <c r="AB812" s="12">
        <v>6.0645193381214928E-4</v>
      </c>
      <c r="AC812" s="12">
        <v>0.6926746332214031</v>
      </c>
      <c r="AD812" s="12">
        <v>1.4557554176679985E-4</v>
      </c>
      <c r="AE812" s="12">
        <v>-2.7365033500434788E-2</v>
      </c>
      <c r="AF812" s="12">
        <v>0.17146504861807152</v>
      </c>
      <c r="AG812" s="12">
        <v>0.83227076917395282</v>
      </c>
      <c r="AH812" s="12">
        <v>4.3390272046037222</v>
      </c>
    </row>
    <row r="813" spans="24:34" x14ac:dyDescent="0.25">
      <c r="X813">
        <v>72.8</v>
      </c>
      <c r="Y813" s="12">
        <v>76.710525460469853</v>
      </c>
      <c r="Z813" s="12">
        <v>-3.9105254604698558</v>
      </c>
      <c r="AA813" s="12">
        <v>-3.9163152954509002</v>
      </c>
      <c r="AB813" s="12">
        <v>1.4783883687225284E-3</v>
      </c>
      <c r="AC813" s="12">
        <v>-0.62492086176323303</v>
      </c>
      <c r="AD813" s="12">
        <v>2.8910201479616436E-4</v>
      </c>
      <c r="AE813" s="12">
        <v>-2.1282865457297767E-2</v>
      </c>
      <c r="AF813" s="12">
        <v>0.17168288423182912</v>
      </c>
      <c r="AG813" s="12">
        <v>0.79051936204196349</v>
      </c>
      <c r="AH813" s="12">
        <v>-3.9163152954509006</v>
      </c>
    </row>
    <row r="814" spans="24:34" x14ac:dyDescent="0.25">
      <c r="X814">
        <v>72.599999999999994</v>
      </c>
      <c r="Y814" s="12">
        <v>68.523843817401485</v>
      </c>
      <c r="Z814" s="12">
        <v>4.0761561825985098</v>
      </c>
      <c r="AA814" s="12">
        <v>4.0786688721371718</v>
      </c>
      <c r="AB814" s="12">
        <v>6.1605627165081927E-4</v>
      </c>
      <c r="AC814" s="12">
        <v>0.65110836058700927</v>
      </c>
      <c r="AD814" s="12">
        <v>1.3066659187995554E-4</v>
      </c>
      <c r="AE814" s="12">
        <v>-2.1282865457297767E-2</v>
      </c>
      <c r="AF814" s="12">
        <v>0.17341679341502655</v>
      </c>
      <c r="AG814" s="12">
        <v>0.80691285811233004</v>
      </c>
      <c r="AH814" s="12">
        <v>4.0786688721371771</v>
      </c>
    </row>
    <row r="815" spans="24:34" x14ac:dyDescent="0.25">
      <c r="X815">
        <v>71.900000000000006</v>
      </c>
      <c r="Y815" s="12">
        <v>67.784083427967602</v>
      </c>
      <c r="Z815" s="12">
        <v>4.115916572032404</v>
      </c>
      <c r="AA815" s="12">
        <v>4.118565014703762</v>
      </c>
      <c r="AB815" s="12">
        <v>6.4304986370311915E-4</v>
      </c>
      <c r="AC815" s="12">
        <v>0.65746840029514064</v>
      </c>
      <c r="AD815" s="12">
        <v>1.3907330844111588E-4</v>
      </c>
      <c r="AE815" s="12">
        <v>-2.1282865457297767E-2</v>
      </c>
      <c r="AF815" s="12">
        <v>0.17454376500817786</v>
      </c>
      <c r="AG815" s="12">
        <v>0.81084425156446704</v>
      </c>
      <c r="AH815" s="12">
        <v>4.118565014703762</v>
      </c>
    </row>
    <row r="816" spans="24:34" x14ac:dyDescent="0.25">
      <c r="X816">
        <v>78</v>
      </c>
      <c r="Y816" s="12">
        <v>66.699101523464563</v>
      </c>
      <c r="Z816" s="12">
        <v>11.300898476535437</v>
      </c>
      <c r="AA816" s="12">
        <v>11.308974166292415</v>
      </c>
      <c r="AB816" s="12">
        <v>7.1409569411292522E-4</v>
      </c>
      <c r="AC816" s="12">
        <v>1.8052474173912594</v>
      </c>
      <c r="AD816" s="12">
        <v>1.1644212488100682E-3</v>
      </c>
      <c r="AE816" s="12">
        <v>-2.1282865457297767E-2</v>
      </c>
      <c r="AF816" s="12">
        <v>0.17586160389831659</v>
      </c>
      <c r="AG816" s="12">
        <v>1.3435949603177513</v>
      </c>
      <c r="AH816" s="12">
        <v>11.308974166292421</v>
      </c>
    </row>
    <row r="817" spans="24:34" x14ac:dyDescent="0.25">
      <c r="X817">
        <v>75</v>
      </c>
      <c r="Y817" s="12">
        <v>66.304562649099822</v>
      </c>
      <c r="Z817" s="12">
        <v>8.6954373509001783</v>
      </c>
      <c r="AA817" s="12">
        <v>8.7019568988691276</v>
      </c>
      <c r="AB817" s="12">
        <v>7.4920481044860878E-4</v>
      </c>
      <c r="AC817" s="12">
        <v>1.3890658002792677</v>
      </c>
      <c r="AD817" s="12">
        <v>7.2333869226280981E-4</v>
      </c>
      <c r="AE817" s="12">
        <v>-2.1282865457297767E-2</v>
      </c>
      <c r="AF817" s="12">
        <v>0.1764820132716288</v>
      </c>
      <c r="AG817" s="12">
        <v>1.1785863567338914</v>
      </c>
      <c r="AH817" s="12">
        <v>8.7019568988691276</v>
      </c>
    </row>
    <row r="818" spans="24:34" x14ac:dyDescent="0.25">
      <c r="X818">
        <v>76</v>
      </c>
      <c r="Y818" s="12">
        <v>66.945688319942519</v>
      </c>
      <c r="Z818" s="12">
        <v>9.0543116800574808</v>
      </c>
      <c r="AA818" s="12">
        <v>9.0606057592115263</v>
      </c>
      <c r="AB818" s="12">
        <v>6.9466427756731419E-4</v>
      </c>
      <c r="AC818" s="12">
        <v>1.4463552516244109</v>
      </c>
      <c r="AD818" s="12">
        <v>7.2710430828704391E-4</v>
      </c>
      <c r="AE818" s="12">
        <v>-2.1282865457297767E-2</v>
      </c>
      <c r="AF818" s="12">
        <v>0.17912517891091834</v>
      </c>
      <c r="AG818" s="12">
        <v>1.202645106265523</v>
      </c>
      <c r="AH818" s="12">
        <v>9.0606057592115263</v>
      </c>
    </row>
    <row r="819" spans="24:34" x14ac:dyDescent="0.25">
      <c r="X819">
        <v>71</v>
      </c>
      <c r="Y819" s="12">
        <v>76.315986586105112</v>
      </c>
      <c r="Z819" s="12">
        <v>-5.3159865861051117</v>
      </c>
      <c r="AA819" s="12">
        <v>-5.3233753550397722</v>
      </c>
      <c r="AB819" s="12">
        <v>1.3879857124229459E-3</v>
      </c>
      <c r="AC819" s="12">
        <v>-0.84948188624706056</v>
      </c>
      <c r="AD819" s="12">
        <v>5.0149482825247518E-4</v>
      </c>
      <c r="AE819" s="12">
        <v>-2.1282865457297767E-2</v>
      </c>
      <c r="AF819" s="12">
        <v>0.17934296232626709</v>
      </c>
      <c r="AG819" s="12">
        <v>0.92167341626362453</v>
      </c>
      <c r="AH819" s="12">
        <v>-5.3233753550397713</v>
      </c>
    </row>
    <row r="820" spans="24:34" x14ac:dyDescent="0.25">
      <c r="X820">
        <v>78</v>
      </c>
      <c r="Y820" s="12">
        <v>76.168034508218341</v>
      </c>
      <c r="Z820" s="12">
        <v>1.8319654917816592</v>
      </c>
      <c r="AA820" s="12">
        <v>1.834451834288231</v>
      </c>
      <c r="AB820" s="12">
        <v>1.3553599282862686E-3</v>
      </c>
      <c r="AC820" s="12">
        <v>0.29273890277117282</v>
      </c>
      <c r="AD820" s="12">
        <v>5.815332507551342E-5</v>
      </c>
      <c r="AE820" s="12">
        <v>-2.1282865457297767E-2</v>
      </c>
      <c r="AF820" s="12">
        <v>0.18065023416382034</v>
      </c>
      <c r="AG820" s="12">
        <v>0.54105351192943274</v>
      </c>
      <c r="AH820" s="12">
        <v>1.8344518342882248</v>
      </c>
    </row>
    <row r="821" spans="24:34" x14ac:dyDescent="0.25">
      <c r="X821">
        <v>73</v>
      </c>
      <c r="Y821" s="12">
        <v>66.797736242055748</v>
      </c>
      <c r="Z821" s="12">
        <v>6.2022637579442517</v>
      </c>
      <c r="AA821" s="12">
        <v>6.2066462166585978</v>
      </c>
      <c r="AB821" s="12">
        <v>7.0609127077183231E-4</v>
      </c>
      <c r="AC821" s="12">
        <v>0.99076863766694967</v>
      </c>
      <c r="AD821" s="12">
        <v>3.4680241104112985E-4</v>
      </c>
      <c r="AE821" s="12">
        <v>-2.1282865457297767E-2</v>
      </c>
      <c r="AF821" s="12">
        <v>0.18417483616531388</v>
      </c>
      <c r="AG821" s="12">
        <v>0.99537361712421812</v>
      </c>
      <c r="AH821" s="12">
        <v>6.2066462166586032</v>
      </c>
    </row>
    <row r="822" spans="24:34" x14ac:dyDescent="0.25">
      <c r="X822">
        <v>69.900000000000006</v>
      </c>
      <c r="Y822" s="12">
        <v>66.353880008395407</v>
      </c>
      <c r="Z822" s="12">
        <v>3.5461199916045985</v>
      </c>
      <c r="AA822" s="12">
        <v>3.5487622071447475</v>
      </c>
      <c r="AB822" s="12">
        <v>7.4454567139665875E-4</v>
      </c>
      <c r="AC822" s="12">
        <v>0.56647898451842893</v>
      </c>
      <c r="AD822" s="12">
        <v>1.1955078321127857E-4</v>
      </c>
      <c r="AE822" s="12">
        <v>-2.1282865457297767E-2</v>
      </c>
      <c r="AF822" s="12">
        <v>0.18588949220924658</v>
      </c>
      <c r="AG822" s="12">
        <v>0.75264798180718517</v>
      </c>
      <c r="AH822" s="12">
        <v>3.5487622071447444</v>
      </c>
    </row>
    <row r="823" spans="24:34" x14ac:dyDescent="0.25">
      <c r="X823">
        <v>71</v>
      </c>
      <c r="Y823" s="12">
        <v>66.847053601351334</v>
      </c>
      <c r="Z823" s="12">
        <v>4.1529463986486661</v>
      </c>
      <c r="AA823" s="12">
        <v>4.1558646675454298</v>
      </c>
      <c r="AB823" s="12">
        <v>7.0220498746271023E-4</v>
      </c>
      <c r="AC823" s="12">
        <v>0.6634031065719338</v>
      </c>
      <c r="AD823" s="12">
        <v>1.5463008219852501E-4</v>
      </c>
      <c r="AE823" s="12">
        <v>-2.1282865457297767E-2</v>
      </c>
      <c r="AF823" s="12">
        <v>0.18676434839664957</v>
      </c>
      <c r="AG823" s="12">
        <v>0.81449561482670596</v>
      </c>
      <c r="AH823" s="12">
        <v>4.1558646675454369</v>
      </c>
    </row>
    <row r="824" spans="24:34" x14ac:dyDescent="0.25">
      <c r="X824">
        <v>74.8</v>
      </c>
      <c r="Y824" s="12">
        <v>72.715819357526854</v>
      </c>
      <c r="Z824" s="12">
        <v>2.0841806424731431</v>
      </c>
      <c r="AA824" s="12">
        <v>2.0858316956384471</v>
      </c>
      <c r="AB824" s="12">
        <v>7.9155627405635043E-4</v>
      </c>
      <c r="AC824" s="12">
        <v>0.33294764693790785</v>
      </c>
      <c r="AD824" s="12">
        <v>4.3908399239127828E-5</v>
      </c>
      <c r="AE824" s="12">
        <v>-4.5602855597810616E-3</v>
      </c>
      <c r="AF824" s="12">
        <v>0.18720195901367728</v>
      </c>
      <c r="AG824" s="12">
        <v>0.57701615829880171</v>
      </c>
      <c r="AH824" s="12">
        <v>2.0858316956384515</v>
      </c>
    </row>
    <row r="825" spans="24:34" x14ac:dyDescent="0.25">
      <c r="X825">
        <v>74.900000000000006</v>
      </c>
      <c r="Y825" s="12">
        <v>72.814454076118039</v>
      </c>
      <c r="Z825" s="12">
        <v>2.0855459238819662</v>
      </c>
      <c r="AA825" s="12">
        <v>2.0872207296884397</v>
      </c>
      <c r="AB825" s="12">
        <v>8.0240953084026066E-4</v>
      </c>
      <c r="AC825" s="12">
        <v>0.33316755991864849</v>
      </c>
      <c r="AD825" s="12">
        <v>4.4569742090881122E-5</v>
      </c>
      <c r="AE825" s="12">
        <v>-4.5602855597810616E-3</v>
      </c>
      <c r="AF825" s="12">
        <v>0.18771196946432159</v>
      </c>
      <c r="AG825" s="12">
        <v>0.57720668734747738</v>
      </c>
      <c r="AH825" s="12">
        <v>2.0872207296884353</v>
      </c>
    </row>
    <row r="826" spans="24:34" x14ac:dyDescent="0.25">
      <c r="X826">
        <v>75</v>
      </c>
      <c r="Y826" s="12">
        <v>73.01172351330041</v>
      </c>
      <c r="Z826" s="12">
        <v>1.9882764866995899</v>
      </c>
      <c r="AA826" s="12">
        <v>1.989918255764934</v>
      </c>
      <c r="AB826" s="12">
        <v>8.250434712994744E-4</v>
      </c>
      <c r="AC826" s="12">
        <v>0.31763229031362034</v>
      </c>
      <c r="AD826" s="12">
        <v>4.165379624633255E-5</v>
      </c>
      <c r="AE826" s="12">
        <v>-4.5602855597810616E-3</v>
      </c>
      <c r="AF826" s="12">
        <v>0.18917273792208555</v>
      </c>
      <c r="AG826" s="12">
        <v>0.56358875992484125</v>
      </c>
      <c r="AH826" s="12">
        <v>1.9899182557649284</v>
      </c>
    </row>
    <row r="827" spans="24:34" x14ac:dyDescent="0.25">
      <c r="X827">
        <v>75</v>
      </c>
      <c r="Y827" s="12">
        <v>73.01172351330041</v>
      </c>
      <c r="Z827" s="12">
        <v>1.9882764866995899</v>
      </c>
      <c r="AA827" s="12">
        <v>1.989918255764934</v>
      </c>
      <c r="AB827" s="12">
        <v>8.250434712994744E-4</v>
      </c>
      <c r="AC827" s="12">
        <v>0.31763229031362034</v>
      </c>
      <c r="AD827" s="12">
        <v>4.165379624633255E-5</v>
      </c>
      <c r="AE827" s="12">
        <v>-4.5602855597810616E-3</v>
      </c>
      <c r="AF827" s="12">
        <v>0.19030418411439559</v>
      </c>
      <c r="AG827" s="12">
        <v>0.56358875992484125</v>
      </c>
      <c r="AH827" s="12">
        <v>1.9899182557649284</v>
      </c>
    </row>
    <row r="828" spans="24:34" x14ac:dyDescent="0.25">
      <c r="X828">
        <v>74.900000000000006</v>
      </c>
      <c r="Y828" s="12">
        <v>72.96240615400481</v>
      </c>
      <c r="Z828" s="12">
        <v>1.9375938459951954</v>
      </c>
      <c r="AA828" s="12">
        <v>1.9391825582626439</v>
      </c>
      <c r="AB828" s="12">
        <v>8.192690578232467E-4</v>
      </c>
      <c r="AC828" s="12">
        <v>0.30953471348128808</v>
      </c>
      <c r="AD828" s="12">
        <v>3.9279977378057768E-5</v>
      </c>
      <c r="AE828" s="12">
        <v>-4.5602855597810616E-3</v>
      </c>
      <c r="AF828" s="12">
        <v>0.1920533005467647</v>
      </c>
      <c r="AG828" s="12">
        <v>0.55635843975021004</v>
      </c>
      <c r="AH828" s="12">
        <v>1.9391825582626505</v>
      </c>
    </row>
    <row r="829" spans="24:34" x14ac:dyDescent="0.25">
      <c r="X829">
        <v>74.7</v>
      </c>
      <c r="Y829" s="12">
        <v>72.913088794709225</v>
      </c>
      <c r="Z829" s="12">
        <v>1.7869112052907781</v>
      </c>
      <c r="AA829" s="12">
        <v>1.7883661698069488</v>
      </c>
      <c r="AB829" s="12">
        <v>8.1357192992130198E-4</v>
      </c>
      <c r="AC829" s="12">
        <v>0.28546202922355424</v>
      </c>
      <c r="AD829" s="12">
        <v>3.3175397204886692E-5</v>
      </c>
      <c r="AE829" s="12">
        <v>-4.5602855597810616E-3</v>
      </c>
      <c r="AF829" s="12">
        <v>0.19225115458485478</v>
      </c>
      <c r="AG829" s="12">
        <v>0.5342864673782729</v>
      </c>
      <c r="AH829" s="12">
        <v>1.7883661698069537</v>
      </c>
    </row>
    <row r="830" spans="24:34" x14ac:dyDescent="0.25">
      <c r="X830">
        <v>74.5</v>
      </c>
      <c r="Y830" s="12">
        <v>72.76513671682244</v>
      </c>
      <c r="Z830" s="12">
        <v>1.7348632831775603</v>
      </c>
      <c r="AA830" s="12">
        <v>1.7362469752378331</v>
      </c>
      <c r="AB830" s="12">
        <v>7.9694425966116416E-4</v>
      </c>
      <c r="AC830" s="12">
        <v>0.27714498132322057</v>
      </c>
      <c r="AD830" s="12">
        <v>3.0630792603046777E-5</v>
      </c>
      <c r="AE830" s="12">
        <v>-4.5602855597810616E-3</v>
      </c>
      <c r="AF830" s="12">
        <v>0.19227065447724151</v>
      </c>
      <c r="AG830" s="12">
        <v>0.52644561098295861</v>
      </c>
      <c r="AH830" s="12">
        <v>1.7362469752378302</v>
      </c>
    </row>
    <row r="831" spans="24:34" x14ac:dyDescent="0.25">
      <c r="X831">
        <v>74.400000000000006</v>
      </c>
      <c r="Y831" s="12">
        <v>72.76513671682244</v>
      </c>
      <c r="Z831" s="12">
        <v>1.634863283177566</v>
      </c>
      <c r="AA831" s="12">
        <v>1.636167217249195</v>
      </c>
      <c r="AB831" s="12">
        <v>7.9694425966116416E-4</v>
      </c>
      <c r="AC831" s="12">
        <v>0.26116994836179963</v>
      </c>
      <c r="AD831" s="12">
        <v>2.7201359107963681E-5</v>
      </c>
      <c r="AE831" s="12">
        <v>-4.5602855597810616E-3</v>
      </c>
      <c r="AF831" s="12">
        <v>0.19444575598532307</v>
      </c>
      <c r="AG831" s="12">
        <v>0.51104789243455417</v>
      </c>
      <c r="AH831" s="12">
        <v>1.6361672172491986</v>
      </c>
    </row>
    <row r="832" spans="24:34" x14ac:dyDescent="0.25">
      <c r="X832">
        <v>74.099999999999994</v>
      </c>
      <c r="Y832" s="12">
        <v>77.548920568494935</v>
      </c>
      <c r="Z832" s="12">
        <v>-3.4489205684949411</v>
      </c>
      <c r="AA832" s="12">
        <v>-3.4547484430579374</v>
      </c>
      <c r="AB832" s="12">
        <v>1.6869171978942366E-3</v>
      </c>
      <c r="AC832" s="12">
        <v>-0.55121172970843946</v>
      </c>
      <c r="AD832" s="12">
        <v>2.5670475251058272E-4</v>
      </c>
      <c r="AE832" s="12">
        <v>-4.5602855597810616E-3</v>
      </c>
      <c r="AF832" s="12">
        <v>0.19531660595339312</v>
      </c>
      <c r="AG832" s="12">
        <v>0.74243634724361351</v>
      </c>
      <c r="AH832" s="12">
        <v>-3.4547484430579338</v>
      </c>
    </row>
    <row r="833" spans="24:34" x14ac:dyDescent="0.25">
      <c r="X833">
        <v>73.900000000000006</v>
      </c>
      <c r="Y833" s="12">
        <v>77.055746975539009</v>
      </c>
      <c r="Z833" s="12">
        <v>-3.1557469755390031</v>
      </c>
      <c r="AA833" s="12">
        <v>-3.1606825336147324</v>
      </c>
      <c r="AB833" s="12">
        <v>1.5615481856345104E-3</v>
      </c>
      <c r="AC833" s="12">
        <v>-0.50432461451603672</v>
      </c>
      <c r="AD833" s="12">
        <v>1.9889525697157649E-4</v>
      </c>
      <c r="AE833" s="12">
        <v>-4.5602855597810616E-3</v>
      </c>
      <c r="AF833" s="12">
        <v>0.19748900850363002</v>
      </c>
      <c r="AG833" s="12">
        <v>0.71015816162037926</v>
      </c>
      <c r="AH833" s="12">
        <v>-3.1606825336147359</v>
      </c>
    </row>
    <row r="834" spans="24:34" x14ac:dyDescent="0.25">
      <c r="X834">
        <v>73.7</v>
      </c>
      <c r="Y834" s="12">
        <v>76.957112256947823</v>
      </c>
      <c r="Z834" s="12">
        <v>-3.2571122569478206</v>
      </c>
      <c r="AA834" s="12">
        <v>-3.2621274576058426</v>
      </c>
      <c r="AB834" s="12">
        <v>1.5374018100739587E-3</v>
      </c>
      <c r="AC834" s="12">
        <v>-0.52051765669822836</v>
      </c>
      <c r="AD834" s="12">
        <v>2.0859145969662205E-4</v>
      </c>
      <c r="AE834" s="12">
        <v>1.0640830227304372E-2</v>
      </c>
      <c r="AF834" s="12">
        <v>0.19862856147896779</v>
      </c>
      <c r="AG834" s="12">
        <v>0.72146909614912014</v>
      </c>
      <c r="AH834" s="12">
        <v>-3.2621274576058359</v>
      </c>
    </row>
    <row r="835" spans="24:34" x14ac:dyDescent="0.25">
      <c r="X835">
        <v>73.5</v>
      </c>
      <c r="Y835" s="12">
        <v>76.858477538356638</v>
      </c>
      <c r="Z835" s="12">
        <v>-3.3584775383566381</v>
      </c>
      <c r="AA835" s="12">
        <v>-3.363568516514917</v>
      </c>
      <c r="AB835" s="12">
        <v>1.5135645768105384E-3</v>
      </c>
      <c r="AC835" s="12">
        <v>-0.53671039044160462</v>
      </c>
      <c r="AD835" s="12">
        <v>2.1832767817229763E-4</v>
      </c>
      <c r="AE835" s="12">
        <v>1.0640830227304372E-2</v>
      </c>
      <c r="AF835" s="12">
        <v>0.20014911184553363</v>
      </c>
      <c r="AG835" s="12">
        <v>0.73260520776309301</v>
      </c>
      <c r="AH835" s="12">
        <v>-3.3635685165149103</v>
      </c>
    </row>
    <row r="836" spans="24:34" x14ac:dyDescent="0.25">
      <c r="X836">
        <v>73.2</v>
      </c>
      <c r="Y836" s="12">
        <v>76.759842819765453</v>
      </c>
      <c r="Z836" s="12">
        <v>-3.5598428197654499</v>
      </c>
      <c r="AA836" s="12">
        <v>-3.5651550308390938</v>
      </c>
      <c r="AB836" s="12">
        <v>1.4900364858442489E-3</v>
      </c>
      <c r="AC836" s="12">
        <v>-0.56888339962782042</v>
      </c>
      <c r="AD836" s="12">
        <v>2.414688014178072E-4</v>
      </c>
      <c r="AE836" s="12">
        <v>1.0640830227304372E-2</v>
      </c>
      <c r="AF836" s="12">
        <v>0.20058381690214511</v>
      </c>
      <c r="AG836" s="12">
        <v>0.75424359435650523</v>
      </c>
      <c r="AH836" s="12">
        <v>-3.5651550308390911</v>
      </c>
    </row>
    <row r="837" spans="24:34" x14ac:dyDescent="0.25">
      <c r="X837">
        <v>73</v>
      </c>
      <c r="Y837" s="12">
        <v>77.055746975539009</v>
      </c>
      <c r="Z837" s="12">
        <v>-4.0557469755390088</v>
      </c>
      <c r="AA837" s="12">
        <v>-4.0620901250035928</v>
      </c>
      <c r="AB837" s="12">
        <v>1.5615481856345104E-3</v>
      </c>
      <c r="AC837" s="12">
        <v>-0.6481549521770309</v>
      </c>
      <c r="AD837" s="12">
        <v>3.2851997669892485E-4</v>
      </c>
      <c r="AE837" s="12">
        <v>1.0640830227304372E-2</v>
      </c>
      <c r="AF837" s="12">
        <v>0.20065714402708432</v>
      </c>
      <c r="AG837" s="12">
        <v>0.80508071159172045</v>
      </c>
      <c r="AH837" s="12">
        <v>-4.0620901250035919</v>
      </c>
    </row>
    <row r="838" spans="24:34" x14ac:dyDescent="0.25">
      <c r="X838">
        <v>72.7</v>
      </c>
      <c r="Y838" s="12">
        <v>72.074693686684157</v>
      </c>
      <c r="Z838" s="12">
        <v>0.6253063133158463</v>
      </c>
      <c r="AA838" s="12">
        <v>0.62576220952540496</v>
      </c>
      <c r="AB838" s="12">
        <v>7.2854544845350733E-4</v>
      </c>
      <c r="AC838" s="12">
        <v>9.9889470835375208E-2</v>
      </c>
      <c r="AD838" s="12">
        <v>3.637329100056251E-6</v>
      </c>
      <c r="AE838" s="12">
        <v>1.0640830227304372E-2</v>
      </c>
      <c r="AF838" s="12">
        <v>0.20341231081460104</v>
      </c>
      <c r="AG838" s="12">
        <v>0.3160529557453548</v>
      </c>
      <c r="AH838" s="12">
        <v>0.62576220952541017</v>
      </c>
    </row>
    <row r="839" spans="24:34" x14ac:dyDescent="0.25">
      <c r="X839">
        <v>52.1</v>
      </c>
      <c r="Y839" s="12">
        <v>51.854576375491192</v>
      </c>
      <c r="Z839" s="12">
        <v>0.24542362450880972</v>
      </c>
      <c r="AA839" s="12">
        <v>0.24676680076424162</v>
      </c>
      <c r="AB839" s="12">
        <v>5.443099522604483E-3</v>
      </c>
      <c r="AC839" s="12">
        <v>3.9297976429623856E-2</v>
      </c>
      <c r="AD839" s="12">
        <v>4.2259759399477993E-6</v>
      </c>
      <c r="AE839" s="12">
        <v>1.0640830227304372E-2</v>
      </c>
      <c r="AF839" s="12">
        <v>0.20580548719701283</v>
      </c>
      <c r="AG839" s="12">
        <v>0.19823717216915665</v>
      </c>
      <c r="AH839" s="12">
        <v>0.2467668007642442</v>
      </c>
    </row>
    <row r="840" spans="24:34" x14ac:dyDescent="0.25">
      <c r="X840">
        <v>52.1</v>
      </c>
      <c r="Y840" s="12">
        <v>52.051845812673562</v>
      </c>
      <c r="Z840" s="12">
        <v>4.8154187326439057E-2</v>
      </c>
      <c r="AA840" s="12">
        <v>4.8412436107525991E-2</v>
      </c>
      <c r="AB840" s="12">
        <v>5.334347986782938E-3</v>
      </c>
      <c r="AC840" s="12">
        <v>7.7101732525431269E-3</v>
      </c>
      <c r="AD840" s="12">
        <v>1.5940520600025532E-7</v>
      </c>
      <c r="AE840" s="12">
        <v>1.0640830227304372E-2</v>
      </c>
      <c r="AF840" s="12">
        <v>0.20628485429087093</v>
      </c>
      <c r="AG840" s="12">
        <v>8.7807592226089012E-2</v>
      </c>
      <c r="AH840" s="12">
        <v>4.8412436107524486E-2</v>
      </c>
    </row>
    <row r="841" spans="24:34" x14ac:dyDescent="0.25">
      <c r="X841">
        <v>52.2</v>
      </c>
      <c r="Y841" s="12">
        <v>52.298432609151519</v>
      </c>
      <c r="Z841" s="12">
        <v>-9.8432609151515749E-2</v>
      </c>
      <c r="AA841" s="12">
        <v>-9.894714891985501E-2</v>
      </c>
      <c r="AB841" s="12">
        <v>5.2001474924273684E-3</v>
      </c>
      <c r="AC841" s="12">
        <v>-1.5759403696945132E-2</v>
      </c>
      <c r="AD841" s="12">
        <v>6.4912676312758926E-7</v>
      </c>
      <c r="AE841" s="12">
        <v>1.0640830227304372E-2</v>
      </c>
      <c r="AF841" s="12">
        <v>0.20629035656676589</v>
      </c>
      <c r="AG841" s="12">
        <v>0.12553646361493992</v>
      </c>
      <c r="AH841" s="12">
        <v>-9.8947148919854164E-2</v>
      </c>
    </row>
    <row r="842" spans="24:34" x14ac:dyDescent="0.25">
      <c r="X842">
        <v>52.3</v>
      </c>
      <c r="Y842" s="12">
        <v>75.033735244419702</v>
      </c>
      <c r="Z842" s="12">
        <v>-22.733735244419705</v>
      </c>
      <c r="AA842" s="12">
        <v>-22.759415541976622</v>
      </c>
      <c r="AB842" s="12">
        <v>1.1283373032822995E-3</v>
      </c>
      <c r="AC842" s="12">
        <v>-3.6323240921119693</v>
      </c>
      <c r="AD842" s="12">
        <v>7.4519244035680474E-3</v>
      </c>
      <c r="AE842" s="12">
        <v>1.0640830227304372E-2</v>
      </c>
      <c r="AF842" s="12">
        <v>0.20802760728916747</v>
      </c>
      <c r="AG842" s="12">
        <v>1.9058657067359099</v>
      </c>
      <c r="AH842" s="12">
        <v>-22.759415541976622</v>
      </c>
    </row>
    <row r="843" spans="24:34" x14ac:dyDescent="0.25">
      <c r="X843">
        <v>51.1</v>
      </c>
      <c r="Y843" s="12">
        <v>51.607989579013221</v>
      </c>
      <c r="Z843" s="12">
        <v>-0.50798957901321984</v>
      </c>
      <c r="AA843" s="12">
        <v>-0.51084046618085921</v>
      </c>
      <c r="AB843" s="12">
        <v>5.5807778678027761E-3</v>
      </c>
      <c r="AC843" s="12">
        <v>-8.1346465487333708E-2</v>
      </c>
      <c r="AD843" s="12">
        <v>1.8568319717504566E-5</v>
      </c>
      <c r="AE843" s="12">
        <v>1.0640830227304372E-2</v>
      </c>
      <c r="AF843" s="12">
        <v>0.20889696083180087</v>
      </c>
      <c r="AG843" s="12">
        <v>0.28521301773820512</v>
      </c>
      <c r="AH843" s="12">
        <v>-0.51084046618085999</v>
      </c>
    </row>
    <row r="844" spans="24:34" x14ac:dyDescent="0.25">
      <c r="X844">
        <v>49.4</v>
      </c>
      <c r="Y844" s="12">
        <v>49.684612566485114</v>
      </c>
      <c r="Z844" s="12">
        <v>-0.28461256648511579</v>
      </c>
      <c r="AA844" s="12">
        <v>-0.28653838523667474</v>
      </c>
      <c r="AB844" s="12">
        <v>6.720979983084116E-3</v>
      </c>
      <c r="AC844" s="12">
        <v>-4.5602334934591121E-2</v>
      </c>
      <c r="AD844" s="12">
        <v>7.0356706920411779E-6</v>
      </c>
      <c r="AE844" s="12">
        <v>1.0640830227304372E-2</v>
      </c>
      <c r="AF844" s="12">
        <v>0.20930375954236957</v>
      </c>
      <c r="AG844" s="12">
        <v>0.21354703213716439</v>
      </c>
      <c r="AH844" s="12">
        <v>-0.28653838523667674</v>
      </c>
    </row>
    <row r="845" spans="24:34" x14ac:dyDescent="0.25">
      <c r="X845">
        <v>47.8</v>
      </c>
      <c r="Y845" s="12">
        <v>48.402361224799705</v>
      </c>
      <c r="Z845" s="12">
        <v>-0.60236122479970788</v>
      </c>
      <c r="AA845" s="12">
        <v>-0.60694146060617982</v>
      </c>
      <c r="AB845" s="12">
        <v>7.5464210368739694E-3</v>
      </c>
      <c r="AC845" s="12">
        <v>-9.6554061358735802E-2</v>
      </c>
      <c r="AD845" s="12">
        <v>3.5443934615096564E-5</v>
      </c>
      <c r="AE845" s="12">
        <v>2.7365033500434649E-2</v>
      </c>
      <c r="AF845" s="12">
        <v>0.21041952208030321</v>
      </c>
      <c r="AG845" s="12">
        <v>0.31073149399237887</v>
      </c>
      <c r="AH845" s="12">
        <v>-0.60694146060617737</v>
      </c>
    </row>
    <row r="846" spans="24:34" x14ac:dyDescent="0.25">
      <c r="X846">
        <v>46.2</v>
      </c>
      <c r="Y846" s="12">
        <v>46.380349493680413</v>
      </c>
      <c r="Z846" s="12">
        <v>-0.18034949368040998</v>
      </c>
      <c r="AA846" s="12">
        <v>-0.18197897524709106</v>
      </c>
      <c r="AB846" s="12">
        <v>8.9542298195123219E-3</v>
      </c>
      <c r="AC846" s="12">
        <v>-2.8929219116197454E-2</v>
      </c>
      <c r="AD846" s="12">
        <v>3.780749912044007E-6</v>
      </c>
      <c r="AE846" s="12">
        <v>2.7365033500434649E-2</v>
      </c>
      <c r="AF846" s="12">
        <v>0.21150801115461576</v>
      </c>
      <c r="AG846" s="12">
        <v>0.17008591686614577</v>
      </c>
      <c r="AH846" s="12">
        <v>-0.18197897524709178</v>
      </c>
    </row>
    <row r="847" spans="24:34" x14ac:dyDescent="0.25">
      <c r="X847">
        <v>45.3</v>
      </c>
      <c r="Y847" s="12">
        <v>45.344684948472967</v>
      </c>
      <c r="Z847" s="12">
        <v>-4.4684948472969666E-2</v>
      </c>
      <c r="AA847" s="12">
        <v>-4.5123805253645344E-2</v>
      </c>
      <c r="AB847" s="12">
        <v>9.7256155194778773E-3</v>
      </c>
      <c r="AC847" s="12">
        <v>-7.1705443871609501E-3</v>
      </c>
      <c r="AD847" s="12">
        <v>2.5248513418684269E-7</v>
      </c>
      <c r="AE847" s="12">
        <v>2.7365033500434649E-2</v>
      </c>
      <c r="AF847" s="12">
        <v>0.21434186772502414</v>
      </c>
      <c r="AG847" s="12">
        <v>8.4679066995101859E-2</v>
      </c>
      <c r="AH847" s="12">
        <v>-4.5123805253642388E-2</v>
      </c>
    </row>
    <row r="848" spans="24:34" x14ac:dyDescent="0.25">
      <c r="X848">
        <v>44.5</v>
      </c>
      <c r="Y848" s="12">
        <v>44.309020403265521</v>
      </c>
      <c r="Z848" s="12">
        <v>0.19097959673447917</v>
      </c>
      <c r="AA848" s="12">
        <v>0.19301222471643342</v>
      </c>
      <c r="AB848" s="12">
        <v>1.0531084157702141E-2</v>
      </c>
      <c r="AC848" s="12">
        <v>3.0658756343039967E-2</v>
      </c>
      <c r="AD848" s="12">
        <v>5.0020727084777448E-6</v>
      </c>
      <c r="AE848" s="12">
        <v>2.7365033500434649E-2</v>
      </c>
      <c r="AF848" s="12">
        <v>0.21504789512261946</v>
      </c>
      <c r="AG848" s="12">
        <v>0.17509642013199461</v>
      </c>
      <c r="AH848" s="12">
        <v>0.19301222471643323</v>
      </c>
    </row>
    <row r="849" spans="24:34" x14ac:dyDescent="0.25">
      <c r="X849">
        <v>44.8</v>
      </c>
      <c r="Y849" s="12">
        <v>44.752876636925855</v>
      </c>
      <c r="Z849" s="12">
        <v>4.7123363074142333E-2</v>
      </c>
      <c r="AA849" s="12">
        <v>4.7608094884758145E-2</v>
      </c>
      <c r="AB849" s="12">
        <v>1.0181709891737613E-2</v>
      </c>
      <c r="AC849" s="12">
        <v>7.5635760811150424E-3</v>
      </c>
      <c r="AD849" s="12">
        <v>2.9423179945151067E-7</v>
      </c>
      <c r="AE849" s="12">
        <v>2.7365033500434649E-2</v>
      </c>
      <c r="AF849" s="12">
        <v>0.21654590719863157</v>
      </c>
      <c r="AG849" s="12">
        <v>8.69688224659564E-2</v>
      </c>
      <c r="AH849" s="12">
        <v>4.760809488475725E-2</v>
      </c>
    </row>
    <row r="850" spans="24:34" x14ac:dyDescent="0.25">
      <c r="X850">
        <v>45.5</v>
      </c>
      <c r="Y850" s="12">
        <v>45.640589104246523</v>
      </c>
      <c r="Z850" s="12">
        <v>-0.14058910424652282</v>
      </c>
      <c r="AA850" s="12">
        <v>-0.14193776018903037</v>
      </c>
      <c r="AB850" s="12">
        <v>9.5017417543592757E-3</v>
      </c>
      <c r="AC850" s="12">
        <v>-2.2557628782060461E-2</v>
      </c>
      <c r="AD850" s="12">
        <v>2.4406550441257037E-6</v>
      </c>
      <c r="AE850" s="12">
        <v>2.7365033500434649E-2</v>
      </c>
      <c r="AF850" s="12">
        <v>0.21655797451254949</v>
      </c>
      <c r="AG850" s="12">
        <v>0.150191973094638</v>
      </c>
      <c r="AH850" s="12">
        <v>-0.14193776018903118</v>
      </c>
    </row>
    <row r="851" spans="24:34" x14ac:dyDescent="0.25">
      <c r="X851">
        <v>58.1</v>
      </c>
      <c r="Y851" s="12">
        <v>61.372826719540555</v>
      </c>
      <c r="Z851" s="12">
        <v>-3.2728267195405536</v>
      </c>
      <c r="AA851" s="12">
        <v>-3.2780893998820986</v>
      </c>
      <c r="AB851" s="12">
        <v>1.6054108657717699E-3</v>
      </c>
      <c r="AC851" s="12">
        <v>-0.52304679160333711</v>
      </c>
      <c r="AD851" s="12">
        <v>2.1995562288472256E-4</v>
      </c>
      <c r="AE851" s="12">
        <v>2.7365033500434649E-2</v>
      </c>
      <c r="AF851" s="12">
        <v>0.21871274579950567</v>
      </c>
      <c r="AG851" s="12">
        <v>0.7232197395006148</v>
      </c>
      <c r="AH851" s="12">
        <v>-3.2780893998820959</v>
      </c>
    </row>
    <row r="852" spans="24:34" x14ac:dyDescent="0.25">
      <c r="X852">
        <v>61.1</v>
      </c>
      <c r="Y852" s="12">
        <v>64.874359229527627</v>
      </c>
      <c r="Z852" s="12">
        <v>-3.7743592295276258</v>
      </c>
      <c r="AA852" s="12">
        <v>-3.7778270445631037</v>
      </c>
      <c r="AB852" s="12">
        <v>9.1793906776818353E-4</v>
      </c>
      <c r="AC852" s="12">
        <v>-0.60299164062897204</v>
      </c>
      <c r="AD852" s="12">
        <v>1.6703415339705896E-4</v>
      </c>
      <c r="AE852" s="12">
        <v>2.7365033500434649E-2</v>
      </c>
      <c r="AF852" s="12">
        <v>0.21893165494655195</v>
      </c>
      <c r="AG852" s="12">
        <v>0.7765253638027364</v>
      </c>
      <c r="AH852" s="12">
        <v>-3.7778270445631015</v>
      </c>
    </row>
    <row r="853" spans="24:34" x14ac:dyDescent="0.25">
      <c r="X853">
        <v>67</v>
      </c>
      <c r="Y853" s="12">
        <v>64.726407151640856</v>
      </c>
      <c r="Z853" s="12">
        <v>2.2735928483591437</v>
      </c>
      <c r="AA853" s="12">
        <v>2.2757299955995478</v>
      </c>
      <c r="AB853" s="12">
        <v>9.3910404333233475E-4</v>
      </c>
      <c r="AC853" s="12">
        <v>0.3632330470110845</v>
      </c>
      <c r="AD853" s="12">
        <v>6.2010104291107472E-5</v>
      </c>
      <c r="AE853" s="12">
        <v>2.7365033500434649E-2</v>
      </c>
      <c r="AF853" s="12">
        <v>0.22440318062537842</v>
      </c>
      <c r="AG853" s="12">
        <v>0.60268818389867618</v>
      </c>
      <c r="AH853" s="12">
        <v>2.2757299955995438</v>
      </c>
    </row>
    <row r="854" spans="24:34" x14ac:dyDescent="0.25">
      <c r="X854">
        <v>62</v>
      </c>
      <c r="Y854" s="12">
        <v>64.479820355162886</v>
      </c>
      <c r="Z854" s="12">
        <v>-2.4798203551628859</v>
      </c>
      <c r="AA854" s="12">
        <v>-2.48224283729418</v>
      </c>
      <c r="AB854" s="12">
        <v>9.7592471409157578E-4</v>
      </c>
      <c r="AC854" s="12">
        <v>-0.39618760390725127</v>
      </c>
      <c r="AD854" s="12">
        <v>7.6667646574161158E-5</v>
      </c>
      <c r="AE854" s="12">
        <v>4.1053957112594373E-2</v>
      </c>
      <c r="AF854" s="12">
        <v>0.22440318062537842</v>
      </c>
      <c r="AG854" s="12">
        <v>0.62943435234125189</v>
      </c>
      <c r="AH854" s="12">
        <v>-2.4822428372941783</v>
      </c>
    </row>
    <row r="855" spans="24:34" x14ac:dyDescent="0.25">
      <c r="X855">
        <v>59.7</v>
      </c>
      <c r="Y855" s="12">
        <v>64.18391619938933</v>
      </c>
      <c r="Z855" s="12">
        <v>-4.4839161993893271</v>
      </c>
      <c r="AA855" s="12">
        <v>-4.4885064151037426</v>
      </c>
      <c r="AB855" s="12">
        <v>1.0226599429539972E-3</v>
      </c>
      <c r="AC855" s="12">
        <v>-0.71638800987396722</v>
      </c>
      <c r="AD855" s="12">
        <v>2.6268920691183752E-4</v>
      </c>
      <c r="AE855" s="12">
        <v>4.1053957112594373E-2</v>
      </c>
      <c r="AF855" s="12">
        <v>0.22615265801980058</v>
      </c>
      <c r="AG855" s="12">
        <v>0.84639707577115786</v>
      </c>
      <c r="AH855" s="12">
        <v>-4.4885064151037461</v>
      </c>
    </row>
    <row r="856" spans="24:34" x14ac:dyDescent="0.25">
      <c r="X856">
        <v>59.2</v>
      </c>
      <c r="Y856" s="12">
        <v>63.937329402911374</v>
      </c>
      <c r="Z856" s="12">
        <v>-4.7373294029113708</v>
      </c>
      <c r="AA856" s="12">
        <v>-4.7423740146833637</v>
      </c>
      <c r="AB856" s="12">
        <v>1.0637313202987927E-3</v>
      </c>
      <c r="AC856" s="12">
        <v>-0.75689098523959408</v>
      </c>
      <c r="AD856" s="12">
        <v>3.050217686642909E-4</v>
      </c>
      <c r="AE856" s="12">
        <v>4.1053957112594373E-2</v>
      </c>
      <c r="AF856" s="12">
        <v>0.22661088810903188</v>
      </c>
      <c r="AG856" s="12">
        <v>0.86999481908778864</v>
      </c>
      <c r="AH856" s="12">
        <v>-4.7423740146833611</v>
      </c>
    </row>
    <row r="857" spans="24:34" x14ac:dyDescent="0.25">
      <c r="X857">
        <v>58.6</v>
      </c>
      <c r="Y857" s="12">
        <v>63.740059965729003</v>
      </c>
      <c r="Z857" s="12">
        <v>-5.1400599657290016</v>
      </c>
      <c r="AA857" s="12">
        <v>-5.1457098499788927</v>
      </c>
      <c r="AB857" s="12">
        <v>1.0979795625117191E-3</v>
      </c>
      <c r="AC857" s="12">
        <v>-0.8212499942925604</v>
      </c>
      <c r="AD857" s="12">
        <v>3.706740030978155E-4</v>
      </c>
      <c r="AE857" s="12">
        <v>4.1053957112594373E-2</v>
      </c>
      <c r="AF857" s="12">
        <v>0.22673560567154058</v>
      </c>
      <c r="AG857" s="12">
        <v>0.90622844487058585</v>
      </c>
      <c r="AH857" s="12">
        <v>-5.1457098499788936</v>
      </c>
    </row>
    <row r="858" spans="24:34" x14ac:dyDescent="0.25">
      <c r="X858">
        <v>73.400000000000006</v>
      </c>
      <c r="Y858" s="12">
        <v>69.263604206835367</v>
      </c>
      <c r="Z858" s="12">
        <v>4.1363957931646382</v>
      </c>
      <c r="AA858" s="12">
        <v>4.1389058406155499</v>
      </c>
      <c r="AB858" s="12">
        <v>6.0645193381214928E-4</v>
      </c>
      <c r="AC858" s="12">
        <v>0.6607276124114847</v>
      </c>
      <c r="AD858" s="12">
        <v>1.324569533832965E-4</v>
      </c>
      <c r="AE858" s="12">
        <v>4.1053957112594373E-2</v>
      </c>
      <c r="AF858" s="12">
        <v>0.22769940202749159</v>
      </c>
      <c r="AG858" s="12">
        <v>0.81285153159201506</v>
      </c>
      <c r="AH858" s="12">
        <v>4.1389058406155463</v>
      </c>
    </row>
    <row r="859" spans="24:34" x14ac:dyDescent="0.25">
      <c r="X859">
        <v>73</v>
      </c>
      <c r="Y859" s="12">
        <v>68.819747973175041</v>
      </c>
      <c r="Z859" s="12">
        <v>4.1802520268249594</v>
      </c>
      <c r="AA859" s="12">
        <v>4.1828040719800157</v>
      </c>
      <c r="AB859" s="12">
        <v>6.1012782600971583E-4</v>
      </c>
      <c r="AC859" s="12">
        <v>0.66773422046380004</v>
      </c>
      <c r="AD859" s="12">
        <v>1.3610157788611509E-4</v>
      </c>
      <c r="AE859" s="12">
        <v>4.1053957112594373E-2</v>
      </c>
      <c r="AF859" s="12">
        <v>0.22921988243895547</v>
      </c>
      <c r="AG859" s="12">
        <v>0.81715005994235845</v>
      </c>
      <c r="AH859" s="12">
        <v>4.182804071980021</v>
      </c>
    </row>
    <row r="860" spans="24:34" x14ac:dyDescent="0.25">
      <c r="X860">
        <v>73</v>
      </c>
      <c r="Y860" s="12">
        <v>68.918382691766226</v>
      </c>
      <c r="Z860" s="12">
        <v>4.0816173082337741</v>
      </c>
      <c r="AA860" s="12">
        <v>4.0841035878199676</v>
      </c>
      <c r="AB860" s="12">
        <v>6.0876996205694355E-4</v>
      </c>
      <c r="AC860" s="12">
        <v>0.65197832153243895</v>
      </c>
      <c r="AD860" s="12">
        <v>1.2946548324117718E-4</v>
      </c>
      <c r="AE860" s="12">
        <v>4.1053957112594373E-2</v>
      </c>
      <c r="AF860" s="12">
        <v>0.23492419453069127</v>
      </c>
      <c r="AG860" s="12">
        <v>0.80745174563712407</v>
      </c>
      <c r="AH860" s="12">
        <v>4.0841035878199676</v>
      </c>
    </row>
    <row r="861" spans="24:34" x14ac:dyDescent="0.25">
      <c r="X861">
        <v>72.8</v>
      </c>
      <c r="Y861" s="12">
        <v>76.710525460469853</v>
      </c>
      <c r="Z861" s="12">
        <v>-3.9105254604698558</v>
      </c>
      <c r="AA861" s="12">
        <v>-3.9163152954509002</v>
      </c>
      <c r="AB861" s="12">
        <v>1.4783883687225284E-3</v>
      </c>
      <c r="AC861" s="12">
        <v>-0.62492086176323303</v>
      </c>
      <c r="AD861" s="12">
        <v>2.8910201479616436E-4</v>
      </c>
      <c r="AE861" s="12">
        <v>4.1053957112594373E-2</v>
      </c>
      <c r="AF861" s="12">
        <v>0.23709770759402632</v>
      </c>
      <c r="AG861" s="12">
        <v>0.79051936204196349</v>
      </c>
      <c r="AH861" s="12">
        <v>-3.9163152954509006</v>
      </c>
    </row>
    <row r="862" spans="24:34" x14ac:dyDescent="0.25">
      <c r="X862">
        <v>72.400000000000006</v>
      </c>
      <c r="Y862" s="12">
        <v>68.326574380219114</v>
      </c>
      <c r="Z862" s="12">
        <v>4.0734256197808918</v>
      </c>
      <c r="AA862" s="12">
        <v>4.0759590495741946</v>
      </c>
      <c r="AB862" s="12">
        <v>6.2155428023054436E-4</v>
      </c>
      <c r="AC862" s="12">
        <v>0.6506739815660415</v>
      </c>
      <c r="AD862" s="12">
        <v>1.3165761070369424E-4</v>
      </c>
      <c r="AE862" s="12">
        <v>4.1053957112594373E-2</v>
      </c>
      <c r="AF862" s="12">
        <v>0.23984626024597025</v>
      </c>
      <c r="AG862" s="12">
        <v>0.80664365215753198</v>
      </c>
      <c r="AH862" s="12">
        <v>4.0759590495741991</v>
      </c>
    </row>
    <row r="863" spans="24:34" x14ac:dyDescent="0.25">
      <c r="X863">
        <v>72.2</v>
      </c>
      <c r="Y863" s="12">
        <v>68.129304943036743</v>
      </c>
      <c r="Z863" s="12">
        <v>4.0706950569632596</v>
      </c>
      <c r="AA863" s="12">
        <v>4.0732542372163039</v>
      </c>
      <c r="AB863" s="12">
        <v>6.2828885799879448E-4</v>
      </c>
      <c r="AC863" s="12">
        <v>0.65024000244603786</v>
      </c>
      <c r="AD863" s="12">
        <v>1.3290755774578853E-4</v>
      </c>
      <c r="AE863" s="12">
        <v>4.1053957112594373E-2</v>
      </c>
      <c r="AF863" s="12">
        <v>0.24145004751382065</v>
      </c>
      <c r="AG863" s="12">
        <v>0.8063746042913541</v>
      </c>
      <c r="AH863" s="12">
        <v>4.0732542372162994</v>
      </c>
    </row>
    <row r="864" spans="24:34" x14ac:dyDescent="0.25">
      <c r="X864">
        <v>71.099999999999994</v>
      </c>
      <c r="Y864" s="12">
        <v>66.551149445577778</v>
      </c>
      <c r="Z864" s="12">
        <v>4.5488505544222164</v>
      </c>
      <c r="AA864" s="12">
        <v>4.5521585259518531</v>
      </c>
      <c r="AB864" s="12">
        <v>7.266819709316856E-4</v>
      </c>
      <c r="AC864" s="12">
        <v>0.72665482730745434</v>
      </c>
      <c r="AD864" s="12">
        <v>1.9199345520804959E-4</v>
      </c>
      <c r="AE864" s="12">
        <v>4.1053957112594373E-2</v>
      </c>
      <c r="AF864" s="12">
        <v>0.24213010344240019</v>
      </c>
      <c r="AG864" s="12">
        <v>0.85244051247430419</v>
      </c>
      <c r="AH864" s="12">
        <v>4.5521585259518487</v>
      </c>
    </row>
    <row r="865" spans="24:34" x14ac:dyDescent="0.25">
      <c r="X865">
        <v>72</v>
      </c>
      <c r="Y865" s="12">
        <v>76.414621304696297</v>
      </c>
      <c r="Z865" s="12">
        <v>-4.414621304696297</v>
      </c>
      <c r="AA865" s="12">
        <v>-4.4208552528784537</v>
      </c>
      <c r="AB865" s="12">
        <v>1.4101226630521449E-3</v>
      </c>
      <c r="AC865" s="12">
        <v>-0.70545369875602182</v>
      </c>
      <c r="AD865" s="12">
        <v>3.5137978050834532E-4</v>
      </c>
      <c r="AE865" s="12">
        <v>4.1053957112594373E-2</v>
      </c>
      <c r="AF865" s="12">
        <v>0.24214952517924501</v>
      </c>
      <c r="AG865" s="12">
        <v>0.83991291141166646</v>
      </c>
      <c r="AH865" s="12">
        <v>-4.4208552528784546</v>
      </c>
    </row>
    <row r="866" spans="24:34" x14ac:dyDescent="0.25">
      <c r="X866">
        <v>76</v>
      </c>
      <c r="Y866" s="12">
        <v>66.304562649099822</v>
      </c>
      <c r="Z866" s="12">
        <v>9.6954373509001783</v>
      </c>
      <c r="AA866" s="12">
        <v>9.7027066654082716</v>
      </c>
      <c r="AB866" s="12">
        <v>7.4920481044860878E-4</v>
      </c>
      <c r="AC866" s="12">
        <v>1.548812313792526</v>
      </c>
      <c r="AD866" s="12">
        <v>8.9927732852453882E-4</v>
      </c>
      <c r="AE866" s="12">
        <v>4.1053957112594373E-2</v>
      </c>
      <c r="AF866" s="12">
        <v>0.24300255630701856</v>
      </c>
      <c r="AG866" s="12">
        <v>1.2445128821320115</v>
      </c>
      <c r="AH866" s="12">
        <v>9.7027066654082734</v>
      </c>
    </row>
    <row r="867" spans="24:34" x14ac:dyDescent="0.25">
      <c r="X867">
        <v>78</v>
      </c>
      <c r="Y867" s="12">
        <v>66.649784164168963</v>
      </c>
      <c r="Z867" s="12">
        <v>11.350215835831037</v>
      </c>
      <c r="AA867" s="12">
        <v>11.358373576867322</v>
      </c>
      <c r="AB867" s="12">
        <v>7.1821383414489594E-4</v>
      </c>
      <c r="AC867" s="12">
        <v>1.8131292912265984</v>
      </c>
      <c r="AD867" s="12">
        <v>1.1813901537669322E-3</v>
      </c>
      <c r="AE867" s="12">
        <v>4.1053957112594373E-2</v>
      </c>
      <c r="AF867" s="12">
        <v>0.2454143713760818</v>
      </c>
      <c r="AG867" s="12">
        <v>1.3465248943954204</v>
      </c>
      <c r="AH867" s="12">
        <v>11.358373576867329</v>
      </c>
    </row>
    <row r="868" spans="24:34" x14ac:dyDescent="0.25">
      <c r="X868">
        <v>71.599999999999994</v>
      </c>
      <c r="Y868" s="12">
        <v>76.414621304696297</v>
      </c>
      <c r="Z868" s="12">
        <v>-4.8146213046963027</v>
      </c>
      <c r="AA868" s="12">
        <v>-4.8214200984452162</v>
      </c>
      <c r="AB868" s="12">
        <v>1.4101226630521449E-3</v>
      </c>
      <c r="AC868" s="12">
        <v>-0.76937344634620053</v>
      </c>
      <c r="AD868" s="12">
        <v>4.1794017868486568E-4</v>
      </c>
      <c r="AE868" s="12">
        <v>4.1053957112594373E-2</v>
      </c>
      <c r="AF868" s="12">
        <v>0.24546300682257874</v>
      </c>
      <c r="AG868" s="12">
        <v>0.87713935400607845</v>
      </c>
      <c r="AH868" s="12">
        <v>-4.8214200984452154</v>
      </c>
    </row>
    <row r="869" spans="24:34" x14ac:dyDescent="0.25">
      <c r="X869">
        <v>71.599999999999994</v>
      </c>
      <c r="Y869" s="12">
        <v>76.513256023287482</v>
      </c>
      <c r="Z869" s="12">
        <v>-4.913256023287488</v>
      </c>
      <c r="AA869" s="12">
        <v>-4.920304698067838</v>
      </c>
      <c r="AB869" s="12">
        <v>1.4325687559784749E-3</v>
      </c>
      <c r="AC869" s="12">
        <v>-0.78514403633686558</v>
      </c>
      <c r="AD869" s="12">
        <v>4.4218779854665705E-4</v>
      </c>
      <c r="AE869" s="12">
        <v>6.3887210036911155E-2</v>
      </c>
      <c r="AF869" s="12">
        <v>0.24607071845174688</v>
      </c>
      <c r="AG869" s="12">
        <v>0.88608353801256545</v>
      </c>
      <c r="AH869" s="12">
        <v>-4.9203046980678344</v>
      </c>
    </row>
    <row r="870" spans="24:34" x14ac:dyDescent="0.25">
      <c r="X870">
        <v>71.400000000000006</v>
      </c>
      <c r="Y870" s="12">
        <v>76.513256023287482</v>
      </c>
      <c r="Z870" s="12">
        <v>-5.1132560232874766</v>
      </c>
      <c r="AA870" s="12">
        <v>-5.1205916228585124</v>
      </c>
      <c r="AB870" s="12">
        <v>1.4325687559784749E-3</v>
      </c>
      <c r="AC870" s="12">
        <v>-0.8171042693316638</v>
      </c>
      <c r="AD870" s="12">
        <v>4.7892007463287218E-4</v>
      </c>
      <c r="AE870" s="12">
        <v>6.3887210036911155E-2</v>
      </c>
      <c r="AF870" s="12">
        <v>0.2462286590059013</v>
      </c>
      <c r="AG870" s="12">
        <v>0.90393819995155855</v>
      </c>
      <c r="AH870" s="12">
        <v>-5.1205916228585089</v>
      </c>
    </row>
    <row r="871" spans="24:34" x14ac:dyDescent="0.25">
      <c r="X871">
        <v>71.2</v>
      </c>
      <c r="Y871" s="12">
        <v>76.562573382583082</v>
      </c>
      <c r="Z871" s="12">
        <v>-5.3625733825830793</v>
      </c>
      <c r="AA871" s="12">
        <v>-5.3703276401796813</v>
      </c>
      <c r="AB871" s="12">
        <v>1.4439077308030642E-3</v>
      </c>
      <c r="AC871" s="12">
        <v>-0.85695033924839226</v>
      </c>
      <c r="AD871" s="12">
        <v>5.309434780127962E-4</v>
      </c>
      <c r="AE871" s="12">
        <v>6.3887210036911155E-2</v>
      </c>
      <c r="AF871" s="12">
        <v>0.24698670232856398</v>
      </c>
      <c r="AG871" s="12">
        <v>0.92571612238763146</v>
      </c>
      <c r="AH871" s="12">
        <v>-5.3703276401796796</v>
      </c>
    </row>
    <row r="872" spans="24:34" x14ac:dyDescent="0.25">
      <c r="X872">
        <v>71.599999999999994</v>
      </c>
      <c r="Y872" s="12">
        <v>77.499603209199336</v>
      </c>
      <c r="Z872" s="12">
        <v>-5.8996032091993413</v>
      </c>
      <c r="AA872" s="12">
        <v>-5.9094958974587541</v>
      </c>
      <c r="AB872" s="12">
        <v>1.6740325115839913E-3</v>
      </c>
      <c r="AC872" s="12">
        <v>-0.94287747128534138</v>
      </c>
      <c r="AD872" s="12">
        <v>7.4537022963072901E-4</v>
      </c>
      <c r="AE872" s="12">
        <v>6.3887210036911155E-2</v>
      </c>
      <c r="AF872" s="12">
        <v>0.24701058382632521</v>
      </c>
      <c r="AG872" s="12">
        <v>0.97101878008890297</v>
      </c>
      <c r="AH872" s="12">
        <v>-5.9094958974587595</v>
      </c>
    </row>
    <row r="873" spans="24:34" x14ac:dyDescent="0.25">
      <c r="X873">
        <v>81.7</v>
      </c>
      <c r="Y873" s="12">
        <v>74.392609573577005</v>
      </c>
      <c r="Z873" s="12">
        <v>7.3073904264229981</v>
      </c>
      <c r="AA873" s="12">
        <v>7.314837699198705</v>
      </c>
      <c r="AB873" s="12">
        <v>1.0181049917926659E-3</v>
      </c>
      <c r="AC873" s="12">
        <v>1.167487240525996</v>
      </c>
      <c r="AD873" s="12">
        <v>6.9455915394392171E-4</v>
      </c>
      <c r="AE873" s="12">
        <v>6.3887210036911155E-2</v>
      </c>
      <c r="AF873" s="12">
        <v>0.25109924024152469</v>
      </c>
      <c r="AG873" s="12">
        <v>1.0805032348521664</v>
      </c>
      <c r="AH873" s="12">
        <v>7.3148376991987059</v>
      </c>
    </row>
    <row r="874" spans="24:34" x14ac:dyDescent="0.25">
      <c r="X874">
        <v>81.400000000000006</v>
      </c>
      <c r="Y874" s="12">
        <v>74.24465749569022</v>
      </c>
      <c r="Z874" s="12">
        <v>7.155342504309786</v>
      </c>
      <c r="AA874" s="12">
        <v>7.1624657313310109</v>
      </c>
      <c r="AB874" s="12">
        <v>9.9452161984707617E-4</v>
      </c>
      <c r="AC874" s="12">
        <v>1.1431813526041603</v>
      </c>
      <c r="AD874" s="12">
        <v>6.5049898996219881E-4</v>
      </c>
      <c r="AE874" s="12">
        <v>6.3887210036911155E-2</v>
      </c>
      <c r="AF874" s="12">
        <v>0.25216347457117649</v>
      </c>
      <c r="AG874" s="12">
        <v>1.0691965921214677</v>
      </c>
      <c r="AH874" s="12">
        <v>7.1624657313310083</v>
      </c>
    </row>
    <row r="875" spans="24:34" x14ac:dyDescent="0.25">
      <c r="X875">
        <v>81.099999999999994</v>
      </c>
      <c r="Y875" s="12">
        <v>77.253016412721379</v>
      </c>
      <c r="Z875" s="12">
        <v>3.8469835872786149</v>
      </c>
      <c r="AA875" s="12">
        <v>3.8531901841263192</v>
      </c>
      <c r="AB875" s="12">
        <v>1.6107683636470073E-3</v>
      </c>
      <c r="AC875" s="12">
        <v>0.61480731912971565</v>
      </c>
      <c r="AD875" s="12">
        <v>3.0491673829257727E-4</v>
      </c>
      <c r="AE875" s="12">
        <v>6.3887210036911155E-2</v>
      </c>
      <c r="AF875" s="12">
        <v>0.25464867226928345</v>
      </c>
      <c r="AG875" s="12">
        <v>0.78409649860824893</v>
      </c>
      <c r="AH875" s="12">
        <v>3.853190184126321</v>
      </c>
    </row>
    <row r="876" spans="24:34" x14ac:dyDescent="0.25">
      <c r="X876">
        <v>88</v>
      </c>
      <c r="Y876" s="12">
        <v>74.047388058507849</v>
      </c>
      <c r="Z876" s="12">
        <v>13.952611941492151</v>
      </c>
      <c r="AA876" s="12">
        <v>13.966077462475596</v>
      </c>
      <c r="AB876" s="12">
        <v>9.6415912195958243E-4</v>
      </c>
      <c r="AC876" s="12">
        <v>2.2291208841534038</v>
      </c>
      <c r="AD876" s="12">
        <v>2.3977554743168715E-3</v>
      </c>
      <c r="AE876" s="12">
        <v>6.3887210036911155E-2</v>
      </c>
      <c r="AF876" s="12">
        <v>0.25722537480899627</v>
      </c>
      <c r="AG876" s="12">
        <v>1.4930240735344504</v>
      </c>
      <c r="AH876" s="12">
        <v>13.966077462475591</v>
      </c>
    </row>
    <row r="877" spans="24:34" x14ac:dyDescent="0.25">
      <c r="X877">
        <v>86</v>
      </c>
      <c r="Y877" s="12">
        <v>73.998070699212263</v>
      </c>
      <c r="Z877" s="12">
        <v>12.001929300787737</v>
      </c>
      <c r="AA877" s="12">
        <v>12.013423284209196</v>
      </c>
      <c r="AB877" s="12">
        <v>9.5676171142341604E-4</v>
      </c>
      <c r="AC877" s="12">
        <v>1.9174655123725244</v>
      </c>
      <c r="AD877" s="12">
        <v>1.7605348624015623E-3</v>
      </c>
      <c r="AE877" s="12">
        <v>6.3887210036911155E-2</v>
      </c>
      <c r="AF877" s="12">
        <v>0.25744416423680705</v>
      </c>
      <c r="AG877" s="12">
        <v>1.3847257895960934</v>
      </c>
      <c r="AH877" s="12">
        <v>12.013423284209191</v>
      </c>
    </row>
    <row r="878" spans="24:34" x14ac:dyDescent="0.25">
      <c r="X878">
        <v>83</v>
      </c>
      <c r="Y878" s="12">
        <v>73.850118621325478</v>
      </c>
      <c r="Z878" s="12">
        <v>9.1498813786745217</v>
      </c>
      <c r="AA878" s="12">
        <v>9.1584448285879034</v>
      </c>
      <c r="AB878" s="12">
        <v>9.3503319326061329E-4</v>
      </c>
      <c r="AC878" s="12">
        <v>1.4617975791977447</v>
      </c>
      <c r="AD878" s="12">
        <v>9.9994883588985176E-4</v>
      </c>
      <c r="AE878" s="12">
        <v>6.3887210036911155E-2</v>
      </c>
      <c r="AF878" s="12">
        <v>0.26116994836179963</v>
      </c>
      <c r="AG878" s="12">
        <v>1.2090482121064257</v>
      </c>
      <c r="AH878" s="12">
        <v>9.1584448285878981</v>
      </c>
    </row>
    <row r="879" spans="24:34" x14ac:dyDescent="0.25">
      <c r="X879">
        <v>80</v>
      </c>
      <c r="Y879" s="12">
        <v>77.20369905342578</v>
      </c>
      <c r="Z879" s="12">
        <v>2.7963009465742203</v>
      </c>
      <c r="AA879" s="12">
        <v>2.8007775620827431</v>
      </c>
      <c r="AB879" s="12">
        <v>1.5983473907824589E-3</v>
      </c>
      <c r="AC879" s="12">
        <v>0.44688924590658619</v>
      </c>
      <c r="AD879" s="12">
        <v>1.5985848658864584E-4</v>
      </c>
      <c r="AE879" s="12">
        <v>7.9127168877726875E-2</v>
      </c>
      <c r="AF879" s="12">
        <v>0.26299192817817696</v>
      </c>
      <c r="AG879" s="12">
        <v>0.66849775310511417</v>
      </c>
      <c r="AH879" s="12">
        <v>2.8007775620827373</v>
      </c>
    </row>
    <row r="880" spans="24:34" x14ac:dyDescent="0.25">
      <c r="X880">
        <v>79.7</v>
      </c>
      <c r="Y880" s="12">
        <v>73.554214465551922</v>
      </c>
      <c r="Z880" s="12">
        <v>6.1457855344480805</v>
      </c>
      <c r="AA880" s="12">
        <v>6.1512827073908056</v>
      </c>
      <c r="AB880" s="12">
        <v>8.9366286744064377E-4</v>
      </c>
      <c r="AC880" s="12">
        <v>0.98183878492643328</v>
      </c>
      <c r="AD880" s="12">
        <v>4.3113409700731191E-4</v>
      </c>
      <c r="AE880" s="12">
        <v>7.9127168877726875E-2</v>
      </c>
      <c r="AF880" s="12">
        <v>0.26704022633522212</v>
      </c>
      <c r="AG880" s="12">
        <v>0.9908777850605156</v>
      </c>
      <c r="AH880" s="12">
        <v>6.1512827073908056</v>
      </c>
    </row>
    <row r="881" spans="24:34" x14ac:dyDescent="0.25">
      <c r="X881">
        <v>79.400000000000006</v>
      </c>
      <c r="Y881" s="12">
        <v>73.406262387665151</v>
      </c>
      <c r="Z881" s="12">
        <v>5.9937376123348542</v>
      </c>
      <c r="AA881" s="12">
        <v>5.9989808479331828</v>
      </c>
      <c r="AB881" s="12">
        <v>8.7402105978347678E-4</v>
      </c>
      <c r="AC881" s="12">
        <v>0.95753849133761337</v>
      </c>
      <c r="AD881" s="12">
        <v>4.0103671274521697E-4</v>
      </c>
      <c r="AE881" s="12">
        <v>7.9127168877726875E-2</v>
      </c>
      <c r="AF881" s="12">
        <v>0.26926725331719881</v>
      </c>
      <c r="AG881" s="12">
        <v>0.97853895749613018</v>
      </c>
      <c r="AH881" s="12">
        <v>5.9989808479331854</v>
      </c>
    </row>
    <row r="882" spans="24:34" x14ac:dyDescent="0.25">
      <c r="X882">
        <v>78.8</v>
      </c>
      <c r="Y882" s="12">
        <v>77.154381694130194</v>
      </c>
      <c r="Z882" s="12">
        <v>1.6456183058698031</v>
      </c>
      <c r="AA882" s="12">
        <v>1.6482324085740174</v>
      </c>
      <c r="AB882" s="12">
        <v>1.5860037034921934E-3</v>
      </c>
      <c r="AC882" s="12">
        <v>0.26299192817817696</v>
      </c>
      <c r="AD882" s="12">
        <v>5.4934905188135344E-5</v>
      </c>
      <c r="AE882" s="12">
        <v>7.9127168877726875E-2</v>
      </c>
      <c r="AF882" s="12">
        <v>0.27105705127726376</v>
      </c>
      <c r="AG882" s="12">
        <v>0.5128273863379148</v>
      </c>
      <c r="AH882" s="12">
        <v>1.6482324085740172</v>
      </c>
    </row>
    <row r="883" spans="24:34" x14ac:dyDescent="0.25">
      <c r="X883">
        <v>78.7</v>
      </c>
      <c r="Y883" s="12">
        <v>73.06104087259601</v>
      </c>
      <c r="Z883" s="12">
        <v>5.638959127403993</v>
      </c>
      <c r="AA883" s="12">
        <v>5.6436484076090352</v>
      </c>
      <c r="AB883" s="12">
        <v>8.3089517034998488E-4</v>
      </c>
      <c r="AC883" s="12">
        <v>0.90084088379483296</v>
      </c>
      <c r="AD883" s="12">
        <v>3.3742201772918876E-4</v>
      </c>
      <c r="AE883" s="12">
        <v>7.9127168877726875E-2</v>
      </c>
      <c r="AF883" s="12">
        <v>0.27298045704933743</v>
      </c>
      <c r="AG883" s="12">
        <v>0.94912637925348642</v>
      </c>
      <c r="AH883" s="12">
        <v>5.6436484076090281</v>
      </c>
    </row>
    <row r="884" spans="24:34" x14ac:dyDescent="0.25">
      <c r="X884">
        <v>78.599999999999994</v>
      </c>
      <c r="Y884" s="12">
        <v>73.06104087259601</v>
      </c>
      <c r="Z884" s="12">
        <v>5.5389591274039844</v>
      </c>
      <c r="AA884" s="12">
        <v>5.5435652489958898</v>
      </c>
      <c r="AB884" s="12">
        <v>8.3089517034998488E-4</v>
      </c>
      <c r="AC884" s="12">
        <v>0.88486557942674415</v>
      </c>
      <c r="AD884" s="12">
        <v>3.2556060401536715E-4</v>
      </c>
      <c r="AE884" s="12">
        <v>7.9127168877726875E-2</v>
      </c>
      <c r="AF884" s="12">
        <v>0.27319924656453998</v>
      </c>
      <c r="AG884" s="12">
        <v>0.94067293966965171</v>
      </c>
      <c r="AH884" s="12">
        <v>5.5435652489958951</v>
      </c>
    </row>
    <row r="885" spans="24:34" x14ac:dyDescent="0.25">
      <c r="X885">
        <v>78.3</v>
      </c>
      <c r="Y885" s="12">
        <v>72.913088794709225</v>
      </c>
      <c r="Z885" s="12">
        <v>5.3869112052907724</v>
      </c>
      <c r="AA885" s="12">
        <v>5.3912974135322855</v>
      </c>
      <c r="AB885" s="12">
        <v>8.1357192992130198E-4</v>
      </c>
      <c r="AC885" s="12">
        <v>0.86056800100437669</v>
      </c>
      <c r="AD885" s="12">
        <v>3.0150173859468197E-4</v>
      </c>
      <c r="AE885" s="12">
        <v>7.9127168877726875E-2</v>
      </c>
      <c r="AF885" s="12">
        <v>0.27429384742878699</v>
      </c>
      <c r="AG885" s="12">
        <v>0.92766804461745722</v>
      </c>
      <c r="AH885" s="12">
        <v>5.3912974135322793</v>
      </c>
    </row>
    <row r="886" spans="24:34" x14ac:dyDescent="0.25">
      <c r="X886">
        <v>78</v>
      </c>
      <c r="Y886" s="12">
        <v>72.863771435413639</v>
      </c>
      <c r="Z886" s="12">
        <v>5.1362285645863608</v>
      </c>
      <c r="AA886" s="12">
        <v>5.1403817467496822</v>
      </c>
      <c r="AB886" s="12">
        <v>8.0795208759363993E-4</v>
      </c>
      <c r="AC886" s="12">
        <v>0.82051872584548036</v>
      </c>
      <c r="AD886" s="12">
        <v>2.7219718945328933E-4</v>
      </c>
      <c r="AE886" s="12">
        <v>7.9127168877726875E-2</v>
      </c>
      <c r="AF886" s="12">
        <v>0.27517031821126742</v>
      </c>
      <c r="AG886" s="12">
        <v>0.9058248869651796</v>
      </c>
      <c r="AH886" s="12">
        <v>5.1403817467496751</v>
      </c>
    </row>
    <row r="887" spans="24:34" x14ac:dyDescent="0.25">
      <c r="X887">
        <v>77.8</v>
      </c>
      <c r="Y887" s="12">
        <v>72.76513671682244</v>
      </c>
      <c r="Z887" s="12">
        <v>5.0348632831775575</v>
      </c>
      <c r="AA887" s="12">
        <v>5.0388789888628622</v>
      </c>
      <c r="AB887" s="12">
        <v>7.9694425966116416E-4</v>
      </c>
      <c r="AC887" s="12">
        <v>0.80432106905014111</v>
      </c>
      <c r="AD887" s="12">
        <v>2.5799012791040367E-4</v>
      </c>
      <c r="AE887" s="12">
        <v>7.9127168877726875E-2</v>
      </c>
      <c r="AF887" s="12">
        <v>0.27568837411737407</v>
      </c>
      <c r="AG887" s="12">
        <v>0.89683948901135102</v>
      </c>
      <c r="AH887" s="12">
        <v>5.0388789888628587</v>
      </c>
    </row>
    <row r="888" spans="24:34" x14ac:dyDescent="0.25">
      <c r="X888">
        <v>65.099999999999994</v>
      </c>
      <c r="Y888" s="12">
        <v>66.501832086282192</v>
      </c>
      <c r="Z888" s="12">
        <v>-1.401832086282198</v>
      </c>
      <c r="AA888" s="12">
        <v>-1.4028576200485645</v>
      </c>
      <c r="AB888" s="12">
        <v>7.3103196768650443E-4</v>
      </c>
      <c r="AC888" s="12">
        <v>-0.22393575202364557</v>
      </c>
      <c r="AD888" s="12">
        <v>1.8343020167518545E-5</v>
      </c>
      <c r="AE888" s="12">
        <v>7.9127168877726875E-2</v>
      </c>
      <c r="AF888" s="12">
        <v>0.27714498132322057</v>
      </c>
      <c r="AG888" s="12">
        <v>0.47321850346710403</v>
      </c>
      <c r="AH888" s="12">
        <v>-1.4028576200485661</v>
      </c>
    </row>
    <row r="889" spans="24:34" x14ac:dyDescent="0.25">
      <c r="X889">
        <v>64.7</v>
      </c>
      <c r="Y889" s="12">
        <v>76.463938663991897</v>
      </c>
      <c r="Z889" s="12">
        <v>-11.763938663991894</v>
      </c>
      <c r="AA889" s="12">
        <v>-11.780682631466874</v>
      </c>
      <c r="AB889" s="12">
        <v>1.4213070667281685E-3</v>
      </c>
      <c r="AC889" s="12">
        <v>-1.8798805027175081</v>
      </c>
      <c r="AD889" s="12">
        <v>2.5149891267041233E-3</v>
      </c>
      <c r="AE889" s="12">
        <v>7.9127168877726875E-2</v>
      </c>
      <c r="AF889" s="12">
        <v>0.2782435958949096</v>
      </c>
      <c r="AG889" s="12">
        <v>1.3710873432124986</v>
      </c>
      <c r="AH889" s="12">
        <v>-11.780682631466879</v>
      </c>
    </row>
    <row r="890" spans="24:34" x14ac:dyDescent="0.25">
      <c r="X890">
        <v>64.3</v>
      </c>
      <c r="Y890" s="12">
        <v>66.008658493326266</v>
      </c>
      <c r="Z890" s="12">
        <v>-1.7086584933262685</v>
      </c>
      <c r="AA890" s="12">
        <v>-1.7099902040148436</v>
      </c>
      <c r="AB890" s="12">
        <v>7.7878264182024886E-4</v>
      </c>
      <c r="AC890" s="12">
        <v>-0.27295627687755103</v>
      </c>
      <c r="AD890" s="12">
        <v>2.9034262008980186E-5</v>
      </c>
      <c r="AE890" s="12">
        <v>7.9127168877726875E-2</v>
      </c>
      <c r="AF890" s="12">
        <v>0.27897327253003096</v>
      </c>
      <c r="AG890" s="12">
        <v>0.52245217664160515</v>
      </c>
      <c r="AH890" s="12">
        <v>-1.709990204014838</v>
      </c>
    </row>
    <row r="891" spans="24:34" x14ac:dyDescent="0.25">
      <c r="X891">
        <v>63.8</v>
      </c>
      <c r="Y891" s="12">
        <v>65.71275433755271</v>
      </c>
      <c r="Z891" s="12">
        <v>-1.9127543375527125</v>
      </c>
      <c r="AA891" s="12">
        <v>-1.9143071138968253</v>
      </c>
      <c r="AB891" s="12">
        <v>8.1114275386606999E-4</v>
      </c>
      <c r="AC891" s="12">
        <v>-0.30556530691658124</v>
      </c>
      <c r="AD891" s="12">
        <v>3.7899004557114415E-5</v>
      </c>
      <c r="AE891" s="12">
        <v>7.9127168877726875E-2</v>
      </c>
      <c r="AF891" s="12">
        <v>0.28107677185151592</v>
      </c>
      <c r="AG891" s="12">
        <v>0.55277961876011783</v>
      </c>
      <c r="AH891" s="12">
        <v>-1.9143071138968242</v>
      </c>
    </row>
    <row r="892" spans="24:34" x14ac:dyDescent="0.25">
      <c r="X892">
        <v>63.3</v>
      </c>
      <c r="Y892" s="12">
        <v>65.367532822483554</v>
      </c>
      <c r="Z892" s="12">
        <v>-2.0675328224835567</v>
      </c>
      <c r="AA892" s="12">
        <v>-2.0692967173093564</v>
      </c>
      <c r="AB892" s="12">
        <v>8.5241271154939523E-4</v>
      </c>
      <c r="AC892" s="12">
        <v>-0.3302982178788868</v>
      </c>
      <c r="AD892" s="12">
        <v>4.6537466730819607E-5</v>
      </c>
      <c r="AE892" s="12">
        <v>9.896716322379942E-2</v>
      </c>
      <c r="AF892" s="12">
        <v>0.28227227756891043</v>
      </c>
      <c r="AG892" s="12">
        <v>0.57471577138520114</v>
      </c>
      <c r="AH892" s="12">
        <v>-2.0692967173093586</v>
      </c>
    </row>
    <row r="893" spans="24:34" x14ac:dyDescent="0.25">
      <c r="X893">
        <v>62.8</v>
      </c>
      <c r="Y893" s="12">
        <v>65.071628666709998</v>
      </c>
      <c r="Z893" s="12">
        <v>-2.2716286667100007</v>
      </c>
      <c r="AA893" s="12">
        <v>-2.2736540402263898</v>
      </c>
      <c r="AB893" s="12">
        <v>8.9080109838927468E-4</v>
      </c>
      <c r="AC893" s="12">
        <v>-0.36291047306660845</v>
      </c>
      <c r="AD893" s="12">
        <v>5.8713340944661133E-5</v>
      </c>
      <c r="AE893" s="12">
        <v>9.896716322379942E-2</v>
      </c>
      <c r="AF893" s="12">
        <v>0.28326711921382952</v>
      </c>
      <c r="AG893" s="12">
        <v>0.60242051182426426</v>
      </c>
      <c r="AH893" s="12">
        <v>-2.2736540402263916</v>
      </c>
    </row>
    <row r="894" spans="24:34" x14ac:dyDescent="0.25">
      <c r="X894">
        <v>62.3</v>
      </c>
      <c r="Y894" s="12">
        <v>64.825041870232042</v>
      </c>
      <c r="Z894" s="12">
        <v>-2.5250418702320445</v>
      </c>
      <c r="AA894" s="12">
        <v>-2.5273794859129453</v>
      </c>
      <c r="AB894" s="12">
        <v>9.2491677404861797E-4</v>
      </c>
      <c r="AC894" s="12">
        <v>-0.40340210466456117</v>
      </c>
      <c r="AD894" s="12">
        <v>7.5327031266753027E-5</v>
      </c>
      <c r="AE894" s="12">
        <v>9.896716322379942E-2</v>
      </c>
      <c r="AF894" s="12">
        <v>0.2839676860035143</v>
      </c>
      <c r="AG894" s="12">
        <v>0.63513943718254595</v>
      </c>
      <c r="AH894" s="12">
        <v>-2.5273794859129519</v>
      </c>
    </row>
    <row r="895" spans="24:34" x14ac:dyDescent="0.25">
      <c r="X895">
        <v>61.9</v>
      </c>
      <c r="Y895" s="12">
        <v>64.726407151640856</v>
      </c>
      <c r="Z895" s="12">
        <v>-2.8264071516408578</v>
      </c>
      <c r="AA895" s="12">
        <v>-2.8290639370229584</v>
      </c>
      <c r="AB895" s="12">
        <v>9.3910404333233475E-4</v>
      </c>
      <c r="AC895" s="12">
        <v>-0.45155159707920461</v>
      </c>
      <c r="AD895" s="12">
        <v>9.5831110185924388E-5</v>
      </c>
      <c r="AE895" s="12">
        <v>9.896716322379942E-2</v>
      </c>
      <c r="AF895" s="12">
        <v>0.28546202922355424</v>
      </c>
      <c r="AG895" s="12">
        <v>0.67197589025143201</v>
      </c>
      <c r="AH895" s="12">
        <v>-2.8290639370229616</v>
      </c>
    </row>
    <row r="896" spans="24:34" x14ac:dyDescent="0.25">
      <c r="X896">
        <v>61.4</v>
      </c>
      <c r="Y896" s="12">
        <v>64.627772433049671</v>
      </c>
      <c r="Z896" s="12">
        <v>-3.2277724330496724</v>
      </c>
      <c r="AA896" s="12">
        <v>-3.2308533762990734</v>
      </c>
      <c r="AB896" s="12">
        <v>9.5360045491318295E-4</v>
      </c>
      <c r="AC896" s="12">
        <v>-0.51567813598723522</v>
      </c>
      <c r="AD896" s="12">
        <v>1.2691361993299224E-4</v>
      </c>
      <c r="AE896" s="12">
        <v>9.896716322379942E-2</v>
      </c>
      <c r="AF896" s="12">
        <v>0.2861136199555801</v>
      </c>
      <c r="AG896" s="12">
        <v>0.7181073290165163</v>
      </c>
      <c r="AH896" s="12">
        <v>-3.230853376299069</v>
      </c>
    </row>
    <row r="897" spans="24:34" x14ac:dyDescent="0.25">
      <c r="X897">
        <v>69</v>
      </c>
      <c r="Y897" s="12">
        <v>64.529137714458486</v>
      </c>
      <c r="Z897" s="12">
        <v>4.4708622855415143</v>
      </c>
      <c r="AA897" s="12">
        <v>4.4751960923278489</v>
      </c>
      <c r="AB897" s="12">
        <v>9.6840600879116224E-4</v>
      </c>
      <c r="AC897" s="12">
        <v>0.71428301135229977</v>
      </c>
      <c r="AD897" s="12">
        <v>2.4727994690213286E-4</v>
      </c>
      <c r="AE897" s="12">
        <v>9.896716322379942E-2</v>
      </c>
      <c r="AF897" s="12">
        <v>0.28616479547415208</v>
      </c>
      <c r="AG897" s="12">
        <v>0.84515265565003095</v>
      </c>
      <c r="AH897" s="12">
        <v>4.4751960923278435</v>
      </c>
    </row>
    <row r="898" spans="24:34" x14ac:dyDescent="0.25">
      <c r="X898">
        <v>64</v>
      </c>
      <c r="Y898" s="12">
        <v>64.4305029958673</v>
      </c>
      <c r="Z898" s="12">
        <v>-0.43050299586730034</v>
      </c>
      <c r="AA898" s="12">
        <v>-0.4309268213183941</v>
      </c>
      <c r="AB898" s="12">
        <v>9.8352070496627252E-4</v>
      </c>
      <c r="AC898" s="12">
        <v>-6.8779417216605104E-2</v>
      </c>
      <c r="AD898" s="12">
        <v>2.3286158138172611E-6</v>
      </c>
      <c r="AE898" s="12">
        <v>9.896716322379942E-2</v>
      </c>
      <c r="AF898" s="12">
        <v>0.28655015110793142</v>
      </c>
      <c r="AG898" s="12">
        <v>0.26225830247411636</v>
      </c>
      <c r="AH898" s="12">
        <v>-0.43092682131839233</v>
      </c>
    </row>
    <row r="899" spans="24:34" x14ac:dyDescent="0.25">
      <c r="X899">
        <v>59.9</v>
      </c>
      <c r="Y899" s="12">
        <v>64.381185636571701</v>
      </c>
      <c r="Z899" s="12">
        <v>-4.481185636571702</v>
      </c>
      <c r="AA899" s="12">
        <v>-4.4856317677827704</v>
      </c>
      <c r="AB899" s="12">
        <v>9.9119398141525182E-4</v>
      </c>
      <c r="AC899" s="12">
        <v>-0.71594047696680008</v>
      </c>
      <c r="AD899" s="12">
        <v>2.5428057080293472E-4</v>
      </c>
      <c r="AE899" s="12">
        <v>9.896716322379942E-2</v>
      </c>
      <c r="AF899" s="12">
        <v>0.28724844292237545</v>
      </c>
      <c r="AG899" s="12">
        <v>0.84613265920114444</v>
      </c>
      <c r="AH899" s="12">
        <v>-4.4856317677827731</v>
      </c>
    </row>
    <row r="900" spans="24:34" x14ac:dyDescent="0.25">
      <c r="X900">
        <v>59.3</v>
      </c>
      <c r="Y900" s="12">
        <v>64.23323355868493</v>
      </c>
      <c r="Z900" s="12">
        <v>-4.9332335586849325</v>
      </c>
      <c r="AA900" s="12">
        <v>-4.9382442841691301</v>
      </c>
      <c r="AB900" s="12">
        <v>1.014677524207887E-3</v>
      </c>
      <c r="AC900" s="12">
        <v>-0.78817156576331404</v>
      </c>
      <c r="AD900" s="12">
        <v>3.1548627018892784E-4</v>
      </c>
      <c r="AE900" s="12">
        <v>9.896716322379942E-2</v>
      </c>
      <c r="AF900" s="12">
        <v>0.28879577310398158</v>
      </c>
      <c r="AG900" s="12">
        <v>0.88779027127093146</v>
      </c>
      <c r="AH900" s="12">
        <v>-4.9382442841691274</v>
      </c>
    </row>
    <row r="901" spans="24:34" x14ac:dyDescent="0.25">
      <c r="X901">
        <v>57.6</v>
      </c>
      <c r="Y901" s="12">
        <v>59.005593473352114</v>
      </c>
      <c r="Z901" s="12">
        <v>-1.4055934733521127</v>
      </c>
      <c r="AA901" s="12">
        <v>-1.4088209527295064</v>
      </c>
      <c r="AB901" s="12">
        <v>2.2909081321793902E-3</v>
      </c>
      <c r="AC901" s="12">
        <v>-0.22471207324930675</v>
      </c>
      <c r="AD901" s="12">
        <v>5.7973105023463513E-5</v>
      </c>
      <c r="AE901" s="12">
        <v>9.896716322379942E-2</v>
      </c>
      <c r="AF901" s="12">
        <v>0.29273890277117282</v>
      </c>
      <c r="AG901" s="12">
        <v>0.47403805042349367</v>
      </c>
      <c r="AH901" s="12">
        <v>-1.4088209527295055</v>
      </c>
    </row>
    <row r="902" spans="24:34" x14ac:dyDescent="0.25">
      <c r="X902">
        <v>56.7</v>
      </c>
      <c r="Y902" s="12">
        <v>58.167198365327039</v>
      </c>
      <c r="Z902" s="12">
        <v>-1.467198365327036</v>
      </c>
      <c r="AA902" s="12">
        <v>-1.4709882027012213</v>
      </c>
      <c r="AB902" s="12">
        <v>2.5763886938233362E-3</v>
      </c>
      <c r="AC902" s="12">
        <v>-0.23459440588350627</v>
      </c>
      <c r="AD902" s="12">
        <v>7.1078302557173474E-5</v>
      </c>
      <c r="AE902" s="12">
        <v>9.896716322379942E-2</v>
      </c>
      <c r="AF902" s="12">
        <v>0.29404395340985634</v>
      </c>
      <c r="AG902" s="12">
        <v>0.48434946669063883</v>
      </c>
      <c r="AH902" s="12">
        <v>-1.4709882027012229</v>
      </c>
    </row>
    <row r="903" spans="24:34" x14ac:dyDescent="0.25">
      <c r="X903">
        <v>55.3</v>
      </c>
      <c r="Y903" s="12">
        <v>75.526908837375629</v>
      </c>
      <c r="Z903" s="12">
        <v>-20.226908837375632</v>
      </c>
      <c r="AA903" s="12">
        <v>-20.251656751366909</v>
      </c>
      <c r="AB903" s="12">
        <v>1.222019230086078E-3</v>
      </c>
      <c r="AC903" s="12">
        <v>-3.2319428838542046</v>
      </c>
      <c r="AD903" s="12">
        <v>6.3900821222797159E-3</v>
      </c>
      <c r="AE903" s="12">
        <v>0.11578501997911882</v>
      </c>
      <c r="AF903" s="12">
        <v>0.29451106805581972</v>
      </c>
      <c r="AG903" s="12">
        <v>1.7977605190497996</v>
      </c>
      <c r="AH903" s="12">
        <v>-20.251656751366905</v>
      </c>
    </row>
    <row r="904" spans="24:34" x14ac:dyDescent="0.25">
      <c r="X904">
        <v>54.1</v>
      </c>
      <c r="Y904" s="12">
        <v>55.849282478434191</v>
      </c>
      <c r="Z904" s="12">
        <v>-1.7492824784341892</v>
      </c>
      <c r="AA904" s="12">
        <v>-1.7553945797746877</v>
      </c>
      <c r="AB904" s="12">
        <v>3.481895985619105E-3</v>
      </c>
      <c r="AC904" s="12">
        <v>-0.27982466288926972</v>
      </c>
      <c r="AD904" s="12">
        <v>1.3679574314436055E-4</v>
      </c>
      <c r="AE904" s="12">
        <v>0.11578501997911882</v>
      </c>
      <c r="AF904" s="12">
        <v>0.29487911939316364</v>
      </c>
      <c r="AG904" s="12">
        <v>0.52898455827109903</v>
      </c>
      <c r="AH904" s="12">
        <v>-1.7553945797746842</v>
      </c>
    </row>
    <row r="905" spans="24:34" x14ac:dyDescent="0.25">
      <c r="X905">
        <v>52.9</v>
      </c>
      <c r="Y905" s="12">
        <v>54.813617933226745</v>
      </c>
      <c r="Z905" s="12">
        <v>-1.913617933226746</v>
      </c>
      <c r="AA905" s="12">
        <v>-1.9211906254751412</v>
      </c>
      <c r="AB905" s="12">
        <v>3.9416662500764083E-3</v>
      </c>
      <c r="AC905" s="12">
        <v>-0.30618328992364463</v>
      </c>
      <c r="AD905" s="12">
        <v>1.8549322420611248E-4</v>
      </c>
      <c r="AE905" s="12">
        <v>0.11578501997911882</v>
      </c>
      <c r="AF905" s="12">
        <v>0.29705062278192884</v>
      </c>
      <c r="AG905" s="12">
        <v>0.55333831416561485</v>
      </c>
      <c r="AH905" s="12">
        <v>-1.9211906254751445</v>
      </c>
    </row>
    <row r="906" spans="24:34" x14ac:dyDescent="0.25">
      <c r="X906">
        <v>51.5</v>
      </c>
      <c r="Y906" s="12">
        <v>53.383414513654557</v>
      </c>
      <c r="Z906" s="12">
        <v>-1.8834145136545573</v>
      </c>
      <c r="AA906" s="12">
        <v>-1.8921802641490046</v>
      </c>
      <c r="AB906" s="12">
        <v>4.6326191328248589E-3</v>
      </c>
      <c r="AC906" s="12">
        <v>-0.30145524897740011</v>
      </c>
      <c r="AD906" s="12">
        <v>2.1147493344023083E-4</v>
      </c>
      <c r="AE906" s="12">
        <v>0.11578501997911882</v>
      </c>
      <c r="AF906" s="12">
        <v>0.29838395269014123</v>
      </c>
      <c r="AG906" s="12">
        <v>0.54904940486025489</v>
      </c>
      <c r="AH906" s="12">
        <v>-1.8921802641490075</v>
      </c>
    </row>
    <row r="907" spans="24:34" x14ac:dyDescent="0.25">
      <c r="X907">
        <v>50</v>
      </c>
      <c r="Y907" s="12">
        <v>51.706624297604407</v>
      </c>
      <c r="Z907" s="12">
        <v>-1.7066242976044066</v>
      </c>
      <c r="AA907" s="12">
        <v>-1.7161066011653148</v>
      </c>
      <c r="AB907" s="12">
        <v>5.5254746730006108E-3</v>
      </c>
      <c r="AC907" s="12">
        <v>-0.2732811854130352</v>
      </c>
      <c r="AD907" s="12">
        <v>2.0747482168676079E-4</v>
      </c>
      <c r="AE907" s="12">
        <v>0.11578501997911882</v>
      </c>
      <c r="AF907" s="12">
        <v>0.29858373930664472</v>
      </c>
      <c r="AG907" s="12">
        <v>0.52276302988355561</v>
      </c>
      <c r="AH907" s="12">
        <v>-1.7161066011653145</v>
      </c>
    </row>
    <row r="908" spans="24:34" x14ac:dyDescent="0.25">
      <c r="X908">
        <v>48.5</v>
      </c>
      <c r="Y908" s="12">
        <v>50.029834081554263</v>
      </c>
      <c r="Z908" s="12">
        <v>-1.529834081554263</v>
      </c>
      <c r="AA908" s="12">
        <v>-1.5398549530351957</v>
      </c>
      <c r="AB908" s="12">
        <v>6.5076723370472763E-3</v>
      </c>
      <c r="AC908" s="12">
        <v>-0.24509288997568532</v>
      </c>
      <c r="AD908" s="12">
        <v>1.9673996521439225E-4</v>
      </c>
      <c r="AE908" s="12">
        <v>0.11578501997911882</v>
      </c>
      <c r="AF908" s="12">
        <v>0.30099658301947108</v>
      </c>
      <c r="AG908" s="12">
        <v>0.49506857098354096</v>
      </c>
      <c r="AH908" s="12">
        <v>-1.5398549530351955</v>
      </c>
    </row>
    <row r="909" spans="24:34" x14ac:dyDescent="0.25">
      <c r="X909">
        <v>47.1</v>
      </c>
      <c r="Y909" s="12">
        <v>48.648948021277675</v>
      </c>
      <c r="Z909" s="12">
        <v>-1.5489480212776741</v>
      </c>
      <c r="AA909" s="12">
        <v>-1.5604699459954716</v>
      </c>
      <c r="AB909" s="12">
        <v>7.3836248800337673E-3</v>
      </c>
      <c r="AC909" s="12">
        <v>-0.24826458178781602</v>
      </c>
      <c r="AD909" s="12">
        <v>2.2923858851881261E-4</v>
      </c>
      <c r="AE909" s="12">
        <v>0.11578501997911882</v>
      </c>
      <c r="AF909" s="12">
        <v>0.30165703272553451</v>
      </c>
      <c r="AG909" s="12">
        <v>0.4982615596128363</v>
      </c>
      <c r="AH909" s="12">
        <v>-1.5604699459954712</v>
      </c>
    </row>
    <row r="910" spans="24:34" x14ac:dyDescent="0.25">
      <c r="X910">
        <v>46</v>
      </c>
      <c r="Y910" s="12">
        <v>74.343292214281405</v>
      </c>
      <c r="Z910" s="12">
        <v>-28.343292214281405</v>
      </c>
      <c r="AA910" s="12">
        <v>-28.371952612683529</v>
      </c>
      <c r="AB910" s="12">
        <v>1.0101665822365199E-3</v>
      </c>
      <c r="AC910" s="12">
        <v>-4.5283334552984842</v>
      </c>
      <c r="AD910" s="12">
        <v>1.036761192704211E-2</v>
      </c>
      <c r="AE910" s="12">
        <v>0.11578501997911882</v>
      </c>
      <c r="AF910" s="12">
        <v>0.30322294901443997</v>
      </c>
      <c r="AG910" s="12">
        <v>2.1279881238621807</v>
      </c>
      <c r="AH910" s="12">
        <v>-28.371952612683536</v>
      </c>
    </row>
    <row r="911" spans="24:34" x14ac:dyDescent="0.25">
      <c r="X911">
        <v>45.1</v>
      </c>
      <c r="Y911" s="12">
        <v>47.268061961001081</v>
      </c>
      <c r="Z911" s="12">
        <v>-2.1680619610010794</v>
      </c>
      <c r="AA911" s="12">
        <v>-2.186251947364596</v>
      </c>
      <c r="AB911" s="12">
        <v>8.320169313257967E-3</v>
      </c>
      <c r="AC911" s="12">
        <v>-0.34765989062807634</v>
      </c>
      <c r="AD911" s="12">
        <v>5.0703725013015986E-4</v>
      </c>
      <c r="AE911" s="12">
        <v>0.11578501997911882</v>
      </c>
      <c r="AF911" s="12">
        <v>0.30440562819202882</v>
      </c>
      <c r="AG911" s="12">
        <v>0.58962690799188966</v>
      </c>
      <c r="AH911" s="12">
        <v>-2.1862519473645929</v>
      </c>
    </row>
    <row r="912" spans="24:34" x14ac:dyDescent="0.25">
      <c r="X912">
        <v>44.6</v>
      </c>
      <c r="Y912" s="12">
        <v>47.366696679592266</v>
      </c>
      <c r="Z912" s="12">
        <v>-2.7666966795922647</v>
      </c>
      <c r="AA912" s="12">
        <v>-2.789715357090607</v>
      </c>
      <c r="AB912" s="12">
        <v>8.2512638573820334E-3</v>
      </c>
      <c r="AC912" s="12">
        <v>-0.44363863533804809</v>
      </c>
      <c r="AD912" s="12">
        <v>8.1874289677283277E-4</v>
      </c>
      <c r="AE912" s="12">
        <v>0.12956927093944998</v>
      </c>
      <c r="AF912" s="12">
        <v>0.30536591001407948</v>
      </c>
      <c r="AG912" s="12">
        <v>0.66606203565287225</v>
      </c>
      <c r="AH912" s="12">
        <v>-2.7897153570906101</v>
      </c>
    </row>
    <row r="913" spans="24:34" x14ac:dyDescent="0.25">
      <c r="X913">
        <v>44</v>
      </c>
      <c r="Y913" s="12">
        <v>74.293974854985819</v>
      </c>
      <c r="Z913" s="12">
        <v>-30.293974854985819</v>
      </c>
      <c r="AA913" s="12">
        <v>-30.324369135688656</v>
      </c>
      <c r="AB913" s="12">
        <v>1.0023054582546567E-3</v>
      </c>
      <c r="AC913" s="12">
        <v>-4.8399698613468338</v>
      </c>
      <c r="AD913" s="12">
        <v>1.1751435692656425E-2</v>
      </c>
      <c r="AE913" s="12">
        <v>0.12956927093944998</v>
      </c>
      <c r="AF913" s="12">
        <v>0.30733838249512757</v>
      </c>
      <c r="AG913" s="12">
        <v>2.1999931502954353</v>
      </c>
      <c r="AH913" s="12">
        <v>-30.324369135688649</v>
      </c>
    </row>
    <row r="914" spans="24:34" x14ac:dyDescent="0.25">
      <c r="X914">
        <v>74.8</v>
      </c>
      <c r="Y914" s="12">
        <v>71.384250656545859</v>
      </c>
      <c r="Z914" s="12">
        <v>3.4157493434541379</v>
      </c>
      <c r="AA914" s="12">
        <v>3.4180575392864228</v>
      </c>
      <c r="AB914" s="12">
        <v>6.752946098052793E-4</v>
      </c>
      <c r="AC914" s="12">
        <v>0.54563386995246443</v>
      </c>
      <c r="AD914" s="12">
        <v>1.0059104167504021E-4</v>
      </c>
      <c r="AE914" s="12">
        <v>0.12956927093944998</v>
      </c>
      <c r="AF914" s="12">
        <v>0.30909234279436182</v>
      </c>
      <c r="AG914" s="12">
        <v>0.73867033915845326</v>
      </c>
      <c r="AH914" s="12">
        <v>3.4180575392864223</v>
      </c>
    </row>
    <row r="915" spans="24:34" x14ac:dyDescent="0.25">
      <c r="X915">
        <v>74.599999999999994</v>
      </c>
      <c r="Y915" s="12">
        <v>71.285615937954674</v>
      </c>
      <c r="Z915" s="12">
        <v>3.3143840620453204</v>
      </c>
      <c r="AA915" s="12">
        <v>3.3166026168566987</v>
      </c>
      <c r="AB915" s="12">
        <v>6.6892391632977148E-4</v>
      </c>
      <c r="AC915" s="12">
        <v>0.52944003088926639</v>
      </c>
      <c r="AD915" s="12">
        <v>9.3814698152308012E-5</v>
      </c>
      <c r="AE915" s="12">
        <v>0.12956927093944998</v>
      </c>
      <c r="AF915" s="12">
        <v>0.30953471348128808</v>
      </c>
      <c r="AG915" s="12">
        <v>0.72762629892635577</v>
      </c>
      <c r="AH915" s="12">
        <v>3.3166026168566978</v>
      </c>
    </row>
    <row r="916" spans="24:34" x14ac:dyDescent="0.25">
      <c r="X916">
        <v>74.5</v>
      </c>
      <c r="Y916" s="12">
        <v>71.236298578659074</v>
      </c>
      <c r="Z916" s="12">
        <v>3.2637014213409259</v>
      </c>
      <c r="AA916" s="12">
        <v>3.2658760195783145</v>
      </c>
      <c r="AB916" s="12">
        <v>6.6585449795344173E-4</v>
      </c>
      <c r="AC916" s="12">
        <v>0.52134318031215909</v>
      </c>
      <c r="AD916" s="12">
        <v>9.0549490133006192E-5</v>
      </c>
      <c r="AE916" s="12">
        <v>0.12956927093944998</v>
      </c>
      <c r="AF916" s="12">
        <v>0.30975462217559885</v>
      </c>
      <c r="AG916" s="12">
        <v>0.722040982432548</v>
      </c>
      <c r="AH916" s="12">
        <v>3.2658760195783203</v>
      </c>
    </row>
    <row r="917" spans="24:34" x14ac:dyDescent="0.25">
      <c r="X917">
        <v>74.3</v>
      </c>
      <c r="Y917" s="12">
        <v>76.957112256947823</v>
      </c>
      <c r="Z917" s="12">
        <v>-2.6571122569478263</v>
      </c>
      <c r="AA917" s="12">
        <v>-2.6612035961735643</v>
      </c>
      <c r="AB917" s="12">
        <v>1.5374018100739587E-3</v>
      </c>
      <c r="AC917" s="12">
        <v>-0.42463192437422348</v>
      </c>
      <c r="AD917" s="12">
        <v>1.3881962760574338E-4</v>
      </c>
      <c r="AE917" s="12">
        <v>0.12956927093944998</v>
      </c>
      <c r="AF917" s="12">
        <v>0.31061963536788106</v>
      </c>
      <c r="AG917" s="12">
        <v>0.65163787825311648</v>
      </c>
      <c r="AH917" s="12">
        <v>-2.6612035961735589</v>
      </c>
    </row>
    <row r="918" spans="24:34" x14ac:dyDescent="0.25">
      <c r="X918">
        <v>74.099999999999994</v>
      </c>
      <c r="Y918" s="12">
        <v>71.137663860067889</v>
      </c>
      <c r="Z918" s="12">
        <v>2.9623361399321055</v>
      </c>
      <c r="AA918" s="12">
        <v>2.9642924173553382</v>
      </c>
      <c r="AB918" s="12">
        <v>6.5994751792363077E-4</v>
      </c>
      <c r="AC918" s="12">
        <v>0.47320173649366243</v>
      </c>
      <c r="AD918" s="12">
        <v>7.3936479834943729E-5</v>
      </c>
      <c r="AE918" s="12">
        <v>0.12956927093944998</v>
      </c>
      <c r="AF918" s="12">
        <v>0.31061963536788106</v>
      </c>
      <c r="AG918" s="12">
        <v>0.68789660305431255</v>
      </c>
      <c r="AH918" s="12">
        <v>2.9642924173553391</v>
      </c>
    </row>
    <row r="919" spans="24:34" x14ac:dyDescent="0.25">
      <c r="X919">
        <v>74</v>
      </c>
      <c r="Y919" s="12">
        <v>71.137663860067889</v>
      </c>
      <c r="Z919" s="12">
        <v>2.8623361399321112</v>
      </c>
      <c r="AA919" s="12">
        <v>2.8642263790217157</v>
      </c>
      <c r="AB919" s="12">
        <v>6.5994751792363077E-4</v>
      </c>
      <c r="AC919" s="12">
        <v>0.45722779855613721</v>
      </c>
      <c r="AD919" s="12">
        <v>6.9028965339726548E-5</v>
      </c>
      <c r="AE919" s="12">
        <v>0.12956927093944998</v>
      </c>
      <c r="AF919" s="12">
        <v>0.31083801289445695</v>
      </c>
      <c r="AG919" s="12">
        <v>0.67618621588741157</v>
      </c>
      <c r="AH919" s="12">
        <v>2.8642263790217179</v>
      </c>
    </row>
    <row r="920" spans="24:34" x14ac:dyDescent="0.25">
      <c r="X920">
        <v>73.8</v>
      </c>
      <c r="Y920" s="12">
        <v>71.088346500772303</v>
      </c>
      <c r="Z920" s="12">
        <v>2.7116534992276939</v>
      </c>
      <c r="AA920" s="12">
        <v>2.7134365253842248</v>
      </c>
      <c r="AB920" s="12">
        <v>6.5710995627014956E-4</v>
      </c>
      <c r="AC920" s="12">
        <v>0.43315723208680679</v>
      </c>
      <c r="AD920" s="12">
        <v>6.1685723748588827E-5</v>
      </c>
      <c r="AE920" s="12">
        <v>0.12956927093944998</v>
      </c>
      <c r="AF920" s="12">
        <v>0.31105643894383195</v>
      </c>
      <c r="AG920" s="12">
        <v>0.65814681651346363</v>
      </c>
      <c r="AH920" s="12">
        <v>2.713436525384231</v>
      </c>
    </row>
    <row r="921" spans="24:34" x14ac:dyDescent="0.25">
      <c r="X921">
        <v>73.7</v>
      </c>
      <c r="Y921" s="12">
        <v>71.039029141476703</v>
      </c>
      <c r="Z921" s="12">
        <v>2.6609708585232994</v>
      </c>
      <c r="AA921" s="12">
        <v>2.6627132040568142</v>
      </c>
      <c r="AB921" s="12">
        <v>6.5434968019095101E-4</v>
      </c>
      <c r="AC921" s="12">
        <v>0.42506064298191804</v>
      </c>
      <c r="AD921" s="12">
        <v>5.9151527207590298E-5</v>
      </c>
      <c r="AE921" s="12">
        <v>0.12956927093944998</v>
      </c>
      <c r="AF921" s="12">
        <v>0.31105643894383195</v>
      </c>
      <c r="AG921" s="12">
        <v>0.65196674990517578</v>
      </c>
      <c r="AH921" s="12">
        <v>2.6627132040568142</v>
      </c>
    </row>
    <row r="922" spans="24:34" x14ac:dyDescent="0.25">
      <c r="X922">
        <v>73.599999999999994</v>
      </c>
      <c r="Y922" s="12">
        <v>70.989711782181118</v>
      </c>
      <c r="Z922" s="12">
        <v>2.6102882178188764</v>
      </c>
      <c r="AA922" s="12">
        <v>2.6119903649334901</v>
      </c>
      <c r="AB922" s="12">
        <v>6.5166668968603524E-4</v>
      </c>
      <c r="AC922" s="12">
        <v>0.41696409236442006</v>
      </c>
      <c r="AD922" s="12">
        <v>5.6686017590182544E-5</v>
      </c>
      <c r="AE922" s="12">
        <v>0.12956927093944998</v>
      </c>
      <c r="AF922" s="12">
        <v>0.31131857292937404</v>
      </c>
      <c r="AG922" s="12">
        <v>0.64572756822395316</v>
      </c>
      <c r="AH922" s="12">
        <v>2.6119903649334844</v>
      </c>
    </row>
    <row r="923" spans="24:34" x14ac:dyDescent="0.25">
      <c r="X923">
        <v>73.400000000000006</v>
      </c>
      <c r="Y923" s="12">
        <v>70.940394422885518</v>
      </c>
      <c r="Z923" s="12">
        <v>2.4596055771144876</v>
      </c>
      <c r="AA923" s="12">
        <v>2.461203047988505</v>
      </c>
      <c r="AB923" s="12">
        <v>6.4906098475540235E-4</v>
      </c>
      <c r="AC923" s="12">
        <v>0.39289372836441322</v>
      </c>
      <c r="AD923" s="12">
        <v>5.012884248667874E-5</v>
      </c>
      <c r="AE923" s="12">
        <v>0.12956927093944998</v>
      </c>
      <c r="AF923" s="12">
        <v>0.31149343701773291</v>
      </c>
      <c r="AG923" s="12">
        <v>0.62681235498705135</v>
      </c>
      <c r="AH923" s="12">
        <v>2.4612030479884979</v>
      </c>
    </row>
    <row r="924" spans="24:34" x14ac:dyDescent="0.25">
      <c r="X924">
        <v>73.2</v>
      </c>
      <c r="Y924" s="12">
        <v>70.841759704294333</v>
      </c>
      <c r="Z924" s="12">
        <v>2.3582402957056701</v>
      </c>
      <c r="AA924" s="12">
        <v>2.3597601734164328</v>
      </c>
      <c r="AB924" s="12">
        <v>6.440814316169849E-4</v>
      </c>
      <c r="AC924" s="12">
        <v>0.37670085090804079</v>
      </c>
      <c r="AD924" s="12">
        <v>4.5728167386610344E-5</v>
      </c>
      <c r="AE924" s="12">
        <v>0.14798710972583889</v>
      </c>
      <c r="AF924" s="12">
        <v>0.31164150115117928</v>
      </c>
      <c r="AG924" s="12">
        <v>0.6137596035159375</v>
      </c>
      <c r="AH924" s="12">
        <v>2.3597601734164368</v>
      </c>
    </row>
    <row r="925" spans="24:34" x14ac:dyDescent="0.25">
      <c r="X925">
        <v>73.099999999999994</v>
      </c>
      <c r="Y925" s="12">
        <v>70.792442344998747</v>
      </c>
      <c r="Z925" s="12">
        <v>2.3075576550012471</v>
      </c>
      <c r="AA925" s="12">
        <v>2.309039383083757</v>
      </c>
      <c r="AB925" s="12">
        <v>6.4170758340920055E-4</v>
      </c>
      <c r="AC925" s="12">
        <v>0.36860446381725681</v>
      </c>
      <c r="AD925" s="12">
        <v>4.3622156946837013E-5</v>
      </c>
      <c r="AE925" s="12">
        <v>0.14798710972583889</v>
      </c>
      <c r="AF925" s="12">
        <v>0.31236801991718083</v>
      </c>
      <c r="AG925" s="12">
        <v>0.60712804565203282</v>
      </c>
      <c r="AH925" s="12">
        <v>2.3090393830837623</v>
      </c>
    </row>
    <row r="926" spans="24:34" x14ac:dyDescent="0.25">
      <c r="X926">
        <v>72.900000000000006</v>
      </c>
      <c r="Y926" s="12">
        <v>76.907794897652224</v>
      </c>
      <c r="Z926" s="12">
        <v>-4.007794897652218</v>
      </c>
      <c r="AA926" s="12">
        <v>-4.0139179068499971</v>
      </c>
      <c r="AB926" s="12">
        <v>1.5254445506551072E-3</v>
      </c>
      <c r="AC926" s="12">
        <v>-0.64048007953183794</v>
      </c>
      <c r="AD926" s="12">
        <v>3.1335792411302298E-4</v>
      </c>
      <c r="AE926" s="12">
        <v>0.14798710972583889</v>
      </c>
      <c r="AF926" s="12">
        <v>0.31247097066852719</v>
      </c>
      <c r="AG926" s="12">
        <v>0.80029999345985126</v>
      </c>
      <c r="AH926" s="12">
        <v>-4.0139179068499988</v>
      </c>
    </row>
    <row r="927" spans="24:34" x14ac:dyDescent="0.25">
      <c r="X927">
        <v>72.7</v>
      </c>
      <c r="Y927" s="12">
        <v>70.496538189225191</v>
      </c>
      <c r="Z927" s="12">
        <v>2.2034618107748116</v>
      </c>
      <c r="AA927" s="12">
        <v>2.2048488536086523</v>
      </c>
      <c r="AB927" s="12">
        <v>6.2908749122243227E-4</v>
      </c>
      <c r="AC927" s="12">
        <v>0.35197418761927929</v>
      </c>
      <c r="AD927" s="12">
        <v>3.8992042009139001E-5</v>
      </c>
      <c r="AE927" s="12">
        <v>0.14798710972583889</v>
      </c>
      <c r="AF927" s="12">
        <v>0.31543530679649878</v>
      </c>
      <c r="AG927" s="12">
        <v>0.59327412518942646</v>
      </c>
      <c r="AH927" s="12">
        <v>2.2048488536086532</v>
      </c>
    </row>
    <row r="928" spans="24:34" x14ac:dyDescent="0.25">
      <c r="X928">
        <v>72.400000000000006</v>
      </c>
      <c r="Y928" s="12">
        <v>70.249951392747221</v>
      </c>
      <c r="Z928" s="12">
        <v>2.1500486072527849</v>
      </c>
      <c r="AA928" s="12">
        <v>2.1513839628903639</v>
      </c>
      <c r="AB928" s="12">
        <v>6.2069610102623556E-4</v>
      </c>
      <c r="AC928" s="12">
        <v>0.34344068549750978</v>
      </c>
      <c r="AD928" s="12">
        <v>3.6628754787980749E-5</v>
      </c>
      <c r="AE928" s="12">
        <v>0.14798710972583889</v>
      </c>
      <c r="AF928" s="12">
        <v>0.31675213143494119</v>
      </c>
      <c r="AG928" s="12">
        <v>0.58603812631731544</v>
      </c>
      <c r="AH928" s="12">
        <v>2.1513839628903613</v>
      </c>
    </row>
    <row r="929" spans="24:34" x14ac:dyDescent="0.25">
      <c r="X929">
        <v>78.2</v>
      </c>
      <c r="Y929" s="12">
        <v>74.540561651463776</v>
      </c>
      <c r="Z929" s="12">
        <v>3.6594383485362272</v>
      </c>
      <c r="AA929" s="12">
        <v>3.6632568686418665</v>
      </c>
      <c r="AB929" s="12">
        <v>1.0423839339068009E-3</v>
      </c>
      <c r="AC929" s="12">
        <v>0.58466829441627532</v>
      </c>
      <c r="AD929" s="12">
        <v>1.783486136920059E-4</v>
      </c>
      <c r="AE929" s="12">
        <v>0.14798710972583889</v>
      </c>
      <c r="AF929" s="12">
        <v>0.31763229031362034</v>
      </c>
      <c r="AG929" s="12">
        <v>0.76463605356815034</v>
      </c>
      <c r="AH929" s="12">
        <v>3.6632568686418732</v>
      </c>
    </row>
    <row r="930" spans="24:34" x14ac:dyDescent="0.25">
      <c r="X930">
        <v>77.900000000000006</v>
      </c>
      <c r="Y930" s="12">
        <v>74.44192693287259</v>
      </c>
      <c r="Z930" s="12">
        <v>3.4580730671274154</v>
      </c>
      <c r="AA930" s="12">
        <v>3.4616251122654802</v>
      </c>
      <c r="AB930" s="12">
        <v>1.026120686923095E-3</v>
      </c>
      <c r="AC930" s="12">
        <v>0.55249167546524558</v>
      </c>
      <c r="AD930" s="12">
        <v>1.567710230517319E-4</v>
      </c>
      <c r="AE930" s="12">
        <v>0.14798710972583889</v>
      </c>
      <c r="AF930" s="12">
        <v>0.31763229031362034</v>
      </c>
      <c r="AG930" s="12">
        <v>0.74329783765678048</v>
      </c>
      <c r="AH930" s="12">
        <v>3.4616251122654833</v>
      </c>
    </row>
    <row r="931" spans="24:34" x14ac:dyDescent="0.25">
      <c r="X931">
        <v>77.599999999999994</v>
      </c>
      <c r="Y931" s="12">
        <v>74.392609573577005</v>
      </c>
      <c r="Z931" s="12">
        <v>3.2073904264229895</v>
      </c>
      <c r="AA931" s="12">
        <v>3.2106592145963191</v>
      </c>
      <c r="AB931" s="12">
        <v>1.0181049917926659E-3</v>
      </c>
      <c r="AC931" s="12">
        <v>0.51243839178127326</v>
      </c>
      <c r="AD931" s="12">
        <v>1.3380990822998886E-4</v>
      </c>
      <c r="AE931" s="12">
        <v>0.14798710972583889</v>
      </c>
      <c r="AF931" s="12">
        <v>0.3191524659035998</v>
      </c>
      <c r="AG931" s="12">
        <v>0.71584802282416993</v>
      </c>
      <c r="AH931" s="12">
        <v>3.2106592145963151</v>
      </c>
    </row>
    <row r="932" spans="24:34" x14ac:dyDescent="0.25">
      <c r="X932">
        <v>77.3</v>
      </c>
      <c r="Y932" s="12">
        <v>74.293974854985819</v>
      </c>
      <c r="Z932" s="12">
        <v>3.0060251450141777</v>
      </c>
      <c r="AA932" s="12">
        <v>3.0090411233562264</v>
      </c>
      <c r="AB932" s="12">
        <v>1.0023054582546567E-3</v>
      </c>
      <c r="AC932" s="12">
        <v>0.48026286329094459</v>
      </c>
      <c r="AD932" s="12">
        <v>1.1570806351218238E-4</v>
      </c>
      <c r="AE932" s="12">
        <v>0.14798710972583889</v>
      </c>
      <c r="AF932" s="12">
        <v>0.31925987667659733</v>
      </c>
      <c r="AG932" s="12">
        <v>0.69301000230223564</v>
      </c>
      <c r="AH932" s="12">
        <v>3.0090411233562304</v>
      </c>
    </row>
    <row r="933" spans="24:34" x14ac:dyDescent="0.25">
      <c r="X933">
        <v>76.7</v>
      </c>
      <c r="Y933" s="12">
        <v>73.998070699212263</v>
      </c>
      <c r="Z933" s="12">
        <v>2.7019293007877394</v>
      </c>
      <c r="AA933" s="12">
        <v>2.7045168789854444</v>
      </c>
      <c r="AB933" s="12">
        <v>9.5676171142341604E-4</v>
      </c>
      <c r="AC933" s="12">
        <v>0.43166861937682455</v>
      </c>
      <c r="AD933" s="12">
        <v>8.9225802590210261E-5</v>
      </c>
      <c r="AE933" s="12">
        <v>0.14798710972583889</v>
      </c>
      <c r="AF933" s="12">
        <v>0.32090194921845744</v>
      </c>
      <c r="AG933" s="12">
        <v>0.65701493086293294</v>
      </c>
      <c r="AH933" s="12">
        <v>2.704516878985451</v>
      </c>
    </row>
    <row r="934" spans="24:34" x14ac:dyDescent="0.25">
      <c r="X934">
        <v>76.3</v>
      </c>
      <c r="Y934" s="12">
        <v>73.899435980621078</v>
      </c>
      <c r="Z934" s="12">
        <v>2.4005640193789191</v>
      </c>
      <c r="AA934" s="12">
        <v>2.4028279608730827</v>
      </c>
      <c r="AB934" s="12">
        <v>9.4219874707393136E-4</v>
      </c>
      <c r="AC934" s="12">
        <v>0.38351877049590977</v>
      </c>
      <c r="AD934" s="12">
        <v>6.9357776219227492E-5</v>
      </c>
      <c r="AE934" s="12">
        <v>0.16337348484333708</v>
      </c>
      <c r="AF934" s="12">
        <v>0.32112086183116667</v>
      </c>
      <c r="AG934" s="12">
        <v>0.61928892327887619</v>
      </c>
      <c r="AH934" s="12">
        <v>2.402827960873088</v>
      </c>
    </row>
    <row r="935" spans="24:34" x14ac:dyDescent="0.25">
      <c r="X935">
        <v>75.900000000000006</v>
      </c>
      <c r="Y935" s="12">
        <v>73.603531824847522</v>
      </c>
      <c r="Z935" s="12">
        <v>2.2964681751524836</v>
      </c>
      <c r="AA935" s="12">
        <v>2.2985376973747691</v>
      </c>
      <c r="AB935" s="12">
        <v>9.0036470780826508E-4</v>
      </c>
      <c r="AC935" s="12">
        <v>0.36688053502643092</v>
      </c>
      <c r="AD935" s="12">
        <v>6.0649749112691049E-5</v>
      </c>
      <c r="AE935" s="12">
        <v>0.16337348484333708</v>
      </c>
      <c r="AF935" s="12">
        <v>0.32112086183116667</v>
      </c>
      <c r="AG935" s="12">
        <v>0.60570664106185179</v>
      </c>
      <c r="AH935" s="12">
        <v>2.2985376973747669</v>
      </c>
    </row>
    <row r="936" spans="24:34" x14ac:dyDescent="0.25">
      <c r="X936">
        <v>75.400000000000006</v>
      </c>
      <c r="Y936" s="12">
        <v>73.554214465551922</v>
      </c>
      <c r="Z936" s="12">
        <v>1.8457855344480834</v>
      </c>
      <c r="AA936" s="12">
        <v>1.8474365198658376</v>
      </c>
      <c r="AB936" s="12">
        <v>8.9366286744064377E-4</v>
      </c>
      <c r="AC936" s="12">
        <v>0.29487911939316364</v>
      </c>
      <c r="AD936" s="12">
        <v>3.8888397344979128E-5</v>
      </c>
      <c r="AE936" s="12">
        <v>0.16337348484333708</v>
      </c>
      <c r="AF936" s="12">
        <v>0.32291748007169707</v>
      </c>
      <c r="AG936" s="12">
        <v>0.54302773353960809</v>
      </c>
      <c r="AH936" s="12">
        <v>1.8474365198658411</v>
      </c>
    </row>
    <row r="937" spans="24:34" x14ac:dyDescent="0.25">
      <c r="X937">
        <v>75</v>
      </c>
      <c r="Y937" s="12">
        <v>73.258310309778381</v>
      </c>
      <c r="Z937" s="12">
        <v>1.7416896902216195</v>
      </c>
      <c r="AA937" s="12">
        <v>1.7431802397553611</v>
      </c>
      <c r="AB937" s="12">
        <v>8.5507482229485487E-4</v>
      </c>
      <c r="AC937" s="12">
        <v>0.2782435958949096</v>
      </c>
      <c r="AD937" s="12">
        <v>3.3128058997104394E-5</v>
      </c>
      <c r="AE937" s="12">
        <v>0.16337348484333708</v>
      </c>
      <c r="AF937" s="12">
        <v>0.32550198269426794</v>
      </c>
      <c r="AG937" s="12">
        <v>0.5274880054512231</v>
      </c>
      <c r="AH937" s="12">
        <v>1.7431802397553562</v>
      </c>
    </row>
    <row r="938" spans="24:34" x14ac:dyDescent="0.25">
      <c r="X938">
        <v>74.3</v>
      </c>
      <c r="Y938" s="12">
        <v>73.01172351330041</v>
      </c>
      <c r="Z938" s="12">
        <v>1.2882764866995871</v>
      </c>
      <c r="AA938" s="12">
        <v>1.2893402484538541</v>
      </c>
      <c r="AB938" s="12">
        <v>8.250434712994744E-4</v>
      </c>
      <c r="AC938" s="12">
        <v>0.20580548719701283</v>
      </c>
      <c r="AD938" s="12">
        <v>1.7487156453403808E-5</v>
      </c>
      <c r="AE938" s="12">
        <v>0.16337348484333708</v>
      </c>
      <c r="AF938" s="12">
        <v>0.32572012186596583</v>
      </c>
      <c r="AG938" s="12">
        <v>0.45365789665453066</v>
      </c>
      <c r="AH938" s="12">
        <v>1.2893402484538576</v>
      </c>
    </row>
    <row r="939" spans="24:34" x14ac:dyDescent="0.25">
      <c r="X939">
        <v>73.400000000000006</v>
      </c>
      <c r="Y939" s="12">
        <v>76.809160179061038</v>
      </c>
      <c r="Z939" s="12">
        <v>-3.4091601790610326</v>
      </c>
      <c r="AA939" s="12">
        <v>-3.4142876260944206</v>
      </c>
      <c r="AB939" s="12">
        <v>1.5017618885402521E-3</v>
      </c>
      <c r="AC939" s="12">
        <v>-0.54480664400351009</v>
      </c>
      <c r="AD939" s="12">
        <v>2.2320739070406069E-4</v>
      </c>
      <c r="AE939" s="12">
        <v>0.16337348484333708</v>
      </c>
      <c r="AF939" s="12">
        <v>0.32647297883048876</v>
      </c>
      <c r="AG939" s="12">
        <v>0.73811018418899366</v>
      </c>
      <c r="AH939" s="12">
        <v>-3.4142876260944157</v>
      </c>
    </row>
    <row r="940" spans="24:34" x14ac:dyDescent="0.25">
      <c r="X940">
        <v>72.7</v>
      </c>
      <c r="Y940" s="12">
        <v>72.074693686684157</v>
      </c>
      <c r="Z940" s="12">
        <v>0.6253063133158463</v>
      </c>
      <c r="AA940" s="12">
        <v>0.62576220952540496</v>
      </c>
      <c r="AB940" s="12">
        <v>7.2854544845350733E-4</v>
      </c>
      <c r="AC940" s="12">
        <v>9.9889470835375208E-2</v>
      </c>
      <c r="AD940" s="12">
        <v>3.637329100056251E-6</v>
      </c>
      <c r="AE940" s="12">
        <v>0.16337348484333708</v>
      </c>
      <c r="AF940" s="12">
        <v>0.32681157704259306</v>
      </c>
      <c r="AG940" s="12">
        <v>0.3160529557453548</v>
      </c>
      <c r="AH940" s="12">
        <v>0.62576220952541017</v>
      </c>
    </row>
    <row r="941" spans="24:34" x14ac:dyDescent="0.25">
      <c r="X941">
        <v>71.8</v>
      </c>
      <c r="Y941" s="12">
        <v>71.482885375137045</v>
      </c>
      <c r="Z941" s="12">
        <v>0.31711462486295261</v>
      </c>
      <c r="AA941" s="12">
        <v>0.31733103652064187</v>
      </c>
      <c r="AB941" s="12">
        <v>6.8197444557791822E-4</v>
      </c>
      <c r="AC941" s="12">
        <v>5.0656251638726661E-2</v>
      </c>
      <c r="AD941" s="12">
        <v>8.7558938060483335E-7</v>
      </c>
      <c r="AE941" s="12">
        <v>0.16337348484333708</v>
      </c>
      <c r="AF941" s="12">
        <v>0.32724851535632282</v>
      </c>
      <c r="AG941" s="12">
        <v>0.22506943737150689</v>
      </c>
      <c r="AH941" s="12">
        <v>0.31733103652064842</v>
      </c>
    </row>
    <row r="942" spans="24:34" x14ac:dyDescent="0.25">
      <c r="X942">
        <v>78</v>
      </c>
      <c r="Y942" s="12">
        <v>71.236298578659074</v>
      </c>
      <c r="Z942" s="12">
        <v>6.7637014213409259</v>
      </c>
      <c r="AA942" s="12">
        <v>6.7682080631228416</v>
      </c>
      <c r="AB942" s="12">
        <v>6.6585449795344173E-4</v>
      </c>
      <c r="AC942" s="12">
        <v>1.0804326604836814</v>
      </c>
      <c r="AD942" s="12">
        <v>3.8889649004941024E-4</v>
      </c>
      <c r="AE942" s="12">
        <v>0.16337348484333708</v>
      </c>
      <c r="AF942" s="12">
        <v>0.32724851535632282</v>
      </c>
      <c r="AG942" s="12">
        <v>1.0394386275695555</v>
      </c>
      <c r="AH942" s="12">
        <v>6.7682080631228407</v>
      </c>
    </row>
    <row r="943" spans="24:34" x14ac:dyDescent="0.25">
      <c r="X943">
        <v>69.599999999999994</v>
      </c>
      <c r="Y943" s="12">
        <v>70.743124985703147</v>
      </c>
      <c r="Z943" s="12">
        <v>-1.1431249857031531</v>
      </c>
      <c r="AA943" s="12">
        <v>-1.1438563800787591</v>
      </c>
      <c r="AB943" s="12">
        <v>6.3941102077569876E-4</v>
      </c>
      <c r="AC943" s="12">
        <v>-0.18260019955176843</v>
      </c>
      <c r="AD943" s="12">
        <v>1.0666707813039902E-5</v>
      </c>
      <c r="AE943" s="12">
        <v>0.16337348484333708</v>
      </c>
      <c r="AF943" s="12">
        <v>0.32837707778536879</v>
      </c>
      <c r="AG943" s="12">
        <v>0.42731744587808301</v>
      </c>
      <c r="AH943" s="12">
        <v>-1.14385638007876</v>
      </c>
    </row>
    <row r="944" spans="24:34" x14ac:dyDescent="0.25">
      <c r="X944">
        <v>57.8</v>
      </c>
      <c r="Y944" s="12">
        <v>64.18391619938933</v>
      </c>
      <c r="Z944" s="12">
        <v>-6.3839161993893327</v>
      </c>
      <c r="AA944" s="12">
        <v>-6.3904514581129348</v>
      </c>
      <c r="AB944" s="12">
        <v>1.0226599429539972E-3</v>
      </c>
      <c r="AC944" s="12">
        <v>-1.0199479245186516</v>
      </c>
      <c r="AD944" s="12">
        <v>5.3247792693874912E-4</v>
      </c>
      <c r="AE944" s="12">
        <v>0.16337348484333708</v>
      </c>
      <c r="AF944" s="12">
        <v>0.32899832464275697</v>
      </c>
      <c r="AG944" s="12">
        <v>1.0099247123021853</v>
      </c>
      <c r="AH944" s="12">
        <v>-6.3904514581129366</v>
      </c>
    </row>
    <row r="945" spans="24:34" x14ac:dyDescent="0.25">
      <c r="X945">
        <v>57.3</v>
      </c>
      <c r="Y945" s="12">
        <v>64.035964121502559</v>
      </c>
      <c r="Z945" s="12">
        <v>-6.7359641215025619</v>
      </c>
      <c r="AA945" s="12">
        <v>-6.7430245463682752</v>
      </c>
      <c r="AB945" s="12">
        <v>1.0470709126380263E-3</v>
      </c>
      <c r="AC945" s="12">
        <v>-1.0762071985122057</v>
      </c>
      <c r="AD945" s="12">
        <v>6.0700582694837206E-4</v>
      </c>
      <c r="AE945" s="12">
        <v>0.16337348484333708</v>
      </c>
      <c r="AF945" s="12">
        <v>0.32943629505592842</v>
      </c>
      <c r="AG945" s="12">
        <v>1.0374040671369116</v>
      </c>
      <c r="AH945" s="12">
        <v>-6.7430245463682681</v>
      </c>
    </row>
    <row r="946" spans="24:34" x14ac:dyDescent="0.25">
      <c r="X946">
        <v>57.2</v>
      </c>
      <c r="Y946" s="12">
        <v>76.266669226809526</v>
      </c>
      <c r="Z946" s="12">
        <v>-19.066669226809523</v>
      </c>
      <c r="AA946" s="12">
        <v>-19.092960867150609</v>
      </c>
      <c r="AB946" s="12">
        <v>1.3770331654697706E-3</v>
      </c>
      <c r="AC946" s="12">
        <v>-3.0467912317479118</v>
      </c>
      <c r="AD946" s="12">
        <v>6.4002693131780869E-3</v>
      </c>
      <c r="AE946" s="12">
        <v>0.16337348484333708</v>
      </c>
      <c r="AF946" s="12">
        <v>0.33033144993918517</v>
      </c>
      <c r="AG946" s="12">
        <v>1.7455060102296731</v>
      </c>
      <c r="AH946" s="12">
        <v>-19.092960867150605</v>
      </c>
    </row>
    <row r="947" spans="24:34" x14ac:dyDescent="0.25">
      <c r="X947">
        <v>56.8</v>
      </c>
      <c r="Y947" s="12">
        <v>64.23323355868493</v>
      </c>
      <c r="Z947" s="12">
        <v>-7.4332335586849325</v>
      </c>
      <c r="AA947" s="12">
        <v>-7.4407835545201948</v>
      </c>
      <c r="AB947" s="12">
        <v>1.014677524207887E-3</v>
      </c>
      <c r="AC947" s="12">
        <v>-1.1875909102902633</v>
      </c>
      <c r="AD947" s="12">
        <v>7.1626324715548301E-4</v>
      </c>
      <c r="AE947" s="12">
        <v>0.18343432307636306</v>
      </c>
      <c r="AF947" s="12">
        <v>0.33272565198370274</v>
      </c>
      <c r="AG947" s="12">
        <v>1.0897664475887774</v>
      </c>
      <c r="AH947" s="12">
        <v>-7.4407835545202001</v>
      </c>
    </row>
    <row r="948" spans="24:34" x14ac:dyDescent="0.25">
      <c r="X948">
        <v>56.5</v>
      </c>
      <c r="Y948" s="12">
        <v>64.134598840093744</v>
      </c>
      <c r="Z948" s="12">
        <v>-7.6345988400937443</v>
      </c>
      <c r="AA948" s="12">
        <v>-7.6424760903538953</v>
      </c>
      <c r="AB948" s="12">
        <v>1.030719647274391E-3</v>
      </c>
      <c r="AC948" s="12">
        <v>-1.219772379620768</v>
      </c>
      <c r="AD948" s="12">
        <v>7.6756650646940333E-4</v>
      </c>
      <c r="AE948" s="12">
        <v>0.18343432307636306</v>
      </c>
      <c r="AF948" s="12">
        <v>0.33294764693790785</v>
      </c>
      <c r="AG948" s="12">
        <v>1.1044330580079391</v>
      </c>
      <c r="AH948" s="12">
        <v>-7.6424760903538971</v>
      </c>
    </row>
    <row r="949" spans="24:34" x14ac:dyDescent="0.25">
      <c r="X949">
        <v>56</v>
      </c>
      <c r="Y949" s="12">
        <v>63.986646762206966</v>
      </c>
      <c r="Z949" s="12">
        <v>-7.9866467622069663</v>
      </c>
      <c r="AA949" s="12">
        <v>-7.9950844743350942</v>
      </c>
      <c r="AB949" s="12">
        <v>1.0553624736812678E-3</v>
      </c>
      <c r="AC949" s="12">
        <v>-1.276034470220579</v>
      </c>
      <c r="AD949" s="12">
        <v>8.6011207517310462E-4</v>
      </c>
      <c r="AE949" s="12">
        <v>0.18343432307636306</v>
      </c>
      <c r="AF949" s="12">
        <v>0.33316755991864849</v>
      </c>
      <c r="AG949" s="12">
        <v>1.1296169573003847</v>
      </c>
      <c r="AH949" s="12">
        <v>-7.9950844743350915</v>
      </c>
    </row>
    <row r="950" spans="24:34" x14ac:dyDescent="0.25">
      <c r="X950">
        <v>55.5</v>
      </c>
      <c r="Y950" s="12">
        <v>63.888012043615781</v>
      </c>
      <c r="Z950" s="12">
        <v>-8.388012043615781</v>
      </c>
      <c r="AA950" s="12">
        <v>-8.3970151339105854</v>
      </c>
      <c r="AB950" s="12">
        <v>1.0721774524905998E-3</v>
      </c>
      <c r="AC950" s="12">
        <v>-1.340172278533166</v>
      </c>
      <c r="AD950" s="12">
        <v>9.6388190083085477E-4</v>
      </c>
      <c r="AE950" s="12">
        <v>0.18343432307636306</v>
      </c>
      <c r="AF950" s="12">
        <v>0.33382762311185488</v>
      </c>
      <c r="AG950" s="12">
        <v>1.1576581008800335</v>
      </c>
      <c r="AH950" s="12">
        <v>-8.3970151339105819</v>
      </c>
    </row>
    <row r="951" spans="24:34" x14ac:dyDescent="0.25">
      <c r="X951">
        <v>55</v>
      </c>
      <c r="Y951" s="12">
        <v>63.69074260643341</v>
      </c>
      <c r="Z951" s="12">
        <v>-8.6907426064334103</v>
      </c>
      <c r="AA951" s="12">
        <v>-8.7003716107899223</v>
      </c>
      <c r="AB951" s="12">
        <v>1.1067348370006574E-3</v>
      </c>
      <c r="AC951" s="12">
        <v>-1.3885642662648245</v>
      </c>
      <c r="AD951" s="12">
        <v>1.068135795661291E-3</v>
      </c>
      <c r="AE951" s="12">
        <v>0.18343432307636306</v>
      </c>
      <c r="AF951" s="12">
        <v>0.33538861112666279</v>
      </c>
      <c r="AG951" s="12">
        <v>1.1783735682137582</v>
      </c>
      <c r="AH951" s="12">
        <v>-8.7003716107899223</v>
      </c>
    </row>
    <row r="952" spans="24:34" x14ac:dyDescent="0.25">
      <c r="X952">
        <v>54.3</v>
      </c>
      <c r="Y952" s="12">
        <v>63.394838450659854</v>
      </c>
      <c r="Z952" s="12">
        <v>-9.0948384506598572</v>
      </c>
      <c r="AA952" s="12">
        <v>-9.1054088239837725</v>
      </c>
      <c r="AB952" s="12">
        <v>1.160889480994228E-3</v>
      </c>
      <c r="AC952" s="12">
        <v>-1.4531681120884554</v>
      </c>
      <c r="AD952" s="12">
        <v>1.2271483269624857E-3</v>
      </c>
      <c r="AE952" s="12">
        <v>0.18343432307636306</v>
      </c>
      <c r="AF952" s="12">
        <v>0.33556317164743055</v>
      </c>
      <c r="AG952" s="12">
        <v>1.2054742270527625</v>
      </c>
      <c r="AH952" s="12">
        <v>-9.1054088239837725</v>
      </c>
    </row>
    <row r="953" spans="24:34" x14ac:dyDescent="0.25">
      <c r="X953">
        <v>53.6</v>
      </c>
      <c r="Y953" s="12">
        <v>76.168034508218341</v>
      </c>
      <c r="Z953" s="12">
        <v>-22.568034508218339</v>
      </c>
      <c r="AA953" s="12">
        <v>-22.598663831608512</v>
      </c>
      <c r="AB953" s="12">
        <v>1.3553599282862686E-3</v>
      </c>
      <c r="AC953" s="12">
        <v>-3.6062587910499762</v>
      </c>
      <c r="AD953" s="12">
        <v>8.8252587763112973E-3</v>
      </c>
      <c r="AE953" s="12">
        <v>0.18343432307636306</v>
      </c>
      <c r="AF953" s="12">
        <v>0.33578180763866605</v>
      </c>
      <c r="AG953" s="12">
        <v>1.8990152161186009</v>
      </c>
      <c r="AH953" s="12">
        <v>-22.598663831608516</v>
      </c>
    </row>
    <row r="954" spans="24:34" x14ac:dyDescent="0.25">
      <c r="X954">
        <v>52.8</v>
      </c>
      <c r="Y954" s="12">
        <v>63.000299576295113</v>
      </c>
      <c r="Z954" s="12">
        <v>-10.200299576295116</v>
      </c>
      <c r="AA954" s="12">
        <v>-10.212937306608964</v>
      </c>
      <c r="AB954" s="12">
        <v>1.2374236651454919E-3</v>
      </c>
      <c r="AC954" s="12">
        <v>-1.6298605053698323</v>
      </c>
      <c r="AD954" s="12">
        <v>1.6456104365505425E-3</v>
      </c>
      <c r="AE954" s="12">
        <v>0.18343432307636306</v>
      </c>
      <c r="AF954" s="12">
        <v>0.33578180763866605</v>
      </c>
      <c r="AG954" s="12">
        <v>1.2766599019981133</v>
      </c>
      <c r="AH954" s="12">
        <v>-10.212937306608961</v>
      </c>
    </row>
    <row r="955" spans="24:34" x14ac:dyDescent="0.25">
      <c r="X955">
        <v>52</v>
      </c>
      <c r="Y955" s="12">
        <v>62.852347498408335</v>
      </c>
      <c r="Z955" s="12">
        <v>-10.852347498408335</v>
      </c>
      <c r="AA955" s="12">
        <v>-10.866119209159599</v>
      </c>
      <c r="AB955" s="12">
        <v>1.2673991961778825E-3</v>
      </c>
      <c r="AC955" s="12">
        <v>-1.7340743652785982</v>
      </c>
      <c r="AD955" s="12">
        <v>1.907961651676817E-3</v>
      </c>
      <c r="AE955" s="12">
        <v>0.18343432307636306</v>
      </c>
      <c r="AF955" s="12">
        <v>0.33582206122839892</v>
      </c>
      <c r="AG955" s="12">
        <v>1.3168425742200918</v>
      </c>
      <c r="AH955" s="12">
        <v>-10.866119209159598</v>
      </c>
    </row>
    <row r="956" spans="24:34" x14ac:dyDescent="0.25">
      <c r="X956">
        <v>81.400000000000006</v>
      </c>
      <c r="Y956" s="12">
        <v>74.885783166532931</v>
      </c>
      <c r="Z956" s="12">
        <v>6.5142168334670743</v>
      </c>
      <c r="AA956" s="12">
        <v>6.5214017212556428</v>
      </c>
      <c r="AB956" s="12">
        <v>1.1017397939396807E-3</v>
      </c>
      <c r="AC956" s="12">
        <v>1.0408070416110324</v>
      </c>
      <c r="AD956" s="12">
        <v>5.9740413911874696E-4</v>
      </c>
      <c r="AE956" s="12">
        <v>0.18343432307636306</v>
      </c>
      <c r="AF956" s="12">
        <v>0.33600049631688533</v>
      </c>
      <c r="AG956" s="12">
        <v>1.0201995106894692</v>
      </c>
      <c r="AH956" s="12">
        <v>6.5214017212556481</v>
      </c>
    </row>
    <row r="957" spans="24:34" x14ac:dyDescent="0.25">
      <c r="X957">
        <v>81.099999999999994</v>
      </c>
      <c r="Y957" s="12">
        <v>74.787148447941746</v>
      </c>
      <c r="Z957" s="12">
        <v>6.3128515520582482</v>
      </c>
      <c r="AA957" s="12">
        <v>6.3197046052829791</v>
      </c>
      <c r="AB957" s="12">
        <v>1.0843945489160153E-3</v>
      </c>
      <c r="AC957" s="12">
        <v>1.0086252071073831</v>
      </c>
      <c r="AD957" s="12">
        <v>5.5218952967567324E-4</v>
      </c>
      <c r="AE957" s="12">
        <v>0.18343432307636306</v>
      </c>
      <c r="AF957" s="12">
        <v>0.33855978344359972</v>
      </c>
      <c r="AG957" s="12">
        <v>1.0043033441681766</v>
      </c>
      <c r="AH957" s="12">
        <v>6.3197046052829773</v>
      </c>
    </row>
    <row r="958" spans="24:34" x14ac:dyDescent="0.25">
      <c r="X958">
        <v>81</v>
      </c>
      <c r="Y958" s="12">
        <v>74.737831088646146</v>
      </c>
      <c r="Z958" s="12">
        <v>6.2621689113538537</v>
      </c>
      <c r="AA958" s="12">
        <v>6.2689132455316354</v>
      </c>
      <c r="AB958" s="12">
        <v>1.0758378547656069E-3</v>
      </c>
      <c r="AC958" s="12">
        <v>1.0005231884660233</v>
      </c>
      <c r="AD958" s="12">
        <v>5.3906188376282959E-4</v>
      </c>
      <c r="AE958" s="12">
        <v>0.18343432307636306</v>
      </c>
      <c r="AF958" s="12">
        <v>0.33884829017939366</v>
      </c>
      <c r="AG958" s="12">
        <v>1.0002615600261879</v>
      </c>
      <c r="AH958" s="12">
        <v>6.2689132455316381</v>
      </c>
    </row>
    <row r="959" spans="24:34" x14ac:dyDescent="0.25">
      <c r="X959">
        <v>87</v>
      </c>
      <c r="Y959" s="12">
        <v>74.688513729350561</v>
      </c>
      <c r="Z959" s="12">
        <v>12.311486270649439</v>
      </c>
      <c r="AA959" s="12">
        <v>12.324641080402856</v>
      </c>
      <c r="AB959" s="12">
        <v>1.0673584461894812E-3</v>
      </c>
      <c r="AC959" s="12">
        <v>1.9670301763419078</v>
      </c>
      <c r="AD959" s="12">
        <v>2.0671221274030684E-3</v>
      </c>
      <c r="AE959" s="12">
        <v>0.18343432307636306</v>
      </c>
      <c r="AF959" s="12">
        <v>0.34038557463089314</v>
      </c>
      <c r="AG959" s="12">
        <v>1.4025085298642244</v>
      </c>
      <c r="AH959" s="12">
        <v>12.324641080402861</v>
      </c>
    </row>
    <row r="960" spans="24:34" x14ac:dyDescent="0.25">
      <c r="X960">
        <v>83</v>
      </c>
      <c r="Y960" s="12">
        <v>74.540561651463776</v>
      </c>
      <c r="Z960" s="12">
        <v>8.4594383485362243</v>
      </c>
      <c r="AA960" s="12">
        <v>8.4682655324753284</v>
      </c>
      <c r="AB960" s="12">
        <v>1.0423839339068009E-3</v>
      </c>
      <c r="AC960" s="12">
        <v>1.3515640707368906</v>
      </c>
      <c r="AD960" s="12">
        <v>9.530680866151873E-4</v>
      </c>
      <c r="AE960" s="12">
        <v>0.18343432307636306</v>
      </c>
      <c r="AF960" s="12">
        <v>0.34103936801350437</v>
      </c>
      <c r="AG960" s="12">
        <v>1.1625678779051529</v>
      </c>
      <c r="AH960" s="12">
        <v>8.4682655324753338</v>
      </c>
    </row>
    <row r="961" spans="24:34" x14ac:dyDescent="0.25">
      <c r="X961">
        <v>82</v>
      </c>
      <c r="Y961" s="12">
        <v>74.49124429216819</v>
      </c>
      <c r="Z961" s="12">
        <v>7.5087557078318099</v>
      </c>
      <c r="AA961" s="12">
        <v>7.5165294052758753</v>
      </c>
      <c r="AB961" s="12">
        <v>1.0342136676278065E-3</v>
      </c>
      <c r="AC961" s="12">
        <v>1.199668643623282</v>
      </c>
      <c r="AD961" s="12">
        <v>7.4499314761198514E-4</v>
      </c>
      <c r="AE961" s="12">
        <v>0.18343432307636306</v>
      </c>
      <c r="AF961" s="12">
        <v>0.34267626282092312</v>
      </c>
      <c r="AG961" s="12">
        <v>1.0952938617664585</v>
      </c>
      <c r="AH961" s="12">
        <v>7.5165294052758727</v>
      </c>
    </row>
    <row r="962" spans="24:34" x14ac:dyDescent="0.25">
      <c r="X962">
        <v>80</v>
      </c>
      <c r="Y962" s="12">
        <v>74.44192693287259</v>
      </c>
      <c r="Z962" s="12">
        <v>5.5580730671274097</v>
      </c>
      <c r="AA962" s="12">
        <v>5.563782179118931</v>
      </c>
      <c r="AB962" s="12">
        <v>1.026120686923095E-3</v>
      </c>
      <c r="AC962" s="12">
        <v>0.88800584649483727</v>
      </c>
      <c r="AD962" s="12">
        <v>4.0499155300049967E-4</v>
      </c>
      <c r="AE962" s="12">
        <v>0.206674078513852</v>
      </c>
      <c r="AF962" s="12">
        <v>0.34289864993744013</v>
      </c>
      <c r="AG962" s="12">
        <v>0.94234062126963269</v>
      </c>
      <c r="AH962" s="12">
        <v>5.5637821791189372</v>
      </c>
    </row>
    <row r="963" spans="24:34" x14ac:dyDescent="0.25">
      <c r="X963">
        <v>79.599999999999994</v>
      </c>
      <c r="Y963" s="12">
        <v>74.392609573577005</v>
      </c>
      <c r="Z963" s="12">
        <v>5.2073904264229895</v>
      </c>
      <c r="AA963" s="12">
        <v>5.2126974997682112</v>
      </c>
      <c r="AB963" s="12">
        <v>1.0181049917926659E-3</v>
      </c>
      <c r="AC963" s="12">
        <v>0.83197441555918616</v>
      </c>
      <c r="AD963" s="12">
        <v>3.5271578531203591E-4</v>
      </c>
      <c r="AE963" s="12">
        <v>0.206674078513852</v>
      </c>
      <c r="AF963" s="12">
        <v>0.34344068549750978</v>
      </c>
      <c r="AG963" s="12">
        <v>0.91212631557212853</v>
      </c>
      <c r="AH963" s="12">
        <v>5.2126974997682085</v>
      </c>
    </row>
    <row r="964" spans="24:34" x14ac:dyDescent="0.25">
      <c r="X964">
        <v>79.3</v>
      </c>
      <c r="Y964" s="12">
        <v>74.343292214281405</v>
      </c>
      <c r="Z964" s="12">
        <v>4.9567077857185922</v>
      </c>
      <c r="AA964" s="12">
        <v>4.9617199494018962</v>
      </c>
      <c r="AB964" s="12">
        <v>1.0101665822365199E-3</v>
      </c>
      <c r="AC964" s="12">
        <v>0.79192020194810819</v>
      </c>
      <c r="AD964" s="12">
        <v>3.1707702676699658E-4</v>
      </c>
      <c r="AE964" s="12">
        <v>0.206674078513852</v>
      </c>
      <c r="AF964" s="12">
        <v>0.34365930766946717</v>
      </c>
      <c r="AG964" s="12">
        <v>0.88989898412578727</v>
      </c>
      <c r="AH964" s="12">
        <v>4.9617199494018944</v>
      </c>
    </row>
    <row r="965" spans="24:34" x14ac:dyDescent="0.25">
      <c r="X965">
        <v>79</v>
      </c>
      <c r="Y965" s="12">
        <v>74.293974854985819</v>
      </c>
      <c r="Z965" s="12">
        <v>4.7060251450141806</v>
      </c>
      <c r="AA965" s="12">
        <v>4.7107467521963571</v>
      </c>
      <c r="AB965" s="12">
        <v>1.0023054582546567E-3</v>
      </c>
      <c r="AC965" s="12">
        <v>0.75186633571990069</v>
      </c>
      <c r="AD965" s="12">
        <v>2.8358737578771656E-4</v>
      </c>
      <c r="AE965" s="12">
        <v>0.206674078513852</v>
      </c>
      <c r="AF965" s="12">
        <v>0.34387798371278494</v>
      </c>
      <c r="AG965" s="12">
        <v>0.86710226370359611</v>
      </c>
      <c r="AH965" s="12">
        <v>4.7107467521963624</v>
      </c>
    </row>
    <row r="966" spans="24:34" x14ac:dyDescent="0.25">
      <c r="X966">
        <v>78.7</v>
      </c>
      <c r="Y966" s="12">
        <v>74.195340136394634</v>
      </c>
      <c r="Z966" s="12">
        <v>4.5046598636053687</v>
      </c>
      <c r="AA966" s="12">
        <v>4.5091095208193224</v>
      </c>
      <c r="AB966" s="12">
        <v>9.8681506701377869E-4</v>
      </c>
      <c r="AC966" s="12">
        <v>0.7196892797457014</v>
      </c>
      <c r="AD966" s="12">
        <v>2.5581418543099634E-4</v>
      </c>
      <c r="AE966" s="12">
        <v>0.206674078513852</v>
      </c>
      <c r="AF966" s="12">
        <v>0.3439175929675205</v>
      </c>
      <c r="AG966" s="12">
        <v>0.84834502400008305</v>
      </c>
      <c r="AH966" s="12">
        <v>4.5091095208193286</v>
      </c>
    </row>
    <row r="967" spans="24:34" x14ac:dyDescent="0.25">
      <c r="X967">
        <v>78.5</v>
      </c>
      <c r="Y967" s="12">
        <v>74.096705417803449</v>
      </c>
      <c r="Z967" s="12">
        <v>4.4032945821965512</v>
      </c>
      <c r="AA967" s="12">
        <v>4.4075771331949198</v>
      </c>
      <c r="AB967" s="12">
        <v>9.7163381807003171E-4</v>
      </c>
      <c r="AC967" s="12">
        <v>0.70348925870457635</v>
      </c>
      <c r="AD967" s="12">
        <v>2.4066323397927769E-4</v>
      </c>
      <c r="AE967" s="12">
        <v>0.206674078513852</v>
      </c>
      <c r="AF967" s="12">
        <v>0.34475322864121632</v>
      </c>
      <c r="AG967" s="12">
        <v>0.83874266536559139</v>
      </c>
      <c r="AH967" s="12">
        <v>4.4075771331949154</v>
      </c>
    </row>
    <row r="968" spans="24:34" x14ac:dyDescent="0.25">
      <c r="X968">
        <v>63</v>
      </c>
      <c r="Y968" s="12">
        <v>76.315986586105112</v>
      </c>
      <c r="Z968" s="12">
        <v>-13.315986586105112</v>
      </c>
      <c r="AA968" s="12">
        <v>-13.33449467419527</v>
      </c>
      <c r="AB968" s="12">
        <v>1.3879857124229459E-3</v>
      </c>
      <c r="AC968" s="12">
        <v>-2.1278626684219897</v>
      </c>
      <c r="AD968" s="12">
        <v>3.1466280068241878E-3</v>
      </c>
      <c r="AE968" s="12">
        <v>0.206674078513852</v>
      </c>
      <c r="AF968" s="12">
        <v>0.34519117698975671</v>
      </c>
      <c r="AG968" s="12">
        <v>1.4587195304176843</v>
      </c>
      <c r="AH968" s="12">
        <v>-13.334494674195275</v>
      </c>
    </row>
    <row r="969" spans="24:34" x14ac:dyDescent="0.25">
      <c r="X969">
        <v>62.7</v>
      </c>
      <c r="Y969" s="12">
        <v>76.217351867513926</v>
      </c>
      <c r="Z969" s="12">
        <v>-13.517351867513923</v>
      </c>
      <c r="AA969" s="12">
        <v>-13.535843967738984</v>
      </c>
      <c r="AB969" s="12">
        <v>1.3661579040908781E-3</v>
      </c>
      <c r="AC969" s="12">
        <v>-2.1600167498128151</v>
      </c>
      <c r="AD969" s="12">
        <v>3.1913825183478672E-3</v>
      </c>
      <c r="AE969" s="12">
        <v>0.206674078513852</v>
      </c>
      <c r="AF969" s="12">
        <v>0.34584850917250121</v>
      </c>
      <c r="AG969" s="12">
        <v>1.4696995440608993</v>
      </c>
      <c r="AH969" s="12">
        <v>-13.535843967738991</v>
      </c>
    </row>
    <row r="970" spans="24:34" x14ac:dyDescent="0.25">
      <c r="X970">
        <v>62.5</v>
      </c>
      <c r="Y970" s="12">
        <v>76.168034508218341</v>
      </c>
      <c r="Z970" s="12">
        <v>-13.668034508218341</v>
      </c>
      <c r="AA970" s="12">
        <v>-13.686584756752737</v>
      </c>
      <c r="AB970" s="12">
        <v>1.3553599282862686E-3</v>
      </c>
      <c r="AC970" s="12">
        <v>-2.1840834027299669</v>
      </c>
      <c r="AD970" s="12">
        <v>3.2370701238210913E-3</v>
      </c>
      <c r="AE970" s="12">
        <v>0.206674078513852</v>
      </c>
      <c r="AF970" s="12">
        <v>0.34628700493172115</v>
      </c>
      <c r="AG970" s="12">
        <v>1.4778644737356559</v>
      </c>
      <c r="AH970" s="12">
        <v>-13.686584756752737</v>
      </c>
    </row>
    <row r="971" spans="24:34" x14ac:dyDescent="0.25">
      <c r="X971">
        <v>62.2</v>
      </c>
      <c r="Y971" s="12">
        <v>67.14295775712489</v>
      </c>
      <c r="Z971" s="12">
        <v>-4.9429577571248871</v>
      </c>
      <c r="AA971" s="12">
        <v>-4.946323781329383</v>
      </c>
      <c r="AB971" s="12">
        <v>6.8051028466791538E-4</v>
      </c>
      <c r="AC971" s="12">
        <v>-0.7895931279137729</v>
      </c>
      <c r="AD971" s="12">
        <v>2.1227901300470826E-4</v>
      </c>
      <c r="AE971" s="12">
        <v>0.206674078513852</v>
      </c>
      <c r="AF971" s="12">
        <v>0.34650633541092773</v>
      </c>
      <c r="AG971" s="12">
        <v>0.88859052882290668</v>
      </c>
      <c r="AH971" s="12">
        <v>-4.9463237813293786</v>
      </c>
    </row>
    <row r="972" spans="24:34" x14ac:dyDescent="0.25">
      <c r="X972">
        <v>62</v>
      </c>
      <c r="Y972" s="12">
        <v>67.044323038533705</v>
      </c>
      <c r="Z972" s="12">
        <v>-5.0443230385337046</v>
      </c>
      <c r="AA972" s="12">
        <v>-5.0477930565939602</v>
      </c>
      <c r="AB972" s="12">
        <v>6.8743270996904934E-4</v>
      </c>
      <c r="AC972" s="12">
        <v>-0.80578811255324434</v>
      </c>
      <c r="AD972" s="12">
        <v>2.2332665482629568E-4</v>
      </c>
      <c r="AE972" s="12">
        <v>0.22222871718700732</v>
      </c>
      <c r="AF972" s="12">
        <v>0.34762985524455753</v>
      </c>
      <c r="AG972" s="12">
        <v>0.89765701275779286</v>
      </c>
      <c r="AH972" s="12">
        <v>-5.0477930565939619</v>
      </c>
    </row>
    <row r="973" spans="24:34" x14ac:dyDescent="0.25">
      <c r="X973">
        <v>61.7</v>
      </c>
      <c r="Y973" s="12">
        <v>66.995005679238119</v>
      </c>
      <c r="Z973" s="12">
        <v>-5.2950056792381162</v>
      </c>
      <c r="AA973" s="12">
        <v>-5.2986671104084735</v>
      </c>
      <c r="AB973" s="12">
        <v>6.9100985098104022E-4</v>
      </c>
      <c r="AC973" s="12">
        <v>-0.8458340665571934</v>
      </c>
      <c r="AD973" s="12">
        <v>2.473573353704529E-4</v>
      </c>
      <c r="AE973" s="12">
        <v>0.22222871718700732</v>
      </c>
      <c r="AF973" s="12">
        <v>0.35002320102414686</v>
      </c>
      <c r="AG973" s="12">
        <v>0.9196923760460306</v>
      </c>
      <c r="AH973" s="12">
        <v>-5.2986671104084779</v>
      </c>
    </row>
    <row r="974" spans="24:34" x14ac:dyDescent="0.25">
      <c r="X974">
        <v>61.4</v>
      </c>
      <c r="Y974" s="12">
        <v>66.896370960646934</v>
      </c>
      <c r="Z974" s="12">
        <v>-5.4963709606469351</v>
      </c>
      <c r="AA974" s="12">
        <v>-5.5002122868507186</v>
      </c>
      <c r="AB974" s="12">
        <v>6.9839598972787061E-4</v>
      </c>
      <c r="AC974" s="12">
        <v>-0.87800377633070903</v>
      </c>
      <c r="AD974" s="12">
        <v>2.6938159771979159E-4</v>
      </c>
      <c r="AE974" s="12">
        <v>0.22222871718700732</v>
      </c>
      <c r="AF974" s="12">
        <v>0.35100058704372572</v>
      </c>
      <c r="AG974" s="12">
        <v>0.93701855708983106</v>
      </c>
      <c r="AH974" s="12">
        <v>-5.5002122868507239</v>
      </c>
    </row>
    <row r="975" spans="24:34" x14ac:dyDescent="0.25">
      <c r="X975">
        <v>61.2</v>
      </c>
      <c r="Y975" s="12">
        <v>66.797736242055748</v>
      </c>
      <c r="Z975" s="12">
        <v>-5.5977362420557455</v>
      </c>
      <c r="AA975" s="12">
        <v>-5.6016915475590281</v>
      </c>
      <c r="AB975" s="12">
        <v>7.0609127077183231E-4</v>
      </c>
      <c r="AC975" s="12">
        <v>-0.89419955793668637</v>
      </c>
      <c r="AD975" s="12">
        <v>2.8249223086973714E-4</v>
      </c>
      <c r="AE975" s="12">
        <v>0.22222871718700732</v>
      </c>
      <c r="AF975" s="12">
        <v>0.35197418761927929</v>
      </c>
      <c r="AG975" s="12">
        <v>0.94562125501528693</v>
      </c>
      <c r="AH975" s="12">
        <v>-5.6016915475590334</v>
      </c>
    </row>
    <row r="976" spans="24:34" x14ac:dyDescent="0.25">
      <c r="X976">
        <v>69</v>
      </c>
      <c r="Y976" s="12">
        <v>66.699101523464563</v>
      </c>
      <c r="Z976" s="12">
        <v>2.300898476535437</v>
      </c>
      <c r="AA976" s="12">
        <v>2.3025427123718458</v>
      </c>
      <c r="AB976" s="12">
        <v>7.1409569411292522E-4</v>
      </c>
      <c r="AC976" s="12">
        <v>0.36755405254454554</v>
      </c>
      <c r="AD976" s="12">
        <v>4.8270198896707742E-5</v>
      </c>
      <c r="AE976" s="12">
        <v>0.22222871718700732</v>
      </c>
      <c r="AF976" s="12">
        <v>0.35219296023537822</v>
      </c>
      <c r="AG976" s="12">
        <v>0.60626236279728396</v>
      </c>
      <c r="AH976" s="12">
        <v>2.3025427123718529</v>
      </c>
    </row>
    <row r="977" spans="24:34" x14ac:dyDescent="0.25">
      <c r="X977">
        <v>66</v>
      </c>
      <c r="Y977" s="12">
        <v>66.600466804873378</v>
      </c>
      <c r="Z977" s="12">
        <v>-0.60046680487337767</v>
      </c>
      <c r="AA977" s="12">
        <v>-0.60090090124863593</v>
      </c>
      <c r="AB977" s="12">
        <v>7.2240925975114922E-4</v>
      </c>
      <c r="AC977" s="12">
        <v>-9.5921192473454056E-2</v>
      </c>
      <c r="AD977" s="12">
        <v>3.3258012983504411E-6</v>
      </c>
      <c r="AE977" s="12">
        <v>0.22222871718700732</v>
      </c>
      <c r="AF977" s="12">
        <v>0.35263067165573281</v>
      </c>
      <c r="AG977" s="12">
        <v>0.30971146648688042</v>
      </c>
      <c r="AH977" s="12">
        <v>-0.60090090124863249</v>
      </c>
    </row>
    <row r="978" spans="24:34" x14ac:dyDescent="0.25">
      <c r="X978">
        <v>74.2</v>
      </c>
      <c r="Y978" s="12">
        <v>70.299268752042821</v>
      </c>
      <c r="Z978" s="12">
        <v>3.9007312479571823</v>
      </c>
      <c r="AA978" s="12">
        <v>3.903159871342595</v>
      </c>
      <c r="AB978" s="12">
        <v>6.222198079169094E-4</v>
      </c>
      <c r="AC978" s="12">
        <v>0.62308862715380964</v>
      </c>
      <c r="AD978" s="12">
        <v>1.208603357425751E-4</v>
      </c>
      <c r="AE978" s="12">
        <v>0.22222871718700732</v>
      </c>
      <c r="AF978" s="12">
        <v>0.35614129447155374</v>
      </c>
      <c r="AG978" s="12">
        <v>0.78935963106419982</v>
      </c>
      <c r="AH978" s="12">
        <v>3.9031598713425981</v>
      </c>
    </row>
    <row r="979" spans="24:34" x14ac:dyDescent="0.25">
      <c r="X979">
        <v>74.099999999999994</v>
      </c>
      <c r="Y979" s="12">
        <v>70.348586111338406</v>
      </c>
      <c r="Z979" s="12">
        <v>3.7514138886615882</v>
      </c>
      <c r="AA979" s="12">
        <v>3.7537555594591225</v>
      </c>
      <c r="AB979" s="12">
        <v>6.238208003818659E-4</v>
      </c>
      <c r="AC979" s="12">
        <v>0.59923769505880087</v>
      </c>
      <c r="AD979" s="12">
        <v>1.1207251348054943E-4</v>
      </c>
      <c r="AE979" s="12">
        <v>0.22222871718700732</v>
      </c>
      <c r="AF979" s="12">
        <v>0.35766714868069882</v>
      </c>
      <c r="AG979" s="12">
        <v>0.77410444712506388</v>
      </c>
      <c r="AH979" s="12">
        <v>3.7537555594591279</v>
      </c>
    </row>
    <row r="980" spans="24:34" x14ac:dyDescent="0.25">
      <c r="X980">
        <v>73.900000000000006</v>
      </c>
      <c r="Y980" s="12">
        <v>70.003364596269265</v>
      </c>
      <c r="Z980" s="12">
        <v>3.8966354037307411</v>
      </c>
      <c r="AA980" s="12">
        <v>3.8990303318405495</v>
      </c>
      <c r="AB980" s="12">
        <v>6.1423685018710918E-4</v>
      </c>
      <c r="AC980" s="12">
        <v>0.62243188592329735</v>
      </c>
      <c r="AD980" s="12">
        <v>1.1905739581407522E-4</v>
      </c>
      <c r="AE980" s="12">
        <v>0.22222871718700732</v>
      </c>
      <c r="AF980" s="12">
        <v>0.35788534875246047</v>
      </c>
      <c r="AG980" s="12">
        <v>0.78894352517990629</v>
      </c>
      <c r="AH980" s="12">
        <v>3.8990303318405548</v>
      </c>
    </row>
    <row r="981" spans="24:34" x14ac:dyDescent="0.25">
      <c r="X981">
        <v>73.599999999999994</v>
      </c>
      <c r="Y981" s="12">
        <v>69.806095159086894</v>
      </c>
      <c r="Z981" s="12">
        <v>3.7939048409131004</v>
      </c>
      <c r="AA981" s="12">
        <v>3.796222285008426</v>
      </c>
      <c r="AB981" s="12">
        <v>6.1046058985289825E-4</v>
      </c>
      <c r="AC981" s="12">
        <v>0.60602099992071123</v>
      </c>
      <c r="AD981" s="12">
        <v>1.1216779543291196E-4</v>
      </c>
      <c r="AE981" s="12">
        <v>0.22222871718700732</v>
      </c>
      <c r="AF981" s="12">
        <v>0.36028923677390273</v>
      </c>
      <c r="AG981" s="12">
        <v>0.77847350624199874</v>
      </c>
      <c r="AH981" s="12">
        <v>3.7962222850084193</v>
      </c>
    </row>
    <row r="982" spans="24:34" x14ac:dyDescent="0.25">
      <c r="X982">
        <v>73.3</v>
      </c>
      <c r="Y982" s="12">
        <v>69.559508362608923</v>
      </c>
      <c r="Z982" s="12">
        <v>3.7404916373910737</v>
      </c>
      <c r="AA982" s="12">
        <v>3.7427652894169086</v>
      </c>
      <c r="AB982" s="12">
        <v>6.0747918985649756E-4</v>
      </c>
      <c r="AC982" s="12">
        <v>0.59748812796827433</v>
      </c>
      <c r="AD982" s="12">
        <v>1.0849853522964739E-4</v>
      </c>
      <c r="AE982" s="12">
        <v>0.22222871718700732</v>
      </c>
      <c r="AF982" s="12">
        <v>0.36032539300617528</v>
      </c>
      <c r="AG982" s="12">
        <v>0.77297356226993585</v>
      </c>
      <c r="AH982" s="12">
        <v>3.7427652894169117</v>
      </c>
    </row>
    <row r="983" spans="24:34" x14ac:dyDescent="0.25">
      <c r="X983">
        <v>72.8</v>
      </c>
      <c r="Y983" s="12">
        <v>69.411556284722153</v>
      </c>
      <c r="Z983" s="12">
        <v>3.3884437152778446</v>
      </c>
      <c r="AA983" s="12">
        <v>3.3905004531247869</v>
      </c>
      <c r="AB983" s="12">
        <v>6.0661777675005094E-4</v>
      </c>
      <c r="AC983" s="12">
        <v>0.54125345433489092</v>
      </c>
      <c r="AD983" s="12">
        <v>8.8909881255959711E-5</v>
      </c>
      <c r="AE983" s="12">
        <v>0.22222871718700732</v>
      </c>
      <c r="AF983" s="12">
        <v>0.3605081098988604</v>
      </c>
      <c r="AG983" s="12">
        <v>0.73569929613592189</v>
      </c>
      <c r="AH983" s="12">
        <v>3.3905004531247895</v>
      </c>
    </row>
    <row r="984" spans="24:34" x14ac:dyDescent="0.25">
      <c r="X984">
        <v>72.7</v>
      </c>
      <c r="Y984" s="12">
        <v>69.411556284722153</v>
      </c>
      <c r="Z984" s="12">
        <v>3.2884437152778503</v>
      </c>
      <c r="AA984" s="12">
        <v>3.2904397545262754</v>
      </c>
      <c r="AB984" s="12">
        <v>6.0661777675005094E-4</v>
      </c>
      <c r="AC984" s="12">
        <v>0.52527994260458089</v>
      </c>
      <c r="AD984" s="12">
        <v>8.373948852460489E-5</v>
      </c>
      <c r="AE984" s="12">
        <v>0.22222871718700732</v>
      </c>
      <c r="AF984" s="12">
        <v>0.3632330470110845</v>
      </c>
      <c r="AG984" s="12">
        <v>0.72476199031446242</v>
      </c>
      <c r="AH984" s="12">
        <v>3.2904397545262709</v>
      </c>
    </row>
    <row r="985" spans="24:34" x14ac:dyDescent="0.25">
      <c r="X985">
        <v>72.900000000000006</v>
      </c>
      <c r="Y985" s="12">
        <v>69.658143081200109</v>
      </c>
      <c r="Z985" s="12">
        <v>3.2418569187998969</v>
      </c>
      <c r="AA985" s="12">
        <v>3.2438305947403023</v>
      </c>
      <c r="AB985" s="12">
        <v>6.0843989313220947E-4</v>
      </c>
      <c r="AC985" s="12">
        <v>0.51783886727232054</v>
      </c>
      <c r="AD985" s="12">
        <v>8.1628402315239498E-5</v>
      </c>
      <c r="AE985" s="12">
        <v>0.22222871718700732</v>
      </c>
      <c r="AF985" s="12">
        <v>0.36554482530147131</v>
      </c>
      <c r="AG985" s="12">
        <v>0.71961021898825239</v>
      </c>
      <c r="AH985" s="12">
        <v>3.2438305947402997</v>
      </c>
    </row>
    <row r="986" spans="24:34" x14ac:dyDescent="0.25">
      <c r="X986">
        <v>71.8</v>
      </c>
      <c r="Y986" s="12">
        <v>69.460873644017738</v>
      </c>
      <c r="Z986" s="12">
        <v>2.339126355982259</v>
      </c>
      <c r="AA986" s="12">
        <v>2.3405466643648793</v>
      </c>
      <c r="AB986" s="12">
        <v>6.0682762887791708E-4</v>
      </c>
      <c r="AC986" s="12">
        <v>0.37364066208806418</v>
      </c>
      <c r="AD986" s="12">
        <v>4.2384516973598275E-5</v>
      </c>
      <c r="AE986" s="12">
        <v>0.22222871718700732</v>
      </c>
      <c r="AF986" s="12">
        <v>0.36598123067735716</v>
      </c>
      <c r="AG986" s="12">
        <v>0.61126153329656219</v>
      </c>
      <c r="AH986" s="12">
        <v>2.3405466643648736</v>
      </c>
    </row>
    <row r="987" spans="24:34" x14ac:dyDescent="0.25">
      <c r="X987">
        <v>72.099999999999994</v>
      </c>
      <c r="Y987" s="12">
        <v>69.312921566130967</v>
      </c>
      <c r="Z987" s="12">
        <v>2.7870784338690271</v>
      </c>
      <c r="AA987" s="12">
        <v>2.7887696272366753</v>
      </c>
      <c r="AB987" s="12">
        <v>6.064299292171671E-4</v>
      </c>
      <c r="AC987" s="12">
        <v>0.44519425872733576</v>
      </c>
      <c r="AD987" s="12">
        <v>6.0133044202900917E-5</v>
      </c>
      <c r="AE987" s="12">
        <v>0.22222871718700732</v>
      </c>
      <c r="AF987" s="12">
        <v>0.36688053502643092</v>
      </c>
      <c r="AG987" s="12">
        <v>0.66722879039152361</v>
      </c>
      <c r="AH987" s="12">
        <v>2.7887696272366753</v>
      </c>
    </row>
    <row r="988" spans="24:34" x14ac:dyDescent="0.25">
      <c r="X988">
        <v>71.900000000000006</v>
      </c>
      <c r="Y988" s="12">
        <v>69.312921566130967</v>
      </c>
      <c r="Z988" s="12">
        <v>2.5870784338690385</v>
      </c>
      <c r="AA988" s="12">
        <v>2.5886482676547615</v>
      </c>
      <c r="AB988" s="12">
        <v>6.064299292171671E-4</v>
      </c>
      <c r="AC988" s="12">
        <v>0.4132472382691213</v>
      </c>
      <c r="AD988" s="12">
        <v>5.1812434643279435E-5</v>
      </c>
      <c r="AE988" s="12">
        <v>0.22222871718700732</v>
      </c>
      <c r="AF988" s="12">
        <v>0.36755405254454554</v>
      </c>
      <c r="AG988" s="12">
        <v>0.64284308992873318</v>
      </c>
      <c r="AH988" s="12">
        <v>2.5886482676547606</v>
      </c>
    </row>
    <row r="989" spans="24:34" x14ac:dyDescent="0.25">
      <c r="X989">
        <v>71.5</v>
      </c>
      <c r="Y989" s="12">
        <v>69.017017410357411</v>
      </c>
      <c r="Z989" s="12">
        <v>2.4829825896425888</v>
      </c>
      <c r="AA989" s="12">
        <v>2.4844924684873035</v>
      </c>
      <c r="AB989" s="12">
        <v>6.0772124040130257E-4</v>
      </c>
      <c r="AC989" s="12">
        <v>0.39661973417875357</v>
      </c>
      <c r="AD989" s="12">
        <v>4.7828533884247036E-5</v>
      </c>
      <c r="AE989" s="12">
        <v>0.22222871718700732</v>
      </c>
      <c r="AF989" s="12">
        <v>0.36777067471320446</v>
      </c>
      <c r="AG989" s="12">
        <v>0.62977752752758143</v>
      </c>
      <c r="AH989" s="12">
        <v>2.4844924684873058</v>
      </c>
    </row>
    <row r="990" spans="24:34" x14ac:dyDescent="0.25">
      <c r="X990">
        <v>71.5</v>
      </c>
      <c r="Y990" s="12">
        <v>68.770430613879455</v>
      </c>
      <c r="Z990" s="12">
        <v>2.729569386120545</v>
      </c>
      <c r="AA990" s="12">
        <v>2.7312379613529458</v>
      </c>
      <c r="AB990" s="12">
        <v>6.1092268634752608E-4</v>
      </c>
      <c r="AC990" s="12">
        <v>0.43600902513932188</v>
      </c>
      <c r="AD990" s="12">
        <v>5.8104881063658363E-5</v>
      </c>
      <c r="AE990" s="12">
        <v>0.22222871718700732</v>
      </c>
      <c r="AF990" s="12">
        <v>0.36860446381725681</v>
      </c>
      <c r="AG990" s="12">
        <v>0.66030979482309804</v>
      </c>
      <c r="AH990" s="12">
        <v>2.7312379613529489</v>
      </c>
    </row>
    <row r="991" spans="24:34" x14ac:dyDescent="0.25">
      <c r="X991">
        <v>71.5</v>
      </c>
      <c r="Y991" s="12">
        <v>68.869065332470626</v>
      </c>
      <c r="Z991" s="12">
        <v>2.6309346675293739</v>
      </c>
      <c r="AA991" s="12">
        <v>2.6325389637606946</v>
      </c>
      <c r="AB991" s="12">
        <v>6.0941025124618836E-4</v>
      </c>
      <c r="AC991" s="12">
        <v>0.42025324486442955</v>
      </c>
      <c r="AD991" s="12">
        <v>5.3847637610833999E-5</v>
      </c>
      <c r="AE991" s="12">
        <v>0.22222871718700732</v>
      </c>
      <c r="AF991" s="12">
        <v>0.36882344138757517</v>
      </c>
      <c r="AG991" s="12">
        <v>0.64826942305219792</v>
      </c>
      <c r="AH991" s="12">
        <v>2.6325389637606946</v>
      </c>
    </row>
    <row r="992" spans="24:34" x14ac:dyDescent="0.25">
      <c r="X992">
        <v>71</v>
      </c>
      <c r="Y992" s="12">
        <v>68.869065332470626</v>
      </c>
      <c r="Z992" s="12">
        <v>2.1309346675293739</v>
      </c>
      <c r="AA992" s="12">
        <v>2.1322340728314089</v>
      </c>
      <c r="AB992" s="12">
        <v>6.0941025124618836E-4</v>
      </c>
      <c r="AC992" s="12">
        <v>0.34038557463089314</v>
      </c>
      <c r="AD992" s="12">
        <v>3.5325376333449366E-5</v>
      </c>
      <c r="AE992" s="12">
        <v>0.22222871718700732</v>
      </c>
      <c r="AF992" s="12">
        <v>0.36926157105044427</v>
      </c>
      <c r="AG992" s="12">
        <v>0.5834257233195097</v>
      </c>
      <c r="AH992" s="12">
        <v>2.1322340728314138</v>
      </c>
    </row>
    <row r="993" spans="24:34" x14ac:dyDescent="0.25">
      <c r="X993">
        <v>76.599999999999994</v>
      </c>
      <c r="Y993" s="12">
        <v>71.58152009372823</v>
      </c>
      <c r="Z993" s="12">
        <v>5.0184799062717644</v>
      </c>
      <c r="AA993" s="12">
        <v>5.0219398391366923</v>
      </c>
      <c r="AB993" s="12">
        <v>6.8896342364768845E-4</v>
      </c>
      <c r="AC993" s="12">
        <v>0.80166050385291054</v>
      </c>
      <c r="AD993" s="12">
        <v>2.2153709749013589E-4</v>
      </c>
      <c r="AE993" s="12">
        <v>0.22222871718700732</v>
      </c>
      <c r="AF993" s="12">
        <v>0.37101643172993937</v>
      </c>
      <c r="AG993" s="12">
        <v>0.89535495969638235</v>
      </c>
      <c r="AH993" s="12">
        <v>5.0219398391366887</v>
      </c>
    </row>
    <row r="994" spans="24:34" x14ac:dyDescent="0.25">
      <c r="X994">
        <v>76.599999999999994</v>
      </c>
      <c r="Y994" s="12">
        <v>77.006429616243409</v>
      </c>
      <c r="Z994" s="12">
        <v>-0.40642961624341467</v>
      </c>
      <c r="AA994" s="12">
        <v>-0.40706033031791833</v>
      </c>
      <c r="AB994" s="12">
        <v>1.5494363550670933E-3</v>
      </c>
      <c r="AC994" s="12">
        <v>-6.495172708798598E-2</v>
      </c>
      <c r="AD994" s="12">
        <v>3.2733962972978971E-6</v>
      </c>
      <c r="AE994" s="12">
        <v>0.22222871718700732</v>
      </c>
      <c r="AF994" s="12">
        <v>0.37320442512220137</v>
      </c>
      <c r="AG994" s="12">
        <v>0.25485628712665886</v>
      </c>
      <c r="AH994" s="12">
        <v>-0.40706033031791489</v>
      </c>
    </row>
    <row r="995" spans="24:34" x14ac:dyDescent="0.25">
      <c r="X995">
        <v>76.3</v>
      </c>
      <c r="Y995" s="12">
        <v>71.53220273443263</v>
      </c>
      <c r="Z995" s="12">
        <v>4.767797265567367</v>
      </c>
      <c r="AA995" s="12">
        <v>4.7710674997560432</v>
      </c>
      <c r="AB995" s="12">
        <v>6.8543029182566194E-4</v>
      </c>
      <c r="AC995" s="12">
        <v>0.76161468668651267</v>
      </c>
      <c r="AD995" s="12">
        <v>1.9893064883007329E-4</v>
      </c>
      <c r="AE995" s="12">
        <v>0.22222871718700732</v>
      </c>
      <c r="AF995" s="12">
        <v>0.37364066208806418</v>
      </c>
      <c r="AG995" s="12">
        <v>0.87270538366994888</v>
      </c>
      <c r="AH995" s="12">
        <v>4.7710674997560449</v>
      </c>
    </row>
    <row r="996" spans="24:34" x14ac:dyDescent="0.25">
      <c r="X996">
        <v>76.099999999999994</v>
      </c>
      <c r="Y996" s="12">
        <v>71.482885375137045</v>
      </c>
      <c r="Z996" s="12">
        <v>4.6171146248629498</v>
      </c>
      <c r="AA996" s="12">
        <v>4.6202655278847544</v>
      </c>
      <c r="AB996" s="12">
        <v>6.8197444557791822E-4</v>
      </c>
      <c r="AC996" s="12">
        <v>0.73754315299390882</v>
      </c>
      <c r="AD996" s="12">
        <v>1.8561336991891278E-4</v>
      </c>
      <c r="AE996" s="12">
        <v>0.22222871718700732</v>
      </c>
      <c r="AF996" s="12">
        <v>0.37374807950905564</v>
      </c>
      <c r="AG996" s="12">
        <v>0.85880332614278387</v>
      </c>
      <c r="AH996" s="12">
        <v>4.6202655278847518</v>
      </c>
    </row>
    <row r="997" spans="24:34" x14ac:dyDescent="0.25">
      <c r="X997">
        <v>75.599999999999994</v>
      </c>
      <c r="Y997" s="12">
        <v>71.334933297250259</v>
      </c>
      <c r="Z997" s="12">
        <v>4.2650667027497349</v>
      </c>
      <c r="AA997" s="12">
        <v>4.2679350565104812</v>
      </c>
      <c r="AB997" s="12">
        <v>6.72070620280384E-4</v>
      </c>
      <c r="AC997" s="12">
        <v>0.68130324058555058</v>
      </c>
      <c r="AD997" s="12">
        <v>1.5608378887402486E-4</v>
      </c>
      <c r="AE997" s="12">
        <v>0.22222871718700732</v>
      </c>
      <c r="AF997" s="12">
        <v>0.37409658192005008</v>
      </c>
      <c r="AG997" s="12">
        <v>0.82541095254760866</v>
      </c>
      <c r="AH997" s="12">
        <v>4.2679350565104803</v>
      </c>
    </row>
    <row r="998" spans="24:34" x14ac:dyDescent="0.25">
      <c r="X998">
        <v>75.7</v>
      </c>
      <c r="Y998" s="12">
        <v>76.957112256947823</v>
      </c>
      <c r="Z998" s="12">
        <v>-1.2571122569478206</v>
      </c>
      <c r="AA998" s="12">
        <v>-1.2590479194982294</v>
      </c>
      <c r="AB998" s="12">
        <v>1.5374018100739587E-3</v>
      </c>
      <c r="AC998" s="12">
        <v>-0.20089854895154247</v>
      </c>
      <c r="AD998" s="12">
        <v>3.1072714247106422E-5</v>
      </c>
      <c r="AE998" s="12">
        <v>0.22222871718700732</v>
      </c>
      <c r="AF998" s="12">
        <v>0.37451383160316909</v>
      </c>
      <c r="AG998" s="12">
        <v>0.44821707793383159</v>
      </c>
      <c r="AH998" s="12">
        <v>-1.2590479194982271</v>
      </c>
    </row>
    <row r="999" spans="24:34" x14ac:dyDescent="0.25">
      <c r="X999">
        <v>75.599999999999994</v>
      </c>
      <c r="Y999" s="12">
        <v>71.334933297250259</v>
      </c>
      <c r="Z999" s="12">
        <v>4.2650667027497349</v>
      </c>
      <c r="AA999" s="12">
        <v>4.2679350565104812</v>
      </c>
      <c r="AB999" s="12">
        <v>6.72070620280384E-4</v>
      </c>
      <c r="AC999" s="12">
        <v>0.68130324058555058</v>
      </c>
      <c r="AD999" s="12">
        <v>1.5608378887402486E-4</v>
      </c>
      <c r="AE999" s="12">
        <v>0.22222871718700732</v>
      </c>
      <c r="AF999" s="12">
        <v>0.37626297572614187</v>
      </c>
      <c r="AG999" s="12">
        <v>0.82541095254760866</v>
      </c>
      <c r="AH999" s="12">
        <v>4.2679350565104803</v>
      </c>
    </row>
    <row r="1000" spans="24:34" x14ac:dyDescent="0.25">
      <c r="X1000">
        <v>76</v>
      </c>
      <c r="Y1000" s="12">
        <v>71.53220273443263</v>
      </c>
      <c r="Z1000" s="12">
        <v>4.4677972655673699</v>
      </c>
      <c r="AA1000" s="12">
        <v>4.4708617296274156</v>
      </c>
      <c r="AB1000" s="12">
        <v>6.8543029182566194E-4</v>
      </c>
      <c r="AC1000" s="12">
        <v>0.71369226186865253</v>
      </c>
      <c r="AD1000" s="12">
        <v>1.7468397047816584E-4</v>
      </c>
      <c r="AE1000" s="12">
        <v>0.22222871718700732</v>
      </c>
      <c r="AF1000" s="12">
        <v>0.37670085090804079</v>
      </c>
      <c r="AG1000" s="12">
        <v>0.84480309058895642</v>
      </c>
      <c r="AH1000" s="12">
        <v>4.4708617296274209</v>
      </c>
    </row>
    <row r="1001" spans="24:34" x14ac:dyDescent="0.25">
      <c r="X1001">
        <v>75.8</v>
      </c>
      <c r="Y1001" s="12">
        <v>71.433568015841445</v>
      </c>
      <c r="Z1001" s="12">
        <v>4.3664319841585524</v>
      </c>
      <c r="AA1001" s="12">
        <v>4.3693970390087316</v>
      </c>
      <c r="AB1001" s="12">
        <v>6.7859588490445737E-4</v>
      </c>
      <c r="AC1001" s="12">
        <v>0.69749764315501506</v>
      </c>
      <c r="AD1001" s="12">
        <v>1.6518154559078195E-4</v>
      </c>
      <c r="AE1001" s="12">
        <v>0.22222871718700732</v>
      </c>
      <c r="AF1001" s="12">
        <v>0.37670085090804079</v>
      </c>
      <c r="AG1001" s="12">
        <v>0.83516324341712689</v>
      </c>
      <c r="AH1001" s="12">
        <v>4.3693970390087378</v>
      </c>
    </row>
    <row r="1002" spans="24:34" x14ac:dyDescent="0.25">
      <c r="X1002">
        <v>75.3</v>
      </c>
      <c r="Y1002" s="12">
        <v>71.384250656545859</v>
      </c>
      <c r="Z1002" s="12">
        <v>3.9157493434541379</v>
      </c>
      <c r="AA1002" s="12">
        <v>3.9183954147568159</v>
      </c>
      <c r="AB1002" s="12">
        <v>6.752946098052793E-4</v>
      </c>
      <c r="AC1002" s="12">
        <v>0.62550417293563043</v>
      </c>
      <c r="AD1002" s="12">
        <v>1.3219562608916835E-4</v>
      </c>
      <c r="AE1002" s="12">
        <v>0.22222871718700732</v>
      </c>
      <c r="AF1002" s="12">
        <v>0.37691987743399802</v>
      </c>
      <c r="AG1002" s="12">
        <v>0.79088821772462281</v>
      </c>
      <c r="AH1002" s="12">
        <v>3.9183954147568092</v>
      </c>
    </row>
    <row r="1003" spans="24:34" x14ac:dyDescent="0.25">
      <c r="X1003">
        <v>75.400000000000006</v>
      </c>
      <c r="Y1003" s="12">
        <v>71.482885375137045</v>
      </c>
      <c r="Z1003" s="12">
        <v>3.9171146248629611</v>
      </c>
      <c r="AA1003" s="12">
        <v>3.9197878199882865</v>
      </c>
      <c r="AB1003" s="12">
        <v>6.8197444557791822E-4</v>
      </c>
      <c r="AC1003" s="12">
        <v>0.62572435509888091</v>
      </c>
      <c r="AD1003" s="12">
        <v>1.335981681431287E-4</v>
      </c>
      <c r="AE1003" s="12">
        <v>0.22222871718700732</v>
      </c>
      <c r="AF1003" s="12">
        <v>0.37895105334748591</v>
      </c>
      <c r="AG1003" s="12">
        <v>0.79102740477108691</v>
      </c>
      <c r="AH1003" s="12">
        <v>3.9197878199882807</v>
      </c>
    </row>
    <row r="1004" spans="24:34" x14ac:dyDescent="0.25">
      <c r="X1004">
        <v>75</v>
      </c>
      <c r="Y1004" s="12">
        <v>71.334933297250259</v>
      </c>
      <c r="Z1004" s="12">
        <v>3.6650667027497406</v>
      </c>
      <c r="AA1004" s="12">
        <v>3.6675315429487085</v>
      </c>
      <c r="AB1004" s="12">
        <v>6.72070620280384E-4</v>
      </c>
      <c r="AC1004" s="12">
        <v>0.58545903161039425</v>
      </c>
      <c r="AD1004" s="12">
        <v>1.1525768959626164E-4</v>
      </c>
      <c r="AE1004" s="12">
        <v>0.22222871718700732</v>
      </c>
      <c r="AF1004" s="12">
        <v>0.37956006112400126</v>
      </c>
      <c r="AG1004" s="12">
        <v>0.76515294654754762</v>
      </c>
      <c r="AH1004" s="12">
        <v>3.6675315429487081</v>
      </c>
    </row>
    <row r="1005" spans="24:34" x14ac:dyDescent="0.25">
      <c r="X1005">
        <v>75</v>
      </c>
      <c r="Y1005" s="12">
        <v>71.334933297250259</v>
      </c>
      <c r="Z1005" s="12">
        <v>3.6650667027497406</v>
      </c>
      <c r="AA1005" s="12">
        <v>3.6675315429487085</v>
      </c>
      <c r="AB1005" s="12">
        <v>6.72070620280384E-4</v>
      </c>
      <c r="AC1005" s="12">
        <v>0.58545903161039425</v>
      </c>
      <c r="AD1005" s="12">
        <v>1.1525768959626164E-4</v>
      </c>
      <c r="AE1005" s="12">
        <v>0.22222871718700732</v>
      </c>
      <c r="AF1005" s="12">
        <v>0.38351877049590977</v>
      </c>
      <c r="AG1005" s="12">
        <v>0.76515294654754762</v>
      </c>
      <c r="AH1005" s="12">
        <v>3.6675315429487081</v>
      </c>
    </row>
    <row r="1006" spans="24:34" x14ac:dyDescent="0.25">
      <c r="X1006">
        <v>75</v>
      </c>
      <c r="Y1006" s="12">
        <v>71.384250656545859</v>
      </c>
      <c r="Z1006" s="12">
        <v>3.6157493434541408</v>
      </c>
      <c r="AA1006" s="12">
        <v>3.6181926894745828</v>
      </c>
      <c r="AB1006" s="12">
        <v>6.752946098052793E-4</v>
      </c>
      <c r="AC1006" s="12">
        <v>0.57758199114573128</v>
      </c>
      <c r="AD1006" s="12">
        <v>1.1271558009745333E-4</v>
      </c>
      <c r="AE1006" s="12">
        <v>0.22222871718700732</v>
      </c>
      <c r="AF1006" s="12">
        <v>0.3852354863095343</v>
      </c>
      <c r="AG1006" s="12">
        <v>0.7599881519772077</v>
      </c>
      <c r="AH1006" s="12">
        <v>3.6181926894745797</v>
      </c>
    </row>
    <row r="1007" spans="24:34" x14ac:dyDescent="0.25">
      <c r="X1007">
        <v>74.8</v>
      </c>
      <c r="Y1007" s="12">
        <v>71.236298578659074</v>
      </c>
      <c r="Z1007" s="12">
        <v>3.563701421340923</v>
      </c>
      <c r="AA1007" s="12">
        <v>3.5660759090249883</v>
      </c>
      <c r="AB1007" s="12">
        <v>6.6585449795344173E-4</v>
      </c>
      <c r="AC1007" s="12">
        <v>0.56926513575543192</v>
      </c>
      <c r="AD1007" s="12">
        <v>1.0796122122878687E-4</v>
      </c>
      <c r="AE1007" s="12">
        <v>0.22222871718700732</v>
      </c>
      <c r="AF1007" s="12">
        <v>0.3852354863095343</v>
      </c>
      <c r="AG1007" s="12">
        <v>0.75449661083097774</v>
      </c>
      <c r="AH1007" s="12">
        <v>3.5660759090249905</v>
      </c>
    </row>
    <row r="1008" spans="24:34" x14ac:dyDescent="0.25">
      <c r="X1008">
        <v>68.400000000000006</v>
      </c>
      <c r="Y1008" s="12">
        <v>66.501832086282192</v>
      </c>
      <c r="Z1008" s="12">
        <v>1.8981679137178133</v>
      </c>
      <c r="AA1008" s="12">
        <v>1.8995565502804936</v>
      </c>
      <c r="AB1008" s="12">
        <v>7.3103196768650443E-4</v>
      </c>
      <c r="AC1008" s="12">
        <v>0.30322294901443997</v>
      </c>
      <c r="AD1008" s="12">
        <v>3.363164474211725E-5</v>
      </c>
      <c r="AE1008" s="12">
        <v>0.27870266916975811</v>
      </c>
      <c r="AF1008" s="12">
        <v>0.38765298555621275</v>
      </c>
      <c r="AG1008" s="12">
        <v>0.55065683416665223</v>
      </c>
      <c r="AH1008" s="12">
        <v>1.8995565502804967</v>
      </c>
    </row>
    <row r="1009" spans="24:34" x14ac:dyDescent="0.25">
      <c r="X1009">
        <v>68.099999999999994</v>
      </c>
      <c r="Y1009" s="12">
        <v>66.403197367691007</v>
      </c>
      <c r="Z1009" s="12">
        <v>1.6968026323089873</v>
      </c>
      <c r="AA1009" s="12">
        <v>1.6980591346293039</v>
      </c>
      <c r="AB1009" s="12">
        <v>7.3996381791899106E-4</v>
      </c>
      <c r="AC1009" s="12">
        <v>0.27105705127726376</v>
      </c>
      <c r="AD1009" s="12">
        <v>2.7203412624930721E-5</v>
      </c>
      <c r="AE1009" s="12">
        <v>0.27870266916975811</v>
      </c>
      <c r="AF1009" s="12">
        <v>0.38808838673866147</v>
      </c>
      <c r="AG1009" s="12">
        <v>0.52063139674558978</v>
      </c>
      <c r="AH1009" s="12">
        <v>1.6980591346292997</v>
      </c>
    </row>
    <row r="1010" spans="24:34" x14ac:dyDescent="0.25">
      <c r="X1010">
        <v>67.8</v>
      </c>
      <c r="Y1010" s="12">
        <v>66.205927930508636</v>
      </c>
      <c r="Z1010" s="12">
        <v>1.5940720694913608</v>
      </c>
      <c r="AA1010" s="12">
        <v>1.5952824979758162</v>
      </c>
      <c r="AB1010" s="12">
        <v>7.587549452753576E-4</v>
      </c>
      <c r="AC1010" s="12">
        <v>0.25464867226928345</v>
      </c>
      <c r="AD1010" s="12">
        <v>2.4619771587176505E-5</v>
      </c>
      <c r="AE1010" s="12">
        <v>0.27870266916975811</v>
      </c>
      <c r="AF1010" s="12">
        <v>0.38961417549543181</v>
      </c>
      <c r="AG1010" s="12">
        <v>0.50462726072744368</v>
      </c>
      <c r="AH1010" s="12">
        <v>1.5952824979758111</v>
      </c>
    </row>
    <row r="1011" spans="24:34" x14ac:dyDescent="0.25">
      <c r="X1011">
        <v>67.3</v>
      </c>
      <c r="Y1011" s="12">
        <v>66.008658493326266</v>
      </c>
      <c r="Z1011" s="12">
        <v>1.2913415066737315</v>
      </c>
      <c r="AA1011" s="12">
        <v>1.2923479648359404</v>
      </c>
      <c r="AB1011" s="12">
        <v>7.7878264182024886E-4</v>
      </c>
      <c r="AC1011" s="12">
        <v>0.20629035656676589</v>
      </c>
      <c r="AD1011" s="12">
        <v>1.6583739729921259E-5</v>
      </c>
      <c r="AE1011" s="12">
        <v>0.27870266916975811</v>
      </c>
      <c r="AF1011" s="12">
        <v>0.39029264197184521</v>
      </c>
      <c r="AG1011" s="12">
        <v>0.45419198205909128</v>
      </c>
      <c r="AH1011" s="12">
        <v>1.2923479648359375</v>
      </c>
    </row>
    <row r="1012" spans="24:34" x14ac:dyDescent="0.25">
      <c r="X1012">
        <v>66.3</v>
      </c>
      <c r="Y1012" s="12">
        <v>76.365303945400711</v>
      </c>
      <c r="Z1012" s="12">
        <v>-10.065303945400714</v>
      </c>
      <c r="AA1012" s="12">
        <v>-10.079405189945305</v>
      </c>
      <c r="AB1012" s="12">
        <v>1.399015544950404E-3</v>
      </c>
      <c r="AC1012" s="12">
        <v>-1.6084202739753426</v>
      </c>
      <c r="AD1012" s="12">
        <v>1.8121729021017316E-3</v>
      </c>
      <c r="AE1012" s="12">
        <v>0.27870266916975811</v>
      </c>
      <c r="AF1012" s="12">
        <v>0.39205703459412394</v>
      </c>
      <c r="AG1012" s="12">
        <v>1.268235102011982</v>
      </c>
      <c r="AH1012" s="12">
        <v>-10.079405189945302</v>
      </c>
    </row>
    <row r="1013" spans="24:34" x14ac:dyDescent="0.25">
      <c r="X1013">
        <v>66.900000000000006</v>
      </c>
      <c r="Y1013" s="12">
        <v>66.008658493326266</v>
      </c>
      <c r="Z1013" s="12">
        <v>0.89134150667374001</v>
      </c>
      <c r="AA1013" s="12">
        <v>0.89203620898918246</v>
      </c>
      <c r="AB1013" s="12">
        <v>7.7878264182024886E-4</v>
      </c>
      <c r="AC1013" s="12">
        <v>0.14239080544085833</v>
      </c>
      <c r="AD1013" s="12">
        <v>7.9011173732993421E-6</v>
      </c>
      <c r="AE1013" s="12">
        <v>0.27870266916975811</v>
      </c>
      <c r="AF1013" s="12">
        <v>0.39267466204145191</v>
      </c>
      <c r="AG1013" s="12">
        <v>0.37734706231910475</v>
      </c>
      <c r="AH1013" s="12">
        <v>0.89203620898917602</v>
      </c>
    </row>
    <row r="1014" spans="24:34" x14ac:dyDescent="0.25">
      <c r="X1014">
        <v>67.400000000000006</v>
      </c>
      <c r="Y1014" s="12">
        <v>66.501832086282192</v>
      </c>
      <c r="Z1014" s="12">
        <v>0.89816791371781335</v>
      </c>
      <c r="AA1014" s="12">
        <v>0.89882498351411755</v>
      </c>
      <c r="AB1014" s="12">
        <v>7.3103196768650443E-4</v>
      </c>
      <c r="AC1014" s="12">
        <v>0.14347788809380854</v>
      </c>
      <c r="AD1014" s="12">
        <v>7.5299817471565807E-6</v>
      </c>
      <c r="AE1014" s="12">
        <v>0.27870266916975811</v>
      </c>
      <c r="AF1014" s="12">
        <v>0.39289372836441322</v>
      </c>
      <c r="AG1014" s="12">
        <v>0.37878475166485853</v>
      </c>
      <c r="AH1014" s="12">
        <v>0.89882498351411744</v>
      </c>
    </row>
    <row r="1015" spans="24:34" x14ac:dyDescent="0.25">
      <c r="X1015">
        <v>65.900000000000006</v>
      </c>
      <c r="Y1015" s="12">
        <v>76.315986586105112</v>
      </c>
      <c r="Z1015" s="12">
        <v>-10.415986586105106</v>
      </c>
      <c r="AA1015" s="12">
        <v>-10.430463921001405</v>
      </c>
      <c r="AB1015" s="12">
        <v>1.3879857124229459E-3</v>
      </c>
      <c r="AC1015" s="12">
        <v>-1.6644496348835769</v>
      </c>
      <c r="AD1015" s="12">
        <v>1.9253049601003637E-3</v>
      </c>
      <c r="AE1015" s="12">
        <v>0.27870266916975811</v>
      </c>
      <c r="AF1015" s="12">
        <v>0.39333204680603168</v>
      </c>
      <c r="AG1015" s="12">
        <v>1.2901355102792795</v>
      </c>
      <c r="AH1015" s="12">
        <v>-10.430463921001399</v>
      </c>
    </row>
    <row r="1016" spans="24:34" x14ac:dyDescent="0.25">
      <c r="X1016">
        <v>65</v>
      </c>
      <c r="Y1016" s="12">
        <v>64.23323355868493</v>
      </c>
      <c r="Z1016" s="12">
        <v>0.76676644131507032</v>
      </c>
      <c r="AA1016" s="12">
        <v>0.76754525223131509</v>
      </c>
      <c r="AB1016" s="12">
        <v>1.014677524207887E-3</v>
      </c>
      <c r="AC1016" s="12">
        <v>0.12250453975813076</v>
      </c>
      <c r="AD1016" s="12">
        <v>7.6215500076118284E-6</v>
      </c>
      <c r="AE1016" s="12">
        <v>0.27870266916975811</v>
      </c>
      <c r="AF1016" s="12">
        <v>0.39618404418157122</v>
      </c>
      <c r="AG1016" s="12">
        <v>0.35000648530867362</v>
      </c>
      <c r="AH1016" s="12">
        <v>0.76754525223132197</v>
      </c>
    </row>
    <row r="1017" spans="24:34" x14ac:dyDescent="0.25">
      <c r="X1017">
        <v>64.5</v>
      </c>
      <c r="Y1017" s="12">
        <v>64.085281480798159</v>
      </c>
      <c r="Z1017" s="12">
        <v>0.41471851920184122</v>
      </c>
      <c r="AA1017" s="12">
        <v>0.41514980032732751</v>
      </c>
      <c r="AB1017" s="12">
        <v>1.038856637169067E-3</v>
      </c>
      <c r="AC1017" s="12">
        <v>6.6259441506857322E-2</v>
      </c>
      <c r="AD1017" s="12">
        <v>2.2828247331150392E-6</v>
      </c>
      <c r="AE1017" s="12">
        <v>0.29295400660571058</v>
      </c>
      <c r="AF1017" s="12">
        <v>0.39640185865642663</v>
      </c>
      <c r="AG1017" s="12">
        <v>0.25740909367552911</v>
      </c>
      <c r="AH1017" s="12">
        <v>0.41514980032733068</v>
      </c>
    </row>
    <row r="1018" spans="24:34" x14ac:dyDescent="0.25">
      <c r="X1018">
        <v>64</v>
      </c>
      <c r="Y1018" s="12">
        <v>63.592107887842225</v>
      </c>
      <c r="Z1018" s="12">
        <v>0.40789211215777499</v>
      </c>
      <c r="AA1018" s="12">
        <v>0.40835129389478908</v>
      </c>
      <c r="AB1018" s="12">
        <v>1.1244772427013831E-3</v>
      </c>
      <c r="AC1018" s="12">
        <v>6.5171581673500706E-2</v>
      </c>
      <c r="AD1018" s="12">
        <v>2.3907040996805461E-6</v>
      </c>
      <c r="AE1018" s="12">
        <v>0.29295400660571058</v>
      </c>
      <c r="AF1018" s="12">
        <v>0.39661973417875357</v>
      </c>
      <c r="AG1018" s="12">
        <v>0.25528725325307705</v>
      </c>
      <c r="AH1018" s="12">
        <v>0.40835129389478736</v>
      </c>
    </row>
    <row r="1019" spans="24:34" x14ac:dyDescent="0.25">
      <c r="X1019">
        <v>64</v>
      </c>
      <c r="Y1019" s="12">
        <v>64.23323355868493</v>
      </c>
      <c r="Z1019" s="12">
        <v>-0.23323355868492968</v>
      </c>
      <c r="AA1019" s="12">
        <v>-0.23347045590911364</v>
      </c>
      <c r="AB1019" s="12">
        <v>1.014677524207887E-3</v>
      </c>
      <c r="AC1019" s="12">
        <v>-3.7263198052648945E-2</v>
      </c>
      <c r="AD1019" s="12">
        <v>7.0517870177885957E-7</v>
      </c>
      <c r="AE1019" s="12">
        <v>0.29295400660571058</v>
      </c>
      <c r="AF1019" s="12">
        <v>0.3974918487620937</v>
      </c>
      <c r="AG1019" s="12">
        <v>0.19303677901542221</v>
      </c>
      <c r="AH1019" s="12">
        <v>-0.23347045590910723</v>
      </c>
    </row>
    <row r="1020" spans="24:34" x14ac:dyDescent="0.25">
      <c r="X1020">
        <v>63.8</v>
      </c>
      <c r="Y1020" s="12">
        <v>64.627772433049671</v>
      </c>
      <c r="Z1020" s="12">
        <v>-0.82777243304967385</v>
      </c>
      <c r="AA1020" s="12">
        <v>-0.82856255067491702</v>
      </c>
      <c r="AB1020" s="12">
        <v>9.5360045491318295E-4</v>
      </c>
      <c r="AC1020" s="12">
        <v>-0.13224728637184727</v>
      </c>
      <c r="AD1020" s="12">
        <v>8.346883147729173E-6</v>
      </c>
      <c r="AE1020" s="12">
        <v>0.29295400660571058</v>
      </c>
      <c r="AF1020" s="12">
        <v>0.39945771731551355</v>
      </c>
      <c r="AG1020" s="12">
        <v>0.36365819992383958</v>
      </c>
      <c r="AH1020" s="12">
        <v>-0.82856255067492146</v>
      </c>
    </row>
    <row r="1021" spans="24:34" x14ac:dyDescent="0.25">
      <c r="X1021">
        <v>63.2</v>
      </c>
      <c r="Y1021" s="12">
        <v>64.479820355162886</v>
      </c>
      <c r="Z1021" s="12">
        <v>-1.2798203551628831</v>
      </c>
      <c r="AA1021" s="12">
        <v>-1.2810705836059242</v>
      </c>
      <c r="AB1021" s="12">
        <v>9.7592471409157578E-4</v>
      </c>
      <c r="AC1021" s="12">
        <v>-0.20447003706863462</v>
      </c>
      <c r="AD1021" s="12">
        <v>2.0420657324397754E-5</v>
      </c>
      <c r="AE1021" s="12">
        <v>0.29295400660571058</v>
      </c>
      <c r="AF1021" s="12">
        <v>0.39945771731551355</v>
      </c>
      <c r="AG1021" s="12">
        <v>0.45218363202202999</v>
      </c>
      <c r="AH1021" s="12">
        <v>-1.2810705836059197</v>
      </c>
    </row>
    <row r="1022" spans="24:34" x14ac:dyDescent="0.25">
      <c r="X1022">
        <v>62.8</v>
      </c>
      <c r="Y1022" s="12">
        <v>64.085281480798159</v>
      </c>
      <c r="Z1022" s="12">
        <v>-1.2852814807981616</v>
      </c>
      <c r="AA1022" s="12">
        <v>-1.2866180925431081</v>
      </c>
      <c r="AB1022" s="12">
        <v>1.038856637169067E-3</v>
      </c>
      <c r="AC1022" s="12">
        <v>-0.20534899975215445</v>
      </c>
      <c r="AD1022" s="12">
        <v>2.1926141418177258E-5</v>
      </c>
      <c r="AE1022" s="12">
        <v>0.29295400660571058</v>
      </c>
      <c r="AF1022" s="12">
        <v>0.4016479534527016</v>
      </c>
      <c r="AG1022" s="12">
        <v>0.45315449876631969</v>
      </c>
      <c r="AH1022" s="12">
        <v>-1.2866180925431019</v>
      </c>
    </row>
    <row r="1023" spans="24:34" x14ac:dyDescent="0.25">
      <c r="X1023">
        <v>75.900000000000006</v>
      </c>
      <c r="Y1023" s="12">
        <v>76.759842819765453</v>
      </c>
      <c r="Z1023" s="12">
        <v>-0.85984281976544708</v>
      </c>
      <c r="AA1023" s="12">
        <v>-0.86112592881829642</v>
      </c>
      <c r="AB1023" s="12">
        <v>1.4900364858442489E-3</v>
      </c>
      <c r="AC1023" s="12">
        <v>-0.13740783827246839</v>
      </c>
      <c r="AD1023" s="12">
        <v>1.4087616449493464E-5</v>
      </c>
      <c r="AE1023" s="12">
        <v>0.29295400660571058</v>
      </c>
      <c r="AF1023" s="12">
        <v>0.40186732458276708</v>
      </c>
      <c r="AG1023" s="12">
        <v>0.37068563267608362</v>
      </c>
      <c r="AH1023" s="12">
        <v>-0.86112592881829286</v>
      </c>
    </row>
    <row r="1024" spans="24:34" x14ac:dyDescent="0.25">
      <c r="X1024">
        <v>75.8</v>
      </c>
      <c r="Y1024" s="12">
        <v>76.661208101174267</v>
      </c>
      <c r="Z1024" s="12">
        <v>-0.86120810117427027</v>
      </c>
      <c r="AA1024" s="12">
        <v>-0.86247319197759964</v>
      </c>
      <c r="AB1024" s="12">
        <v>1.4668175371750909E-3</v>
      </c>
      <c r="AC1024" s="12">
        <v>-0.13762441798824934</v>
      </c>
      <c r="AD1024" s="12">
        <v>1.3911520087765915E-5</v>
      </c>
      <c r="AE1024" s="12">
        <v>0.29295400660571058</v>
      </c>
      <c r="AF1024" s="12">
        <v>0.40306586523781102</v>
      </c>
      <c r="AG1024" s="12">
        <v>0.37097765160215423</v>
      </c>
      <c r="AH1024" s="12">
        <v>-0.8624731919776063</v>
      </c>
    </row>
    <row r="1025" spans="24:34" x14ac:dyDescent="0.25">
      <c r="X1025">
        <v>75.599999999999994</v>
      </c>
      <c r="Y1025" s="12">
        <v>77.055746975539009</v>
      </c>
      <c r="Z1025" s="12">
        <v>-1.4557469755390144</v>
      </c>
      <c r="AA1025" s="12">
        <v>-1.4580237498802546</v>
      </c>
      <c r="AB1025" s="12">
        <v>1.5615481856345104E-3</v>
      </c>
      <c r="AC1025" s="12">
        <v>-0.23264508782305127</v>
      </c>
      <c r="AD1025" s="12">
        <v>4.2324503320127875E-5</v>
      </c>
      <c r="AE1025" s="12">
        <v>0.29295400660571058</v>
      </c>
      <c r="AF1025" s="12">
        <v>0.40318489049038159</v>
      </c>
      <c r="AG1025" s="12">
        <v>0.48233296364964656</v>
      </c>
      <c r="AH1025" s="12">
        <v>-1.458023749880252</v>
      </c>
    </row>
    <row r="1026" spans="24:34" x14ac:dyDescent="0.25">
      <c r="X1026">
        <v>75.400000000000006</v>
      </c>
      <c r="Y1026" s="12">
        <v>72.025376327388557</v>
      </c>
      <c r="Z1026" s="12">
        <v>3.3746236726114489</v>
      </c>
      <c r="AA1026" s="12">
        <v>3.3770694795907303</v>
      </c>
      <c r="AB1026" s="12">
        <v>7.2423946088865298E-4</v>
      </c>
      <c r="AC1026" s="12">
        <v>0.53907763198500969</v>
      </c>
      <c r="AD1026" s="12">
        <v>1.0530996283674076E-4</v>
      </c>
      <c r="AE1026" s="12">
        <v>0.29295400660571058</v>
      </c>
      <c r="AF1026" s="12">
        <v>0.40580590459562277</v>
      </c>
      <c r="AG1026" s="12">
        <v>0.73421906266795445</v>
      </c>
      <c r="AH1026" s="12">
        <v>3.3770694795907312</v>
      </c>
    </row>
    <row r="1027" spans="24:34" x14ac:dyDescent="0.25">
      <c r="X1027">
        <v>75.3</v>
      </c>
      <c r="Y1027" s="12">
        <v>71.926741608797371</v>
      </c>
      <c r="Z1027" s="12">
        <v>3.3732583912026257</v>
      </c>
      <c r="AA1027" s="12">
        <v>3.3756748996166976</v>
      </c>
      <c r="AB1027" s="12">
        <v>7.1585934248179239E-4</v>
      </c>
      <c r="AC1027" s="12">
        <v>0.53885727628887647</v>
      </c>
      <c r="AD1027" s="12">
        <v>1.0400547691696597E-4</v>
      </c>
      <c r="AE1027" s="12">
        <v>0.29295400660571058</v>
      </c>
      <c r="AF1027" s="12">
        <v>0.40602418322857964</v>
      </c>
      <c r="AG1027" s="12">
        <v>0.73406898605572246</v>
      </c>
      <c r="AH1027" s="12">
        <v>3.3756748996166976</v>
      </c>
    </row>
    <row r="1028" spans="24:34" x14ac:dyDescent="0.25">
      <c r="X1028">
        <v>75</v>
      </c>
      <c r="Y1028" s="12">
        <v>71.828106890206186</v>
      </c>
      <c r="Z1028" s="12">
        <v>3.1718931097938139</v>
      </c>
      <c r="AA1028" s="12">
        <v>3.1741397289672193</v>
      </c>
      <c r="AB1028" s="12">
        <v>7.0778836637206289E-4</v>
      </c>
      <c r="AC1028" s="12">
        <v>0.50668836515290983</v>
      </c>
      <c r="AD1028" s="12">
        <v>9.0920703118302978E-5</v>
      </c>
      <c r="AE1028" s="12">
        <v>0.29295400660571058</v>
      </c>
      <c r="AF1028" s="12">
        <v>0.40908674978348442</v>
      </c>
      <c r="AG1028" s="12">
        <v>0.71182045850966513</v>
      </c>
      <c r="AH1028" s="12">
        <v>3.1741397289672162</v>
      </c>
    </row>
    <row r="1029" spans="24:34" x14ac:dyDescent="0.25">
      <c r="X1029">
        <v>74.599999999999994</v>
      </c>
      <c r="Y1029" s="12">
        <v>71.630837453023815</v>
      </c>
      <c r="Z1029" s="12">
        <v>2.9691625469761789</v>
      </c>
      <c r="AA1029" s="12">
        <v>2.9712203364571934</v>
      </c>
      <c r="AB1029" s="12">
        <v>6.9257384104399783E-4</v>
      </c>
      <c r="AC1029" s="12">
        <v>0.4742999250223498</v>
      </c>
      <c r="AD1029" s="12">
        <v>7.7954840175068561E-5</v>
      </c>
      <c r="AE1029" s="12">
        <v>0.29295400660571058</v>
      </c>
      <c r="AF1029" s="12">
        <v>0.40952528427785412</v>
      </c>
      <c r="AG1029" s="12">
        <v>0.68869436256030858</v>
      </c>
      <c r="AH1029" s="12">
        <v>2.9712203364571872</v>
      </c>
    </row>
    <row r="1030" spans="24:34" x14ac:dyDescent="0.25">
      <c r="X1030">
        <v>74.2</v>
      </c>
      <c r="Y1030" s="12">
        <v>71.433568015841445</v>
      </c>
      <c r="Z1030" s="12">
        <v>2.7664319841585581</v>
      </c>
      <c r="AA1030" s="12">
        <v>2.7683105483047683</v>
      </c>
      <c r="AB1030" s="12">
        <v>6.7859588490445737E-4</v>
      </c>
      <c r="AC1030" s="12">
        <v>0.44191225144460644</v>
      </c>
      <c r="AD1030" s="12">
        <v>6.6305281085258838E-5</v>
      </c>
      <c r="AE1030" s="12">
        <v>0.29295400660571058</v>
      </c>
      <c r="AF1030" s="12">
        <v>0.40974464848927361</v>
      </c>
      <c r="AG1030" s="12">
        <v>0.66476480912019287</v>
      </c>
      <c r="AH1030" s="12">
        <v>2.7683105483047754</v>
      </c>
    </row>
    <row r="1031" spans="24:34" x14ac:dyDescent="0.25">
      <c r="X1031">
        <v>73.8</v>
      </c>
      <c r="Y1031" s="12">
        <v>76.957112256947823</v>
      </c>
      <c r="Z1031" s="12">
        <v>-3.1571122569478263</v>
      </c>
      <c r="AA1031" s="12">
        <v>-3.1619734807004676</v>
      </c>
      <c r="AB1031" s="12">
        <v>1.5374018100739587E-3</v>
      </c>
      <c r="AC1031" s="12">
        <v>-0.50453670131089501</v>
      </c>
      <c r="AD1031" s="12">
        <v>1.9597971336861761E-4</v>
      </c>
      <c r="AE1031" s="12">
        <v>0.3152427890443939</v>
      </c>
      <c r="AF1031" s="12">
        <v>0.41159201369580484</v>
      </c>
      <c r="AG1031" s="12">
        <v>0.71030746955870805</v>
      </c>
      <c r="AH1031" s="12">
        <v>-3.1619734807004614</v>
      </c>
    </row>
    <row r="1032" spans="24:34" x14ac:dyDescent="0.25">
      <c r="X1032">
        <v>74.099999999999994</v>
      </c>
      <c r="Y1032" s="12">
        <v>72.863771435413639</v>
      </c>
      <c r="Z1032" s="12">
        <v>1.2362285645863551</v>
      </c>
      <c r="AA1032" s="12">
        <v>1.2372281856818006</v>
      </c>
      <c r="AB1032" s="12">
        <v>8.0795208759363993E-4</v>
      </c>
      <c r="AC1032" s="12">
        <v>0.19748900850363002</v>
      </c>
      <c r="AD1032" s="12">
        <v>1.576857694283312E-5</v>
      </c>
      <c r="AE1032" s="12">
        <v>0.3152427890443939</v>
      </c>
      <c r="AF1032" s="12">
        <v>0.41202271486650544</v>
      </c>
      <c r="AG1032" s="12">
        <v>0.44439735429413846</v>
      </c>
      <c r="AH1032" s="12">
        <v>1.2372281856818064</v>
      </c>
    </row>
    <row r="1033" spans="24:34" x14ac:dyDescent="0.25">
      <c r="X1033">
        <v>73.900000000000006</v>
      </c>
      <c r="Y1033" s="12">
        <v>72.814454076118039</v>
      </c>
      <c r="Z1033" s="12">
        <v>1.0855459238819662</v>
      </c>
      <c r="AA1033" s="12">
        <v>1.0864176757794866</v>
      </c>
      <c r="AB1033" s="12">
        <v>8.0240953084026066E-4</v>
      </c>
      <c r="AC1033" s="12">
        <v>0.17341679341502655</v>
      </c>
      <c r="AD1033" s="12">
        <v>1.2075274383989879E-5</v>
      </c>
      <c r="AE1033" s="12">
        <v>0.3152427890443939</v>
      </c>
      <c r="AF1033" s="12">
        <v>0.41202271486650544</v>
      </c>
      <c r="AG1033" s="12">
        <v>0.41643342014663826</v>
      </c>
      <c r="AH1033" s="12">
        <v>1.086417675779485</v>
      </c>
    </row>
    <row r="1034" spans="24:34" x14ac:dyDescent="0.25">
      <c r="X1034">
        <v>73.599999999999994</v>
      </c>
      <c r="Y1034" s="12">
        <v>72.715819357526854</v>
      </c>
      <c r="Z1034" s="12">
        <v>0.88418064247314021</v>
      </c>
      <c r="AA1034" s="12">
        <v>0.8848810756403509</v>
      </c>
      <c r="AB1034" s="12">
        <v>7.9155627405635043E-4</v>
      </c>
      <c r="AC1034" s="12">
        <v>0.14124776825014251</v>
      </c>
      <c r="AD1034" s="12">
        <v>7.9023979056860343E-6</v>
      </c>
      <c r="AE1034" s="12">
        <v>0.3152427890443939</v>
      </c>
      <c r="AF1034" s="12">
        <v>0.41215758396288016</v>
      </c>
      <c r="AG1034" s="12">
        <v>0.37582944037174965</v>
      </c>
      <c r="AH1034" s="12">
        <v>0.88488107564035712</v>
      </c>
    </row>
    <row r="1035" spans="24:34" x14ac:dyDescent="0.25">
      <c r="X1035">
        <v>73.3</v>
      </c>
      <c r="Y1035" s="12">
        <v>76.907794897652224</v>
      </c>
      <c r="Z1035" s="12">
        <v>-3.6077948976522265</v>
      </c>
      <c r="AA1035" s="12">
        <v>-3.6133067968152801</v>
      </c>
      <c r="AB1035" s="12">
        <v>1.5254445506551072E-3</v>
      </c>
      <c r="AC1035" s="12">
        <v>-0.57655664074438695</v>
      </c>
      <c r="AD1035" s="12">
        <v>2.5392963328704782E-4</v>
      </c>
      <c r="AE1035" s="12">
        <v>0.3152427890443939</v>
      </c>
      <c r="AF1035" s="12">
        <v>0.41266922388217803</v>
      </c>
      <c r="AG1035" s="12">
        <v>0.75931326917444752</v>
      </c>
      <c r="AH1035" s="12">
        <v>-3.6133067968152734</v>
      </c>
    </row>
    <row r="1036" spans="24:34" x14ac:dyDescent="0.25">
      <c r="X1036">
        <v>72.8</v>
      </c>
      <c r="Y1036" s="12">
        <v>77.055746975539009</v>
      </c>
      <c r="Z1036" s="12">
        <v>-4.2557469755390116</v>
      </c>
      <c r="AA1036" s="12">
        <v>-4.2624029230900078</v>
      </c>
      <c r="AB1036" s="12">
        <v>1.5615481856345104E-3</v>
      </c>
      <c r="AC1036" s="12">
        <v>-0.68011724943502982</v>
      </c>
      <c r="AD1036" s="12">
        <v>3.6171929499807473E-4</v>
      </c>
      <c r="AE1036" s="12">
        <v>0.3152427890443939</v>
      </c>
      <c r="AF1036" s="12">
        <v>0.4132472382691213</v>
      </c>
      <c r="AG1036" s="12">
        <v>0.82469221497176137</v>
      </c>
      <c r="AH1036" s="12">
        <v>-4.262402923090006</v>
      </c>
    </row>
    <row r="1037" spans="24:34" x14ac:dyDescent="0.25">
      <c r="X1037">
        <v>72.3</v>
      </c>
      <c r="Y1037" s="12">
        <v>71.877424249501786</v>
      </c>
      <c r="Z1037" s="12">
        <v>0.42257575049821128</v>
      </c>
      <c r="AA1037" s="12">
        <v>0.42287674791371899</v>
      </c>
      <c r="AB1037" s="12">
        <v>7.1178521163978625E-4</v>
      </c>
      <c r="AC1037" s="12">
        <v>6.750373892081496E-2</v>
      </c>
      <c r="AD1037" s="12">
        <v>1.6228704637653062E-6</v>
      </c>
      <c r="AE1037" s="12">
        <v>0.3152427890443939</v>
      </c>
      <c r="AF1037" s="12">
        <v>0.41482824864838824</v>
      </c>
      <c r="AG1037" s="12">
        <v>0.25981481659215466</v>
      </c>
      <c r="AH1037" s="12">
        <v>0.42287674791372259</v>
      </c>
    </row>
    <row r="1038" spans="24:34" x14ac:dyDescent="0.25">
      <c r="X1038">
        <v>71.8</v>
      </c>
      <c r="Y1038" s="12">
        <v>71.53220273443263</v>
      </c>
      <c r="Z1038" s="12">
        <v>0.26779726556736705</v>
      </c>
      <c r="AA1038" s="12">
        <v>0.2679809478266435</v>
      </c>
      <c r="AB1038" s="12">
        <v>6.8543029182566194E-4</v>
      </c>
      <c r="AC1038" s="12">
        <v>4.2778314418602713E-2</v>
      </c>
      <c r="AD1038" s="12">
        <v>6.2759346838218609E-7</v>
      </c>
      <c r="AE1038" s="12">
        <v>0.3152427890443939</v>
      </c>
      <c r="AF1038" s="12">
        <v>0.41553551042802428</v>
      </c>
      <c r="AG1038" s="12">
        <v>0.20682919140827949</v>
      </c>
      <c r="AH1038" s="12">
        <v>0.26798094782663956</v>
      </c>
    </row>
    <row r="1039" spans="24:34" x14ac:dyDescent="0.25">
      <c r="X1039">
        <v>71.400000000000006</v>
      </c>
      <c r="Y1039" s="12">
        <v>71.285615937954674</v>
      </c>
      <c r="Z1039" s="12">
        <v>0.1143840620453318</v>
      </c>
      <c r="AA1039" s="12">
        <v>0.11446062749654118</v>
      </c>
      <c r="AB1039" s="12">
        <v>6.6892391632977148E-4</v>
      </c>
      <c r="AC1039" s="12">
        <v>1.8271721143007399E-2</v>
      </c>
      <c r="AD1039" s="12">
        <v>1.1173680586978827E-7</v>
      </c>
      <c r="AE1039" s="12">
        <v>0.3152427890443939</v>
      </c>
      <c r="AF1039" s="12">
        <v>0.4158689528288485</v>
      </c>
      <c r="AG1039" s="12">
        <v>0.13517293051128024</v>
      </c>
      <c r="AH1039" s="12">
        <v>0.11446062749654236</v>
      </c>
    </row>
    <row r="1040" spans="24:34" x14ac:dyDescent="0.25">
      <c r="X1040">
        <v>71</v>
      </c>
      <c r="Y1040" s="12">
        <v>71.039029141476703</v>
      </c>
      <c r="Z1040" s="12">
        <v>-3.9029141476703444E-2</v>
      </c>
      <c r="AA1040" s="12">
        <v>-3.9054696905139963E-2</v>
      </c>
      <c r="AB1040" s="12">
        <v>6.5434968019095101E-4</v>
      </c>
      <c r="AC1040" s="12">
        <v>-6.2344733757536382E-3</v>
      </c>
      <c r="AD1040" s="12">
        <v>1.2725173768574069E-8</v>
      </c>
      <c r="AE1040" s="12">
        <v>0.3152427890443939</v>
      </c>
      <c r="AF1040" s="12">
        <v>0.41696409236442006</v>
      </c>
      <c r="AG1040" s="12">
        <v>7.8958681446397255E-2</v>
      </c>
      <c r="AH1040" s="12">
        <v>-3.9054696905133274E-2</v>
      </c>
    </row>
    <row r="1041" spans="24:34" x14ac:dyDescent="0.25">
      <c r="X1041">
        <v>77</v>
      </c>
      <c r="Y1041" s="12">
        <v>70.841759704294333</v>
      </c>
      <c r="Z1041" s="12">
        <v>6.1582402957056672</v>
      </c>
      <c r="AA1041" s="12">
        <v>6.162209260267943</v>
      </c>
      <c r="AB1041" s="12">
        <v>6.440814316169849E-4</v>
      </c>
      <c r="AC1041" s="12">
        <v>0.98370567397769704</v>
      </c>
      <c r="AD1041" s="12">
        <v>3.1183219174103549E-4</v>
      </c>
      <c r="AE1041" s="12">
        <v>0.3152427890443939</v>
      </c>
      <c r="AF1041" s="12">
        <v>0.41762196313227362</v>
      </c>
      <c r="AG1041" s="12">
        <v>0.99181937568173018</v>
      </c>
      <c r="AH1041" s="12">
        <v>6.1622092602679439</v>
      </c>
    </row>
    <row r="1042" spans="24:34" x14ac:dyDescent="0.25">
      <c r="X1042">
        <v>72</v>
      </c>
      <c r="Y1042" s="12">
        <v>70.595172907816377</v>
      </c>
      <c r="Z1042" s="12">
        <v>1.4048270921836234</v>
      </c>
      <c r="AA1042" s="12">
        <v>1.40571688995432</v>
      </c>
      <c r="AB1042" s="12">
        <v>6.3298504632089045E-4</v>
      </c>
      <c r="AC1042" s="12">
        <v>0.22440318062537842</v>
      </c>
      <c r="AD1042" s="12">
        <v>1.5947641344644647E-5</v>
      </c>
      <c r="AE1042" s="12">
        <v>0.33286538375086522</v>
      </c>
      <c r="AF1042" s="12">
        <v>0.41762196313227362</v>
      </c>
      <c r="AG1042" s="12">
        <v>0.47371212843390281</v>
      </c>
      <c r="AH1042" s="12">
        <v>1.4057168899543253</v>
      </c>
    </row>
    <row r="1043" spans="24:34" x14ac:dyDescent="0.25">
      <c r="X1043">
        <v>69.900000000000006</v>
      </c>
      <c r="Y1043" s="12">
        <v>70.397903470634006</v>
      </c>
      <c r="Z1043" s="12">
        <v>-0.4979034706340002</v>
      </c>
      <c r="AA1043" s="12">
        <v>-0.49821510372223088</v>
      </c>
      <c r="AB1043" s="12">
        <v>6.2549907842110518E-4</v>
      </c>
      <c r="AC1043" s="12">
        <v>-7.9533420593903323E-2</v>
      </c>
      <c r="AD1043" s="12">
        <v>1.9795557465915228E-6</v>
      </c>
      <c r="AE1043" s="12">
        <v>0.33286538375086522</v>
      </c>
      <c r="AF1043" s="12">
        <v>0.41762196313227362</v>
      </c>
      <c r="AG1043" s="12">
        <v>0.28201670268603474</v>
      </c>
      <c r="AH1043" s="12">
        <v>-0.49821510372223393</v>
      </c>
    </row>
    <row r="1044" spans="24:34" x14ac:dyDescent="0.25">
      <c r="X1044">
        <v>69.5</v>
      </c>
      <c r="Y1044" s="12">
        <v>76.858477538356638</v>
      </c>
      <c r="Z1044" s="12">
        <v>-7.3584775383566381</v>
      </c>
      <c r="AA1044" s="12">
        <v>-7.3696319522236564</v>
      </c>
      <c r="AB1044" s="12">
        <v>1.5135645768105384E-3</v>
      </c>
      <c r="AC1044" s="12">
        <v>-1.1759409755051289</v>
      </c>
      <c r="AD1044" s="12">
        <v>1.0480930404610652E-3</v>
      </c>
      <c r="AE1044" s="12">
        <v>0.33286538375086522</v>
      </c>
      <c r="AF1044" s="12">
        <v>0.41968761145274608</v>
      </c>
      <c r="AG1044" s="12">
        <v>1.0844081222054403</v>
      </c>
      <c r="AH1044" s="12">
        <v>-7.3696319522236546</v>
      </c>
    </row>
    <row r="1045" spans="24:34" x14ac:dyDescent="0.25">
      <c r="X1045">
        <v>69</v>
      </c>
      <c r="Y1045" s="12">
        <v>69.954047236973665</v>
      </c>
      <c r="Z1045" s="12">
        <v>-0.95404723697366478</v>
      </c>
      <c r="AA1045" s="12">
        <v>-0.95463259558796665</v>
      </c>
      <c r="AB1045" s="12">
        <v>6.1317685674213221E-4</v>
      </c>
      <c r="AC1045" s="12">
        <v>-0.15239534740151697</v>
      </c>
      <c r="AD1045" s="12">
        <v>7.1246831768611239E-6</v>
      </c>
      <c r="AE1045" s="12">
        <v>0.33286538375086522</v>
      </c>
      <c r="AF1045" s="12">
        <v>0.41968761145274608</v>
      </c>
      <c r="AG1045" s="12">
        <v>0.39037846687735861</v>
      </c>
      <c r="AH1045" s="12">
        <v>-0.95463259558797098</v>
      </c>
    </row>
    <row r="1046" spans="24:34" x14ac:dyDescent="0.25">
      <c r="X1046">
        <v>68.599999999999994</v>
      </c>
      <c r="Y1046" s="12">
        <v>76.809160179061038</v>
      </c>
      <c r="Z1046" s="12">
        <v>-8.209160179061044</v>
      </c>
      <c r="AA1046" s="12">
        <v>-8.2215069248271249</v>
      </c>
      <c r="AB1046" s="12">
        <v>1.5017618885402521E-3</v>
      </c>
      <c r="AC1046" s="12">
        <v>-1.311878812474371</v>
      </c>
      <c r="AD1046" s="12">
        <v>1.2942292661611691E-3</v>
      </c>
      <c r="AE1046" s="12">
        <v>0.33286538375086522</v>
      </c>
      <c r="AF1046" s="12">
        <v>0.41990290840116418</v>
      </c>
      <c r="AG1046" s="12">
        <v>1.1453727831908576</v>
      </c>
      <c r="AH1046" s="12">
        <v>-8.2215069248271195</v>
      </c>
    </row>
    <row r="1047" spans="24:34" x14ac:dyDescent="0.25">
      <c r="X1047">
        <v>56.7</v>
      </c>
      <c r="Y1047" s="12">
        <v>59.104228191943299</v>
      </c>
      <c r="Z1047" s="12">
        <v>-2.4042281919432966</v>
      </c>
      <c r="AA1047" s="12">
        <v>-2.4096711344742232</v>
      </c>
      <c r="AB1047" s="12">
        <v>2.258790609662064E-3</v>
      </c>
      <c r="AC1047" s="12">
        <v>-0.38435750892062887</v>
      </c>
      <c r="AD1047" s="12">
        <v>1.6722407710765733E-4</v>
      </c>
      <c r="AE1047" s="12">
        <v>0.33286538375086522</v>
      </c>
      <c r="AF1047" s="12">
        <v>0.42025324486442955</v>
      </c>
      <c r="AG1047" s="12">
        <v>0.61996573205349736</v>
      </c>
      <c r="AH1047" s="12">
        <v>-2.4096711344742205</v>
      </c>
    </row>
    <row r="1048" spans="24:34" x14ac:dyDescent="0.25">
      <c r="X1048">
        <v>55.3</v>
      </c>
      <c r="Y1048" s="12">
        <v>75.329639400193258</v>
      </c>
      <c r="Z1048" s="12">
        <v>-20.029639400193261</v>
      </c>
      <c r="AA1048" s="12">
        <v>-20.053374956457048</v>
      </c>
      <c r="AB1048" s="12">
        <v>1.1836190324731731E-3</v>
      </c>
      <c r="AC1048" s="12">
        <v>-3.200360799050066</v>
      </c>
      <c r="AD1048" s="12">
        <v>6.0686790829587575E-3</v>
      </c>
      <c r="AE1048" s="12">
        <v>0.33286538375086522</v>
      </c>
      <c r="AF1048" s="12">
        <v>0.42156734360487735</v>
      </c>
      <c r="AG1048" s="12">
        <v>1.7889552255576622</v>
      </c>
      <c r="AH1048" s="12">
        <v>-20.053374956457045</v>
      </c>
    </row>
    <row r="1049" spans="24:34" x14ac:dyDescent="0.25">
      <c r="X1049">
        <v>54.8</v>
      </c>
      <c r="Y1049" s="12">
        <v>75.231004681602073</v>
      </c>
      <c r="Z1049" s="12">
        <v>-20.431004681602076</v>
      </c>
      <c r="AA1049" s="12">
        <v>-20.454832160635604</v>
      </c>
      <c r="AB1049" s="12">
        <v>1.1648826471124174E-3</v>
      </c>
      <c r="AC1049" s="12">
        <v>-3.2644608267972202</v>
      </c>
      <c r="AD1049" s="12">
        <v>6.2141438160224719E-3</v>
      </c>
      <c r="AE1049" s="12">
        <v>0.33286538375086522</v>
      </c>
      <c r="AF1049" s="12">
        <v>0.42199770952054161</v>
      </c>
      <c r="AG1049" s="12">
        <v>1.8067818979603543</v>
      </c>
      <c r="AH1049" s="12">
        <v>-20.454832160635597</v>
      </c>
    </row>
    <row r="1050" spans="24:34" x14ac:dyDescent="0.25">
      <c r="X1050">
        <v>54.3</v>
      </c>
      <c r="Y1050" s="12">
        <v>75.280322040897673</v>
      </c>
      <c r="Z1050" s="12">
        <v>-20.980322040897676</v>
      </c>
      <c r="AA1050" s="12">
        <v>-21.004986352070219</v>
      </c>
      <c r="AB1050" s="12">
        <v>1.174212197005654E-3</v>
      </c>
      <c r="AC1050" s="12">
        <v>-3.3522462730595386</v>
      </c>
      <c r="AD1050" s="12">
        <v>6.6053932502561875E-3</v>
      </c>
      <c r="AE1050" s="12">
        <v>0.33286538375086522</v>
      </c>
      <c r="AF1050" s="12">
        <v>0.42243447877963397</v>
      </c>
      <c r="AG1050" s="12">
        <v>1.8309140539794704</v>
      </c>
      <c r="AH1050" s="12">
        <v>-21.004986352070212</v>
      </c>
    </row>
    <row r="1051" spans="24:34" x14ac:dyDescent="0.25">
      <c r="X1051">
        <v>54</v>
      </c>
      <c r="Y1051" s="12">
        <v>75.280322040897673</v>
      </c>
      <c r="Z1051" s="12">
        <v>-21.280322040897673</v>
      </c>
      <c r="AA1051" s="12">
        <v>-21.305339029847858</v>
      </c>
      <c r="AB1051" s="12">
        <v>1.174212197005654E-3</v>
      </c>
      <c r="AC1051" s="12">
        <v>-3.4001804220186185</v>
      </c>
      <c r="AD1051" s="12">
        <v>6.795646351335052E-3</v>
      </c>
      <c r="AE1051" s="12">
        <v>0.33286538375086522</v>
      </c>
      <c r="AF1051" s="12">
        <v>0.4244386455714102</v>
      </c>
      <c r="AG1051" s="12">
        <v>1.8439578145984301</v>
      </c>
      <c r="AH1051" s="12">
        <v>-21.305339029847861</v>
      </c>
    </row>
    <row r="1052" spans="24:34" x14ac:dyDescent="0.25">
      <c r="X1052">
        <v>53.8</v>
      </c>
      <c r="Y1052" s="12">
        <v>77.40096849060815</v>
      </c>
      <c r="Z1052" s="12">
        <v>-23.600968490608153</v>
      </c>
      <c r="AA1052" s="12">
        <v>-23.639938811437133</v>
      </c>
      <c r="AB1052" s="12">
        <v>1.6484949956863493E-3</v>
      </c>
      <c r="AC1052" s="12">
        <v>-3.7718700884359926</v>
      </c>
      <c r="AD1052" s="12">
        <v>1.1745935535112655E-2</v>
      </c>
      <c r="AE1052" s="12">
        <v>0.33286538375086522</v>
      </c>
      <c r="AF1052" s="12">
        <v>0.42506064298191804</v>
      </c>
      <c r="AG1052" s="12">
        <v>1.9421302964621072</v>
      </c>
      <c r="AH1052" s="12">
        <v>-23.639938811437137</v>
      </c>
    </row>
    <row r="1053" spans="24:34" x14ac:dyDescent="0.25">
      <c r="X1053">
        <v>53.2</v>
      </c>
      <c r="Y1053" s="12">
        <v>75.378956759488858</v>
      </c>
      <c r="Z1053" s="12">
        <v>-22.178956759488855</v>
      </c>
      <c r="AA1053" s="12">
        <v>-22.205450152090535</v>
      </c>
      <c r="AB1053" s="12">
        <v>1.1931031535149751E-3</v>
      </c>
      <c r="AC1053" s="12">
        <v>-3.5437982359325448</v>
      </c>
      <c r="AD1053" s="12">
        <v>7.5007456817614169E-3</v>
      </c>
      <c r="AE1053" s="12">
        <v>0.33286538375086522</v>
      </c>
      <c r="AF1053" s="12">
        <v>0.42629843367895293</v>
      </c>
      <c r="AG1053" s="12">
        <v>1.8824978714284233</v>
      </c>
      <c r="AH1053" s="12">
        <v>-22.205450152090535</v>
      </c>
    </row>
    <row r="1054" spans="24:34" x14ac:dyDescent="0.25">
      <c r="X1054">
        <v>52.1</v>
      </c>
      <c r="Y1054" s="12">
        <v>56.638360227163673</v>
      </c>
      <c r="Z1054" s="12">
        <v>-4.5383602271636718</v>
      </c>
      <c r="AA1054" s="12">
        <v>-4.552721657249414</v>
      </c>
      <c r="AB1054" s="12">
        <v>3.1544713617345814E-3</v>
      </c>
      <c r="AC1054" s="12">
        <v>-0.72586134921110179</v>
      </c>
      <c r="AD1054" s="12">
        <v>8.3363525199969997E-4</v>
      </c>
      <c r="AE1054" s="12">
        <v>0.35220887014201224</v>
      </c>
      <c r="AF1054" s="12">
        <v>0.42878470012611719</v>
      </c>
      <c r="AG1054" s="12">
        <v>0.85197496982663867</v>
      </c>
      <c r="AH1054" s="12">
        <v>-4.552721657249414</v>
      </c>
    </row>
    <row r="1055" spans="24:34" x14ac:dyDescent="0.25">
      <c r="X1055">
        <v>51.2</v>
      </c>
      <c r="Y1055" s="12">
        <v>56.194503993503332</v>
      </c>
      <c r="Z1055" s="12">
        <v>-4.9945039935033293</v>
      </c>
      <c r="AA1055" s="12">
        <v>-5.0112225002423685</v>
      </c>
      <c r="AB1055" s="12">
        <v>3.3362132170797164E-3</v>
      </c>
      <c r="AC1055" s="12">
        <v>-0.79888941148836567</v>
      </c>
      <c r="AD1055" s="12">
        <v>1.068189868018647E-3</v>
      </c>
      <c r="AE1055" s="12">
        <v>0.35220887014201224</v>
      </c>
      <c r="AF1055" s="12">
        <v>0.43090780276277685</v>
      </c>
      <c r="AG1055" s="12">
        <v>0.89380613753115712</v>
      </c>
      <c r="AH1055" s="12">
        <v>-5.0112225002423649</v>
      </c>
    </row>
    <row r="1056" spans="24:34" x14ac:dyDescent="0.25">
      <c r="X1056">
        <v>58</v>
      </c>
      <c r="Y1056" s="12">
        <v>56.194503993503332</v>
      </c>
      <c r="Z1056" s="12">
        <v>1.8054960064966679</v>
      </c>
      <c r="AA1056" s="12">
        <v>1.8115396891508766</v>
      </c>
      <c r="AB1056" s="12">
        <v>3.3362132170797164E-3</v>
      </c>
      <c r="AC1056" s="12">
        <v>0.28879577310398158</v>
      </c>
      <c r="AD1056" s="12">
        <v>1.3959079773892351E-4</v>
      </c>
      <c r="AE1056" s="12">
        <v>0.35220887014201224</v>
      </c>
      <c r="AF1056" s="12">
        <v>0.43166861937682455</v>
      </c>
      <c r="AG1056" s="12">
        <v>0.53739722096786247</v>
      </c>
      <c r="AH1056" s="12">
        <v>1.8115396891508775</v>
      </c>
    </row>
    <row r="1057" spans="24:34" x14ac:dyDescent="0.25">
      <c r="X1057">
        <v>54</v>
      </c>
      <c r="Y1057" s="12">
        <v>56.441090789981303</v>
      </c>
      <c r="Z1057" s="12">
        <v>-2.4410907899813026</v>
      </c>
      <c r="AA1057" s="12">
        <v>-2.4490120525187891</v>
      </c>
      <c r="AB1057" s="12">
        <v>3.2344726639229257E-3</v>
      </c>
      <c r="AC1057" s="12">
        <v>-0.39044158487358432</v>
      </c>
      <c r="AD1057" s="12">
        <v>2.4733900744513908E-4</v>
      </c>
      <c r="AE1057" s="12">
        <v>0.35220887014201224</v>
      </c>
      <c r="AF1057" s="12">
        <v>0.43315723208680679</v>
      </c>
      <c r="AG1057" s="12">
        <v>0.62485325067057496</v>
      </c>
      <c r="AH1057" s="12">
        <v>-2.4490120525187926</v>
      </c>
    </row>
    <row r="1058" spans="24:34" x14ac:dyDescent="0.25">
      <c r="X1058">
        <v>51</v>
      </c>
      <c r="Y1058" s="12">
        <v>56.687677586459259</v>
      </c>
      <c r="Z1058" s="12">
        <v>-5.6876775864592588</v>
      </c>
      <c r="AA1058" s="12">
        <v>-5.7055626095984096</v>
      </c>
      <c r="AB1058" s="12">
        <v>3.1346642501232022E-3</v>
      </c>
      <c r="AC1058" s="12">
        <v>-0.90967312088099062</v>
      </c>
      <c r="AD1058" s="12">
        <v>1.3010538299385705E-3</v>
      </c>
      <c r="AE1058" s="12">
        <v>0.35220887014201224</v>
      </c>
      <c r="AF1058" s="12">
        <v>0.43315723208680679</v>
      </c>
      <c r="AG1058" s="12">
        <v>0.95376785481635451</v>
      </c>
      <c r="AH1058" s="12">
        <v>-5.7055626095984069</v>
      </c>
    </row>
    <row r="1059" spans="24:34" x14ac:dyDescent="0.25">
      <c r="X1059">
        <v>49.8</v>
      </c>
      <c r="Y1059" s="12">
        <v>57.082216460824</v>
      </c>
      <c r="Z1059" s="12">
        <v>-7.282216460824003</v>
      </c>
      <c r="AA1059" s="12">
        <v>-7.303974926445413</v>
      </c>
      <c r="AB1059" s="12">
        <v>2.9789896379063523E-3</v>
      </c>
      <c r="AC1059" s="12">
        <v>-1.1646088029832677</v>
      </c>
      <c r="AD1059" s="12">
        <v>2.0262583780947894E-3</v>
      </c>
      <c r="AE1059" s="12">
        <v>0.35220887014201224</v>
      </c>
      <c r="AF1059" s="12">
        <v>0.43315723208680679</v>
      </c>
      <c r="AG1059" s="12">
        <v>1.0791704235120918</v>
      </c>
      <c r="AH1059" s="12">
        <v>-7.3039749264454112</v>
      </c>
    </row>
    <row r="1060" spans="24:34" x14ac:dyDescent="0.25">
      <c r="X1060">
        <v>49.5</v>
      </c>
      <c r="Y1060" s="12">
        <v>75.231004681602073</v>
      </c>
      <c r="Z1060" s="12">
        <v>-25.731004681602073</v>
      </c>
      <c r="AA1060" s="12">
        <v>-25.761013238896098</v>
      </c>
      <c r="AB1060" s="12">
        <v>1.1648826471124174E-3</v>
      </c>
      <c r="AC1060" s="12">
        <v>-4.1112935034890921</v>
      </c>
      <c r="AD1060" s="12">
        <v>9.8563323915716074E-3</v>
      </c>
      <c r="AE1060" s="12">
        <v>0.35220887014201224</v>
      </c>
      <c r="AF1060" s="12">
        <v>0.43381544577603165</v>
      </c>
      <c r="AG1060" s="12">
        <v>2.0276324872838991</v>
      </c>
      <c r="AH1060" s="12">
        <v>-25.761013238896098</v>
      </c>
    </row>
    <row r="1061" spans="24:34" x14ac:dyDescent="0.25">
      <c r="X1061">
        <v>66.400000000000006</v>
      </c>
      <c r="Y1061" s="12">
        <v>76.562573382583082</v>
      </c>
      <c r="Z1061" s="12">
        <v>-10.162573382583076</v>
      </c>
      <c r="AA1061" s="12">
        <v>-10.17726841913192</v>
      </c>
      <c r="AB1061" s="12">
        <v>1.4439077308030642E-3</v>
      </c>
      <c r="AC1061" s="12">
        <v>-1.6240002861548399</v>
      </c>
      <c r="AD1061" s="12">
        <v>1.9068177375960831E-3</v>
      </c>
      <c r="AE1061" s="12">
        <v>0.35220887014201224</v>
      </c>
      <c r="AF1061" s="12">
        <v>0.43535368139474029</v>
      </c>
      <c r="AG1061" s="12">
        <v>1.2743626980396279</v>
      </c>
      <c r="AH1061" s="12">
        <v>-10.177268419131918</v>
      </c>
    </row>
    <row r="1062" spans="24:34" x14ac:dyDescent="0.25">
      <c r="X1062">
        <v>66.2</v>
      </c>
      <c r="Y1062" s="12">
        <v>76.513256023287482</v>
      </c>
      <c r="Z1062" s="12">
        <v>-10.313256023287479</v>
      </c>
      <c r="AA1062" s="12">
        <v>-10.328051667416347</v>
      </c>
      <c r="AB1062" s="12">
        <v>1.4325687559784749E-3</v>
      </c>
      <c r="AC1062" s="12">
        <v>-1.648070327196467</v>
      </c>
      <c r="AD1062" s="12">
        <v>1.9483167421538183E-3</v>
      </c>
      <c r="AE1062" s="12">
        <v>0.35220887014201224</v>
      </c>
      <c r="AF1062" s="12">
        <v>0.43600902513932188</v>
      </c>
      <c r="AG1062" s="12">
        <v>1.283771914008274</v>
      </c>
      <c r="AH1062" s="12">
        <v>-10.328051667416352</v>
      </c>
    </row>
    <row r="1063" spans="24:34" x14ac:dyDescent="0.25">
      <c r="X1063">
        <v>65.900000000000006</v>
      </c>
      <c r="Y1063" s="12">
        <v>76.365303945400711</v>
      </c>
      <c r="Z1063" s="12">
        <v>-10.465303945400706</v>
      </c>
      <c r="AA1063" s="12">
        <v>-10.479965580157895</v>
      </c>
      <c r="AB1063" s="12">
        <v>1.399015544950404E-3</v>
      </c>
      <c r="AC1063" s="12">
        <v>-1.6723396660851166</v>
      </c>
      <c r="AD1063" s="12">
        <v>1.9590681153372944E-3</v>
      </c>
      <c r="AE1063" s="12">
        <v>0.35220887014201224</v>
      </c>
      <c r="AF1063" s="12">
        <v>0.43753471571753016</v>
      </c>
      <c r="AG1063" s="12">
        <v>1.2931897254792573</v>
      </c>
      <c r="AH1063" s="12">
        <v>-10.479965580157891</v>
      </c>
    </row>
    <row r="1064" spans="24:34" x14ac:dyDescent="0.25">
      <c r="X1064">
        <v>65.599999999999994</v>
      </c>
      <c r="Y1064" s="12">
        <v>76.266669226809526</v>
      </c>
      <c r="Z1064" s="12">
        <v>-10.666669226809532</v>
      </c>
      <c r="AA1064" s="12">
        <v>-10.681377838345853</v>
      </c>
      <c r="AB1064" s="12">
        <v>1.3770331654697706E-3</v>
      </c>
      <c r="AC1064" s="12">
        <v>-1.7044987714215842</v>
      </c>
      <c r="AD1064" s="12">
        <v>2.003116644673971E-3</v>
      </c>
      <c r="AE1064" s="12">
        <v>0.35220887014201224</v>
      </c>
      <c r="AF1064" s="12">
        <v>0.43818959778333116</v>
      </c>
      <c r="AG1064" s="12">
        <v>1.3055645412700148</v>
      </c>
      <c r="AH1064" s="12">
        <v>-10.681377838345847</v>
      </c>
    </row>
    <row r="1065" spans="24:34" x14ac:dyDescent="0.25">
      <c r="X1065">
        <v>65.400000000000006</v>
      </c>
      <c r="Y1065" s="12">
        <v>76.168034508218341</v>
      </c>
      <c r="Z1065" s="12">
        <v>-10.768034508218335</v>
      </c>
      <c r="AA1065" s="12">
        <v>-10.782648878428944</v>
      </c>
      <c r="AB1065" s="12">
        <v>1.3553599282862686E-3</v>
      </c>
      <c r="AC1065" s="12">
        <v>-1.7206779391200755</v>
      </c>
      <c r="AD1065" s="12">
        <v>2.0091522664650641E-3</v>
      </c>
      <c r="AE1065" s="12">
        <v>0.35220887014201224</v>
      </c>
      <c r="AF1065" s="12">
        <v>0.43840802783845484</v>
      </c>
      <c r="AG1065" s="12">
        <v>1.31174614126365</v>
      </c>
      <c r="AH1065" s="12">
        <v>-10.782648878428938</v>
      </c>
    </row>
    <row r="1066" spans="24:34" x14ac:dyDescent="0.25">
      <c r="X1066">
        <v>65.2</v>
      </c>
      <c r="Y1066" s="12">
        <v>67.19227511642049</v>
      </c>
      <c r="Z1066" s="12">
        <v>-1.9922751164204868</v>
      </c>
      <c r="AA1066" s="12">
        <v>-1.9936251295821137</v>
      </c>
      <c r="AB1066" s="12">
        <v>6.7716500037877261E-4</v>
      </c>
      <c r="AC1066" s="12">
        <v>-0.31824753217350399</v>
      </c>
      <c r="AD1066" s="12">
        <v>3.4315377867252766E-5</v>
      </c>
      <c r="AE1066" s="12">
        <v>0.3716850598056044</v>
      </c>
      <c r="AF1066" s="12">
        <v>0.43950120294046674</v>
      </c>
      <c r="AG1066" s="12">
        <v>0.56413432103844208</v>
      </c>
      <c r="AH1066" s="12">
        <v>-1.9936251295821152</v>
      </c>
    </row>
    <row r="1067" spans="24:34" x14ac:dyDescent="0.25">
      <c r="X1067">
        <v>59.2</v>
      </c>
      <c r="Y1067" s="12">
        <v>63.000299576295113</v>
      </c>
      <c r="Z1067" s="12">
        <v>-3.8002995762951102</v>
      </c>
      <c r="AA1067" s="12">
        <v>-3.8050079832196104</v>
      </c>
      <c r="AB1067" s="12">
        <v>1.2374236651454919E-3</v>
      </c>
      <c r="AC1067" s="12">
        <v>-0.60723296817394412</v>
      </c>
      <c r="AD1067" s="12">
        <v>2.284214298238775E-4</v>
      </c>
      <c r="AE1067" s="12">
        <v>0.3716850598056044</v>
      </c>
      <c r="AF1067" s="12">
        <v>0.44191225144460644</v>
      </c>
      <c r="AG1067" s="12">
        <v>0.77925154358136761</v>
      </c>
      <c r="AH1067" s="12">
        <v>-3.8050079832196135</v>
      </c>
    </row>
    <row r="1068" spans="24:34" x14ac:dyDescent="0.25">
      <c r="X1068">
        <v>64.5</v>
      </c>
      <c r="Y1068" s="12">
        <v>66.896370960646934</v>
      </c>
      <c r="Z1068" s="12">
        <v>-2.3963709606469337</v>
      </c>
      <c r="AA1068" s="12">
        <v>-2.3980457461792497</v>
      </c>
      <c r="AB1068" s="12">
        <v>6.9839598972787061E-4</v>
      </c>
      <c r="AC1068" s="12">
        <v>-0.38280217401658212</v>
      </c>
      <c r="AD1068" s="12">
        <v>5.1206365039949586E-5</v>
      </c>
      <c r="AE1068" s="12">
        <v>0.3716850598056044</v>
      </c>
      <c r="AF1068" s="12">
        <v>0.44235152761949598</v>
      </c>
      <c r="AG1068" s="12">
        <v>0.61871008882721645</v>
      </c>
      <c r="AH1068" s="12">
        <v>-2.3980457461792493</v>
      </c>
    </row>
    <row r="1069" spans="24:34" x14ac:dyDescent="0.25">
      <c r="X1069">
        <v>64.2</v>
      </c>
      <c r="Y1069" s="12">
        <v>76.513256023287482</v>
      </c>
      <c r="Z1069" s="12">
        <v>-12.313256023287479</v>
      </c>
      <c r="AA1069" s="12">
        <v>-12.330920915323219</v>
      </c>
      <c r="AB1069" s="12">
        <v>1.4325687559784749E-3</v>
      </c>
      <c r="AC1069" s="12">
        <v>-1.967672657144468</v>
      </c>
      <c r="AD1069" s="12">
        <v>2.7772423780102308E-3</v>
      </c>
      <c r="AE1069" s="12">
        <v>0.3716850598056044</v>
      </c>
      <c r="AF1069" s="12">
        <v>0.44462007868520387</v>
      </c>
      <c r="AG1069" s="12">
        <v>1.4027375581855888</v>
      </c>
      <c r="AH1069" s="12">
        <v>-12.330920915323214</v>
      </c>
    </row>
    <row r="1070" spans="24:34" x14ac:dyDescent="0.25">
      <c r="X1070">
        <v>63.9</v>
      </c>
      <c r="Y1070" s="12">
        <v>66.551149445577778</v>
      </c>
      <c r="Z1070" s="12">
        <v>-2.6511494455777793</v>
      </c>
      <c r="AA1070" s="12">
        <v>-2.6530773890839114</v>
      </c>
      <c r="AB1070" s="12">
        <v>7.266819709316856E-4</v>
      </c>
      <c r="AC1070" s="12">
        <v>-0.42350710789338514</v>
      </c>
      <c r="AD1070" s="12">
        <v>6.5215601733748459E-5</v>
      </c>
      <c r="AE1070" s="12">
        <v>0.3716850598056044</v>
      </c>
      <c r="AF1070" s="12">
        <v>0.44477257617243787</v>
      </c>
      <c r="AG1070" s="12">
        <v>0.65077423726925854</v>
      </c>
      <c r="AH1070" s="12">
        <v>-2.6530773890839132</v>
      </c>
    </row>
    <row r="1071" spans="24:34" x14ac:dyDescent="0.25">
      <c r="X1071">
        <v>63.5</v>
      </c>
      <c r="Y1071" s="12">
        <v>66.353880008395407</v>
      </c>
      <c r="Z1071" s="12">
        <v>-2.8538800083954072</v>
      </c>
      <c r="AA1071" s="12">
        <v>-2.8560064356245363</v>
      </c>
      <c r="AB1071" s="12">
        <v>7.4454567139665875E-4</v>
      </c>
      <c r="AC1071" s="12">
        <v>-0.45589631848913981</v>
      </c>
      <c r="AD1071" s="12">
        <v>7.7431378360463279E-5</v>
      </c>
      <c r="AE1071" s="12">
        <v>0.3716850598056044</v>
      </c>
      <c r="AF1071" s="12">
        <v>0.44519425872733576</v>
      </c>
      <c r="AG1071" s="12">
        <v>0.67520094674781062</v>
      </c>
      <c r="AH1071" s="12">
        <v>-2.8560064356245327</v>
      </c>
    </row>
    <row r="1072" spans="24:34" x14ac:dyDescent="0.25">
      <c r="X1072">
        <v>63.2</v>
      </c>
      <c r="Y1072" s="12">
        <v>66.205927930508636</v>
      </c>
      <c r="Z1072" s="12">
        <v>-3.0059279305086335</v>
      </c>
      <c r="AA1072" s="12">
        <v>-3.0082104250450641</v>
      </c>
      <c r="AB1072" s="12">
        <v>7.587549452753576E-4</v>
      </c>
      <c r="AC1072" s="12">
        <v>-0.48018880142942427</v>
      </c>
      <c r="AD1072" s="12">
        <v>8.7543769415735482E-5</v>
      </c>
      <c r="AE1072" s="12">
        <v>0.3716850598056044</v>
      </c>
      <c r="AF1072" s="12">
        <v>0.44688924590658619</v>
      </c>
      <c r="AG1072" s="12">
        <v>0.69295656532673411</v>
      </c>
      <c r="AH1072" s="12">
        <v>-3.0082104250450654</v>
      </c>
    </row>
    <row r="1073" spans="24:34" x14ac:dyDescent="0.25">
      <c r="X1073">
        <v>65.900000000000006</v>
      </c>
      <c r="Y1073" s="12">
        <v>65.66343697825711</v>
      </c>
      <c r="Z1073" s="12">
        <v>0.23656302174289578</v>
      </c>
      <c r="AA1073" s="12">
        <v>0.23675640593913272</v>
      </c>
      <c r="AB1073" s="12">
        <v>8.1680660538369673E-4</v>
      </c>
      <c r="AC1073" s="12">
        <v>3.7791396312061236E-2</v>
      </c>
      <c r="AD1073" s="12">
        <v>5.8375417816082682E-7</v>
      </c>
      <c r="AE1073" s="12">
        <v>0.3716850598056044</v>
      </c>
      <c r="AF1073" s="12">
        <v>0.45438157689727798</v>
      </c>
      <c r="AG1073" s="12">
        <v>0.19440009339519679</v>
      </c>
      <c r="AH1073" s="12">
        <v>0.23675640593913377</v>
      </c>
    </row>
    <row r="1074" spans="24:34" x14ac:dyDescent="0.25">
      <c r="X1074">
        <v>66.099999999999994</v>
      </c>
      <c r="Y1074" s="12">
        <v>66.156610571213037</v>
      </c>
      <c r="Z1074" s="12">
        <v>-5.6610571213042249E-2</v>
      </c>
      <c r="AA1074" s="12">
        <v>-5.665383468394225E-2</v>
      </c>
      <c r="AB1074" s="12">
        <v>7.6364594105015639E-4</v>
      </c>
      <c r="AC1074" s="12">
        <v>-9.0434067269810868E-3</v>
      </c>
      <c r="AD1074" s="12">
        <v>3.1250570731325045E-8</v>
      </c>
      <c r="AE1074" s="12">
        <v>0.3716850598056044</v>
      </c>
      <c r="AF1074" s="12">
        <v>0.45722779855613721</v>
      </c>
      <c r="AG1074" s="12">
        <v>9.5096828164671646E-2</v>
      </c>
      <c r="AH1074" s="12">
        <v>-5.6653834683943569E-2</v>
      </c>
    </row>
    <row r="1075" spans="24:34" x14ac:dyDescent="0.25">
      <c r="X1075">
        <v>65.8</v>
      </c>
      <c r="Y1075" s="12">
        <v>66.156610571213037</v>
      </c>
      <c r="Z1075" s="12">
        <v>-0.35661057121303941</v>
      </c>
      <c r="AA1075" s="12">
        <v>-0.35688310354649389</v>
      </c>
      <c r="AB1075" s="12">
        <v>7.6364594105015639E-4</v>
      </c>
      <c r="AC1075" s="12">
        <v>-5.6967707082199184E-2</v>
      </c>
      <c r="AD1075" s="12">
        <v>1.240084574696037E-6</v>
      </c>
      <c r="AE1075" s="12">
        <v>0.3716850598056044</v>
      </c>
      <c r="AF1075" s="12">
        <v>0.45810599617339653</v>
      </c>
      <c r="AG1075" s="12">
        <v>0.23867908807057056</v>
      </c>
      <c r="AH1075" s="12">
        <v>-0.35688310354649205</v>
      </c>
    </row>
    <row r="1076" spans="24:34" x14ac:dyDescent="0.25">
      <c r="X1076">
        <v>64.3</v>
      </c>
      <c r="Y1076" s="12">
        <v>64.381185636571701</v>
      </c>
      <c r="Z1076" s="12">
        <v>-8.1185636571703412E-2</v>
      </c>
      <c r="AA1076" s="12">
        <v>-8.1266187127269518E-2</v>
      </c>
      <c r="AB1076" s="12">
        <v>9.9119398141525182E-4</v>
      </c>
      <c r="AC1076" s="12">
        <v>-1.2970693045081264E-2</v>
      </c>
      <c r="AD1076" s="12">
        <v>8.3461408136805806E-8</v>
      </c>
      <c r="AE1076" s="12">
        <v>0.3716850598056044</v>
      </c>
      <c r="AF1076" s="12">
        <v>0.45810599617339653</v>
      </c>
      <c r="AG1076" s="12">
        <v>0.11388895049600406</v>
      </c>
      <c r="AH1076" s="12">
        <v>-8.1266187127276526E-2</v>
      </c>
    </row>
    <row r="1077" spans="24:34" x14ac:dyDescent="0.25">
      <c r="X1077">
        <v>63</v>
      </c>
      <c r="Y1077" s="12">
        <v>62.852347498408335</v>
      </c>
      <c r="Z1077" s="12">
        <v>0.14765250159166499</v>
      </c>
      <c r="AA1077" s="12">
        <v>0.14783987372879182</v>
      </c>
      <c r="AB1077" s="12">
        <v>1.2673991961778825E-3</v>
      </c>
      <c r="AC1077" s="12">
        <v>2.359309062089248E-2</v>
      </c>
      <c r="AD1077" s="12">
        <v>3.5318632264551687E-7</v>
      </c>
      <c r="AE1077" s="12">
        <v>0.3716850598056044</v>
      </c>
      <c r="AF1077" s="12">
        <v>0.45899040838685307</v>
      </c>
      <c r="AG1077" s="12">
        <v>0.1536004251976292</v>
      </c>
      <c r="AH1077" s="12">
        <v>0.1478398737287919</v>
      </c>
    </row>
    <row r="1078" spans="24:34" x14ac:dyDescent="0.25">
      <c r="X1078">
        <v>69.599999999999994</v>
      </c>
      <c r="Y1078" s="12">
        <v>69.806095159086894</v>
      </c>
      <c r="Z1078" s="12">
        <v>-0.20609515908689957</v>
      </c>
      <c r="AA1078" s="12">
        <v>-0.20622104891005222</v>
      </c>
      <c r="AB1078" s="12">
        <v>6.1046058985289825E-4</v>
      </c>
      <c r="AC1078" s="12">
        <v>-3.2920697704848345E-2</v>
      </c>
      <c r="AD1078" s="12">
        <v>3.310022139765821E-7</v>
      </c>
      <c r="AE1078" s="12">
        <v>0.3716850598056044</v>
      </c>
      <c r="AF1078" s="12">
        <v>0.4605594862738106</v>
      </c>
      <c r="AG1078" s="12">
        <v>0.18144061757183352</v>
      </c>
      <c r="AH1078" s="12">
        <v>-0.2062210489100573</v>
      </c>
    </row>
    <row r="1079" spans="24:34" x14ac:dyDescent="0.25">
      <c r="X1079">
        <v>69.3</v>
      </c>
      <c r="Y1079" s="12">
        <v>69.608825721904523</v>
      </c>
      <c r="Z1079" s="12">
        <v>-0.30882572190452606</v>
      </c>
      <c r="AA1079" s="12">
        <v>-0.30901357771639937</v>
      </c>
      <c r="AB1079" s="12">
        <v>6.0792089870721213E-4</v>
      </c>
      <c r="AC1079" s="12">
        <v>-4.9330345075884942E-2</v>
      </c>
      <c r="AD1079" s="12">
        <v>7.4013251157111059E-7</v>
      </c>
      <c r="AE1079" s="12">
        <v>0.3716850598056044</v>
      </c>
      <c r="AF1079" s="12">
        <v>0.46169555462833284</v>
      </c>
      <c r="AG1079" s="12">
        <v>0.22210435627399328</v>
      </c>
      <c r="AH1079" s="12">
        <v>-0.30901357771640414</v>
      </c>
    </row>
    <row r="1080" spans="24:34" x14ac:dyDescent="0.25">
      <c r="X1080">
        <v>68.900000000000006</v>
      </c>
      <c r="Y1080" s="12">
        <v>69.362238925426553</v>
      </c>
      <c r="Z1080" s="12">
        <v>-0.4622389254265471</v>
      </c>
      <c r="AA1080" s="12">
        <v>-0.46251943662429085</v>
      </c>
      <c r="AB1080" s="12">
        <v>6.0648521019646758E-4</v>
      </c>
      <c r="AC1080" s="12">
        <v>-7.3835784078024644E-2</v>
      </c>
      <c r="AD1080" s="12">
        <v>1.6541979345347718E-6</v>
      </c>
      <c r="AE1080" s="12">
        <v>0.3716850598056044</v>
      </c>
      <c r="AF1080" s="12">
        <v>0.46269615973055045</v>
      </c>
      <c r="AG1080" s="12">
        <v>0.27172740766809783</v>
      </c>
      <c r="AH1080" s="12">
        <v>-0.46251943662428813</v>
      </c>
    </row>
    <row r="1081" spans="24:34" x14ac:dyDescent="0.25">
      <c r="X1081">
        <v>68.400000000000006</v>
      </c>
      <c r="Y1081" s="12">
        <v>69.115652128948597</v>
      </c>
      <c r="Z1081" s="12">
        <v>-0.71565212894859087</v>
      </c>
      <c r="AA1081" s="12">
        <v>-0.71608678049206276</v>
      </c>
      <c r="AB1081" s="12">
        <v>6.0698166104279291E-4</v>
      </c>
      <c r="AC1081" s="12">
        <v>-0.11431479757712931</v>
      </c>
      <c r="AD1081" s="12">
        <v>3.9683883522101888E-6</v>
      </c>
      <c r="AE1081" s="12">
        <v>0.3716850598056044</v>
      </c>
      <c r="AF1081" s="12">
        <v>0.46510506260498918</v>
      </c>
      <c r="AG1081" s="12">
        <v>0.33810471392325975</v>
      </c>
      <c r="AH1081" s="12">
        <v>-0.71608678049206476</v>
      </c>
    </row>
    <row r="1082" spans="24:34" x14ac:dyDescent="0.25">
      <c r="X1082">
        <v>68</v>
      </c>
      <c r="Y1082" s="12">
        <v>68.819747973175041</v>
      </c>
      <c r="Z1082" s="12">
        <v>-0.81974797317504056</v>
      </c>
      <c r="AA1082" s="12">
        <v>-0.8202484295661634</v>
      </c>
      <c r="AB1082" s="12">
        <v>6.1012782600971583E-4</v>
      </c>
      <c r="AC1082" s="12">
        <v>-0.13094276860157744</v>
      </c>
      <c r="AD1082" s="12">
        <v>5.2338217912043778E-6</v>
      </c>
      <c r="AE1082" s="12">
        <v>0.39787592189543292</v>
      </c>
      <c r="AF1082" s="12">
        <v>0.46804530303146752</v>
      </c>
      <c r="AG1082" s="12">
        <v>0.36186015061288174</v>
      </c>
      <c r="AH1082" s="12">
        <v>-0.82024842956615962</v>
      </c>
    </row>
    <row r="1083" spans="24:34" x14ac:dyDescent="0.25">
      <c r="X1083">
        <v>67.5</v>
      </c>
      <c r="Y1083" s="12">
        <v>68.573161176697084</v>
      </c>
      <c r="Z1083" s="12">
        <v>-1.0731611766970843</v>
      </c>
      <c r="AA1083" s="12">
        <v>-1.0738214426388453</v>
      </c>
      <c r="AB1083" s="12">
        <v>6.1487498344159504E-4</v>
      </c>
      <c r="AC1083" s="12">
        <v>-0.17142223461031084</v>
      </c>
      <c r="AD1083" s="12">
        <v>9.0397881219038382E-6</v>
      </c>
      <c r="AE1083" s="12">
        <v>0.39787592189543292</v>
      </c>
      <c r="AF1083" s="12">
        <v>0.46969997905317407</v>
      </c>
      <c r="AG1083" s="12">
        <v>0.41403168309962807</v>
      </c>
      <c r="AH1083" s="12">
        <v>-1.0738214426388462</v>
      </c>
    </row>
    <row r="1084" spans="24:34" x14ac:dyDescent="0.25">
      <c r="X1084">
        <v>67</v>
      </c>
      <c r="Y1084" s="12">
        <v>68.277257020923514</v>
      </c>
      <c r="Z1084" s="12">
        <v>-1.2772570209235141</v>
      </c>
      <c r="AA1084" s="12">
        <v>-1.2780534041120717</v>
      </c>
      <c r="AB1084" s="12">
        <v>6.2312199631118278E-4</v>
      </c>
      <c r="AC1084" s="12">
        <v>-0.20402448472478024</v>
      </c>
      <c r="AD1084" s="12">
        <v>1.2977121437840352E-5</v>
      </c>
      <c r="AE1084" s="12">
        <v>0.39787592189543292</v>
      </c>
      <c r="AF1084" s="12">
        <v>0.47057365437582693</v>
      </c>
      <c r="AG1084" s="12">
        <v>0.45169069585810623</v>
      </c>
      <c r="AH1084" s="12">
        <v>-1.2780534041120768</v>
      </c>
    </row>
    <row r="1085" spans="24:34" x14ac:dyDescent="0.25">
      <c r="X1085">
        <v>66.599999999999994</v>
      </c>
      <c r="Y1085" s="12">
        <v>68.030670224445558</v>
      </c>
      <c r="Z1085" s="12">
        <v>-1.4306702244455636</v>
      </c>
      <c r="AA1085" s="12">
        <v>-1.4315751515303958</v>
      </c>
      <c r="AB1085" s="12">
        <v>6.3211986032861618E-4</v>
      </c>
      <c r="AC1085" s="12">
        <v>-0.22853119192202143</v>
      </c>
      <c r="AD1085" s="12">
        <v>1.6517146554730656E-5</v>
      </c>
      <c r="AE1085" s="12">
        <v>0.39787592189543292</v>
      </c>
      <c r="AF1085" s="12">
        <v>0.4729823225772144</v>
      </c>
      <c r="AG1085" s="12">
        <v>0.47804936138648008</v>
      </c>
      <c r="AH1085" s="12">
        <v>-1.4315751515303989</v>
      </c>
    </row>
    <row r="1086" spans="24:34" x14ac:dyDescent="0.25">
      <c r="X1086">
        <v>66</v>
      </c>
      <c r="Y1086" s="12">
        <v>76.562573382583082</v>
      </c>
      <c r="Z1086" s="12">
        <v>-10.562573382583082</v>
      </c>
      <c r="AA1086" s="12">
        <v>-10.577846817377946</v>
      </c>
      <c r="AB1086" s="12">
        <v>1.4439077308030642E-3</v>
      </c>
      <c r="AC1086" s="12">
        <v>-1.6879211150637115</v>
      </c>
      <c r="AD1086" s="12">
        <v>2.0598769238290167E-3</v>
      </c>
      <c r="AE1086" s="12">
        <v>0.39787592189543292</v>
      </c>
      <c r="AF1086" s="12">
        <v>0.47320173649366243</v>
      </c>
      <c r="AG1086" s="12">
        <v>1.2992001828293096</v>
      </c>
      <c r="AH1086" s="12">
        <v>-10.577846817377944</v>
      </c>
    </row>
    <row r="1087" spans="24:34" x14ac:dyDescent="0.25">
      <c r="X1087">
        <v>65.400000000000006</v>
      </c>
      <c r="Y1087" s="12">
        <v>76.217351867513926</v>
      </c>
      <c r="Z1087" s="12">
        <v>-10.817351867513921</v>
      </c>
      <c r="AA1087" s="12">
        <v>-10.832150295258089</v>
      </c>
      <c r="AB1087" s="12">
        <v>1.3661579040908781E-3</v>
      </c>
      <c r="AC1087" s="12">
        <v>-1.7285679511386691</v>
      </c>
      <c r="AD1087" s="12">
        <v>2.0437959639942921E-3</v>
      </c>
      <c r="AE1087" s="12">
        <v>0.39787592189543292</v>
      </c>
      <c r="AF1087" s="12">
        <v>0.47320173649366243</v>
      </c>
      <c r="AG1087" s="12">
        <v>1.3147501477994474</v>
      </c>
      <c r="AH1087" s="12">
        <v>-10.832150295258089</v>
      </c>
    </row>
    <row r="1088" spans="24:34" x14ac:dyDescent="0.25">
      <c r="X1088">
        <v>64.7</v>
      </c>
      <c r="Y1088" s="12">
        <v>66.847053601351334</v>
      </c>
      <c r="Z1088" s="12">
        <v>-2.1470536013513311</v>
      </c>
      <c r="AA1088" s="12">
        <v>-2.1485623325371108</v>
      </c>
      <c r="AB1088" s="12">
        <v>7.0220498746271023E-4</v>
      </c>
      <c r="AC1088" s="12">
        <v>-0.34297626128196762</v>
      </c>
      <c r="AD1088" s="12">
        <v>4.1330162108775248E-5</v>
      </c>
      <c r="AE1088" s="12">
        <v>0.39787592189543292</v>
      </c>
      <c r="AF1088" s="12">
        <v>0.4742999250223498</v>
      </c>
      <c r="AG1088" s="12">
        <v>0.58564175165536791</v>
      </c>
      <c r="AH1088" s="12">
        <v>-2.148562332537113</v>
      </c>
    </row>
    <row r="1089" spans="24:34" x14ac:dyDescent="0.25">
      <c r="X1089">
        <v>64.3</v>
      </c>
      <c r="Y1089" s="12">
        <v>76.513256023287482</v>
      </c>
      <c r="Z1089" s="12">
        <v>-12.213256023287485</v>
      </c>
      <c r="AA1089" s="12">
        <v>-12.230777452927882</v>
      </c>
      <c r="AB1089" s="12">
        <v>1.4325687559784749E-3</v>
      </c>
      <c r="AC1089" s="12">
        <v>-1.9516925406470689</v>
      </c>
      <c r="AD1089" s="12">
        <v>2.7323157570805514E-3</v>
      </c>
      <c r="AE1089" s="12">
        <v>0.39787592189543292</v>
      </c>
      <c r="AF1089" s="12">
        <v>0.47431229169530037</v>
      </c>
      <c r="AG1089" s="12">
        <v>1.397029899696878</v>
      </c>
      <c r="AH1089" s="12">
        <v>-12.230777452927876</v>
      </c>
    </row>
    <row r="1090" spans="24:34" x14ac:dyDescent="0.25">
      <c r="X1090">
        <v>81.7</v>
      </c>
      <c r="Y1090" s="12">
        <v>74.737831088646146</v>
      </c>
      <c r="Z1090" s="12">
        <v>6.9621689113538565</v>
      </c>
      <c r="AA1090" s="12">
        <v>6.9696671431015176</v>
      </c>
      <c r="AB1090" s="12">
        <v>1.0758378547656069E-3</v>
      </c>
      <c r="AC1090" s="12">
        <v>1.1123640285711816</v>
      </c>
      <c r="AD1090" s="12">
        <v>6.6631283691541421E-4</v>
      </c>
      <c r="AE1090" s="12">
        <v>0.39787592189543292</v>
      </c>
      <c r="AF1090" s="12">
        <v>0.47442242059021111</v>
      </c>
      <c r="AG1090" s="12">
        <v>1.0546866968778841</v>
      </c>
      <c r="AH1090" s="12">
        <v>6.9696671431015211</v>
      </c>
    </row>
    <row r="1091" spans="24:34" x14ac:dyDescent="0.25">
      <c r="X1091">
        <v>81.400000000000006</v>
      </c>
      <c r="Y1091" s="12">
        <v>77.302333772016965</v>
      </c>
      <c r="Z1091" s="12">
        <v>4.0976662279830407</v>
      </c>
      <c r="AA1091" s="12">
        <v>4.1043286476828911</v>
      </c>
      <c r="AB1091" s="12">
        <v>1.6232666220858387E-3</v>
      </c>
      <c r="AC1091" s="12">
        <v>0.65487437104474844</v>
      </c>
      <c r="AD1091" s="12">
        <v>3.4864336152684166E-4</v>
      </c>
      <c r="AE1091" s="12">
        <v>0.39787592189543292</v>
      </c>
      <c r="AF1091" s="12">
        <v>0.47451978724099902</v>
      </c>
      <c r="AG1091" s="12">
        <v>0.80924308526223965</v>
      </c>
      <c r="AH1091" s="12">
        <v>4.1043286476828946</v>
      </c>
    </row>
    <row r="1092" spans="24:34" x14ac:dyDescent="0.25">
      <c r="X1092">
        <v>81.099999999999994</v>
      </c>
      <c r="Y1092" s="12">
        <v>74.540561651463776</v>
      </c>
      <c r="Z1092" s="12">
        <v>6.5594383485362187</v>
      </c>
      <c r="AA1092" s="12">
        <v>6.5662829363745772</v>
      </c>
      <c r="AB1092" s="12">
        <v>1.0423839339068009E-3</v>
      </c>
      <c r="AC1092" s="12">
        <v>1.0480011592766461</v>
      </c>
      <c r="AD1092" s="12">
        <v>5.730258013776537E-4</v>
      </c>
      <c r="AE1092" s="12">
        <v>0.4143837514429769</v>
      </c>
      <c r="AF1092" s="12">
        <v>0.47760578900898676</v>
      </c>
      <c r="AG1092" s="12">
        <v>1.0237192775740067</v>
      </c>
      <c r="AH1092" s="12">
        <v>6.5662829363745816</v>
      </c>
    </row>
    <row r="1093" spans="24:34" x14ac:dyDescent="0.25">
      <c r="X1093">
        <v>81.099999999999994</v>
      </c>
      <c r="Y1093" s="12">
        <v>74.49124429216819</v>
      </c>
      <c r="Z1093" s="12">
        <v>6.6087557078318042</v>
      </c>
      <c r="AA1093" s="12">
        <v>6.6155976493402733</v>
      </c>
      <c r="AB1093" s="12">
        <v>1.0342136676278065E-3</v>
      </c>
      <c r="AC1093" s="12">
        <v>1.055876273585886</v>
      </c>
      <c r="AD1093" s="12">
        <v>5.7710617996363912E-4</v>
      </c>
      <c r="AE1093" s="12">
        <v>0.4143837514429769</v>
      </c>
      <c r="AF1093" s="12">
        <v>0.47829485991671744</v>
      </c>
      <c r="AG1093" s="12">
        <v>1.0275584039780348</v>
      </c>
      <c r="AH1093" s="12">
        <v>6.6155976493402786</v>
      </c>
    </row>
    <row r="1094" spans="24:34" x14ac:dyDescent="0.25">
      <c r="X1094">
        <v>74.5</v>
      </c>
      <c r="Y1094" s="12">
        <v>70.299268752042821</v>
      </c>
      <c r="Z1094" s="12">
        <v>4.2007312479571794</v>
      </c>
      <c r="AA1094" s="12">
        <v>4.203346653504525</v>
      </c>
      <c r="AB1094" s="12">
        <v>6.222198079169094E-4</v>
      </c>
      <c r="AC1094" s="12">
        <v>0.67100953640487249</v>
      </c>
      <c r="AD1094" s="12">
        <v>1.4016562966716529E-4</v>
      </c>
      <c r="AE1094" s="12">
        <v>0.4143837514429769</v>
      </c>
      <c r="AF1094" s="12">
        <v>0.47835541569093598</v>
      </c>
      <c r="AG1094" s="12">
        <v>0.81915171757426752</v>
      </c>
      <c r="AH1094" s="12">
        <v>4.2033466535045312</v>
      </c>
    </row>
    <row r="1095" spans="24:34" x14ac:dyDescent="0.25">
      <c r="X1095">
        <v>73.900000000000006</v>
      </c>
      <c r="Y1095" s="12">
        <v>69.855412518382479</v>
      </c>
      <c r="Z1095" s="12">
        <v>4.0445874816175262</v>
      </c>
      <c r="AA1095" s="12">
        <v>4.0470614046299289</v>
      </c>
      <c r="AB1095" s="12">
        <v>6.1128872657502679E-4</v>
      </c>
      <c r="AC1095" s="12">
        <v>0.64606416560313973</v>
      </c>
      <c r="AD1095" s="12">
        <v>1.2765365612554634E-4</v>
      </c>
      <c r="AE1095" s="12">
        <v>0.4143837514429769</v>
      </c>
      <c r="AF1095" s="12">
        <v>0.47976371803841994</v>
      </c>
      <c r="AG1095" s="12">
        <v>0.803781167733569</v>
      </c>
      <c r="AH1095" s="12">
        <v>4.0470614046299334</v>
      </c>
    </row>
    <row r="1096" spans="24:34" x14ac:dyDescent="0.25">
      <c r="X1096">
        <v>73.900000000000006</v>
      </c>
      <c r="Y1096" s="12">
        <v>69.855412518382479</v>
      </c>
      <c r="Z1096" s="12">
        <v>4.0445874816175262</v>
      </c>
      <c r="AA1096" s="12">
        <v>4.0470614046299289</v>
      </c>
      <c r="AB1096" s="12">
        <v>6.1128872657502679E-4</v>
      </c>
      <c r="AC1096" s="12">
        <v>0.64606416560313973</v>
      </c>
      <c r="AD1096" s="12">
        <v>1.2765365612554634E-4</v>
      </c>
      <c r="AE1096" s="12">
        <v>0.4143837514429769</v>
      </c>
      <c r="AF1096" s="12">
        <v>0.48002338812921069</v>
      </c>
      <c r="AG1096" s="12">
        <v>0.803781167733569</v>
      </c>
      <c r="AH1096" s="12">
        <v>4.0470614046299334</v>
      </c>
    </row>
    <row r="1097" spans="24:34" x14ac:dyDescent="0.25">
      <c r="X1097">
        <v>74.5</v>
      </c>
      <c r="Y1097" s="12">
        <v>70.348586111338406</v>
      </c>
      <c r="Z1097" s="12">
        <v>4.1514138886615939</v>
      </c>
      <c r="AA1097" s="12">
        <v>4.1540052435374122</v>
      </c>
      <c r="AB1097" s="12">
        <v>6.238208003818659E-4</v>
      </c>
      <c r="AC1097" s="12">
        <v>0.66313229190613543</v>
      </c>
      <c r="AD1097" s="12">
        <v>1.3724648040112797E-4</v>
      </c>
      <c r="AE1097" s="12">
        <v>0.4143837514429769</v>
      </c>
      <c r="AF1097" s="12">
        <v>0.48026286329094459</v>
      </c>
      <c r="AG1097" s="12">
        <v>0.81432935100371728</v>
      </c>
      <c r="AH1097" s="12">
        <v>4.1540052435374077</v>
      </c>
    </row>
    <row r="1098" spans="24:34" x14ac:dyDescent="0.25">
      <c r="X1098">
        <v>73.2</v>
      </c>
      <c r="Y1098" s="12">
        <v>70.003364596269265</v>
      </c>
      <c r="Z1098" s="12">
        <v>3.1966354037307383</v>
      </c>
      <c r="AA1098" s="12">
        <v>3.1986001017822616</v>
      </c>
      <c r="AB1098" s="12">
        <v>6.1423685018710918E-4</v>
      </c>
      <c r="AC1098" s="12">
        <v>0.51061687758837404</v>
      </c>
      <c r="AD1098" s="12">
        <v>8.0124077961208541E-5</v>
      </c>
      <c r="AE1098" s="12">
        <v>0.4143837514429769</v>
      </c>
      <c r="AF1098" s="12">
        <v>0.48240772090296852</v>
      </c>
      <c r="AG1098" s="12">
        <v>0.71457461303097947</v>
      </c>
      <c r="AH1098" s="12">
        <v>3.1986001017822652</v>
      </c>
    </row>
    <row r="1099" spans="24:34" x14ac:dyDescent="0.25">
      <c r="X1099">
        <v>73.2</v>
      </c>
      <c r="Y1099" s="12">
        <v>69.559508362608923</v>
      </c>
      <c r="Z1099" s="12">
        <v>3.6404916373910794</v>
      </c>
      <c r="AA1099" s="12">
        <v>3.6427045045724071</v>
      </c>
      <c r="AB1099" s="12">
        <v>6.0747918985649756E-4</v>
      </c>
      <c r="AC1099" s="12">
        <v>0.58151460935388766</v>
      </c>
      <c r="AD1099" s="12">
        <v>1.0277478439254202E-4</v>
      </c>
      <c r="AE1099" s="12">
        <v>0.4143837514429769</v>
      </c>
      <c r="AF1099" s="12">
        <v>0.48283689750172215</v>
      </c>
      <c r="AG1099" s="12">
        <v>0.76257105200360686</v>
      </c>
      <c r="AH1099" s="12">
        <v>3.6427045045724036</v>
      </c>
    </row>
    <row r="1100" spans="24:34" x14ac:dyDescent="0.25">
      <c r="X1100">
        <v>72.5</v>
      </c>
      <c r="Y1100" s="12">
        <v>69.263604206835367</v>
      </c>
      <c r="Z1100" s="12">
        <v>3.2363957931646326</v>
      </c>
      <c r="AA1100" s="12">
        <v>3.2383597026686886</v>
      </c>
      <c r="AB1100" s="12">
        <v>6.0645193381214928E-4</v>
      </c>
      <c r="AC1100" s="12">
        <v>0.51696601876684301</v>
      </c>
      <c r="AD1100" s="12">
        <v>8.108748715387436E-5</v>
      </c>
      <c r="AE1100" s="12">
        <v>0.4143837514429769</v>
      </c>
      <c r="AF1100" s="12">
        <v>0.48284219124167749</v>
      </c>
      <c r="AG1100" s="12">
        <v>0.7190034900936455</v>
      </c>
      <c r="AH1100" s="12">
        <v>3.2383597026686952</v>
      </c>
    </row>
    <row r="1101" spans="24:34" x14ac:dyDescent="0.25">
      <c r="X1101">
        <v>72.5</v>
      </c>
      <c r="Y1101" s="12">
        <v>69.066334769652997</v>
      </c>
      <c r="Z1101" s="12">
        <v>3.4336652303470032</v>
      </c>
      <c r="AA1101" s="12">
        <v>3.435751806423923</v>
      </c>
      <c r="AB1101" s="12">
        <v>6.073128079349063E-4</v>
      </c>
      <c r="AC1101" s="12">
        <v>0.54847710906916225</v>
      </c>
      <c r="AD1101" s="12">
        <v>9.1403597872728395E-5</v>
      </c>
      <c r="AE1101" s="12">
        <v>0.4143837514429769</v>
      </c>
      <c r="AF1101" s="12">
        <v>0.48654721852396304</v>
      </c>
      <c r="AG1101" s="12">
        <v>0.74059240413952554</v>
      </c>
      <c r="AH1101" s="12">
        <v>3.4357518064239301</v>
      </c>
    </row>
    <row r="1102" spans="24:34" x14ac:dyDescent="0.25">
      <c r="X1102">
        <v>73</v>
      </c>
      <c r="Y1102" s="12">
        <v>76.759842819765453</v>
      </c>
      <c r="Z1102" s="12">
        <v>-3.7598428197654528</v>
      </c>
      <c r="AA1102" s="12">
        <v>-3.7654534828406412</v>
      </c>
      <c r="AB1102" s="12">
        <v>1.4900364858442489E-3</v>
      </c>
      <c r="AC1102" s="12">
        <v>-0.6008445523208098</v>
      </c>
      <c r="AD1102" s="12">
        <v>2.6936350856915045E-4</v>
      </c>
      <c r="AE1102" s="12">
        <v>0.4143837514429769</v>
      </c>
      <c r="AF1102" s="12">
        <v>0.48742215057596877</v>
      </c>
      <c r="AG1102" s="12">
        <v>0.77514163371658074</v>
      </c>
      <c r="AH1102" s="12">
        <v>-3.7654534828406345</v>
      </c>
    </row>
    <row r="1103" spans="24:34" x14ac:dyDescent="0.25">
      <c r="X1103">
        <v>71.2</v>
      </c>
      <c r="Y1103" s="12">
        <v>68.030670224445558</v>
      </c>
      <c r="Z1103" s="12">
        <v>3.169329775554445</v>
      </c>
      <c r="AA1103" s="12">
        <v>3.1713344390371105</v>
      </c>
      <c r="AB1103" s="12">
        <v>6.3211986032861618E-4</v>
      </c>
      <c r="AC1103" s="12">
        <v>0.50625972276881537</v>
      </c>
      <c r="AD1103" s="12">
        <v>8.1057052387991196E-5</v>
      </c>
      <c r="AE1103" s="12">
        <v>0.4143837514429769</v>
      </c>
      <c r="AF1103" s="12">
        <v>0.48983451239030779</v>
      </c>
      <c r="AG1103" s="12">
        <v>0.71151930597055157</v>
      </c>
      <c r="AH1103" s="12">
        <v>3.1713344390371043</v>
      </c>
    </row>
    <row r="1104" spans="24:34" x14ac:dyDescent="0.25">
      <c r="X1104">
        <v>71</v>
      </c>
      <c r="Y1104" s="12">
        <v>68.030670224445558</v>
      </c>
      <c r="Z1104" s="12">
        <v>2.9693297755544421</v>
      </c>
      <c r="AA1104" s="12">
        <v>2.9712079350993861</v>
      </c>
      <c r="AB1104" s="12">
        <v>6.3211986032861618E-4</v>
      </c>
      <c r="AC1104" s="12">
        <v>0.47431229169530037</v>
      </c>
      <c r="AD1104" s="12">
        <v>7.1149657146081318E-5</v>
      </c>
      <c r="AE1104" s="12">
        <v>0.43434378704136062</v>
      </c>
      <c r="AF1104" s="12">
        <v>0.49028600723205673</v>
      </c>
      <c r="AG1104" s="12">
        <v>0.68870334084807538</v>
      </c>
      <c r="AH1104" s="12">
        <v>2.9712079350993843</v>
      </c>
    </row>
    <row r="1105" spans="24:34" x14ac:dyDescent="0.25">
      <c r="X1105">
        <v>76</v>
      </c>
      <c r="Y1105" s="12">
        <v>67.833400787263187</v>
      </c>
      <c r="Z1105" s="12">
        <v>8.1665992127368128</v>
      </c>
      <c r="AA1105" s="12">
        <v>8.1718349833423503</v>
      </c>
      <c r="AB1105" s="12">
        <v>6.4070929187965309E-4</v>
      </c>
      <c r="AC1105" s="12">
        <v>1.3045149333462531</v>
      </c>
      <c r="AD1105" s="12">
        <v>5.4551598677993836E-4</v>
      </c>
      <c r="AE1105" s="12">
        <v>0.43434378704136062</v>
      </c>
      <c r="AF1105" s="12">
        <v>0.49115427658746996</v>
      </c>
      <c r="AG1105" s="12">
        <v>1.1421536382406061</v>
      </c>
      <c r="AH1105" s="12">
        <v>8.1718349833423467</v>
      </c>
    </row>
    <row r="1106" spans="24:34" x14ac:dyDescent="0.25">
      <c r="X1106">
        <v>75</v>
      </c>
      <c r="Y1106" s="12">
        <v>67.882718146558773</v>
      </c>
      <c r="Z1106" s="12">
        <v>7.1172818534412272</v>
      </c>
      <c r="AA1106" s="12">
        <v>7.1218287565636444</v>
      </c>
      <c r="AB1106" s="12">
        <v>6.384460056304697E-4</v>
      </c>
      <c r="AC1106" s="12">
        <v>1.1368979555890717</v>
      </c>
      <c r="AD1106" s="12">
        <v>4.1287112599623762E-4</v>
      </c>
      <c r="AE1106" s="12">
        <v>0.43434378704136062</v>
      </c>
      <c r="AF1106" s="12">
        <v>0.49224303223493071</v>
      </c>
      <c r="AG1106" s="12">
        <v>1.0662541702563566</v>
      </c>
      <c r="AH1106" s="12">
        <v>7.1218287565636391</v>
      </c>
    </row>
    <row r="1107" spans="24:34" x14ac:dyDescent="0.25">
      <c r="X1107">
        <v>73</v>
      </c>
      <c r="Y1107" s="12">
        <v>68.079987583741143</v>
      </c>
      <c r="Z1107" s="12">
        <v>4.9200124162588565</v>
      </c>
      <c r="AA1107" s="12">
        <v>4.923114794420087</v>
      </c>
      <c r="AB1107" s="12">
        <v>6.3016571637656389E-4</v>
      </c>
      <c r="AC1107" s="12">
        <v>0.78590801937229826</v>
      </c>
      <c r="AD1107" s="12">
        <v>1.9473408792105917E-4</v>
      </c>
      <c r="AE1107" s="12">
        <v>0.43434378704136062</v>
      </c>
      <c r="AF1107" s="12">
        <v>0.49246085747132751</v>
      </c>
      <c r="AG1107" s="12">
        <v>0.88651453421379289</v>
      </c>
      <c r="AH1107" s="12">
        <v>4.9231147944200861</v>
      </c>
    </row>
    <row r="1108" spans="24:34" x14ac:dyDescent="0.25">
      <c r="X1108">
        <v>73</v>
      </c>
      <c r="Y1108" s="12">
        <v>68.129304943036743</v>
      </c>
      <c r="Z1108" s="12">
        <v>4.8706950569632568</v>
      </c>
      <c r="AA1108" s="12">
        <v>4.8737571842987393</v>
      </c>
      <c r="AB1108" s="12">
        <v>6.2828885799879448E-4</v>
      </c>
      <c r="AC1108" s="12">
        <v>0.77802948180460518</v>
      </c>
      <c r="AD1108" s="12">
        <v>1.9028055895411493E-4</v>
      </c>
      <c r="AE1108" s="12">
        <v>0.43434378704136062</v>
      </c>
      <c r="AF1108" s="12">
        <v>0.49358114077533627</v>
      </c>
      <c r="AG1108" s="12">
        <v>0.88205979491449737</v>
      </c>
      <c r="AH1108" s="12">
        <v>4.8737571842987437</v>
      </c>
    </row>
    <row r="1109" spans="24:34" x14ac:dyDescent="0.25">
      <c r="X1109">
        <v>61.4</v>
      </c>
      <c r="Y1109" s="12">
        <v>66.600466804873378</v>
      </c>
      <c r="Z1109" s="12">
        <v>-5.2004668048733791</v>
      </c>
      <c r="AA1109" s="12">
        <v>-5.204226386204617</v>
      </c>
      <c r="AB1109" s="12">
        <v>7.2240925975114922E-4</v>
      </c>
      <c r="AC1109" s="12">
        <v>-0.83074530231068966</v>
      </c>
      <c r="AD1109" s="12">
        <v>2.4946116624922649E-4</v>
      </c>
      <c r="AE1109" s="12">
        <v>0.43434378704136062</v>
      </c>
      <c r="AF1109" s="12">
        <v>0.49486197146337557</v>
      </c>
      <c r="AG1109" s="12">
        <v>0.91145230391430232</v>
      </c>
      <c r="AH1109" s="12">
        <v>-5.2042263862046152</v>
      </c>
    </row>
    <row r="1110" spans="24:34" x14ac:dyDescent="0.25">
      <c r="X1110">
        <v>69</v>
      </c>
      <c r="Y1110" s="12">
        <v>66.403197367691007</v>
      </c>
      <c r="Z1110" s="12">
        <v>2.596802632308993</v>
      </c>
      <c r="AA1110" s="12">
        <v>2.5987255952221631</v>
      </c>
      <c r="AB1110" s="12">
        <v>7.3996381791899106E-4</v>
      </c>
      <c r="AC1110" s="12">
        <v>0.41482824864838824</v>
      </c>
      <c r="AD1110" s="12">
        <v>6.3714549384553319E-5</v>
      </c>
      <c r="AE1110" s="12">
        <v>0.43434378704136062</v>
      </c>
      <c r="AF1110" s="12">
        <v>0.49486197146337557</v>
      </c>
      <c r="AG1110" s="12">
        <v>0.64407161763920961</v>
      </c>
      <c r="AH1110" s="12">
        <v>2.5987255952221573</v>
      </c>
    </row>
    <row r="1111" spans="24:34" x14ac:dyDescent="0.25">
      <c r="X1111">
        <v>63</v>
      </c>
      <c r="Y1111" s="12">
        <v>66.156610571213037</v>
      </c>
      <c r="Z1111" s="12">
        <v>-3.1566105712130366</v>
      </c>
      <c r="AA1111" s="12">
        <v>-3.159022946263633</v>
      </c>
      <c r="AB1111" s="12">
        <v>7.6364594105015639E-4</v>
      </c>
      <c r="AC1111" s="12">
        <v>-0.50426117706423856</v>
      </c>
      <c r="AD1111" s="12">
        <v>9.7163889726090334E-5</v>
      </c>
      <c r="AE1111" s="12">
        <v>0.43434378704136062</v>
      </c>
      <c r="AF1111" s="12">
        <v>0.49551843388196226</v>
      </c>
      <c r="AG1111" s="12">
        <v>0.71011349590346373</v>
      </c>
      <c r="AH1111" s="12">
        <v>-3.1590229462636352</v>
      </c>
    </row>
    <row r="1112" spans="24:34" x14ac:dyDescent="0.25">
      <c r="X1112">
        <v>59.4</v>
      </c>
      <c r="Y1112" s="12">
        <v>65.71275433755271</v>
      </c>
      <c r="Z1112" s="12">
        <v>-6.3127543375527111</v>
      </c>
      <c r="AA1112" s="12">
        <v>-6.3178790393552831</v>
      </c>
      <c r="AB1112" s="12">
        <v>8.1114275386606999E-4</v>
      </c>
      <c r="AC1112" s="12">
        <v>-1.0084717513234311</v>
      </c>
      <c r="AD1112" s="12">
        <v>4.128071302331196E-4</v>
      </c>
      <c r="AE1112" s="12">
        <v>0.43434378704136062</v>
      </c>
      <c r="AF1112" s="12">
        <v>0.49639480110945772</v>
      </c>
      <c r="AG1112" s="12">
        <v>1.0042269421417807</v>
      </c>
      <c r="AH1112" s="12">
        <v>-6.3178790393552866</v>
      </c>
    </row>
    <row r="1113" spans="24:34" x14ac:dyDescent="0.25">
      <c r="X1113">
        <v>58.2</v>
      </c>
      <c r="Y1113" s="12">
        <v>65.170263385301183</v>
      </c>
      <c r="Z1113" s="12">
        <v>-6.9702633853011804</v>
      </c>
      <c r="AA1113" s="12">
        <v>-6.9763865306476873</v>
      </c>
      <c r="AB1113" s="12">
        <v>8.7769582714551707E-4</v>
      </c>
      <c r="AC1113" s="12">
        <v>-1.1135468703960003</v>
      </c>
      <c r="AD1113" s="12">
        <v>5.4464357795655049E-4</v>
      </c>
      <c r="AE1113" s="12">
        <v>0.43434378704136062</v>
      </c>
      <c r="AF1113" s="12">
        <v>0.49720958536886034</v>
      </c>
      <c r="AG1113" s="12">
        <v>1.0552473029560419</v>
      </c>
      <c r="AH1113" s="12">
        <v>-6.9763865306476838</v>
      </c>
    </row>
    <row r="1114" spans="24:34" x14ac:dyDescent="0.25">
      <c r="X1114">
        <v>57.1</v>
      </c>
      <c r="Y1114" s="12">
        <v>64.627772433049671</v>
      </c>
      <c r="Z1114" s="12">
        <v>-7.5277724330496696</v>
      </c>
      <c r="AA1114" s="12">
        <v>-7.5349577722090046</v>
      </c>
      <c r="AB1114" s="12">
        <v>9.5360045491318295E-4</v>
      </c>
      <c r="AC1114" s="12">
        <v>-1.2026584082148053</v>
      </c>
      <c r="AD1114" s="12">
        <v>6.9029603490118965E-4</v>
      </c>
      <c r="AE1114" s="12">
        <v>0.43434378704136062</v>
      </c>
      <c r="AF1114" s="12">
        <v>0.49749201153012684</v>
      </c>
      <c r="AG1114" s="12">
        <v>1.0966578355233711</v>
      </c>
      <c r="AH1114" s="12">
        <v>-7.5349577722090002</v>
      </c>
    </row>
    <row r="1115" spans="24:34" x14ac:dyDescent="0.25">
      <c r="X1115">
        <v>53.6</v>
      </c>
      <c r="Y1115" s="12">
        <v>59.745353862786004</v>
      </c>
      <c r="Z1115" s="12">
        <v>-6.1453538627860027</v>
      </c>
      <c r="AA1115" s="12">
        <v>-6.1580243800952843</v>
      </c>
      <c r="AB1115" s="12">
        <v>2.0575620567920162E-3</v>
      </c>
      <c r="AC1115" s="12">
        <v>-0.98234217360607023</v>
      </c>
      <c r="AD1115" s="12">
        <v>9.9481662446642902E-4</v>
      </c>
      <c r="AE1115" s="12">
        <v>0.43434378704136062</v>
      </c>
      <c r="AF1115" s="12">
        <v>0.49881583486880576</v>
      </c>
      <c r="AG1115" s="12">
        <v>0.99113176399814285</v>
      </c>
      <c r="AH1115" s="12">
        <v>-6.158024380095287</v>
      </c>
    </row>
    <row r="1116" spans="24:34" x14ac:dyDescent="0.25">
      <c r="X1116">
        <v>53.2</v>
      </c>
      <c r="Y1116" s="12">
        <v>59.498767066308041</v>
      </c>
      <c r="Z1116" s="12">
        <v>-6.298767066308038</v>
      </c>
      <c r="AA1116" s="12">
        <v>-6.3122336609846386</v>
      </c>
      <c r="AB1116" s="12">
        <v>2.1334119425640711E-3</v>
      </c>
      <c r="AC1116" s="12">
        <v>-1.0069037241178576</v>
      </c>
      <c r="AD1116" s="12">
        <v>1.0837974859702522E-3</v>
      </c>
      <c r="AE1116" s="12">
        <v>0.43434378704136062</v>
      </c>
      <c r="AF1116" s="12">
        <v>0.49881583486880576</v>
      </c>
      <c r="AG1116" s="12">
        <v>1.0034459248598588</v>
      </c>
      <c r="AH1116" s="12">
        <v>-6.3122336609846377</v>
      </c>
    </row>
    <row r="1117" spans="24:34" x14ac:dyDescent="0.25">
      <c r="X1117">
        <v>52.7</v>
      </c>
      <c r="Y1117" s="12">
        <v>59.153545551238892</v>
      </c>
      <c r="Z1117" s="12">
        <v>-6.4535455512388893</v>
      </c>
      <c r="AA1117" s="12">
        <v>-6.4680524082026238</v>
      </c>
      <c r="AB1117" s="12">
        <v>2.2428477767648244E-3</v>
      </c>
      <c r="AC1117" s="12">
        <v>-1.0317027654516477</v>
      </c>
      <c r="AD1117" s="12">
        <v>1.1963386752095019E-3</v>
      </c>
      <c r="AE1117" s="12">
        <v>0.43434378704136062</v>
      </c>
      <c r="AF1117" s="12">
        <v>0.50061765472530828</v>
      </c>
      <c r="AG1117" s="12">
        <v>1.0157277024142088</v>
      </c>
      <c r="AH1117" s="12">
        <v>-6.4680524082026256</v>
      </c>
    </row>
    <row r="1118" spans="24:34" x14ac:dyDescent="0.25">
      <c r="X1118">
        <v>52.3</v>
      </c>
      <c r="Y1118" s="12">
        <v>59.104228191943299</v>
      </c>
      <c r="Z1118" s="12">
        <v>-6.8042281919433023</v>
      </c>
      <c r="AA1118" s="12">
        <v>-6.8196323133741004</v>
      </c>
      <c r="AB1118" s="12">
        <v>2.258790609662064E-3</v>
      </c>
      <c r="AC1118" s="12">
        <v>-1.0877737008270314</v>
      </c>
      <c r="AD1118" s="12">
        <v>1.3393842173103139E-3</v>
      </c>
      <c r="AE1118" s="12">
        <v>0.43434378704136062</v>
      </c>
      <c r="AF1118" s="12">
        <v>0.50164701628194974</v>
      </c>
      <c r="AG1118" s="12">
        <v>1.0429639019769723</v>
      </c>
      <c r="AH1118" s="12">
        <v>-6.8196323133740995</v>
      </c>
    </row>
    <row r="1119" spans="24:34" x14ac:dyDescent="0.25">
      <c r="X1119">
        <v>52</v>
      </c>
      <c r="Y1119" s="12">
        <v>59.153545551238892</v>
      </c>
      <c r="Z1119" s="12">
        <v>-7.1535455512388921</v>
      </c>
      <c r="AA1119" s="12">
        <v>-7.1696259308180643</v>
      </c>
      <c r="AB1119" s="12">
        <v>2.2428477767648244E-3</v>
      </c>
      <c r="AC1119" s="12">
        <v>-1.1436089928242146</v>
      </c>
      <c r="AD1119" s="12">
        <v>1.4699415874644655E-3</v>
      </c>
      <c r="AE1119" s="12">
        <v>0.43434378704136062</v>
      </c>
      <c r="AF1119" s="12">
        <v>0.50186534098035618</v>
      </c>
      <c r="AG1119" s="12">
        <v>1.0693965554574292</v>
      </c>
      <c r="AH1119" s="12">
        <v>-7.1696259308180634</v>
      </c>
    </row>
    <row r="1120" spans="24:34" x14ac:dyDescent="0.25">
      <c r="X1120">
        <v>51.6</v>
      </c>
      <c r="Y1120" s="12">
        <v>59.054910832647707</v>
      </c>
      <c r="Z1120" s="12">
        <v>-7.4549108326477054</v>
      </c>
      <c r="AA1120" s="12">
        <v>-7.4719080091465386</v>
      </c>
      <c r="AB1120" s="12">
        <v>2.2748107281335859E-3</v>
      </c>
      <c r="AC1120" s="12">
        <v>-1.1918061564755471</v>
      </c>
      <c r="AD1120" s="12">
        <v>1.6192562583196106E-3</v>
      </c>
      <c r="AE1120" s="12">
        <v>0.43434378704136062</v>
      </c>
      <c r="AF1120" s="12">
        <v>0.50230222407374281</v>
      </c>
      <c r="AG1120" s="12">
        <v>1.0916987480415772</v>
      </c>
      <c r="AH1120" s="12">
        <v>-7.4719080091465395</v>
      </c>
    </row>
    <row r="1121" spans="24:34" x14ac:dyDescent="0.25">
      <c r="X1121">
        <v>59</v>
      </c>
      <c r="Y1121" s="12">
        <v>58.56173723969178</v>
      </c>
      <c r="Z1121" s="12">
        <v>0.43826276030821987</v>
      </c>
      <c r="AA1121" s="12">
        <v>0.4393344123176206</v>
      </c>
      <c r="AB1121" s="12">
        <v>2.4392626194343582E-3</v>
      </c>
      <c r="AC1121" s="12">
        <v>7.0070228801718384E-2</v>
      </c>
      <c r="AD1121" s="12">
        <v>6.0028333743584852E-6</v>
      </c>
      <c r="AE1121" s="12">
        <v>0.43434378704136062</v>
      </c>
      <c r="AF1121" s="12">
        <v>0.50427207416520392</v>
      </c>
      <c r="AG1121" s="12">
        <v>0.26470781779486297</v>
      </c>
      <c r="AH1121" s="12">
        <v>0.43933441231761738</v>
      </c>
    </row>
    <row r="1122" spans="24:34" x14ac:dyDescent="0.25">
      <c r="X1122">
        <v>55</v>
      </c>
      <c r="Y1122" s="12">
        <v>58.463102521100595</v>
      </c>
      <c r="Z1122" s="12">
        <v>-3.4631025211005948</v>
      </c>
      <c r="AA1122" s="12">
        <v>-3.4716882854395763</v>
      </c>
      <c r="AB1122" s="12">
        <v>2.4730804245859054E-3</v>
      </c>
      <c r="AC1122" s="12">
        <v>-0.5536963695138879</v>
      </c>
      <c r="AD1122" s="12">
        <v>3.8003795417285358E-4</v>
      </c>
      <c r="AE1122" s="12">
        <v>0.43434378704136062</v>
      </c>
      <c r="AF1122" s="12">
        <v>0.50582572418823413</v>
      </c>
      <c r="AG1122" s="12">
        <v>0.74410776740596374</v>
      </c>
      <c r="AH1122" s="12">
        <v>-3.4716882854395799</v>
      </c>
    </row>
    <row r="1123" spans="24:34" x14ac:dyDescent="0.25">
      <c r="X1123">
        <v>49.8</v>
      </c>
      <c r="Y1123" s="12">
        <v>58.068563646735853</v>
      </c>
      <c r="Z1123" s="12">
        <v>-8.2685636467358563</v>
      </c>
      <c r="AA1123" s="12">
        <v>-8.2902130661811313</v>
      </c>
      <c r="AB1123" s="12">
        <v>2.6114430681634087E-3</v>
      </c>
      <c r="AC1123" s="12">
        <v>-1.3221067507234172</v>
      </c>
      <c r="AD1123" s="12">
        <v>2.288333038383722E-3</v>
      </c>
      <c r="AE1123" s="12">
        <v>0.4663087141536239</v>
      </c>
      <c r="AF1123" s="12">
        <v>0.50625972276881537</v>
      </c>
      <c r="AG1123" s="12">
        <v>1.1498290093415704</v>
      </c>
      <c r="AH1123" s="12">
        <v>-8.2902130661811331</v>
      </c>
    </row>
    <row r="1124" spans="24:34" x14ac:dyDescent="0.25">
      <c r="X1124">
        <v>49.2</v>
      </c>
      <c r="Y1124" s="12">
        <v>77.40096849060815</v>
      </c>
      <c r="Z1124" s="12">
        <v>-28.200968490608147</v>
      </c>
      <c r="AA1124" s="12">
        <v>-28.247534409723059</v>
      </c>
      <c r="AB1124" s="12">
        <v>1.6484949956863493E-3</v>
      </c>
      <c r="AC1124" s="12">
        <v>-4.5070349361713768</v>
      </c>
      <c r="AD1124" s="12">
        <v>1.6770886102245905E-2</v>
      </c>
      <c r="AE1124" s="12">
        <v>0.4663087141536239</v>
      </c>
      <c r="AF1124" s="12">
        <v>0.50625972276881537</v>
      </c>
      <c r="AG1124" s="12">
        <v>2.1229778463684865</v>
      </c>
      <c r="AH1124" s="12">
        <v>-28.247534409723052</v>
      </c>
    </row>
    <row r="1125" spans="24:34" x14ac:dyDescent="0.25">
      <c r="X1125">
        <v>66.2</v>
      </c>
      <c r="Y1125" s="12">
        <v>69.608825721904523</v>
      </c>
      <c r="Z1125" s="12">
        <v>-3.4088257219045204</v>
      </c>
      <c r="AA1125" s="12">
        <v>-3.4108992788595174</v>
      </c>
      <c r="AB1125" s="12">
        <v>6.0792089870721213E-4</v>
      </c>
      <c r="AC1125" s="12">
        <v>-0.54450953155090187</v>
      </c>
      <c r="AD1125" s="12">
        <v>9.0176245132652727E-5</v>
      </c>
      <c r="AE1125" s="12">
        <v>0.4663087141536239</v>
      </c>
      <c r="AF1125" s="12">
        <v>0.50668836515290983</v>
      </c>
      <c r="AG1125" s="12">
        <v>0.73790889109083235</v>
      </c>
      <c r="AH1125" s="12">
        <v>-3.4108992788595245</v>
      </c>
    </row>
    <row r="1126" spans="24:34" x14ac:dyDescent="0.25">
      <c r="X1126">
        <v>66</v>
      </c>
      <c r="Y1126" s="12">
        <v>69.559508362608923</v>
      </c>
      <c r="Z1126" s="12">
        <v>-3.5595083626089234</v>
      </c>
      <c r="AA1126" s="12">
        <v>-3.5616720042325909</v>
      </c>
      <c r="AB1126" s="12">
        <v>6.0747918985649756E-4</v>
      </c>
      <c r="AC1126" s="12">
        <v>-0.56857873088201927</v>
      </c>
      <c r="AD1126" s="12">
        <v>9.8253161593924869E-5</v>
      </c>
      <c r="AE1126" s="12">
        <v>0.4663087141536239</v>
      </c>
      <c r="AF1126" s="12">
        <v>0.5086522733177713</v>
      </c>
      <c r="AG1126" s="12">
        <v>0.75404159758067679</v>
      </c>
      <c r="AH1126" s="12">
        <v>-3.5616720042325891</v>
      </c>
    </row>
    <row r="1127" spans="24:34" x14ac:dyDescent="0.25">
      <c r="X1127">
        <v>65.7</v>
      </c>
      <c r="Y1127" s="12">
        <v>69.460873644017738</v>
      </c>
      <c r="Z1127" s="12">
        <v>-3.7608736440177353</v>
      </c>
      <c r="AA1127" s="12">
        <v>-3.7631572317978055</v>
      </c>
      <c r="AB1127" s="12">
        <v>6.0682762887791708E-4</v>
      </c>
      <c r="AC1127" s="12">
        <v>-0.60074365576127731</v>
      </c>
      <c r="AD1127" s="12">
        <v>1.0956639142401633E-4</v>
      </c>
      <c r="AE1127" s="12">
        <v>0.4663087141536239</v>
      </c>
      <c r="AF1127" s="12">
        <v>0.51061687758837404</v>
      </c>
      <c r="AG1127" s="12">
        <v>0.77507654832363315</v>
      </c>
      <c r="AH1127" s="12">
        <v>-3.7631572317978019</v>
      </c>
    </row>
    <row r="1128" spans="24:34" x14ac:dyDescent="0.25">
      <c r="X1128">
        <v>65.5</v>
      </c>
      <c r="Y1128" s="12">
        <v>69.362238925426553</v>
      </c>
      <c r="Z1128" s="12">
        <v>-3.8622389254265528</v>
      </c>
      <c r="AA1128" s="12">
        <v>-3.8645827377005446</v>
      </c>
      <c r="AB1128" s="12">
        <v>6.0648521019646758E-4</v>
      </c>
      <c r="AC1128" s="12">
        <v>-0.6169351468883435</v>
      </c>
      <c r="AD1128" s="12">
        <v>1.1548689833993728E-4</v>
      </c>
      <c r="AE1128" s="12">
        <v>0.4663087141536239</v>
      </c>
      <c r="AF1128" s="12">
        <v>0.51171110064320569</v>
      </c>
      <c r="AG1128" s="12">
        <v>0.78545219261794885</v>
      </c>
      <c r="AH1128" s="12">
        <v>-3.8645827377005486</v>
      </c>
    </row>
    <row r="1129" spans="24:34" x14ac:dyDescent="0.25">
      <c r="X1129">
        <v>65.099999999999994</v>
      </c>
      <c r="Y1129" s="12">
        <v>69.115652128948597</v>
      </c>
      <c r="Z1129" s="12">
        <v>-4.0156521289486022</v>
      </c>
      <c r="AA1129" s="12">
        <v>-4.0180910365201754</v>
      </c>
      <c r="AB1129" s="12">
        <v>6.0698166104279291E-4</v>
      </c>
      <c r="AC1129" s="12">
        <v>-0.64144078064204813</v>
      </c>
      <c r="AD1129" s="12">
        <v>1.2494601167384209E-4</v>
      </c>
      <c r="AE1129" s="12">
        <v>0.4663087141536239</v>
      </c>
      <c r="AF1129" s="12">
        <v>0.51243839178127326</v>
      </c>
      <c r="AG1129" s="12">
        <v>0.80089998167189902</v>
      </c>
      <c r="AH1129" s="12">
        <v>-4.0180910365201701</v>
      </c>
    </row>
    <row r="1130" spans="24:34" x14ac:dyDescent="0.25">
      <c r="X1130">
        <v>64.8</v>
      </c>
      <c r="Y1130" s="12">
        <v>68.967700051061826</v>
      </c>
      <c r="Z1130" s="12">
        <v>-4.1677000510618285</v>
      </c>
      <c r="AA1130" s="12">
        <v>-4.1702364178695319</v>
      </c>
      <c r="AB1130" s="12">
        <v>6.0820695844198162E-4</v>
      </c>
      <c r="AC1130" s="12">
        <v>-0.66572858584367223</v>
      </c>
      <c r="AD1130" s="12">
        <v>1.3485902682817033E-4</v>
      </c>
      <c r="AE1130" s="12">
        <v>0.4663087141536239</v>
      </c>
      <c r="AF1130" s="12">
        <v>0.51280732289767572</v>
      </c>
      <c r="AG1130" s="12">
        <v>0.81592192386506701</v>
      </c>
      <c r="AH1130" s="12">
        <v>-4.1702364178695248</v>
      </c>
    </row>
    <row r="1131" spans="24:34" x14ac:dyDescent="0.25">
      <c r="X1131">
        <v>64.599999999999994</v>
      </c>
      <c r="Y1131" s="12">
        <v>68.869065332470626</v>
      </c>
      <c r="Z1131" s="12">
        <v>-4.2690653324706318</v>
      </c>
      <c r="AA1131" s="12">
        <v>-4.2716685310633835</v>
      </c>
      <c r="AB1131" s="12">
        <v>6.0941025124618836E-4</v>
      </c>
      <c r="AC1131" s="12">
        <v>-0.68192060435837376</v>
      </c>
      <c r="AD1131" s="12">
        <v>1.4177907214984076E-4</v>
      </c>
      <c r="AE1131" s="12">
        <v>0.4663087141536239</v>
      </c>
      <c r="AF1131" s="12">
        <v>0.51346602120969664</v>
      </c>
      <c r="AG1131" s="12">
        <v>0.82578484144380715</v>
      </c>
      <c r="AH1131" s="12">
        <v>-4.2716685310633871</v>
      </c>
    </row>
    <row r="1132" spans="24:34" x14ac:dyDescent="0.25">
      <c r="X1132">
        <v>64.400000000000006</v>
      </c>
      <c r="Y1132" s="12">
        <v>68.819747973175041</v>
      </c>
      <c r="Z1132" s="12">
        <v>-4.4197479731750349</v>
      </c>
      <c r="AA1132" s="12">
        <v>-4.4224462306793981</v>
      </c>
      <c r="AB1132" s="12">
        <v>6.1012782600971583E-4</v>
      </c>
      <c r="AC1132" s="12">
        <v>-0.70599020072864827</v>
      </c>
      <c r="AD1132" s="12">
        <v>1.5214344248104875E-4</v>
      </c>
      <c r="AE1132" s="12">
        <v>0.48161589062349974</v>
      </c>
      <c r="AF1132" s="12">
        <v>0.51522611248030359</v>
      </c>
      <c r="AG1132" s="12">
        <v>0.84023223023676508</v>
      </c>
      <c r="AH1132" s="12">
        <v>-4.4224462306794043</v>
      </c>
    </row>
    <row r="1133" spans="24:34" x14ac:dyDescent="0.25">
      <c r="X1133">
        <v>64.2</v>
      </c>
      <c r="Y1133" s="12">
        <v>68.770430613879455</v>
      </c>
      <c r="Z1133" s="12">
        <v>-4.5704306138794522</v>
      </c>
      <c r="AA1133" s="12">
        <v>-4.5732245004765559</v>
      </c>
      <c r="AB1133" s="12">
        <v>6.1092268634752608E-4</v>
      </c>
      <c r="AC1133" s="12">
        <v>-0.73005984261009271</v>
      </c>
      <c r="AD1133" s="12">
        <v>1.6290656240785199E-4</v>
      </c>
      <c r="AE1133" s="12">
        <v>0.48161589062349974</v>
      </c>
      <c r="AF1133" s="12">
        <v>0.51544160730856059</v>
      </c>
      <c r="AG1133" s="12">
        <v>0.85443539405275848</v>
      </c>
      <c r="AH1133" s="12">
        <v>-4.5732245004765542</v>
      </c>
    </row>
    <row r="1134" spans="24:34" x14ac:dyDescent="0.25">
      <c r="X1134">
        <v>62.9</v>
      </c>
      <c r="Y1134" s="12">
        <v>77.499603209199336</v>
      </c>
      <c r="Z1134" s="12">
        <v>-14.599603209199337</v>
      </c>
      <c r="AA1134" s="12">
        <v>-14.62408440194033</v>
      </c>
      <c r="AB1134" s="12">
        <v>1.6740325115839913E-3</v>
      </c>
      <c r="AC1134" s="12">
        <v>-2.3333157277754304</v>
      </c>
      <c r="AD1134" s="12">
        <v>4.5646611265012524E-3</v>
      </c>
      <c r="AE1134" s="12">
        <v>0.48161589062349974</v>
      </c>
      <c r="AF1134" s="12">
        <v>0.51677047574454826</v>
      </c>
      <c r="AG1134" s="12">
        <v>1.5275194688695233</v>
      </c>
      <c r="AH1134" s="12">
        <v>-14.624084401940335</v>
      </c>
    </row>
    <row r="1135" spans="24:34" x14ac:dyDescent="0.25">
      <c r="X1135">
        <v>63.7</v>
      </c>
      <c r="Y1135" s="12">
        <v>68.573161176697084</v>
      </c>
      <c r="Z1135" s="12">
        <v>-4.8731611766970815</v>
      </c>
      <c r="AA1135" s="12">
        <v>-4.876159405130565</v>
      </c>
      <c r="AB1135" s="12">
        <v>6.1487498344159504E-4</v>
      </c>
      <c r="AC1135" s="12">
        <v>-0.77841818793396456</v>
      </c>
      <c r="AD1135" s="12">
        <v>1.8640171195990772E-4</v>
      </c>
      <c r="AE1135" s="12">
        <v>0.48161589062349974</v>
      </c>
      <c r="AF1135" s="12">
        <v>0.51696601876684301</v>
      </c>
      <c r="AG1135" s="12">
        <v>0.88228010741145269</v>
      </c>
      <c r="AH1135" s="12">
        <v>-4.8761594051305694</v>
      </c>
    </row>
    <row r="1136" spans="24:34" x14ac:dyDescent="0.25">
      <c r="X1136">
        <v>63.5</v>
      </c>
      <c r="Y1136" s="12">
        <v>68.474526458105885</v>
      </c>
      <c r="Z1136" s="12">
        <v>-4.9745264581058848</v>
      </c>
      <c r="AA1136" s="12">
        <v>-4.9775992039891293</v>
      </c>
      <c r="AB1136" s="12">
        <v>6.1731484543432638E-4</v>
      </c>
      <c r="AC1136" s="12">
        <v>-0.79461081990729665</v>
      </c>
      <c r="AD1136" s="12">
        <v>1.9500863998509759E-4</v>
      </c>
      <c r="AE1136" s="12">
        <v>0.48161589062349974</v>
      </c>
      <c r="AF1136" s="12">
        <v>0.51762053489633642</v>
      </c>
      <c r="AG1136" s="12">
        <v>0.89140945693171592</v>
      </c>
      <c r="AH1136" s="12">
        <v>-4.9775992039891293</v>
      </c>
    </row>
    <row r="1137" spans="24:34" x14ac:dyDescent="0.25">
      <c r="X1137">
        <v>77.599999999999994</v>
      </c>
      <c r="Y1137" s="12">
        <v>71.729472171615001</v>
      </c>
      <c r="Z1137" s="12">
        <v>5.8705278283849935</v>
      </c>
      <c r="AA1137" s="12">
        <v>5.8746402324169225</v>
      </c>
      <c r="AB1137" s="12">
        <v>7.0002653255946481E-4</v>
      </c>
      <c r="AC1137" s="12">
        <v>0.93777327702468061</v>
      </c>
      <c r="AD1137" s="12">
        <v>3.0802384316316764E-4</v>
      </c>
      <c r="AE1137" s="12">
        <v>0.48161589062349974</v>
      </c>
      <c r="AF1137" s="12">
        <v>0.51783886727232054</v>
      </c>
      <c r="AG1137" s="12">
        <v>0.96838694591814933</v>
      </c>
      <c r="AH1137" s="12">
        <v>5.8746402324169269</v>
      </c>
    </row>
    <row r="1138" spans="24:34" x14ac:dyDescent="0.25">
      <c r="X1138">
        <v>77.5</v>
      </c>
      <c r="Y1138" s="12">
        <v>71.778789530910601</v>
      </c>
      <c r="Z1138" s="12">
        <v>5.7212104690893995</v>
      </c>
      <c r="AA1138" s="12">
        <v>5.7252402871382628</v>
      </c>
      <c r="AB1138" s="12">
        <v>7.0386880667862241E-4</v>
      </c>
      <c r="AC1138" s="12">
        <v>0.91392269341363519</v>
      </c>
      <c r="AD1138" s="12">
        <v>2.9416191219247155E-4</v>
      </c>
      <c r="AE1138" s="12">
        <v>0.48161589062349974</v>
      </c>
      <c r="AF1138" s="12">
        <v>0.52046515110874758</v>
      </c>
      <c r="AG1138" s="12">
        <v>0.95599304046297073</v>
      </c>
      <c r="AH1138" s="12">
        <v>5.7252402871382557</v>
      </c>
    </row>
    <row r="1139" spans="24:34" x14ac:dyDescent="0.25">
      <c r="X1139">
        <v>77.2</v>
      </c>
      <c r="Y1139" s="12">
        <v>77.006429616243409</v>
      </c>
      <c r="Z1139" s="12">
        <v>0.19357038375659386</v>
      </c>
      <c r="AA1139" s="12">
        <v>0.19387077418230092</v>
      </c>
      <c r="AB1139" s="12">
        <v>1.5494363550670933E-3</v>
      </c>
      <c r="AC1139" s="12">
        <v>3.0934583100226305E-2</v>
      </c>
      <c r="AD1139" s="12">
        <v>7.4251582592586959E-7</v>
      </c>
      <c r="AE1139" s="12">
        <v>0.48161589062349974</v>
      </c>
      <c r="AF1139" s="12">
        <v>0.52134318031215909</v>
      </c>
      <c r="AG1139" s="12">
        <v>0.17588229899630692</v>
      </c>
      <c r="AH1139" s="12">
        <v>0.19387077418229692</v>
      </c>
    </row>
    <row r="1140" spans="24:34" x14ac:dyDescent="0.25">
      <c r="X1140">
        <v>77.3</v>
      </c>
      <c r="Y1140" s="12">
        <v>71.630837453023815</v>
      </c>
      <c r="Z1140" s="12">
        <v>5.6691625469761817</v>
      </c>
      <c r="AA1140" s="12">
        <v>5.6730915818035896</v>
      </c>
      <c r="AB1140" s="12">
        <v>6.9257384104399783E-4</v>
      </c>
      <c r="AC1140" s="12">
        <v>0.90560328996090123</v>
      </c>
      <c r="AD1140" s="12">
        <v>2.8419272523717208E-4</v>
      </c>
      <c r="AE1140" s="12">
        <v>0.48161589062349974</v>
      </c>
      <c r="AF1140" s="12">
        <v>0.52156289229362185</v>
      </c>
      <c r="AG1140" s="12">
        <v>0.95163190886019644</v>
      </c>
      <c r="AH1140" s="12">
        <v>5.6730915818035861</v>
      </c>
    </row>
    <row r="1141" spans="24:34" x14ac:dyDescent="0.25">
      <c r="X1141">
        <v>76.5</v>
      </c>
      <c r="Y1141" s="12">
        <v>71.58152009372823</v>
      </c>
      <c r="Z1141" s="12">
        <v>4.9184799062717701</v>
      </c>
      <c r="AA1141" s="12">
        <v>4.9218708952945462</v>
      </c>
      <c r="AB1141" s="12">
        <v>6.8896342364768845E-4</v>
      </c>
      <c r="AC1141" s="12">
        <v>0.78568633400815324</v>
      </c>
      <c r="AD1141" s="12">
        <v>2.1279620827945798E-4</v>
      </c>
      <c r="AE1141" s="12">
        <v>0.48161589062349974</v>
      </c>
      <c r="AF1141" s="12">
        <v>0.52235199451434144</v>
      </c>
      <c r="AG1141" s="12">
        <v>0.88638949339900985</v>
      </c>
      <c r="AH1141" s="12">
        <v>4.9218708952945436</v>
      </c>
    </row>
    <row r="1142" spans="24:34" x14ac:dyDescent="0.25">
      <c r="X1142">
        <v>76.8</v>
      </c>
      <c r="Y1142" s="12">
        <v>71.334933297250259</v>
      </c>
      <c r="Z1142" s="12">
        <v>5.4650667027497377</v>
      </c>
      <c r="AA1142" s="12">
        <v>5.4687420836340408</v>
      </c>
      <c r="AB1142" s="12">
        <v>6.72070620280384E-4</v>
      </c>
      <c r="AC1142" s="12">
        <v>0.87299165853586547</v>
      </c>
      <c r="AD1142" s="12">
        <v>2.5626959208468E-4</v>
      </c>
      <c r="AE1142" s="12">
        <v>0.48161589062349974</v>
      </c>
      <c r="AF1142" s="12">
        <v>0.52245052308747053</v>
      </c>
      <c r="AG1142" s="12">
        <v>0.934340226328646</v>
      </c>
      <c r="AH1142" s="12">
        <v>5.468742083634039</v>
      </c>
    </row>
    <row r="1143" spans="24:34" x14ac:dyDescent="0.25">
      <c r="X1143">
        <v>76.5</v>
      </c>
      <c r="Y1143" s="12">
        <v>71.334933297250259</v>
      </c>
      <c r="Z1143" s="12">
        <v>5.1650667027497406</v>
      </c>
      <c r="AA1143" s="12">
        <v>5.1685403268531473</v>
      </c>
      <c r="AB1143" s="12">
        <v>6.72070620280384E-4</v>
      </c>
      <c r="AC1143" s="12">
        <v>0.8250695540482873</v>
      </c>
      <c r="AD1143" s="12">
        <v>2.2890644070012556E-4</v>
      </c>
      <c r="AE1143" s="12">
        <v>0.48161589062349974</v>
      </c>
      <c r="AF1143" s="12">
        <v>0.524868479722993</v>
      </c>
      <c r="AG1143" s="12">
        <v>0.90833339366572186</v>
      </c>
      <c r="AH1143" s="12">
        <v>5.1685403268531527</v>
      </c>
    </row>
    <row r="1144" spans="24:34" x14ac:dyDescent="0.25">
      <c r="X1144">
        <v>76.400000000000006</v>
      </c>
      <c r="Y1144" s="12">
        <v>71.482885375137045</v>
      </c>
      <c r="Z1144" s="12">
        <v>4.9171146248629611</v>
      </c>
      <c r="AA1144" s="12">
        <v>4.9204702598403998</v>
      </c>
      <c r="AB1144" s="12">
        <v>6.8197444557791822E-4</v>
      </c>
      <c r="AC1144" s="12">
        <v>0.78546549494892337</v>
      </c>
      <c r="AD1144" s="12">
        <v>2.1051769563176559E-4</v>
      </c>
      <c r="AE1144" s="12">
        <v>0.48161589062349974</v>
      </c>
      <c r="AF1144" s="12">
        <v>0.52492719932886034</v>
      </c>
      <c r="AG1144" s="12">
        <v>0.88626491239861427</v>
      </c>
      <c r="AH1144" s="12">
        <v>4.9204702598403989</v>
      </c>
    </row>
    <row r="1145" spans="24:34" x14ac:dyDescent="0.25">
      <c r="X1145">
        <v>76.2</v>
      </c>
      <c r="Y1145" s="12">
        <v>71.433568015841445</v>
      </c>
      <c r="Z1145" s="12">
        <v>4.7664319841585581</v>
      </c>
      <c r="AA1145" s="12">
        <v>4.769668661684733</v>
      </c>
      <c r="AB1145" s="12">
        <v>6.7859588490445737E-4</v>
      </c>
      <c r="AC1145" s="12">
        <v>0.76139399108261829</v>
      </c>
      <c r="AD1145" s="12">
        <v>1.9683164705897781E-4</v>
      </c>
      <c r="AE1145" s="12">
        <v>0.5039283835636299</v>
      </c>
      <c r="AF1145" s="12">
        <v>0.52527994260458089</v>
      </c>
      <c r="AG1145" s="12">
        <v>0.87257893114756002</v>
      </c>
      <c r="AH1145" s="12">
        <v>4.7696686616847348</v>
      </c>
    </row>
    <row r="1146" spans="24:34" x14ac:dyDescent="0.25">
      <c r="X1146">
        <v>75.8</v>
      </c>
      <c r="Y1146" s="12">
        <v>71.58152009372823</v>
      </c>
      <c r="Z1146" s="12">
        <v>4.2184799062717673</v>
      </c>
      <c r="AA1146" s="12">
        <v>4.2213882883994955</v>
      </c>
      <c r="AB1146" s="12">
        <v>6.8896342364768845E-4</v>
      </c>
      <c r="AC1146" s="12">
        <v>0.67386714509484591</v>
      </c>
      <c r="AD1146" s="12">
        <v>1.565359350516902E-4</v>
      </c>
      <c r="AE1146" s="12">
        <v>0.5039283835636299</v>
      </c>
      <c r="AF1146" s="12">
        <v>0.52527994260458089</v>
      </c>
      <c r="AG1146" s="12">
        <v>0.8208941132051355</v>
      </c>
      <c r="AH1146" s="12">
        <v>4.2213882883994893</v>
      </c>
    </row>
    <row r="1147" spans="24:34" x14ac:dyDescent="0.25">
      <c r="X1147">
        <v>75.8</v>
      </c>
      <c r="Y1147" s="12">
        <v>71.53220273443263</v>
      </c>
      <c r="Z1147" s="12">
        <v>4.267797265567367</v>
      </c>
      <c r="AA1147" s="12">
        <v>4.2707245495416686</v>
      </c>
      <c r="AB1147" s="12">
        <v>6.8543029182566194E-4</v>
      </c>
      <c r="AC1147" s="12">
        <v>0.68174397865674496</v>
      </c>
      <c r="AD1147" s="12">
        <v>1.5939463528015792E-4</v>
      </c>
      <c r="AE1147" s="12">
        <v>0.5039283835636299</v>
      </c>
      <c r="AF1147" s="12">
        <v>0.52615328771751624</v>
      </c>
      <c r="AG1147" s="12">
        <v>0.82567789037659534</v>
      </c>
      <c r="AH1147" s="12">
        <v>4.2707245495416668</v>
      </c>
    </row>
    <row r="1148" spans="24:34" x14ac:dyDescent="0.25">
      <c r="X1148">
        <v>75.5</v>
      </c>
      <c r="Y1148" s="12">
        <v>71.384250656545859</v>
      </c>
      <c r="Z1148" s="12">
        <v>4.1157493434541408</v>
      </c>
      <c r="AA1148" s="12">
        <v>4.1185305649449617</v>
      </c>
      <c r="AB1148" s="12">
        <v>6.752946098052793E-4</v>
      </c>
      <c r="AC1148" s="12">
        <v>0.65745229412889727</v>
      </c>
      <c r="AD1148" s="12">
        <v>1.4604448232237585E-4</v>
      </c>
      <c r="AE1148" s="12">
        <v>0.5039283835636299</v>
      </c>
      <c r="AF1148" s="12">
        <v>0.52724680865168183</v>
      </c>
      <c r="AG1148" s="12">
        <v>0.81083431977741127</v>
      </c>
      <c r="AH1148" s="12">
        <v>4.1185305649449662</v>
      </c>
    </row>
    <row r="1149" spans="24:34" x14ac:dyDescent="0.25">
      <c r="X1149">
        <v>75.7</v>
      </c>
      <c r="Y1149" s="12">
        <v>71.433568015841445</v>
      </c>
      <c r="Z1149" s="12">
        <v>4.2664319841585581</v>
      </c>
      <c r="AA1149" s="12">
        <v>4.2693291333397383</v>
      </c>
      <c r="AB1149" s="12">
        <v>6.7859588490445737E-4</v>
      </c>
      <c r="AC1149" s="12">
        <v>0.68152355617311533</v>
      </c>
      <c r="AD1149" s="12">
        <v>1.5770220993259688E-4</v>
      </c>
      <c r="AE1149" s="12">
        <v>0.5039283835636299</v>
      </c>
      <c r="AF1149" s="12">
        <v>0.52746575913062199</v>
      </c>
      <c r="AG1149" s="12">
        <v>0.825544399879931</v>
      </c>
      <c r="AH1149" s="12">
        <v>4.2693291333397454</v>
      </c>
    </row>
    <row r="1150" spans="24:34" x14ac:dyDescent="0.25">
      <c r="X1150">
        <v>75.5</v>
      </c>
      <c r="Y1150" s="12">
        <v>71.482885375137045</v>
      </c>
      <c r="Z1150" s="12">
        <v>4.0171146248629555</v>
      </c>
      <c r="AA1150" s="12">
        <v>4.0198560639734922</v>
      </c>
      <c r="AB1150" s="12">
        <v>6.8197444557791822E-4</v>
      </c>
      <c r="AC1150" s="12">
        <v>0.64169846908388417</v>
      </c>
      <c r="AD1150" s="12">
        <v>1.4050649197788016E-4</v>
      </c>
      <c r="AE1150" s="12">
        <v>0.5039283835636299</v>
      </c>
      <c r="AF1150" s="12">
        <v>0.52834238543250567</v>
      </c>
      <c r="AG1150" s="12">
        <v>0.80106083981423293</v>
      </c>
      <c r="AH1150" s="12">
        <v>4.0198560639734868</v>
      </c>
    </row>
    <row r="1151" spans="24:34" x14ac:dyDescent="0.25">
      <c r="X1151">
        <v>62.7</v>
      </c>
      <c r="Y1151" s="12">
        <v>63.888012043615781</v>
      </c>
      <c r="Z1151" s="12">
        <v>-1.1880120436157782</v>
      </c>
      <c r="AA1151" s="12">
        <v>-1.189287170504528</v>
      </c>
      <c r="AB1151" s="12">
        <v>1.0721774524905998E-3</v>
      </c>
      <c r="AC1151" s="12">
        <v>-0.18981145939450556</v>
      </c>
      <c r="AD1151" s="12">
        <v>1.9335144472688597E-5</v>
      </c>
      <c r="AE1151" s="12">
        <v>0.5039283835636299</v>
      </c>
      <c r="AF1151" s="12">
        <v>0.52944003088926639</v>
      </c>
      <c r="AG1151" s="12">
        <v>0.43567356976812993</v>
      </c>
      <c r="AH1151" s="12">
        <v>-1.1892871705045294</v>
      </c>
    </row>
    <row r="1152" spans="24:34" x14ac:dyDescent="0.25">
      <c r="X1152">
        <v>62.4</v>
      </c>
      <c r="Y1152" s="12">
        <v>63.740059965729003</v>
      </c>
      <c r="Z1152" s="12">
        <v>-1.3400599657290044</v>
      </c>
      <c r="AA1152" s="12">
        <v>-1.3415329414811836</v>
      </c>
      <c r="AB1152" s="12">
        <v>1.0979795625117191E-3</v>
      </c>
      <c r="AC1152" s="12">
        <v>-0.2141072762855499</v>
      </c>
      <c r="AD1152" s="12">
        <v>2.5194411743644618E-5</v>
      </c>
      <c r="AE1152" s="12">
        <v>0.5039283835636299</v>
      </c>
      <c r="AF1152" s="12">
        <v>0.53076312212305776</v>
      </c>
      <c r="AG1152" s="12">
        <v>0.4627172746781234</v>
      </c>
      <c r="AH1152" s="12">
        <v>-1.341532941481187</v>
      </c>
    </row>
    <row r="1153" spans="24:34" x14ac:dyDescent="0.25">
      <c r="X1153">
        <v>62.2</v>
      </c>
      <c r="Y1153" s="12">
        <v>63.592107887842225</v>
      </c>
      <c r="Z1153" s="12">
        <v>-1.3921078878422222</v>
      </c>
      <c r="AA1153" s="12">
        <v>-1.393675043712598</v>
      </c>
      <c r="AB1153" s="12">
        <v>1.1244772427013831E-3</v>
      </c>
      <c r="AC1153" s="12">
        <v>-0.22242615193240281</v>
      </c>
      <c r="AD1153" s="12">
        <v>2.7847165813769876E-5</v>
      </c>
      <c r="AE1153" s="12">
        <v>0.5039283835636299</v>
      </c>
      <c r="AF1153" s="12">
        <v>0.53098039489625559</v>
      </c>
      <c r="AG1153" s="12">
        <v>0.47162077131144553</v>
      </c>
      <c r="AH1153" s="12">
        <v>-1.3936750437125978</v>
      </c>
    </row>
    <row r="1154" spans="24:34" x14ac:dyDescent="0.25">
      <c r="X1154">
        <v>62</v>
      </c>
      <c r="Y1154" s="12">
        <v>63.542790528546632</v>
      </c>
      <c r="Z1154" s="12">
        <v>-1.5427905285466323</v>
      </c>
      <c r="AA1154" s="12">
        <v>-1.5445412109833256</v>
      </c>
      <c r="AB1154" s="12">
        <v>1.1334643739131702E-3</v>
      </c>
      <c r="AC1154" s="12">
        <v>-0.24650280861414395</v>
      </c>
      <c r="AD1154" s="12">
        <v>3.4475784628906699E-5</v>
      </c>
      <c r="AE1154" s="12">
        <v>0.5039283835636299</v>
      </c>
      <c r="AF1154" s="12">
        <v>0.53381239356428256</v>
      </c>
      <c r="AG1154" s="12">
        <v>0.49649049196751388</v>
      </c>
      <c r="AH1154" s="12">
        <v>-1.5445412109833225</v>
      </c>
    </row>
    <row r="1155" spans="24:34" x14ac:dyDescent="0.25">
      <c r="X1155">
        <v>61.8</v>
      </c>
      <c r="Y1155" s="12">
        <v>63.49347316925104</v>
      </c>
      <c r="Z1155" s="12">
        <v>-1.6934731692510425</v>
      </c>
      <c r="AA1155" s="12">
        <v>-1.6954102242442843</v>
      </c>
      <c r="AB1155" s="12">
        <v>1.1425287906992399E-3</v>
      </c>
      <c r="AC1155" s="12">
        <v>-0.27057969239537133</v>
      </c>
      <c r="AD1155" s="12">
        <v>4.187203150996431E-5</v>
      </c>
      <c r="AE1155" s="12">
        <v>0.5039283835636299</v>
      </c>
      <c r="AF1155" s="12">
        <v>0.53385155862861911</v>
      </c>
      <c r="AG1155" s="12">
        <v>0.52017275245380867</v>
      </c>
      <c r="AH1155" s="12">
        <v>-1.6954102242442874</v>
      </c>
    </row>
    <row r="1156" spans="24:34" x14ac:dyDescent="0.25">
      <c r="X1156">
        <v>61.6</v>
      </c>
      <c r="Y1156" s="12">
        <v>63.394838450659854</v>
      </c>
      <c r="Z1156" s="12">
        <v>-1.7948384506598529</v>
      </c>
      <c r="AA1156" s="12">
        <v>-1.7969244813884373</v>
      </c>
      <c r="AB1156" s="12">
        <v>1.160889480994228E-3</v>
      </c>
      <c r="AC1156" s="12">
        <v>-0.28677826626595154</v>
      </c>
      <c r="AD1156" s="12">
        <v>4.7792286731845975E-5</v>
      </c>
      <c r="AE1156" s="12">
        <v>0.5039283835636299</v>
      </c>
      <c r="AF1156" s="12">
        <v>0.5340308164239479</v>
      </c>
      <c r="AG1156" s="12">
        <v>0.53551682164610992</v>
      </c>
      <c r="AH1156" s="12">
        <v>-1.7969244813884377</v>
      </c>
    </row>
    <row r="1157" spans="24:34" x14ac:dyDescent="0.25">
      <c r="X1157">
        <v>61.4</v>
      </c>
      <c r="Y1157" s="12">
        <v>76.168034508218341</v>
      </c>
      <c r="Z1157" s="12">
        <v>-14.768034508218342</v>
      </c>
      <c r="AA1157" s="12">
        <v>-14.788077676116934</v>
      </c>
      <c r="AB1157" s="12">
        <v>1.3553599282862686E-3</v>
      </c>
      <c r="AC1157" s="12">
        <v>-2.3598578889268222</v>
      </c>
      <c r="AD1157" s="12">
        <v>3.7790737836467933E-3</v>
      </c>
      <c r="AE1157" s="12">
        <v>0.5039283835636299</v>
      </c>
      <c r="AF1157" s="12">
        <v>0.53468658285680748</v>
      </c>
      <c r="AG1157" s="12">
        <v>1.5361828956627601</v>
      </c>
      <c r="AH1157" s="12">
        <v>-14.788077676116936</v>
      </c>
    </row>
    <row r="1158" spans="24:34" x14ac:dyDescent="0.25">
      <c r="X1158">
        <v>61.1</v>
      </c>
      <c r="Y1158" s="12">
        <v>63.049616935590706</v>
      </c>
      <c r="Z1158" s="12">
        <v>-1.9496169355907043</v>
      </c>
      <c r="AA1158" s="12">
        <v>-1.9520132004337682</v>
      </c>
      <c r="AB1158" s="12">
        <v>1.2275863926165943E-3</v>
      </c>
      <c r="AC1158" s="12">
        <v>-0.31151908543733442</v>
      </c>
      <c r="AD1158" s="12">
        <v>5.9638244334003409E-5</v>
      </c>
      <c r="AE1158" s="12">
        <v>0.5039283835636299</v>
      </c>
      <c r="AF1158" s="12">
        <v>0.5347454234702177</v>
      </c>
      <c r="AG1158" s="12">
        <v>0.55813894814583076</v>
      </c>
      <c r="AH1158" s="12">
        <v>-1.9520132004337647</v>
      </c>
    </row>
    <row r="1159" spans="24:34" x14ac:dyDescent="0.25">
      <c r="X1159">
        <v>68</v>
      </c>
      <c r="Y1159" s="12">
        <v>62.852347498408335</v>
      </c>
      <c r="Z1159" s="12">
        <v>5.147652501591665</v>
      </c>
      <c r="AA1159" s="12">
        <v>5.1541849114053306</v>
      </c>
      <c r="AB1159" s="12">
        <v>1.2673991961778825E-3</v>
      </c>
      <c r="AC1159" s="12">
        <v>0.82253284330247922</v>
      </c>
      <c r="AD1159" s="12">
        <v>4.2928004563355947E-4</v>
      </c>
      <c r="AE1159" s="12">
        <v>0.52824151828033117</v>
      </c>
      <c r="AF1159" s="12">
        <v>0.53556210356695833</v>
      </c>
      <c r="AG1159" s="12">
        <v>0.90693596427888956</v>
      </c>
      <c r="AH1159" s="12">
        <v>5.1541849114053324</v>
      </c>
    </row>
    <row r="1160" spans="24:34" x14ac:dyDescent="0.25">
      <c r="X1160">
        <v>64</v>
      </c>
      <c r="Y1160" s="12">
        <v>75.773495633853599</v>
      </c>
      <c r="Z1160" s="12">
        <v>-11.773495633853599</v>
      </c>
      <c r="AA1160" s="12">
        <v>-11.788487742192785</v>
      </c>
      <c r="AB1160" s="12">
        <v>1.2717584025235722E-3</v>
      </c>
      <c r="AC1160" s="12">
        <v>-1.8812668436048663</v>
      </c>
      <c r="AD1160" s="12">
        <v>2.2533470862667621E-3</v>
      </c>
      <c r="AE1160" s="12">
        <v>0.52824151828033117</v>
      </c>
      <c r="AF1160" s="12">
        <v>0.53885727628887647</v>
      </c>
      <c r="AG1160" s="12">
        <v>1.3715928126105306</v>
      </c>
      <c r="AH1160" s="12">
        <v>-11.78848774219278</v>
      </c>
    </row>
    <row r="1161" spans="24:34" x14ac:dyDescent="0.25">
      <c r="X1161">
        <v>59.9</v>
      </c>
      <c r="Y1161" s="12">
        <v>62.112587108974445</v>
      </c>
      <c r="Z1161" s="12">
        <v>-2.2125871089744464</v>
      </c>
      <c r="AA1161" s="12">
        <v>-2.2157505591000515</v>
      </c>
      <c r="AB1161" s="12">
        <v>1.4277104038680111E-3</v>
      </c>
      <c r="AC1161" s="12">
        <v>-0.35357313749803299</v>
      </c>
      <c r="AD1161" s="12">
        <v>8.9369461912399502E-5</v>
      </c>
      <c r="AE1161" s="12">
        <v>0.52824151828033117</v>
      </c>
      <c r="AF1161" s="12">
        <v>0.53907763198500969</v>
      </c>
      <c r="AG1161" s="12">
        <v>0.59462016237093152</v>
      </c>
      <c r="AH1161" s="12">
        <v>-2.2157505591000501</v>
      </c>
    </row>
    <row r="1162" spans="24:34" x14ac:dyDescent="0.25">
      <c r="X1162">
        <v>59.6</v>
      </c>
      <c r="Y1162" s="12">
        <v>61.767365593905296</v>
      </c>
      <c r="Z1162" s="12">
        <v>-2.1673655939052949</v>
      </c>
      <c r="AA1162" s="12">
        <v>-2.1706399462864994</v>
      </c>
      <c r="AB1162" s="12">
        <v>1.5084732900098468E-3</v>
      </c>
      <c r="AC1162" s="12">
        <v>-0.34636071111337657</v>
      </c>
      <c r="AD1162" s="12">
        <v>9.0619255641384642E-5</v>
      </c>
      <c r="AE1162" s="12">
        <v>0.52824151828033117</v>
      </c>
      <c r="AF1162" s="12">
        <v>0.54125345433489092</v>
      </c>
      <c r="AG1162" s="12">
        <v>0.5885241805681195</v>
      </c>
      <c r="AH1162" s="12">
        <v>-2.1706399462864963</v>
      </c>
    </row>
    <row r="1163" spans="24:34" x14ac:dyDescent="0.25">
      <c r="X1163">
        <v>59.3</v>
      </c>
      <c r="Y1163" s="12">
        <v>61.47146143813174</v>
      </c>
      <c r="Z1163" s="12">
        <v>-2.1714614381317432</v>
      </c>
      <c r="AA1163" s="12">
        <v>-2.1748993292496905</v>
      </c>
      <c r="AB1163" s="12">
        <v>1.5807127583855921E-3</v>
      </c>
      <c r="AC1163" s="12">
        <v>-0.3470278103858484</v>
      </c>
      <c r="AD1163" s="12">
        <v>9.5331968532851765E-5</v>
      </c>
      <c r="AE1163" s="12">
        <v>0.52824151828033117</v>
      </c>
      <c r="AF1163" s="12">
        <v>0.54147167235552685</v>
      </c>
      <c r="AG1163" s="12">
        <v>0.5890906639778366</v>
      </c>
      <c r="AH1163" s="12">
        <v>-2.1748993292496923</v>
      </c>
    </row>
    <row r="1164" spans="24:34" x14ac:dyDescent="0.25">
      <c r="X1164">
        <v>59.1</v>
      </c>
      <c r="Y1164" s="12">
        <v>61.27419200094937</v>
      </c>
      <c r="Z1164" s="12">
        <v>-2.1741920009493683</v>
      </c>
      <c r="AA1164" s="12">
        <v>-2.177742631987357</v>
      </c>
      <c r="AB1164" s="12">
        <v>1.6304181154550787E-3</v>
      </c>
      <c r="AC1164" s="12">
        <v>-0.34747283928670414</v>
      </c>
      <c r="AD1164" s="12">
        <v>9.8586938856305288E-5</v>
      </c>
      <c r="AE1164" s="12">
        <v>0.52824151828033117</v>
      </c>
      <c r="AF1164" s="12">
        <v>0.54431617759403195</v>
      </c>
      <c r="AG1164" s="12">
        <v>0.58946826826106946</v>
      </c>
      <c r="AH1164" s="12">
        <v>-2.1777426319873592</v>
      </c>
    </row>
    <row r="1165" spans="24:34" x14ac:dyDescent="0.25">
      <c r="X1165">
        <v>58.9</v>
      </c>
      <c r="Y1165" s="12">
        <v>61.076922563766999</v>
      </c>
      <c r="Z1165" s="12">
        <v>-2.1769225637670004</v>
      </c>
      <c r="AA1165" s="12">
        <v>-2.1805889188425454</v>
      </c>
      <c r="AB1165" s="12">
        <v>1.68136004171309E-3</v>
      </c>
      <c r="AC1165" s="12">
        <v>-0.34791810603437817</v>
      </c>
      <c r="AD1165" s="12">
        <v>1.019331880251778E-4</v>
      </c>
      <c r="AE1165" s="12">
        <v>0.52824151828033117</v>
      </c>
      <c r="AF1165" s="12">
        <v>0.54563386995246443</v>
      </c>
      <c r="AG1165" s="12">
        <v>0.58984583242943933</v>
      </c>
      <c r="AH1165" s="12">
        <v>-2.1805889188425445</v>
      </c>
    </row>
    <row r="1166" spans="24:34" x14ac:dyDescent="0.25">
      <c r="X1166">
        <v>73.900000000000006</v>
      </c>
      <c r="Y1166" s="12">
        <v>70.348586111338406</v>
      </c>
      <c r="Z1166" s="12">
        <v>3.5514138886615996</v>
      </c>
      <c r="AA1166" s="12">
        <v>3.5536307174200061</v>
      </c>
      <c r="AB1166" s="12">
        <v>6.238208003818659E-4</v>
      </c>
      <c r="AC1166" s="12">
        <v>0.56729039663513581</v>
      </c>
      <c r="AD1166" s="12">
        <v>1.0044116138272643E-4</v>
      </c>
      <c r="AE1166" s="12">
        <v>0.54051528578164909</v>
      </c>
      <c r="AF1166" s="12">
        <v>0.54673676575018615</v>
      </c>
      <c r="AG1166" s="12">
        <v>0.75318682717844698</v>
      </c>
      <c r="AH1166" s="12">
        <v>3.5536307174200017</v>
      </c>
    </row>
    <row r="1167" spans="24:34" x14ac:dyDescent="0.25">
      <c r="X1167">
        <v>73.8</v>
      </c>
      <c r="Y1167" s="12">
        <v>70.299268752042821</v>
      </c>
      <c r="Z1167" s="12">
        <v>3.5007312479571766</v>
      </c>
      <c r="AA1167" s="12">
        <v>3.502910828460017</v>
      </c>
      <c r="AB1167" s="12">
        <v>6.222198079169094E-4</v>
      </c>
      <c r="AC1167" s="12">
        <v>0.55919408148572447</v>
      </c>
      <c r="AD1167" s="12">
        <v>9.7344020587129205E-5</v>
      </c>
      <c r="AE1167" s="12">
        <v>0.54051528578164909</v>
      </c>
      <c r="AF1167" s="12">
        <v>0.54749473581082408</v>
      </c>
      <c r="AG1167" s="12">
        <v>0.74779280652178282</v>
      </c>
      <c r="AH1167" s="12">
        <v>3.5029108284600108</v>
      </c>
    </row>
    <row r="1168" spans="24:34" x14ac:dyDescent="0.25">
      <c r="X1168">
        <v>73.599999999999994</v>
      </c>
      <c r="Y1168" s="12">
        <v>70.299268752042821</v>
      </c>
      <c r="Z1168" s="12">
        <v>3.3007312479571738</v>
      </c>
      <c r="AA1168" s="12">
        <v>3.3027863070187209</v>
      </c>
      <c r="AB1168" s="12">
        <v>6.222198079169094E-4</v>
      </c>
      <c r="AC1168" s="12">
        <v>0.52724680865168183</v>
      </c>
      <c r="AD1168" s="12">
        <v>8.6539038756838348E-5</v>
      </c>
      <c r="AE1168" s="12">
        <v>0.54051528578164909</v>
      </c>
      <c r="AF1168" s="12">
        <v>0.54847710906916225</v>
      </c>
      <c r="AG1168" s="12">
        <v>0.72611762728340501</v>
      </c>
      <c r="AH1168" s="12">
        <v>3.3027863070187173</v>
      </c>
    </row>
    <row r="1169" spans="24:34" x14ac:dyDescent="0.25">
      <c r="X1169">
        <v>73.400000000000006</v>
      </c>
      <c r="Y1169" s="12">
        <v>76.858477538356638</v>
      </c>
      <c r="Z1169" s="12">
        <v>-3.4584775383566324</v>
      </c>
      <c r="AA1169" s="12">
        <v>-3.4637201024076205</v>
      </c>
      <c r="AB1169" s="12">
        <v>1.5135645768105384E-3</v>
      </c>
      <c r="AC1169" s="12">
        <v>-0.55269115506819189</v>
      </c>
      <c r="AD1169" s="12">
        <v>2.3152282819029533E-4</v>
      </c>
      <c r="AE1169" s="12">
        <v>0.54051528578164909</v>
      </c>
      <c r="AF1169" s="12">
        <v>0.54916288487623555</v>
      </c>
      <c r="AG1169" s="12">
        <v>0.74343201105964751</v>
      </c>
      <c r="AH1169" s="12">
        <v>-3.4637201024076232</v>
      </c>
    </row>
    <row r="1170" spans="24:34" x14ac:dyDescent="0.25">
      <c r="X1170">
        <v>73.2</v>
      </c>
      <c r="Y1170" s="12">
        <v>70.10199931486045</v>
      </c>
      <c r="Z1170" s="12">
        <v>3.098000685139553</v>
      </c>
      <c r="AA1170" s="12">
        <v>3.0999120558649764</v>
      </c>
      <c r="AB1170" s="12">
        <v>6.1658869379991124E-4</v>
      </c>
      <c r="AC1170" s="12">
        <v>0.49486197146337557</v>
      </c>
      <c r="AD1170" s="12">
        <v>7.5544280088354643E-5</v>
      </c>
      <c r="AE1170" s="12">
        <v>0.54051528578164909</v>
      </c>
      <c r="AF1170" s="12">
        <v>0.55000435286405214</v>
      </c>
      <c r="AG1170" s="12">
        <v>0.70346426452476996</v>
      </c>
      <c r="AH1170" s="12">
        <v>3.0999120558649733</v>
      </c>
    </row>
    <row r="1171" spans="24:34" x14ac:dyDescent="0.25">
      <c r="X1171">
        <v>73</v>
      </c>
      <c r="Y1171" s="12">
        <v>69.954047236973665</v>
      </c>
      <c r="Z1171" s="12">
        <v>3.0459527630263352</v>
      </c>
      <c r="AA1171" s="12">
        <v>3.0478216167051784</v>
      </c>
      <c r="AB1171" s="12">
        <v>6.1317685674213221E-4</v>
      </c>
      <c r="AC1171" s="12">
        <v>0.48654721852396304</v>
      </c>
      <c r="AD1171" s="12">
        <v>7.2622656049778247E-5</v>
      </c>
      <c r="AE1171" s="12">
        <v>0.54051528578164909</v>
      </c>
      <c r="AF1171" s="12">
        <v>0.55093564276288243</v>
      </c>
      <c r="AG1171" s="12">
        <v>0.69752936749929251</v>
      </c>
      <c r="AH1171" s="12">
        <v>3.047821616705177</v>
      </c>
    </row>
    <row r="1172" spans="24:34" x14ac:dyDescent="0.25">
      <c r="X1172">
        <v>72.7</v>
      </c>
      <c r="Y1172" s="12">
        <v>69.855412518382479</v>
      </c>
      <c r="Z1172" s="12">
        <v>2.8445874816175234</v>
      </c>
      <c r="AA1172" s="12">
        <v>2.8463274094750801</v>
      </c>
      <c r="AB1172" s="12">
        <v>6.1128872657502679E-4</v>
      </c>
      <c r="AC1172" s="12">
        <v>0.45438157689727798</v>
      </c>
      <c r="AD1172" s="12">
        <v>6.3142733686394732E-5</v>
      </c>
      <c r="AE1172" s="12">
        <v>0.54051528578164909</v>
      </c>
      <c r="AF1172" s="12">
        <v>0.55175489911308739</v>
      </c>
      <c r="AG1172" s="12">
        <v>0.67407831659034845</v>
      </c>
      <c r="AH1172" s="12">
        <v>2.846327409475077</v>
      </c>
    </row>
    <row r="1173" spans="24:34" x14ac:dyDescent="0.25">
      <c r="X1173">
        <v>72.5</v>
      </c>
      <c r="Y1173" s="12">
        <v>69.756777799791294</v>
      </c>
      <c r="Z1173" s="12">
        <v>2.7432222002087059</v>
      </c>
      <c r="AA1173" s="12">
        <v>2.7448957899035378</v>
      </c>
      <c r="AB1173" s="12">
        <v>6.0970973870505248E-4</v>
      </c>
      <c r="AC1173" s="12">
        <v>0.43818959778333116</v>
      </c>
      <c r="AD1173" s="12">
        <v>5.8570932414020332E-5</v>
      </c>
      <c r="AE1173" s="12">
        <v>0.54051528578164909</v>
      </c>
      <c r="AF1173" s="12">
        <v>0.55249167546524558</v>
      </c>
      <c r="AG1173" s="12">
        <v>0.66195890943723323</v>
      </c>
      <c r="AH1173" s="12">
        <v>2.7448957899035404</v>
      </c>
    </row>
    <row r="1174" spans="24:34" x14ac:dyDescent="0.25">
      <c r="X1174">
        <v>72.3</v>
      </c>
      <c r="Y1174" s="12">
        <v>69.658143081200109</v>
      </c>
      <c r="Z1174" s="12">
        <v>2.6418569187998884</v>
      </c>
      <c r="AA1174" s="12">
        <v>2.6434653085497217</v>
      </c>
      <c r="AB1174" s="12">
        <v>6.0843989313220947E-4</v>
      </c>
      <c r="AC1174" s="12">
        <v>0.42199770952054161</v>
      </c>
      <c r="AD1174" s="12">
        <v>5.4209099837535722E-5</v>
      </c>
      <c r="AE1174" s="12">
        <v>0.54051528578164909</v>
      </c>
      <c r="AF1174" s="12">
        <v>0.55285178856937578</v>
      </c>
      <c r="AG1174" s="12">
        <v>0.64961350780332583</v>
      </c>
      <c r="AH1174" s="12">
        <v>2.6434653085497208</v>
      </c>
    </row>
    <row r="1175" spans="24:34" x14ac:dyDescent="0.25">
      <c r="X1175">
        <v>72.099999999999994</v>
      </c>
      <c r="Y1175" s="12">
        <v>69.559508362608923</v>
      </c>
      <c r="Z1175" s="12">
        <v>2.5404916373910709</v>
      </c>
      <c r="AA1175" s="12">
        <v>2.5420358712827493</v>
      </c>
      <c r="AB1175" s="12">
        <v>6.0747918985649756E-4</v>
      </c>
      <c r="AC1175" s="12">
        <v>0.40580590459562277</v>
      </c>
      <c r="AD1175" s="12">
        <v>5.0049764481645876E-5</v>
      </c>
      <c r="AE1175" s="12">
        <v>0.54051528578164909</v>
      </c>
      <c r="AF1175" s="12">
        <v>0.5548321949764462</v>
      </c>
      <c r="AG1175" s="12">
        <v>0.63702896684187194</v>
      </c>
      <c r="AH1175" s="12">
        <v>2.542035871282744</v>
      </c>
    </row>
    <row r="1176" spans="24:34" x14ac:dyDescent="0.25">
      <c r="X1176">
        <v>71.900000000000006</v>
      </c>
      <c r="Y1176" s="12">
        <v>69.460873644017738</v>
      </c>
      <c r="Z1176" s="12">
        <v>2.4391263559822676</v>
      </c>
      <c r="AA1176" s="12">
        <v>2.4406073839741111</v>
      </c>
      <c r="AB1176" s="12">
        <v>6.0682762887791708E-4</v>
      </c>
      <c r="AC1176" s="12">
        <v>0.38961417549543181</v>
      </c>
      <c r="AD1176" s="12">
        <v>4.6085942267567869E-5</v>
      </c>
      <c r="AE1176" s="12">
        <v>0.54051528578164909</v>
      </c>
      <c r="AF1176" s="12">
        <v>0.55494708091468237</v>
      </c>
      <c r="AG1176" s="12">
        <v>0.62419081657409203</v>
      </c>
      <c r="AH1176" s="12">
        <v>2.4406073839741063</v>
      </c>
    </row>
    <row r="1177" spans="24:34" x14ac:dyDescent="0.25">
      <c r="X1177">
        <v>71.7</v>
      </c>
      <c r="Y1177" s="12">
        <v>69.411556284722153</v>
      </c>
      <c r="Z1177" s="12">
        <v>2.2884437152778503</v>
      </c>
      <c r="AA1177" s="12">
        <v>2.2898327685410322</v>
      </c>
      <c r="AB1177" s="12">
        <v>6.0661777675005094E-4</v>
      </c>
      <c r="AC1177" s="12">
        <v>0.36554482530147131</v>
      </c>
      <c r="AD1177" s="12">
        <v>4.0553650011627175E-5</v>
      </c>
      <c r="AE1177" s="12">
        <v>0.54051528578164909</v>
      </c>
      <c r="AF1177" s="12">
        <v>0.55591944199464671</v>
      </c>
      <c r="AG1177" s="12">
        <v>0.60460303117125647</v>
      </c>
      <c r="AH1177" s="12">
        <v>2.2898327685410322</v>
      </c>
    </row>
    <row r="1178" spans="24:34" x14ac:dyDescent="0.25">
      <c r="X1178">
        <v>75.3</v>
      </c>
      <c r="Y1178" s="12">
        <v>71.433568015841445</v>
      </c>
      <c r="Z1178" s="12">
        <v>3.8664319841585524</v>
      </c>
      <c r="AA1178" s="12">
        <v>3.869057510663751</v>
      </c>
      <c r="AB1178" s="12">
        <v>6.7859588490445737E-4</v>
      </c>
      <c r="AC1178" s="12">
        <v>0.61762720824551209</v>
      </c>
      <c r="AD1178" s="12">
        <v>1.2951762613530834E-4</v>
      </c>
      <c r="AE1178" s="12">
        <v>0.54051528578164909</v>
      </c>
      <c r="AF1178" s="12">
        <v>0.55919408148572447</v>
      </c>
      <c r="AG1178" s="12">
        <v>0.78589261877530836</v>
      </c>
      <c r="AH1178" s="12">
        <v>3.8690575106637475</v>
      </c>
    </row>
    <row r="1179" spans="24:34" x14ac:dyDescent="0.25">
      <c r="X1179">
        <v>75.3</v>
      </c>
      <c r="Y1179" s="12">
        <v>71.433568015841445</v>
      </c>
      <c r="Z1179" s="12">
        <v>3.8664319841585524</v>
      </c>
      <c r="AA1179" s="12">
        <v>3.869057510663751</v>
      </c>
      <c r="AB1179" s="12">
        <v>6.7859588490445737E-4</v>
      </c>
      <c r="AC1179" s="12">
        <v>0.61762720824551209</v>
      </c>
      <c r="AD1179" s="12">
        <v>1.2951762613530834E-4</v>
      </c>
      <c r="AE1179" s="12">
        <v>0.54051528578164909</v>
      </c>
      <c r="AF1179" s="12">
        <v>0.55941308437928172</v>
      </c>
      <c r="AG1179" s="12">
        <v>0.78589261877530836</v>
      </c>
      <c r="AH1179" s="12">
        <v>3.8690575106637475</v>
      </c>
    </row>
    <row r="1180" spans="24:34" x14ac:dyDescent="0.25">
      <c r="X1180">
        <v>74.900000000000006</v>
      </c>
      <c r="Y1180" s="12">
        <v>71.236298578659074</v>
      </c>
      <c r="Z1180" s="12">
        <v>3.6637014213409316</v>
      </c>
      <c r="AA1180" s="12">
        <v>3.6661425388405604</v>
      </c>
      <c r="AB1180" s="12">
        <v>6.6585449795344173E-4</v>
      </c>
      <c r="AC1180" s="12">
        <v>0.58523912090319108</v>
      </c>
      <c r="AD1180" s="12">
        <v>1.1410516779809159E-4</v>
      </c>
      <c r="AE1180" s="12">
        <v>0.56531175535073552</v>
      </c>
      <c r="AF1180" s="12">
        <v>0.56028996975555589</v>
      </c>
      <c r="AG1180" s="12">
        <v>0.76500922929281778</v>
      </c>
      <c r="AH1180" s="12">
        <v>3.6661425388405569</v>
      </c>
    </row>
    <row r="1181" spans="24:34" x14ac:dyDescent="0.25">
      <c r="X1181">
        <v>74.5</v>
      </c>
      <c r="Y1181" s="12">
        <v>71.039029141476703</v>
      </c>
      <c r="Z1181" s="12">
        <v>3.4609708585232966</v>
      </c>
      <c r="AA1181" s="12">
        <v>3.4632370265640589</v>
      </c>
      <c r="AB1181" s="12">
        <v>6.5434968019095101E-4</v>
      </c>
      <c r="AC1181" s="12">
        <v>0.55285178856937578</v>
      </c>
      <c r="AD1181" s="12">
        <v>1.0006486417102102E-4</v>
      </c>
      <c r="AE1181" s="12">
        <v>0.56531175535073552</v>
      </c>
      <c r="AF1181" s="12">
        <v>0.56160793054909897</v>
      </c>
      <c r="AG1181" s="12">
        <v>0.74354003830955584</v>
      </c>
      <c r="AH1181" s="12">
        <v>3.4632370265640544</v>
      </c>
    </row>
    <row r="1182" spans="24:34" x14ac:dyDescent="0.25">
      <c r="X1182">
        <v>73.7</v>
      </c>
      <c r="Y1182" s="12">
        <v>76.907794897652224</v>
      </c>
      <c r="Z1182" s="12">
        <v>-3.2077948976522208</v>
      </c>
      <c r="AA1182" s="12">
        <v>-3.2126956867805347</v>
      </c>
      <c r="AB1182" s="12">
        <v>1.5254445506551072E-3</v>
      </c>
      <c r="AC1182" s="12">
        <v>-0.51263320195693374</v>
      </c>
      <c r="AD1182" s="12">
        <v>2.0074414622790366E-4</v>
      </c>
      <c r="AE1182" s="12">
        <v>0.56531175535073552</v>
      </c>
      <c r="AF1182" s="12">
        <v>0.56390640399338365</v>
      </c>
      <c r="AG1182" s="12">
        <v>0.71598407940186337</v>
      </c>
      <c r="AH1182" s="12">
        <v>-3.2126956867805334</v>
      </c>
    </row>
    <row r="1183" spans="24:34" x14ac:dyDescent="0.25">
      <c r="X1183">
        <v>73.8</v>
      </c>
      <c r="Y1183" s="12">
        <v>76.907794897652224</v>
      </c>
      <c r="Z1183" s="12">
        <v>-3.1077948976522265</v>
      </c>
      <c r="AA1183" s="12">
        <v>-3.112542909271852</v>
      </c>
      <c r="AB1183" s="12">
        <v>1.5254445506551072E-3</v>
      </c>
      <c r="AC1183" s="12">
        <v>-0.4966523422600716</v>
      </c>
      <c r="AD1183" s="12">
        <v>1.8842321255168617E-4</v>
      </c>
      <c r="AE1183" s="12">
        <v>0.56531175535073552</v>
      </c>
      <c r="AF1183" s="12">
        <v>0.56597788930415416</v>
      </c>
      <c r="AG1183" s="12">
        <v>0.70473565417117334</v>
      </c>
      <c r="AH1183" s="12">
        <v>-3.1125429092718555</v>
      </c>
    </row>
    <row r="1184" spans="24:34" x14ac:dyDescent="0.25">
      <c r="X1184">
        <v>73.900000000000006</v>
      </c>
      <c r="Y1184" s="12">
        <v>70.792442344998747</v>
      </c>
      <c r="Z1184" s="12">
        <v>3.1075576550012585</v>
      </c>
      <c r="AA1184" s="12">
        <v>3.1095530787929277</v>
      </c>
      <c r="AB1184" s="12">
        <v>6.4170758340920055E-4</v>
      </c>
      <c r="AC1184" s="12">
        <v>0.49639480110945772</v>
      </c>
      <c r="AD1184" s="12">
        <v>7.9111643017546309E-5</v>
      </c>
      <c r="AE1184" s="12">
        <v>0.56531175535073552</v>
      </c>
      <c r="AF1184" s="12">
        <v>0.56602422032536559</v>
      </c>
      <c r="AG1184" s="12">
        <v>0.70455290866581322</v>
      </c>
      <c r="AH1184" s="12">
        <v>3.1095530787929335</v>
      </c>
    </row>
    <row r="1185" spans="24:34" x14ac:dyDescent="0.25">
      <c r="X1185">
        <v>74</v>
      </c>
      <c r="Y1185" s="12">
        <v>71.039029141476703</v>
      </c>
      <c r="Z1185" s="12">
        <v>2.9609708585232966</v>
      </c>
      <c r="AA1185" s="12">
        <v>2.9629096374970345</v>
      </c>
      <c r="AB1185" s="12">
        <v>6.5434968019095101E-4</v>
      </c>
      <c r="AC1185" s="12">
        <v>0.4729823225772144</v>
      </c>
      <c r="AD1185" s="12">
        <v>7.3240953803515495E-5</v>
      </c>
      <c r="AE1185" s="12">
        <v>0.56531175535073552</v>
      </c>
      <c r="AF1185" s="12">
        <v>0.56619642030903083</v>
      </c>
      <c r="AG1185" s="12">
        <v>0.68773710280688971</v>
      </c>
      <c r="AH1185" s="12">
        <v>2.9629096374970274</v>
      </c>
    </row>
    <row r="1186" spans="24:34" x14ac:dyDescent="0.25">
      <c r="X1186">
        <v>74.2</v>
      </c>
      <c r="Y1186" s="12">
        <v>70.989711782181118</v>
      </c>
      <c r="Z1186" s="12">
        <v>3.210288217818885</v>
      </c>
      <c r="AA1186" s="12">
        <v>3.2123816199151491</v>
      </c>
      <c r="AB1186" s="12">
        <v>6.5166668968603524E-4</v>
      </c>
      <c r="AC1186" s="12">
        <v>0.51280732289767572</v>
      </c>
      <c r="AD1186" s="12">
        <v>8.57407090684631E-5</v>
      </c>
      <c r="AE1186" s="12">
        <v>0.56531175535073552</v>
      </c>
      <c r="AF1186" s="12">
        <v>0.56619642030903083</v>
      </c>
      <c r="AG1186" s="12">
        <v>0.71610566461778236</v>
      </c>
      <c r="AH1186" s="12">
        <v>3.2123816199151434</v>
      </c>
    </row>
    <row r="1187" spans="24:34" x14ac:dyDescent="0.25">
      <c r="X1187">
        <v>72.8</v>
      </c>
      <c r="Y1187" s="12">
        <v>70.299268752042821</v>
      </c>
      <c r="Z1187" s="12">
        <v>2.5007312479571766</v>
      </c>
      <c r="AA1187" s="12">
        <v>2.5022882212535507</v>
      </c>
      <c r="AB1187" s="12">
        <v>6.222198079169094E-4</v>
      </c>
      <c r="AC1187" s="12">
        <v>0.39945771731551355</v>
      </c>
      <c r="AD1187" s="12">
        <v>4.9673616418556197E-5</v>
      </c>
      <c r="AE1187" s="12">
        <v>0.56531175535073552</v>
      </c>
      <c r="AF1187" s="12">
        <v>0.56647898451842893</v>
      </c>
      <c r="AG1187" s="12">
        <v>0.63202667452846761</v>
      </c>
      <c r="AH1187" s="12">
        <v>2.5022882212535578</v>
      </c>
    </row>
    <row r="1188" spans="24:34" x14ac:dyDescent="0.25">
      <c r="X1188">
        <v>72.2</v>
      </c>
      <c r="Y1188" s="12">
        <v>70.151316674156035</v>
      </c>
      <c r="Z1188" s="12">
        <v>2.0486833258439674</v>
      </c>
      <c r="AA1188" s="12">
        <v>2.049949950034204</v>
      </c>
      <c r="AB1188" s="12">
        <v>6.1788054396773654E-4</v>
      </c>
      <c r="AC1188" s="12">
        <v>0.32724851535632282</v>
      </c>
      <c r="AD1188" s="12">
        <v>3.3105360347898455E-5</v>
      </c>
      <c r="AE1188" s="12">
        <v>0.56531175535073552</v>
      </c>
      <c r="AF1188" s="12">
        <v>0.56669450642996722</v>
      </c>
      <c r="AG1188" s="12">
        <v>0.57205639176249301</v>
      </c>
      <c r="AH1188" s="12">
        <v>2.0499499500342013</v>
      </c>
    </row>
    <row r="1189" spans="24:34" x14ac:dyDescent="0.25">
      <c r="X1189">
        <v>72.099999999999994</v>
      </c>
      <c r="Y1189" s="12">
        <v>70.10199931486045</v>
      </c>
      <c r="Z1189" s="12">
        <v>1.9980006851395444</v>
      </c>
      <c r="AA1189" s="12">
        <v>1.9992333898439938</v>
      </c>
      <c r="AB1189" s="12">
        <v>6.1658869379991124E-4</v>
      </c>
      <c r="AC1189" s="12">
        <v>0.3191524659035998</v>
      </c>
      <c r="AD1189" s="12">
        <v>3.1421711265356667E-5</v>
      </c>
      <c r="AE1189" s="12">
        <v>0.56531175535073552</v>
      </c>
      <c r="AF1189" s="12">
        <v>0.56729039663513581</v>
      </c>
      <c r="AG1189" s="12">
        <v>0.56493580688747269</v>
      </c>
      <c r="AH1189" s="12">
        <v>1.9992333898439894</v>
      </c>
    </row>
    <row r="1190" spans="24:34" x14ac:dyDescent="0.25">
      <c r="X1190">
        <v>68.400000000000006</v>
      </c>
      <c r="Y1190" s="12">
        <v>67.044323038533705</v>
      </c>
      <c r="Z1190" s="12">
        <v>1.3556769614663011</v>
      </c>
      <c r="AA1190" s="12">
        <v>1.3566095392382351</v>
      </c>
      <c r="AB1190" s="12">
        <v>6.8743270996904934E-4</v>
      </c>
      <c r="AC1190" s="12">
        <v>0.21655797451254949</v>
      </c>
      <c r="AD1190" s="12">
        <v>1.6130476991943559E-5</v>
      </c>
      <c r="AE1190" s="12">
        <v>0.56531175535073552</v>
      </c>
      <c r="AF1190" s="12">
        <v>0.56816716939468825</v>
      </c>
      <c r="AG1190" s="12">
        <v>0.46535789937697358</v>
      </c>
      <c r="AH1190" s="12">
        <v>1.3566095392382296</v>
      </c>
    </row>
    <row r="1191" spans="24:34" x14ac:dyDescent="0.25">
      <c r="X1191">
        <v>68.099999999999994</v>
      </c>
      <c r="Y1191" s="12">
        <v>66.797736242055748</v>
      </c>
      <c r="Z1191" s="12">
        <v>1.302263757944246</v>
      </c>
      <c r="AA1191" s="12">
        <v>1.3031839247377093</v>
      </c>
      <c r="AB1191" s="12">
        <v>7.0609127077183231E-4</v>
      </c>
      <c r="AC1191" s="12">
        <v>0.20802760728916747</v>
      </c>
      <c r="AD1191" s="12">
        <v>1.5289016678935362E-5</v>
      </c>
      <c r="AE1191" s="12">
        <v>0.56531175535073552</v>
      </c>
      <c r="AF1191" s="12">
        <v>0.56921379726251486</v>
      </c>
      <c r="AG1191" s="12">
        <v>0.45610043552836854</v>
      </c>
      <c r="AH1191" s="12">
        <v>1.3031839247377135</v>
      </c>
    </row>
    <row r="1192" spans="24:34" x14ac:dyDescent="0.25">
      <c r="X1192">
        <v>68.099999999999994</v>
      </c>
      <c r="Y1192" s="12">
        <v>66.896370960646934</v>
      </c>
      <c r="Z1192" s="12">
        <v>1.2036290393530606</v>
      </c>
      <c r="AA1192" s="12">
        <v>1.2044702365360109</v>
      </c>
      <c r="AB1192" s="12">
        <v>6.9839598972787061E-4</v>
      </c>
      <c r="AC1192" s="12">
        <v>0.19227065447724151</v>
      </c>
      <c r="AD1192" s="12">
        <v>1.2918175072715069E-5</v>
      </c>
      <c r="AE1192" s="12">
        <v>0.56531175535073552</v>
      </c>
      <c r="AF1192" s="12">
        <v>0.56926513575543192</v>
      </c>
      <c r="AG1192" s="12">
        <v>0.43848677799591801</v>
      </c>
      <c r="AH1192" s="12">
        <v>1.204470236536004</v>
      </c>
    </row>
    <row r="1193" spans="24:34" x14ac:dyDescent="0.25">
      <c r="X1193">
        <v>68</v>
      </c>
      <c r="Y1193" s="12">
        <v>66.847053601351334</v>
      </c>
      <c r="Z1193" s="12">
        <v>1.1529463986486661</v>
      </c>
      <c r="AA1193" s="12">
        <v>1.153756572268037</v>
      </c>
      <c r="AB1193" s="12">
        <v>7.0220498746271023E-4</v>
      </c>
      <c r="AC1193" s="12">
        <v>0.18417483616531388</v>
      </c>
      <c r="AD1193" s="12">
        <v>1.1917895397965692E-5</v>
      </c>
      <c r="AE1193" s="12">
        <v>0.56531175535073552</v>
      </c>
      <c r="AF1193" s="12">
        <v>0.56926513575543192</v>
      </c>
      <c r="AG1193" s="12">
        <v>0.42915595785834532</v>
      </c>
      <c r="AH1193" s="12">
        <v>1.1537565722680307</v>
      </c>
    </row>
    <row r="1194" spans="24:34" x14ac:dyDescent="0.25">
      <c r="X1194">
        <v>67.900000000000006</v>
      </c>
      <c r="Y1194" s="12">
        <v>66.847053601351334</v>
      </c>
      <c r="Z1194" s="12">
        <v>1.0529463986486718</v>
      </c>
      <c r="AA1194" s="12">
        <v>1.0536863024254615</v>
      </c>
      <c r="AB1194" s="12">
        <v>7.0220498746271023E-4</v>
      </c>
      <c r="AC1194" s="12">
        <v>0.1682005604850941</v>
      </c>
      <c r="AD1194" s="12">
        <v>9.9401711520088029E-6</v>
      </c>
      <c r="AE1194" s="12">
        <v>0.56531175535073552</v>
      </c>
      <c r="AF1194" s="12">
        <v>0.56948499678120235</v>
      </c>
      <c r="AG1194" s="12">
        <v>0.41012261640281933</v>
      </c>
      <c r="AH1194" s="12">
        <v>1.0536863024254561</v>
      </c>
    </row>
    <row r="1195" spans="24:34" x14ac:dyDescent="0.25">
      <c r="X1195">
        <v>68</v>
      </c>
      <c r="Y1195" s="12">
        <v>66.797736242055748</v>
      </c>
      <c r="Z1195" s="12">
        <v>1.2022637579442517</v>
      </c>
      <c r="AA1195" s="12">
        <v>1.2031132657189261</v>
      </c>
      <c r="AB1195" s="12">
        <v>7.0609127077183231E-4</v>
      </c>
      <c r="AC1195" s="12">
        <v>0.1920533005467647</v>
      </c>
      <c r="AD1195" s="12">
        <v>1.3031102383245349E-5</v>
      </c>
      <c r="AE1195" s="12">
        <v>0.56531175535073552</v>
      </c>
      <c r="AF1195" s="12">
        <v>0.56964065148812748</v>
      </c>
      <c r="AG1195" s="12">
        <v>0.43823886243322224</v>
      </c>
      <c r="AH1195" s="12">
        <v>1.2031132657189256</v>
      </c>
    </row>
    <row r="1196" spans="24:34" x14ac:dyDescent="0.25">
      <c r="X1196">
        <v>67.5</v>
      </c>
      <c r="Y1196" s="12">
        <v>66.896370960646934</v>
      </c>
      <c r="Z1196" s="12">
        <v>0.60362903935306633</v>
      </c>
      <c r="AA1196" s="12">
        <v>0.60405090608347223</v>
      </c>
      <c r="AB1196" s="12">
        <v>6.9839598972787061E-4</v>
      </c>
      <c r="AC1196" s="12">
        <v>9.6425183061604997E-2</v>
      </c>
      <c r="AD1196" s="12">
        <v>3.2490478007881048E-6</v>
      </c>
      <c r="AE1196" s="12">
        <v>0.56531175535073552</v>
      </c>
      <c r="AF1196" s="12">
        <v>0.57407391503943506</v>
      </c>
      <c r="AG1196" s="12">
        <v>0.31052404586699078</v>
      </c>
      <c r="AH1196" s="12">
        <v>0.60405090608346657</v>
      </c>
    </row>
    <row r="1197" spans="24:34" x14ac:dyDescent="0.25">
      <c r="X1197">
        <v>67.5</v>
      </c>
      <c r="Y1197" s="12">
        <v>66.945688319942519</v>
      </c>
      <c r="Z1197" s="12">
        <v>0.55431168005748077</v>
      </c>
      <c r="AA1197" s="12">
        <v>0.55469700825398149</v>
      </c>
      <c r="AB1197" s="12">
        <v>6.9466427756731419E-4</v>
      </c>
      <c r="AC1197" s="12">
        <v>8.8546941812676569E-2</v>
      </c>
      <c r="AD1197" s="12">
        <v>2.7251718677277138E-6</v>
      </c>
      <c r="AE1197" s="12">
        <v>0.59589828697336056</v>
      </c>
      <c r="AF1197" s="12">
        <v>0.57407391503943506</v>
      </c>
      <c r="AG1197" s="12">
        <v>0.29756838174220823</v>
      </c>
      <c r="AH1197" s="12">
        <v>0.55469700825398827</v>
      </c>
    </row>
    <row r="1198" spans="24:34" x14ac:dyDescent="0.25">
      <c r="X1198">
        <v>67.3</v>
      </c>
      <c r="Y1198" s="12">
        <v>66.797736242055748</v>
      </c>
      <c r="Z1198" s="12">
        <v>0.50226375794424882</v>
      </c>
      <c r="AA1198" s="12">
        <v>0.50261865258737259</v>
      </c>
      <c r="AB1198" s="12">
        <v>7.0609127077183231E-4</v>
      </c>
      <c r="AC1198" s="12">
        <v>8.023315334993833E-2</v>
      </c>
      <c r="AD1198" s="12">
        <v>2.2742873162343178E-6</v>
      </c>
      <c r="AE1198" s="12">
        <v>0.59589828697336056</v>
      </c>
      <c r="AF1198" s="12">
        <v>0.57451116806547142</v>
      </c>
      <c r="AG1198" s="12">
        <v>0.28325457339633253</v>
      </c>
      <c r="AH1198" s="12">
        <v>0.50261865258736782</v>
      </c>
    </row>
    <row r="1199" spans="24:34" x14ac:dyDescent="0.25">
      <c r="X1199">
        <v>67</v>
      </c>
      <c r="Y1199" s="12">
        <v>66.600466804873378</v>
      </c>
      <c r="Z1199" s="12">
        <v>0.39953319512662233</v>
      </c>
      <c r="AA1199" s="12">
        <v>0.39982203026353602</v>
      </c>
      <c r="AB1199" s="12">
        <v>7.2240925975114922E-4</v>
      </c>
      <c r="AC1199" s="12">
        <v>6.3823179230292765E-2</v>
      </c>
      <c r="AD1199" s="12">
        <v>1.4723939627503782E-6</v>
      </c>
      <c r="AE1199" s="12">
        <v>0.59589828697336056</v>
      </c>
      <c r="AF1199" s="12">
        <v>0.57626376191708217</v>
      </c>
      <c r="AG1199" s="12">
        <v>0.25263249836529894</v>
      </c>
      <c r="AH1199" s="12">
        <v>0.39982203026353724</v>
      </c>
    </row>
    <row r="1200" spans="24:34" x14ac:dyDescent="0.25">
      <c r="X1200">
        <v>67.3</v>
      </c>
      <c r="Y1200" s="12">
        <v>66.847053601351334</v>
      </c>
      <c r="Z1200" s="12">
        <v>0.45294639864866326</v>
      </c>
      <c r="AA1200" s="12">
        <v>0.45326468336996584</v>
      </c>
      <c r="AB1200" s="12">
        <v>7.0220498746271023E-4</v>
      </c>
      <c r="AC1200" s="12">
        <v>7.2354906403768765E-2</v>
      </c>
      <c r="AD1200" s="12">
        <v>1.8393948114470162E-6</v>
      </c>
      <c r="AE1200" s="12">
        <v>0.59589828697336056</v>
      </c>
      <c r="AF1200" s="12">
        <v>0.57666945983979889</v>
      </c>
      <c r="AG1200" s="12">
        <v>0.26898867337449128</v>
      </c>
      <c r="AH1200" s="12">
        <v>0.45326468336996639</v>
      </c>
    </row>
    <row r="1201" spans="24:34" x14ac:dyDescent="0.25">
      <c r="X1201">
        <v>67.2</v>
      </c>
      <c r="Y1201" s="12">
        <v>66.896370960646934</v>
      </c>
      <c r="Z1201" s="12">
        <v>0.30362903935306917</v>
      </c>
      <c r="AA1201" s="12">
        <v>0.30384124085719577</v>
      </c>
      <c r="AB1201" s="12">
        <v>6.9839598972787061E-4</v>
      </c>
      <c r="AC1201" s="12">
        <v>4.850244735378674E-2</v>
      </c>
      <c r="AD1201" s="12">
        <v>8.220580047944996E-7</v>
      </c>
      <c r="AE1201" s="12">
        <v>0.59589828697336056</v>
      </c>
      <c r="AF1201" s="12">
        <v>0.57709575336460062</v>
      </c>
      <c r="AG1201" s="12">
        <v>0.22023271181590337</v>
      </c>
      <c r="AH1201" s="12">
        <v>0.30384124085719777</v>
      </c>
    </row>
    <row r="1202" spans="24:34" x14ac:dyDescent="0.25">
      <c r="X1202">
        <v>66.8</v>
      </c>
      <c r="Y1202" s="12">
        <v>66.699101523464563</v>
      </c>
      <c r="Z1202" s="12">
        <v>0.10089847653543416</v>
      </c>
      <c r="AA1202" s="12">
        <v>0.10097057919126939</v>
      </c>
      <c r="AB1202" s="12">
        <v>7.1409569411292522E-4</v>
      </c>
      <c r="AC1202" s="12">
        <v>1.6117896693126171E-2</v>
      </c>
      <c r="AD1202" s="12">
        <v>9.2822528181786206E-8</v>
      </c>
      <c r="AE1202" s="12">
        <v>0.59589828697336056</v>
      </c>
      <c r="AF1202" s="12">
        <v>0.57758199114573128</v>
      </c>
      <c r="AG1202" s="12">
        <v>0.12695627866760339</v>
      </c>
      <c r="AH1202" s="12">
        <v>0.10097057919126673</v>
      </c>
    </row>
    <row r="1203" spans="24:34" x14ac:dyDescent="0.25">
      <c r="X1203">
        <v>66.8</v>
      </c>
      <c r="Y1203" s="12">
        <v>66.699101523464563</v>
      </c>
      <c r="Z1203" s="12">
        <v>0.10089847653543416</v>
      </c>
      <c r="AA1203" s="12">
        <v>0.10097057919126939</v>
      </c>
      <c r="AB1203" s="12">
        <v>7.1409569411292522E-4</v>
      </c>
      <c r="AC1203" s="12">
        <v>1.6117896693126171E-2</v>
      </c>
      <c r="AD1203" s="12">
        <v>9.2822528181786206E-8</v>
      </c>
      <c r="AE1203" s="12">
        <v>0.59589828697336056</v>
      </c>
      <c r="AF1203" s="12">
        <v>0.57890125245750113</v>
      </c>
      <c r="AG1203" s="12">
        <v>0.12695627866760339</v>
      </c>
      <c r="AH1203" s="12">
        <v>0.10097057919126673</v>
      </c>
    </row>
    <row r="1204" spans="24:34" x14ac:dyDescent="0.25">
      <c r="X1204">
        <v>66.8</v>
      </c>
      <c r="Y1204" s="12">
        <v>66.797736242055748</v>
      </c>
      <c r="Z1204" s="12">
        <v>2.2637579442488232E-3</v>
      </c>
      <c r="AA1204" s="12">
        <v>2.2653574933997334E-3</v>
      </c>
      <c r="AB1204" s="12">
        <v>7.0609127077183231E-4</v>
      </c>
      <c r="AC1204" s="12">
        <v>3.6161963791983911E-4</v>
      </c>
      <c r="AD1204" s="12">
        <v>4.6199962245829835E-11</v>
      </c>
      <c r="AE1204" s="12">
        <v>0.59589828697336056</v>
      </c>
      <c r="AF1204" s="12">
        <v>0.57911854081757286</v>
      </c>
      <c r="AG1204" s="12">
        <v>1.9016299269832684E-2</v>
      </c>
      <c r="AH1204" s="12">
        <v>2.2653574934000903E-3</v>
      </c>
    </row>
    <row r="1205" spans="24:34" x14ac:dyDescent="0.25">
      <c r="X1205">
        <v>77.3</v>
      </c>
      <c r="Y1205" s="12">
        <v>77.006429616243409</v>
      </c>
      <c r="Z1205" s="12">
        <v>0.29357038375658817</v>
      </c>
      <c r="AA1205" s="12">
        <v>0.29402595826566369</v>
      </c>
      <c r="AB1205" s="12">
        <v>1.5494363550670933E-3</v>
      </c>
      <c r="AC1205" s="12">
        <v>4.6915634798260546E-2</v>
      </c>
      <c r="AD1205" s="12">
        <v>1.7078604192394656E-6</v>
      </c>
      <c r="AE1205" s="12">
        <v>0.59589828697336056</v>
      </c>
      <c r="AF1205" s="12">
        <v>0.57998858533150233</v>
      </c>
      <c r="AG1205" s="12">
        <v>0.21660017266442921</v>
      </c>
      <c r="AH1205" s="12">
        <v>0.29402595826565842</v>
      </c>
    </row>
    <row r="1206" spans="24:34" x14ac:dyDescent="0.25">
      <c r="X1206">
        <v>77.099999999999994</v>
      </c>
      <c r="Y1206" s="12">
        <v>77.006429616243409</v>
      </c>
      <c r="Z1206" s="12">
        <v>9.3570383756585329E-2</v>
      </c>
      <c r="AA1206" s="12">
        <v>9.371559009892394E-2</v>
      </c>
      <c r="AB1206" s="12">
        <v>1.5494363550670933E-3</v>
      </c>
      <c r="AC1206" s="12">
        <v>1.4953531402189789E-2</v>
      </c>
      <c r="AD1206" s="12">
        <v>1.7350209124331209E-7</v>
      </c>
      <c r="AE1206" s="12">
        <v>0.59589828697336056</v>
      </c>
      <c r="AF1206" s="12">
        <v>0.58151460935388766</v>
      </c>
      <c r="AG1206" s="12">
        <v>0.12228463273113997</v>
      </c>
      <c r="AH1206" s="12">
        <v>9.3715590098921164E-2</v>
      </c>
    </row>
    <row r="1207" spans="24:34" x14ac:dyDescent="0.25">
      <c r="X1207">
        <v>76.8</v>
      </c>
      <c r="Y1207" s="12">
        <v>71.433568015841445</v>
      </c>
      <c r="Z1207" s="12">
        <v>5.3664319841585524</v>
      </c>
      <c r="AA1207" s="12">
        <v>5.370076095698721</v>
      </c>
      <c r="AB1207" s="12">
        <v>6.7859588490445737E-4</v>
      </c>
      <c r="AC1207" s="12">
        <v>0.85723851297402098</v>
      </c>
      <c r="AD1207" s="12">
        <v>2.4950507576763139E-4</v>
      </c>
      <c r="AE1207" s="12">
        <v>0.61415241452626612</v>
      </c>
      <c r="AF1207" s="12">
        <v>0.58173297244017086</v>
      </c>
      <c r="AG1207" s="12">
        <v>0.92587175838450808</v>
      </c>
      <c r="AH1207" s="12">
        <v>5.3700760956987175</v>
      </c>
    </row>
    <row r="1208" spans="24:34" x14ac:dyDescent="0.25">
      <c r="X1208">
        <v>76.7</v>
      </c>
      <c r="Y1208" s="12">
        <v>71.285615937954674</v>
      </c>
      <c r="Z1208" s="12">
        <v>5.414384062045329</v>
      </c>
      <c r="AA1208" s="12">
        <v>5.418008297374314</v>
      </c>
      <c r="AB1208" s="12">
        <v>6.6892391632977148E-4</v>
      </c>
      <c r="AC1208" s="12">
        <v>0.86489423416025135</v>
      </c>
      <c r="AD1208" s="12">
        <v>2.5035907541829484E-4</v>
      </c>
      <c r="AE1208" s="12">
        <v>0.61415241452626612</v>
      </c>
      <c r="AF1208" s="12">
        <v>0.58260732798101578</v>
      </c>
      <c r="AG1208" s="12">
        <v>0.92999690008099023</v>
      </c>
      <c r="AH1208" s="12">
        <v>5.4180082973743158</v>
      </c>
    </row>
    <row r="1209" spans="24:34" x14ac:dyDescent="0.25">
      <c r="X1209">
        <v>76.3</v>
      </c>
      <c r="Y1209" s="12">
        <v>76.957112256947823</v>
      </c>
      <c r="Z1209" s="12">
        <v>-0.65711225694782627</v>
      </c>
      <c r="AA1209" s="12">
        <v>-0.65812405806595109</v>
      </c>
      <c r="AB1209" s="12">
        <v>1.5374018100739587E-3</v>
      </c>
      <c r="AC1209" s="12">
        <v>-0.10501281662753761</v>
      </c>
      <c r="AD1209" s="12">
        <v>8.4900491734403542E-6</v>
      </c>
      <c r="AE1209" s="12">
        <v>0.61415241452626612</v>
      </c>
      <c r="AF1209" s="12">
        <v>0.58466829441627532</v>
      </c>
      <c r="AG1209" s="12">
        <v>0.32405681080257764</v>
      </c>
      <c r="AH1209" s="12">
        <v>-0.65812405806595009</v>
      </c>
    </row>
    <row r="1210" spans="24:34" x14ac:dyDescent="0.25">
      <c r="X1210">
        <v>75.7</v>
      </c>
      <c r="Y1210" s="12">
        <v>70.891077063589933</v>
      </c>
      <c r="Z1210" s="12">
        <v>4.8089229364100703</v>
      </c>
      <c r="AA1210" s="12">
        <v>4.8120340731441615</v>
      </c>
      <c r="AB1210" s="12">
        <v>6.4653256539905224E-4</v>
      </c>
      <c r="AC1210" s="12">
        <v>0.76816920946356004</v>
      </c>
      <c r="AD1210" s="12">
        <v>1.9087764855961332E-4</v>
      </c>
      <c r="AE1210" s="12">
        <v>0.61415241452626612</v>
      </c>
      <c r="AF1210" s="12">
        <v>0.58523912090319108</v>
      </c>
      <c r="AG1210" s="12">
        <v>0.87645262819137015</v>
      </c>
      <c r="AH1210" s="12">
        <v>4.8120340731441678</v>
      </c>
    </row>
    <row r="1211" spans="24:34" x14ac:dyDescent="0.25">
      <c r="X1211">
        <v>75.5</v>
      </c>
      <c r="Y1211" s="12">
        <v>76.907794897652224</v>
      </c>
      <c r="Z1211" s="12">
        <v>-1.4077948976522237</v>
      </c>
      <c r="AA1211" s="12">
        <v>-1.4099456916242303</v>
      </c>
      <c r="AB1211" s="12">
        <v>1.5254445506551072E-3</v>
      </c>
      <c r="AC1211" s="12">
        <v>-0.22497772741339894</v>
      </c>
      <c r="AD1211" s="12">
        <v>3.8664151076316267E-5</v>
      </c>
      <c r="AE1211" s="12">
        <v>0.61415241452626612</v>
      </c>
      <c r="AF1211" s="12">
        <v>0.58545903161039425</v>
      </c>
      <c r="AG1211" s="12">
        <v>0.47431817107654534</v>
      </c>
      <c r="AH1211" s="12">
        <v>-1.4099456916242314</v>
      </c>
    </row>
    <row r="1212" spans="24:34" x14ac:dyDescent="0.25">
      <c r="X1212">
        <v>75.3</v>
      </c>
      <c r="Y1212" s="12">
        <v>70.496538189225191</v>
      </c>
      <c r="Z1212" s="12">
        <v>4.8034618107748059</v>
      </c>
      <c r="AA1212" s="12">
        <v>4.8064855106863149</v>
      </c>
      <c r="AB1212" s="12">
        <v>6.2908749122243227E-4</v>
      </c>
      <c r="AC1212" s="12">
        <v>0.76729016148148688</v>
      </c>
      <c r="AD1212" s="12">
        <v>1.8529922731763451E-4</v>
      </c>
      <c r="AE1212" s="12">
        <v>0.61415241452626612</v>
      </c>
      <c r="AF1212" s="12">
        <v>0.58545903161039425</v>
      </c>
      <c r="AG1212" s="12">
        <v>0.87595100404159987</v>
      </c>
      <c r="AH1212" s="12">
        <v>4.8064855106863211</v>
      </c>
    </row>
    <row r="1213" spans="24:34" x14ac:dyDescent="0.25">
      <c r="X1213">
        <v>75.2</v>
      </c>
      <c r="Y1213" s="12">
        <v>70.496538189225191</v>
      </c>
      <c r="Z1213" s="12">
        <v>4.7034618107748116</v>
      </c>
      <c r="AA1213" s="12">
        <v>4.7064225623371811</v>
      </c>
      <c r="AB1213" s="12">
        <v>6.2908749122243227E-4</v>
      </c>
      <c r="AC1213" s="12">
        <v>0.7513164701790952</v>
      </c>
      <c r="AD1213" s="12">
        <v>1.7766429962030823E-4</v>
      </c>
      <c r="AE1213" s="12">
        <v>0.61415241452626612</v>
      </c>
      <c r="AF1213" s="12">
        <v>0.58589912902102448</v>
      </c>
      <c r="AG1213" s="12">
        <v>0.86678513495507936</v>
      </c>
      <c r="AH1213" s="12">
        <v>4.7064225623371856</v>
      </c>
    </row>
    <row r="1214" spans="24:34" x14ac:dyDescent="0.25">
      <c r="X1214">
        <v>75</v>
      </c>
      <c r="Y1214" s="12">
        <v>70.496538189225191</v>
      </c>
      <c r="Z1214" s="12">
        <v>4.5034618107748088</v>
      </c>
      <c r="AA1214" s="12">
        <v>4.5062966656388994</v>
      </c>
      <c r="AB1214" s="12">
        <v>6.2908749122243227E-4</v>
      </c>
      <c r="AC1214" s="12">
        <v>0.7193690875743094</v>
      </c>
      <c r="AD1214" s="12">
        <v>1.6287629900862681E-4</v>
      </c>
      <c r="AE1214" s="12">
        <v>0.61415241452626612</v>
      </c>
      <c r="AF1214" s="12">
        <v>0.58612830045260189</v>
      </c>
      <c r="AG1214" s="12">
        <v>0.84815628723385017</v>
      </c>
      <c r="AH1214" s="12">
        <v>4.5062966656388994</v>
      </c>
    </row>
    <row r="1215" spans="24:34" x14ac:dyDescent="0.25">
      <c r="X1215">
        <v>74.900000000000006</v>
      </c>
      <c r="Y1215" s="12">
        <v>70.545855548520777</v>
      </c>
      <c r="Z1215" s="12">
        <v>4.3541444514792289</v>
      </c>
      <c r="AA1215" s="12">
        <v>4.3568936410233761</v>
      </c>
      <c r="AB1215" s="12">
        <v>6.3099762598451987E-4</v>
      </c>
      <c r="AC1215" s="12">
        <v>0.69551825822481295</v>
      </c>
      <c r="AD1215" s="12">
        <v>1.5271754199046081E-4</v>
      </c>
      <c r="AE1215" s="12">
        <v>0.61415241452626612</v>
      </c>
      <c r="AF1215" s="12">
        <v>0.58699668946469397</v>
      </c>
      <c r="AG1215" s="12">
        <v>0.83397737272950812</v>
      </c>
      <c r="AH1215" s="12">
        <v>4.3568936410233814</v>
      </c>
    </row>
    <row r="1216" spans="24:34" x14ac:dyDescent="0.25">
      <c r="X1216">
        <v>74.7</v>
      </c>
      <c r="Y1216" s="12">
        <v>70.595172907816377</v>
      </c>
      <c r="Z1216" s="12">
        <v>4.1048270921836263</v>
      </c>
      <c r="AA1216" s="12">
        <v>4.1074270320737867</v>
      </c>
      <c r="AB1216" s="12">
        <v>6.3298504632089045E-4</v>
      </c>
      <c r="AC1216" s="12">
        <v>0.65569368680912976</v>
      </c>
      <c r="AD1216" s="12">
        <v>1.3615714864653579E-4</v>
      </c>
      <c r="AE1216" s="12">
        <v>0.61415241452626612</v>
      </c>
      <c r="AF1216" s="12">
        <v>0.58699668946469397</v>
      </c>
      <c r="AG1216" s="12">
        <v>0.80974915054548202</v>
      </c>
      <c r="AH1216" s="12">
        <v>4.1074270320737831</v>
      </c>
    </row>
    <row r="1217" spans="24:34" x14ac:dyDescent="0.25">
      <c r="X1217">
        <v>74.5</v>
      </c>
      <c r="Y1217" s="12">
        <v>70.447220829929591</v>
      </c>
      <c r="Z1217" s="12">
        <v>4.0527791700704086</v>
      </c>
      <c r="AA1217" s="12">
        <v>4.0553228901782177</v>
      </c>
      <c r="AB1217" s="12">
        <v>6.2725464203462734E-4</v>
      </c>
      <c r="AC1217" s="12">
        <v>0.64737784014855959</v>
      </c>
      <c r="AD1217" s="12">
        <v>1.3152310276058485E-4</v>
      </c>
      <c r="AE1217" s="12">
        <v>0.63261352584071384</v>
      </c>
      <c r="AF1217" s="12">
        <v>0.58721401194878609</v>
      </c>
      <c r="AG1217" s="12">
        <v>0.80459793695271153</v>
      </c>
      <c r="AH1217" s="12">
        <v>4.0553228901782221</v>
      </c>
    </row>
    <row r="1218" spans="24:34" x14ac:dyDescent="0.25">
      <c r="X1218">
        <v>74.2</v>
      </c>
      <c r="Y1218" s="12">
        <v>70.249951392747221</v>
      </c>
      <c r="Z1218" s="12">
        <v>3.9500486072527821</v>
      </c>
      <c r="AA1218" s="12">
        <v>3.9525019097774816</v>
      </c>
      <c r="AB1218" s="12">
        <v>6.2069610102623556E-4</v>
      </c>
      <c r="AC1218" s="12">
        <v>0.63096592181549715</v>
      </c>
      <c r="AD1218" s="12">
        <v>1.236318812916136E-4</v>
      </c>
      <c r="AE1218" s="12">
        <v>0.63261352584071384</v>
      </c>
      <c r="AF1218" s="12">
        <v>0.58743142472538334</v>
      </c>
      <c r="AG1218" s="12">
        <v>0.79433363381862232</v>
      </c>
      <c r="AH1218" s="12">
        <v>3.9525019097774798</v>
      </c>
    </row>
    <row r="1219" spans="24:34" x14ac:dyDescent="0.25">
      <c r="X1219">
        <v>73.7</v>
      </c>
      <c r="Y1219" s="12">
        <v>70.05268195556485</v>
      </c>
      <c r="Z1219" s="12">
        <v>3.6473180444351527</v>
      </c>
      <c r="AA1219" s="12">
        <v>3.6495638916369586</v>
      </c>
      <c r="AB1219" s="12">
        <v>6.1537412920636893E-4</v>
      </c>
      <c r="AC1219" s="12">
        <v>0.58260732798101578</v>
      </c>
      <c r="AD1219" s="12">
        <v>1.0450292830447159E-4</v>
      </c>
      <c r="AE1219" s="12">
        <v>0.63261352584071384</v>
      </c>
      <c r="AF1219" s="12">
        <v>0.58830198076390372</v>
      </c>
      <c r="AG1219" s="12">
        <v>0.76328718578331689</v>
      </c>
      <c r="AH1219" s="12">
        <v>3.6495638916369515</v>
      </c>
    </row>
    <row r="1220" spans="24:34" x14ac:dyDescent="0.25">
      <c r="X1220">
        <v>89</v>
      </c>
      <c r="Y1220" s="12">
        <v>73.751483902734293</v>
      </c>
      <c r="Z1220" s="12">
        <v>15.248516097265707</v>
      </c>
      <c r="AA1220" s="12">
        <v>15.262571917792471</v>
      </c>
      <c r="AB1220" s="12">
        <v>9.2093394235682568E-4</v>
      </c>
      <c r="AC1220" s="12">
        <v>2.4361066238540796</v>
      </c>
      <c r="AD1220" s="12">
        <v>2.7352133672963871E-3</v>
      </c>
      <c r="AE1220" s="12">
        <v>0.63261352584071384</v>
      </c>
      <c r="AF1220" s="12">
        <v>0.58895585078930979</v>
      </c>
      <c r="AG1220" s="12">
        <v>1.5608031983097932</v>
      </c>
      <c r="AH1220" s="12">
        <v>15.262571917792464</v>
      </c>
    </row>
    <row r="1221" spans="24:34" x14ac:dyDescent="0.25">
      <c r="X1221">
        <v>86</v>
      </c>
      <c r="Y1221" s="12">
        <v>73.702166543438707</v>
      </c>
      <c r="Z1221" s="12">
        <v>12.297833456561293</v>
      </c>
      <c r="AA1221" s="12">
        <v>12.309083962321864</v>
      </c>
      <c r="AB1221" s="12">
        <v>9.1400024526635615E-4</v>
      </c>
      <c r="AC1221" s="12">
        <v>1.9646980331429804</v>
      </c>
      <c r="AD1221" s="12">
        <v>1.7656518107330411E-3</v>
      </c>
      <c r="AE1221" s="12">
        <v>0.63261352584071384</v>
      </c>
      <c r="AF1221" s="12">
        <v>0.58917398952582334</v>
      </c>
      <c r="AG1221" s="12">
        <v>1.401676864738439</v>
      </c>
      <c r="AH1221" s="12">
        <v>12.309083962321859</v>
      </c>
    </row>
    <row r="1222" spans="24:34" x14ac:dyDescent="0.25">
      <c r="X1222">
        <v>83</v>
      </c>
      <c r="Y1222" s="12">
        <v>73.603531824847522</v>
      </c>
      <c r="Z1222" s="12">
        <v>9.3964681751524779</v>
      </c>
      <c r="AA1222" s="12">
        <v>9.4049360476489738</v>
      </c>
      <c r="AB1222" s="12">
        <v>9.0036470780826508E-4</v>
      </c>
      <c r="AC1222" s="12">
        <v>1.501166577773223</v>
      </c>
      <c r="AD1222" s="12">
        <v>1.0154006580397994E-3</v>
      </c>
      <c r="AE1222" s="12">
        <v>0.63261352584071384</v>
      </c>
      <c r="AF1222" s="12">
        <v>0.58947265168225282</v>
      </c>
      <c r="AG1222" s="12">
        <v>1.2252210322114223</v>
      </c>
      <c r="AH1222" s="12">
        <v>9.4049360476489756</v>
      </c>
    </row>
    <row r="1223" spans="24:34" x14ac:dyDescent="0.25">
      <c r="X1223">
        <v>82</v>
      </c>
      <c r="Y1223" s="12">
        <v>73.406262387665151</v>
      </c>
      <c r="Z1223" s="12">
        <v>8.5937376123348486</v>
      </c>
      <c r="AA1223" s="12">
        <v>8.6012552905994113</v>
      </c>
      <c r="AB1223" s="12">
        <v>8.7402105978347678E-4</v>
      </c>
      <c r="AC1223" s="12">
        <v>1.3729053689857607</v>
      </c>
      <c r="AD1223" s="12">
        <v>8.2442823461444516E-4</v>
      </c>
      <c r="AE1223" s="12">
        <v>0.63261352584071384</v>
      </c>
      <c r="AF1223" s="12">
        <v>0.59026605322860637</v>
      </c>
      <c r="AG1223" s="12">
        <v>1.1717104458806198</v>
      </c>
      <c r="AH1223" s="12">
        <v>8.601255290599406</v>
      </c>
    </row>
    <row r="1224" spans="24:34" x14ac:dyDescent="0.25">
      <c r="X1224">
        <v>79.599999999999994</v>
      </c>
      <c r="Y1224" s="12">
        <v>73.258310309778381</v>
      </c>
      <c r="Z1224" s="12">
        <v>6.3416896902216138</v>
      </c>
      <c r="AA1224" s="12">
        <v>6.3471169501198261</v>
      </c>
      <c r="AB1224" s="12">
        <v>8.5507482229485487E-4</v>
      </c>
      <c r="AC1224" s="12">
        <v>1.013116488754326</v>
      </c>
      <c r="AD1224" s="12">
        <v>4.3920209560183361E-4</v>
      </c>
      <c r="AE1224" s="12">
        <v>0.63261352584071384</v>
      </c>
      <c r="AF1224" s="12">
        <v>0.59033323271297533</v>
      </c>
      <c r="AG1224" s="12">
        <v>1.006536878983739</v>
      </c>
      <c r="AH1224" s="12">
        <v>6.3471169501198226</v>
      </c>
    </row>
    <row r="1225" spans="24:34" x14ac:dyDescent="0.25">
      <c r="X1225">
        <v>79.3</v>
      </c>
      <c r="Y1225" s="12">
        <v>77.154381694130194</v>
      </c>
      <c r="Z1225" s="12">
        <v>2.1456183058698031</v>
      </c>
      <c r="AA1225" s="12">
        <v>2.149026670127526</v>
      </c>
      <c r="AB1225" s="12">
        <v>1.5860037034921934E-3</v>
      </c>
      <c r="AC1225" s="12">
        <v>0.34289864993744013</v>
      </c>
      <c r="AD1225" s="12">
        <v>9.3388863725316917E-5</v>
      </c>
      <c r="AE1225" s="12">
        <v>0.63261352584071384</v>
      </c>
      <c r="AF1225" s="12">
        <v>0.591141354319767</v>
      </c>
      <c r="AG1225" s="12">
        <v>0.58557548611382304</v>
      </c>
      <c r="AH1225" s="12">
        <v>2.1490266701275287</v>
      </c>
    </row>
    <row r="1226" spans="24:34" x14ac:dyDescent="0.25">
      <c r="X1226">
        <v>79</v>
      </c>
      <c r="Y1226" s="12">
        <v>73.06104087259601</v>
      </c>
      <c r="Z1226" s="12">
        <v>5.9389591274039901</v>
      </c>
      <c r="AA1226" s="12">
        <v>5.9438978834484004</v>
      </c>
      <c r="AB1226" s="12">
        <v>8.3089517034998488E-4</v>
      </c>
      <c r="AC1226" s="12">
        <v>0.9487667968990946</v>
      </c>
      <c r="AD1226" s="12">
        <v>3.7427963519458799E-4</v>
      </c>
      <c r="AE1226" s="12">
        <v>0.64941472986293525</v>
      </c>
      <c r="AF1226" s="12">
        <v>0.59157955715516886</v>
      </c>
      <c r="AG1226" s="12">
        <v>0.97404660920260622</v>
      </c>
      <c r="AH1226" s="12">
        <v>5.9438978834484004</v>
      </c>
    </row>
    <row r="1227" spans="24:34" x14ac:dyDescent="0.25">
      <c r="X1227">
        <v>78.7</v>
      </c>
      <c r="Y1227" s="12">
        <v>72.96240615400481</v>
      </c>
      <c r="Z1227" s="12">
        <v>5.7375938459951925</v>
      </c>
      <c r="AA1227" s="12">
        <v>5.7422983333404858</v>
      </c>
      <c r="AB1227" s="12">
        <v>8.192690578232467E-4</v>
      </c>
      <c r="AC1227" s="12">
        <v>0.91659274768182131</v>
      </c>
      <c r="AD1227" s="12">
        <v>3.4443346466425336E-4</v>
      </c>
      <c r="AE1227" s="12">
        <v>0.64941472986293525</v>
      </c>
      <c r="AF1227" s="12">
        <v>0.59223755407860612</v>
      </c>
      <c r="AG1227" s="12">
        <v>0.95738850404724485</v>
      </c>
      <c r="AH1227" s="12">
        <v>5.7422983333404884</v>
      </c>
    </row>
    <row r="1228" spans="24:34" x14ac:dyDescent="0.25">
      <c r="X1228">
        <v>78.5</v>
      </c>
      <c r="Y1228" s="12">
        <v>72.863771435413639</v>
      </c>
      <c r="Z1228" s="12">
        <v>5.6362285645863608</v>
      </c>
      <c r="AA1228" s="12">
        <v>5.6407860494506821</v>
      </c>
      <c r="AB1228" s="12">
        <v>8.0795208759363993E-4</v>
      </c>
      <c r="AC1228" s="12">
        <v>0.90039433063289698</v>
      </c>
      <c r="AD1228" s="12">
        <v>3.2777222277623826E-4</v>
      </c>
      <c r="AE1228" s="12">
        <v>0.64941472986293525</v>
      </c>
      <c r="AF1228" s="12">
        <v>0.59399629587105518</v>
      </c>
      <c r="AG1228" s="12">
        <v>0.94889110578237423</v>
      </c>
      <c r="AH1228" s="12">
        <v>5.6407860494506838</v>
      </c>
    </row>
    <row r="1229" spans="24:34" x14ac:dyDescent="0.25">
      <c r="X1229">
        <v>77.7</v>
      </c>
      <c r="Y1229" s="12">
        <v>77.055746975539009</v>
      </c>
      <c r="Z1229" s="12">
        <v>0.64425302446099408</v>
      </c>
      <c r="AA1229" s="12">
        <v>0.64526063002706735</v>
      </c>
      <c r="AB1229" s="12">
        <v>1.5615481856345104E-3</v>
      </c>
      <c r="AC1229" s="12">
        <v>0.10295903338593436</v>
      </c>
      <c r="AD1229" s="12">
        <v>8.289589205814716E-6</v>
      </c>
      <c r="AE1229" s="12">
        <v>0.64941472986293525</v>
      </c>
      <c r="AF1229" s="12">
        <v>0.59509213803530536</v>
      </c>
      <c r="AG1229" s="12">
        <v>0.32087230074584866</v>
      </c>
      <c r="AH1229" s="12">
        <v>0.64526063002707423</v>
      </c>
    </row>
    <row r="1230" spans="24:34" x14ac:dyDescent="0.25">
      <c r="X1230">
        <v>78</v>
      </c>
      <c r="Y1230" s="12">
        <v>72.715819357526854</v>
      </c>
      <c r="Z1230" s="12">
        <v>5.2841806424731459</v>
      </c>
      <c r="AA1230" s="12">
        <v>5.2883666823000368</v>
      </c>
      <c r="AB1230" s="12">
        <v>7.9155627405635043E-4</v>
      </c>
      <c r="AC1230" s="12">
        <v>0.84414732343861476</v>
      </c>
      <c r="AD1230" s="12">
        <v>2.8224886235056267E-4</v>
      </c>
      <c r="AE1230" s="12">
        <v>0.64941472986293525</v>
      </c>
      <c r="AF1230" s="12">
        <v>0.59509213803530536</v>
      </c>
      <c r="AG1230" s="12">
        <v>0.91877490357465397</v>
      </c>
      <c r="AH1230" s="12">
        <v>5.2883666823000315</v>
      </c>
    </row>
    <row r="1231" spans="24:34" x14ac:dyDescent="0.25">
      <c r="X1231">
        <v>77.3</v>
      </c>
      <c r="Y1231" s="12">
        <v>76.858477538356638</v>
      </c>
      <c r="Z1231" s="12">
        <v>0.44152246164335907</v>
      </c>
      <c r="AA1231" s="12">
        <v>0.44219174740840117</v>
      </c>
      <c r="AB1231" s="12">
        <v>1.5135645768105384E-3</v>
      </c>
      <c r="AC1231" s="12">
        <v>7.0558665368742973E-2</v>
      </c>
      <c r="AD1231" s="12">
        <v>3.7733709787491529E-6</v>
      </c>
      <c r="AE1231" s="12">
        <v>0.64941472986293525</v>
      </c>
      <c r="AF1231" s="12">
        <v>0.59509213803530536</v>
      </c>
      <c r="AG1231" s="12">
        <v>0.26562881125499727</v>
      </c>
      <c r="AH1231" s="12">
        <v>0.44219174740839434</v>
      </c>
    </row>
    <row r="1232" spans="24:34" x14ac:dyDescent="0.25">
      <c r="X1232">
        <v>77.2</v>
      </c>
      <c r="Y1232" s="12">
        <v>76.759842819765453</v>
      </c>
      <c r="Z1232" s="12">
        <v>0.44015718023455008</v>
      </c>
      <c r="AA1232" s="12">
        <v>0.44081400919171188</v>
      </c>
      <c r="AB1232" s="12">
        <v>1.4900364858442489E-3</v>
      </c>
      <c r="AC1232" s="12">
        <v>7.0339654231959689E-2</v>
      </c>
      <c r="AD1232" s="12">
        <v>3.691602766032009E-6</v>
      </c>
      <c r="AE1232" s="12">
        <v>0.64941472986293525</v>
      </c>
      <c r="AF1232" s="12">
        <v>0.59596211937820875</v>
      </c>
      <c r="AG1232" s="12">
        <v>0.2652162405132078</v>
      </c>
      <c r="AH1232" s="12">
        <v>0.44081400919171704</v>
      </c>
    </row>
    <row r="1233" spans="24:34" x14ac:dyDescent="0.25">
      <c r="X1233">
        <v>76.900000000000006</v>
      </c>
      <c r="Y1233" s="12">
        <v>77.055746975539009</v>
      </c>
      <c r="Z1233" s="12">
        <v>-0.15574697553900307</v>
      </c>
      <c r="AA1233" s="12">
        <v>-0.15599056231856423</v>
      </c>
      <c r="AB1233" s="12">
        <v>1.5615481856345104E-3</v>
      </c>
      <c r="AC1233" s="12">
        <v>-2.4890155646059189E-2</v>
      </c>
      <c r="AD1233" s="12">
        <v>4.8446155743691555E-7</v>
      </c>
      <c r="AE1233" s="12">
        <v>0.64941472986293525</v>
      </c>
      <c r="AF1233" s="12">
        <v>0.59692310725194542</v>
      </c>
      <c r="AG1233" s="12">
        <v>0.15776614226778568</v>
      </c>
      <c r="AH1233" s="12">
        <v>-0.15599056231856773</v>
      </c>
    </row>
    <row r="1234" spans="24:34" x14ac:dyDescent="0.25">
      <c r="X1234">
        <v>76.599999999999994</v>
      </c>
      <c r="Y1234" s="12">
        <v>77.055746975539009</v>
      </c>
      <c r="Z1234" s="12">
        <v>-0.45574697553901444</v>
      </c>
      <c r="AA1234" s="12">
        <v>-0.45645975944819384</v>
      </c>
      <c r="AB1234" s="12">
        <v>1.5615481856345104E-3</v>
      </c>
      <c r="AC1234" s="12">
        <v>-7.2833601533058762E-2</v>
      </c>
      <c r="AD1234" s="12">
        <v>4.1482762289036379E-6</v>
      </c>
      <c r="AE1234" s="12">
        <v>0.64941472986293525</v>
      </c>
      <c r="AF1234" s="12">
        <v>0.59731010080117153</v>
      </c>
      <c r="AG1234" s="12">
        <v>0.26987701186477286</v>
      </c>
      <c r="AH1234" s="12">
        <v>-0.45645975944819595</v>
      </c>
    </row>
    <row r="1235" spans="24:34" x14ac:dyDescent="0.25">
      <c r="X1235">
        <v>74.8</v>
      </c>
      <c r="Y1235" s="12">
        <v>70.940394422885518</v>
      </c>
      <c r="Z1235" s="12">
        <v>3.859605577114479</v>
      </c>
      <c r="AA1235" s="12">
        <v>3.8621123235424335</v>
      </c>
      <c r="AB1235" s="12">
        <v>6.4906098475540235E-4</v>
      </c>
      <c r="AC1235" s="12">
        <v>0.61652764139020555</v>
      </c>
      <c r="AD1235" s="12">
        <v>1.2343621290386819E-4</v>
      </c>
      <c r="AE1235" s="12">
        <v>0.64941472986293525</v>
      </c>
      <c r="AF1235" s="12">
        <v>0.59748812796827433</v>
      </c>
      <c r="AG1235" s="12">
        <v>0.78519274155471253</v>
      </c>
      <c r="AH1235" s="12">
        <v>3.8621123235424335</v>
      </c>
    </row>
    <row r="1236" spans="24:34" x14ac:dyDescent="0.25">
      <c r="X1236">
        <v>74.599999999999994</v>
      </c>
      <c r="Y1236" s="12">
        <v>70.792442344998747</v>
      </c>
      <c r="Z1236" s="12">
        <v>3.8075576550012471</v>
      </c>
      <c r="AA1236" s="12">
        <v>3.8100025625384433</v>
      </c>
      <c r="AB1236" s="12">
        <v>6.4170758340920055E-4</v>
      </c>
      <c r="AC1236" s="12">
        <v>0.60821134624013018</v>
      </c>
      <c r="AD1236" s="12">
        <v>1.1876678240415642E-4</v>
      </c>
      <c r="AE1236" s="12">
        <v>0.64941472986293525</v>
      </c>
      <c r="AF1236" s="12">
        <v>0.59814351842667257</v>
      </c>
      <c r="AG1236" s="12">
        <v>0.7798790587264991</v>
      </c>
      <c r="AH1236" s="12">
        <v>3.8100025625384366</v>
      </c>
    </row>
    <row r="1237" spans="24:34" x14ac:dyDescent="0.25">
      <c r="X1237">
        <v>74.400000000000006</v>
      </c>
      <c r="Y1237" s="12">
        <v>70.792442344998747</v>
      </c>
      <c r="Z1237" s="12">
        <v>3.6075576550012585</v>
      </c>
      <c r="AA1237" s="12">
        <v>3.6098741386111612</v>
      </c>
      <c r="AB1237" s="12">
        <v>6.4170758340920055E-4</v>
      </c>
      <c r="AC1237" s="12">
        <v>0.57626376191708217</v>
      </c>
      <c r="AD1237" s="12">
        <v>1.0661751981038825E-4</v>
      </c>
      <c r="AE1237" s="12">
        <v>0.67020216077934069</v>
      </c>
      <c r="AF1237" s="12">
        <v>0.59814351842667257</v>
      </c>
      <c r="AG1237" s="12">
        <v>0.75912038697237094</v>
      </c>
      <c r="AH1237" s="12">
        <v>3.6098741386111581</v>
      </c>
    </row>
    <row r="1238" spans="24:34" x14ac:dyDescent="0.25">
      <c r="X1238">
        <v>74.3</v>
      </c>
      <c r="Y1238" s="12">
        <v>70.743124985703147</v>
      </c>
      <c r="Z1238" s="12">
        <v>3.5568750142968497</v>
      </c>
      <c r="AA1238" s="12">
        <v>3.5591507745266853</v>
      </c>
      <c r="AB1238" s="12">
        <v>6.3941102077569876E-4</v>
      </c>
      <c r="AC1238" s="12">
        <v>0.56816716939468825</v>
      </c>
      <c r="AD1238" s="12">
        <v>1.0327142589905944E-4</v>
      </c>
      <c r="AE1238" s="12">
        <v>0.67020216077934069</v>
      </c>
      <c r="AF1238" s="12">
        <v>0.59814351842667257</v>
      </c>
      <c r="AG1238" s="12">
        <v>0.75376864447566949</v>
      </c>
      <c r="AH1238" s="12">
        <v>3.5591507745266844</v>
      </c>
    </row>
    <row r="1239" spans="24:34" x14ac:dyDescent="0.25">
      <c r="X1239">
        <v>73.400000000000006</v>
      </c>
      <c r="Y1239" s="12">
        <v>70.05268195556485</v>
      </c>
      <c r="Z1239" s="12">
        <v>3.3473180444351556</v>
      </c>
      <c r="AA1239" s="12">
        <v>3.3493791657226382</v>
      </c>
      <c r="AB1239" s="12">
        <v>6.1537412920636893E-4</v>
      </c>
      <c r="AC1239" s="12">
        <v>0.53468658285680748</v>
      </c>
      <c r="AD1239" s="12">
        <v>8.8018739936843158E-5</v>
      </c>
      <c r="AE1239" s="12">
        <v>0.67020216077934069</v>
      </c>
      <c r="AF1239" s="12">
        <v>0.59819737882400559</v>
      </c>
      <c r="AG1239" s="12">
        <v>0.73122266298085115</v>
      </c>
      <c r="AH1239" s="12">
        <v>3.3493791657226439</v>
      </c>
    </row>
    <row r="1240" spans="24:34" x14ac:dyDescent="0.25">
      <c r="X1240">
        <v>73.099999999999994</v>
      </c>
      <c r="Y1240" s="12">
        <v>69.806095159086894</v>
      </c>
      <c r="Z1240" s="12">
        <v>3.2939048409131004</v>
      </c>
      <c r="AA1240" s="12">
        <v>3.2959168682686055</v>
      </c>
      <c r="AB1240" s="12">
        <v>6.1046058985289825E-4</v>
      </c>
      <c r="AC1240" s="12">
        <v>0.52615328771751624</v>
      </c>
      <c r="AD1240" s="12">
        <v>8.455074017992501E-5</v>
      </c>
      <c r="AE1240" s="12">
        <v>0.67020216077934069</v>
      </c>
      <c r="AF1240" s="12">
        <v>0.59923769505880087</v>
      </c>
      <c r="AG1240" s="12">
        <v>0.72536424485737938</v>
      </c>
      <c r="AH1240" s="12">
        <v>3.29591686826861</v>
      </c>
    </row>
    <row r="1241" spans="24:34" x14ac:dyDescent="0.25">
      <c r="X1241">
        <v>73.099999999999994</v>
      </c>
      <c r="Y1241" s="12">
        <v>69.756777799791294</v>
      </c>
      <c r="Z1241" s="12">
        <v>3.3432222002087002</v>
      </c>
      <c r="AA1241" s="12">
        <v>3.3452618389304121</v>
      </c>
      <c r="AB1241" s="12">
        <v>6.0970973870505248E-4</v>
      </c>
      <c r="AC1241" s="12">
        <v>0.5340308164239479</v>
      </c>
      <c r="AD1241" s="12">
        <v>8.6994270033651582E-5</v>
      </c>
      <c r="AE1241" s="12">
        <v>0.67020216077934069</v>
      </c>
      <c r="AF1241" s="12">
        <v>0.59967601881699517</v>
      </c>
      <c r="AG1241" s="12">
        <v>0.73077412134253072</v>
      </c>
      <c r="AH1241" s="12">
        <v>3.3452618389304143</v>
      </c>
    </row>
    <row r="1242" spans="24:34" x14ac:dyDescent="0.25">
      <c r="X1242">
        <v>72.900000000000006</v>
      </c>
      <c r="Y1242" s="12">
        <v>70.003364596269265</v>
      </c>
      <c r="Z1242" s="12">
        <v>2.8966354037307411</v>
      </c>
      <c r="AA1242" s="12">
        <v>2.898415717471579</v>
      </c>
      <c r="AB1242" s="12">
        <v>6.1423685018710918E-4</v>
      </c>
      <c r="AC1242" s="12">
        <v>0.46269615973055045</v>
      </c>
      <c r="AD1242" s="12">
        <v>6.5790699454621994E-5</v>
      </c>
      <c r="AE1242" s="12">
        <v>0.67020216077934069</v>
      </c>
      <c r="AF1242" s="12">
        <v>0.60209351463377414</v>
      </c>
      <c r="AG1242" s="12">
        <v>0.68021772965025729</v>
      </c>
      <c r="AH1242" s="12">
        <v>2.8984157174715737</v>
      </c>
    </row>
    <row r="1243" spans="24:34" x14ac:dyDescent="0.25">
      <c r="X1243">
        <v>72.5</v>
      </c>
      <c r="Y1243" s="12">
        <v>69.855412518382479</v>
      </c>
      <c r="Z1243" s="12">
        <v>2.6445874816175206</v>
      </c>
      <c r="AA1243" s="12">
        <v>2.646205076949272</v>
      </c>
      <c r="AB1243" s="12">
        <v>6.1128872657502679E-4</v>
      </c>
      <c r="AC1243" s="12">
        <v>0.42243447877963397</v>
      </c>
      <c r="AD1243" s="12">
        <v>5.4575869918286181E-5</v>
      </c>
      <c r="AE1243" s="12">
        <v>0.67020216077934069</v>
      </c>
      <c r="AF1243" s="12">
        <v>0.60449336114775754</v>
      </c>
      <c r="AG1243" s="12">
        <v>0.64994959710706335</v>
      </c>
      <c r="AH1243" s="12">
        <v>2.6462050769492653</v>
      </c>
    </row>
    <row r="1244" spans="24:34" x14ac:dyDescent="0.25">
      <c r="X1244">
        <v>71.900000000000006</v>
      </c>
      <c r="Y1244" s="12">
        <v>69.608825721904523</v>
      </c>
      <c r="Z1244" s="12">
        <v>2.2911742780954825</v>
      </c>
      <c r="AA1244" s="12">
        <v>2.2925679780810668</v>
      </c>
      <c r="AB1244" s="12">
        <v>6.0792089870721213E-4</v>
      </c>
      <c r="AC1244" s="12">
        <v>0.36598123067735716</v>
      </c>
      <c r="AD1244" s="12">
        <v>4.0737915334357605E-5</v>
      </c>
      <c r="AE1244" s="12">
        <v>0.67020216077934069</v>
      </c>
      <c r="AF1244" s="12">
        <v>0.60602099992071123</v>
      </c>
      <c r="AG1244" s="12">
        <v>0.60496382592462272</v>
      </c>
      <c r="AH1244" s="12">
        <v>2.292567978081065</v>
      </c>
    </row>
    <row r="1245" spans="24:34" x14ac:dyDescent="0.25">
      <c r="X1245">
        <v>71.7</v>
      </c>
      <c r="Y1245" s="12">
        <v>69.460873644017738</v>
      </c>
      <c r="Z1245" s="12">
        <v>2.2391263559822647</v>
      </c>
      <c r="AA1245" s="12">
        <v>2.2404859447556618</v>
      </c>
      <c r="AB1245" s="12">
        <v>6.0682762887791708E-4</v>
      </c>
      <c r="AC1245" s="12">
        <v>0.35766714868069882</v>
      </c>
      <c r="AD1245" s="12">
        <v>3.8838019663438056E-5</v>
      </c>
      <c r="AE1245" s="12">
        <v>0.67020216077934069</v>
      </c>
      <c r="AF1245" s="12">
        <v>0.60645831330402122</v>
      </c>
      <c r="AG1245" s="12">
        <v>0.59805279756949459</v>
      </c>
      <c r="AH1245" s="12">
        <v>2.2404859447556551</v>
      </c>
    </row>
    <row r="1246" spans="24:34" x14ac:dyDescent="0.25">
      <c r="X1246">
        <v>71.099999999999994</v>
      </c>
      <c r="Y1246" s="12">
        <v>69.017017410357411</v>
      </c>
      <c r="Z1246" s="12">
        <v>2.0829825896425831</v>
      </c>
      <c r="AA1246" s="12">
        <v>2.0842492321712598</v>
      </c>
      <c r="AB1246" s="12">
        <v>6.0772124040130257E-4</v>
      </c>
      <c r="AC1246" s="12">
        <v>0.33272565198370274</v>
      </c>
      <c r="AD1246" s="12">
        <v>3.3659758804546186E-5</v>
      </c>
      <c r="AE1246" s="12">
        <v>0.67020216077934069</v>
      </c>
      <c r="AF1246" s="12">
        <v>0.60670367734468844</v>
      </c>
      <c r="AG1246" s="12">
        <v>0.57682376163235749</v>
      </c>
      <c r="AH1246" s="12">
        <v>2.0842492321712638</v>
      </c>
    </row>
    <row r="1247" spans="24:34" x14ac:dyDescent="0.25">
      <c r="X1247">
        <v>77</v>
      </c>
      <c r="Y1247" s="12">
        <v>68.819747973175041</v>
      </c>
      <c r="Z1247" s="12">
        <v>8.1802520268249594</v>
      </c>
      <c r="AA1247" s="12">
        <v>8.185246073216959</v>
      </c>
      <c r="AB1247" s="12">
        <v>6.1012782600971583E-4</v>
      </c>
      <c r="AC1247" s="12">
        <v>1.3066758117161019</v>
      </c>
      <c r="AD1247" s="12">
        <v>5.2118462587620693E-4</v>
      </c>
      <c r="AE1247" s="12">
        <v>0.67020216077934069</v>
      </c>
      <c r="AF1247" s="12">
        <v>0.60821134624013018</v>
      </c>
      <c r="AG1247" s="12">
        <v>1.1430992134176727</v>
      </c>
      <c r="AH1247" s="12">
        <v>8.1852460732169661</v>
      </c>
    </row>
    <row r="1248" spans="24:34" x14ac:dyDescent="0.25">
      <c r="X1248">
        <v>78</v>
      </c>
      <c r="Y1248" s="12">
        <v>68.770430613879455</v>
      </c>
      <c r="Z1248" s="12">
        <v>9.229569386120545</v>
      </c>
      <c r="AA1248" s="12">
        <v>9.2352113862696257</v>
      </c>
      <c r="AB1248" s="12">
        <v>6.1092268634752608E-4</v>
      </c>
      <c r="AC1248" s="12">
        <v>1.474289523820308</v>
      </c>
      <c r="AD1248" s="12">
        <v>6.643351284593914E-4</v>
      </c>
      <c r="AE1248" s="12">
        <v>0.67020216077934069</v>
      </c>
      <c r="AF1248" s="12">
        <v>0.6099704657158147</v>
      </c>
      <c r="AG1248" s="12">
        <v>1.2142032465037753</v>
      </c>
      <c r="AH1248" s="12">
        <v>9.2352113862696328</v>
      </c>
    </row>
    <row r="1249" spans="24:34" x14ac:dyDescent="0.25">
      <c r="X1249">
        <v>77</v>
      </c>
      <c r="Y1249" s="12">
        <v>68.967700051061826</v>
      </c>
      <c r="Z1249" s="12">
        <v>8.0322999489381743</v>
      </c>
      <c r="AA1249" s="12">
        <v>8.0371882227415483</v>
      </c>
      <c r="AB1249" s="12">
        <v>6.0820695844198162E-4</v>
      </c>
      <c r="AC1249" s="12">
        <v>1.2830413946695711</v>
      </c>
      <c r="AD1249" s="12">
        <v>5.0091835604119906E-4</v>
      </c>
      <c r="AE1249" s="12">
        <v>0.67020216077934069</v>
      </c>
      <c r="AF1249" s="12">
        <v>0.61041428343421622</v>
      </c>
      <c r="AG1249" s="12">
        <v>1.1327141716556615</v>
      </c>
      <c r="AH1249" s="12">
        <v>8.0371882227415536</v>
      </c>
    </row>
    <row r="1250" spans="24:34" x14ac:dyDescent="0.25">
      <c r="X1250">
        <v>73</v>
      </c>
      <c r="Y1250" s="12">
        <v>66.501832086282192</v>
      </c>
      <c r="Z1250" s="12">
        <v>6.4981679137178077</v>
      </c>
      <c r="AA1250" s="12">
        <v>6.5029217574058293</v>
      </c>
      <c r="AB1250" s="12">
        <v>7.3103196768650443E-4</v>
      </c>
      <c r="AC1250" s="12">
        <v>1.0380502292493436</v>
      </c>
      <c r="AD1250" s="12">
        <v>3.9414925483961371E-4</v>
      </c>
      <c r="AE1250" s="12">
        <v>0.67020216077934069</v>
      </c>
      <c r="AF1250" s="12">
        <v>0.61085232448010007</v>
      </c>
      <c r="AG1250" s="12">
        <v>1.0188475004873614</v>
      </c>
      <c r="AH1250" s="12">
        <v>6.5029217574058356</v>
      </c>
    </row>
    <row r="1251" spans="24:34" x14ac:dyDescent="0.25">
      <c r="X1251">
        <v>70</v>
      </c>
      <c r="Y1251" s="12">
        <v>66.304562649099822</v>
      </c>
      <c r="Z1251" s="12">
        <v>3.6954373509001783</v>
      </c>
      <c r="AA1251" s="12">
        <v>3.6982080661733931</v>
      </c>
      <c r="AB1251" s="12">
        <v>7.4920481044860878E-4</v>
      </c>
      <c r="AC1251" s="12">
        <v>0.59033323271297533</v>
      </c>
      <c r="AD1251" s="12">
        <v>1.3064431734237627E-4</v>
      </c>
      <c r="AE1251" s="12">
        <v>0.67020216077934069</v>
      </c>
      <c r="AF1251" s="12">
        <v>0.61324336319855821</v>
      </c>
      <c r="AG1251" s="12">
        <v>0.768331460186927</v>
      </c>
      <c r="AH1251" s="12">
        <v>3.6982080661733954</v>
      </c>
    </row>
    <row r="1252" spans="24:34" x14ac:dyDescent="0.25">
      <c r="X1252">
        <v>69.599999999999994</v>
      </c>
      <c r="Y1252" s="12">
        <v>65.91002377473508</v>
      </c>
      <c r="Z1252" s="12">
        <v>3.689976225264914</v>
      </c>
      <c r="AA1252" s="12">
        <v>3.692890877070198</v>
      </c>
      <c r="AB1252" s="12">
        <v>7.8926020353839129E-4</v>
      </c>
      <c r="AC1252" s="12">
        <v>0.58947265168225282</v>
      </c>
      <c r="AD1252" s="12">
        <v>1.37233594311632E-4</v>
      </c>
      <c r="AE1252" s="12">
        <v>0.67020216077934069</v>
      </c>
      <c r="AF1252" s="12">
        <v>0.61324336319855821</v>
      </c>
      <c r="AG1252" s="12">
        <v>0.7677712235309766</v>
      </c>
      <c r="AH1252" s="12">
        <v>3.6928908770701954</v>
      </c>
    </row>
    <row r="1253" spans="24:34" x14ac:dyDescent="0.25">
      <c r="X1253">
        <v>69.400000000000006</v>
      </c>
      <c r="Y1253" s="12">
        <v>65.66343697825711</v>
      </c>
      <c r="Z1253" s="12">
        <v>3.7365630217428958</v>
      </c>
      <c r="AA1253" s="12">
        <v>3.739617566072468</v>
      </c>
      <c r="AB1253" s="12">
        <v>8.1680660538369673E-4</v>
      </c>
      <c r="AC1253" s="12">
        <v>0.59692310725194542</v>
      </c>
      <c r="AD1253" s="12">
        <v>1.4564007941946308E-4</v>
      </c>
      <c r="AE1253" s="12">
        <v>0.67020216077934069</v>
      </c>
      <c r="AF1253" s="12">
        <v>0.61328540516926022</v>
      </c>
      <c r="AG1253" s="12">
        <v>0.77260799067311325</v>
      </c>
      <c r="AH1253" s="12">
        <v>3.7396175660724729</v>
      </c>
    </row>
    <row r="1254" spans="24:34" x14ac:dyDescent="0.25">
      <c r="X1254">
        <v>68.400000000000006</v>
      </c>
      <c r="Y1254" s="12">
        <v>64.972993948118813</v>
      </c>
      <c r="Z1254" s="12">
        <v>3.4270060518811931</v>
      </c>
      <c r="AA1254" s="12">
        <v>3.4301076083882833</v>
      </c>
      <c r="AB1254" s="12">
        <v>9.042155119301635E-4</v>
      </c>
      <c r="AC1254" s="12">
        <v>0.54749473581082408</v>
      </c>
      <c r="AD1254" s="12">
        <v>1.3564216921108216E-4</v>
      </c>
      <c r="AE1254" s="12">
        <v>0.67020216077934069</v>
      </c>
      <c r="AF1254" s="12">
        <v>0.61368002502409713</v>
      </c>
      <c r="AG1254" s="12">
        <v>0.73992887212949332</v>
      </c>
      <c r="AH1254" s="12">
        <v>3.4301076083882878</v>
      </c>
    </row>
    <row r="1255" spans="24:34" x14ac:dyDescent="0.25">
      <c r="X1255">
        <v>68.2</v>
      </c>
      <c r="Y1255" s="12">
        <v>64.726407151640856</v>
      </c>
      <c r="Z1255" s="12">
        <v>3.4735928483591465</v>
      </c>
      <c r="AA1255" s="12">
        <v>3.4768579797460148</v>
      </c>
      <c r="AB1255" s="12">
        <v>9.3910404333233475E-4</v>
      </c>
      <c r="AC1255" s="12">
        <v>0.55494708091468237</v>
      </c>
      <c r="AD1255" s="12">
        <v>1.4474210911609981E-4</v>
      </c>
      <c r="AE1255" s="12">
        <v>0.67020216077934069</v>
      </c>
      <c r="AF1255" s="12">
        <v>0.61455449139715546</v>
      </c>
      <c r="AG1255" s="12">
        <v>0.74494770347634631</v>
      </c>
      <c r="AH1255" s="12">
        <v>3.4768579797460184</v>
      </c>
    </row>
    <row r="1256" spans="24:34" x14ac:dyDescent="0.25">
      <c r="X1256">
        <v>67.5</v>
      </c>
      <c r="Y1256" s="12">
        <v>63.888012043615781</v>
      </c>
      <c r="Z1256" s="12">
        <v>3.611987956384219</v>
      </c>
      <c r="AA1256" s="12">
        <v>3.6158648050994984</v>
      </c>
      <c r="AB1256" s="12">
        <v>1.0721774524905998E-3</v>
      </c>
      <c r="AC1256" s="12">
        <v>0.57709575336460062</v>
      </c>
      <c r="AD1256" s="12">
        <v>1.7873035658711898E-4</v>
      </c>
      <c r="AE1256" s="12">
        <v>0.67020216077934069</v>
      </c>
      <c r="AF1256" s="12">
        <v>0.61480731912971565</v>
      </c>
      <c r="AG1256" s="12">
        <v>0.75966818635809719</v>
      </c>
      <c r="AH1256" s="12">
        <v>3.615864805099501</v>
      </c>
    </row>
    <row r="1257" spans="24:34" x14ac:dyDescent="0.25">
      <c r="X1257">
        <v>67.3</v>
      </c>
      <c r="Y1257" s="12">
        <v>63.69074260643341</v>
      </c>
      <c r="Z1257" s="12">
        <v>3.6092573935665868</v>
      </c>
      <c r="AA1257" s="12">
        <v>3.6132563102001001</v>
      </c>
      <c r="AB1257" s="12">
        <v>1.1067348370006574E-3</v>
      </c>
      <c r="AC1257" s="12">
        <v>0.57666945983979889</v>
      </c>
      <c r="AD1257" s="12">
        <v>1.842249315635974E-4</v>
      </c>
      <c r="AE1257" s="12">
        <v>0.70876261491573156</v>
      </c>
      <c r="AF1257" s="12">
        <v>0.61528487723323144</v>
      </c>
      <c r="AG1257" s="12">
        <v>0.75938755575779548</v>
      </c>
      <c r="AH1257" s="12">
        <v>3.6132563102000974</v>
      </c>
    </row>
    <row r="1258" spans="24:34" x14ac:dyDescent="0.25">
      <c r="X1258">
        <v>66.400000000000006</v>
      </c>
      <c r="Y1258" s="12">
        <v>77.45028584990375</v>
      </c>
      <c r="Z1258" s="12">
        <v>-11.050285849903744</v>
      </c>
      <c r="AA1258" s="12">
        <v>-11.068673408113071</v>
      </c>
      <c r="AB1258" s="12">
        <v>1.661225110848029E-3</v>
      </c>
      <c r="AC1258" s="12">
        <v>-1.7660507627157325</v>
      </c>
      <c r="AD1258" s="12">
        <v>2.5949375923081611E-3</v>
      </c>
      <c r="AE1258" s="12">
        <v>0.70876261491573156</v>
      </c>
      <c r="AF1258" s="12">
        <v>0.61586906000974251</v>
      </c>
      <c r="AG1258" s="12">
        <v>1.3289284264834327</v>
      </c>
      <c r="AH1258" s="12">
        <v>-11.068673408113078</v>
      </c>
    </row>
    <row r="1259" spans="24:34" x14ac:dyDescent="0.25">
      <c r="X1259">
        <v>65</v>
      </c>
      <c r="Y1259" s="12">
        <v>61.47146143813174</v>
      </c>
      <c r="Z1259" s="12">
        <v>3.5285385618682596</v>
      </c>
      <c r="AA1259" s="12">
        <v>3.5341249983428682</v>
      </c>
      <c r="AB1259" s="12">
        <v>1.5807127583855921E-3</v>
      </c>
      <c r="AC1259" s="12">
        <v>0.56390640399338365</v>
      </c>
      <c r="AD1259" s="12">
        <v>2.5172366963697334E-4</v>
      </c>
      <c r="AE1259" s="12">
        <v>0.70876261491573156</v>
      </c>
      <c r="AF1259" s="12">
        <v>0.61608849081680206</v>
      </c>
      <c r="AG1259" s="12">
        <v>0.75093701732794049</v>
      </c>
      <c r="AH1259" s="12">
        <v>3.5341249983428695</v>
      </c>
    </row>
    <row r="1260" spans="24:34" x14ac:dyDescent="0.25">
      <c r="X1260">
        <v>64.900000000000006</v>
      </c>
      <c r="Y1260" s="12">
        <v>61.767365593905296</v>
      </c>
      <c r="Z1260" s="12">
        <v>3.1326344060947093</v>
      </c>
      <c r="AA1260" s="12">
        <v>3.1373670404762279</v>
      </c>
      <c r="AB1260" s="12">
        <v>1.5084732900098468E-3</v>
      </c>
      <c r="AC1260" s="12">
        <v>0.50061765472530828</v>
      </c>
      <c r="AD1260" s="12">
        <v>1.8931087722010232E-4</v>
      </c>
      <c r="AE1260" s="12">
        <v>0.70876261491573156</v>
      </c>
      <c r="AF1260" s="12">
        <v>0.61652764139020555</v>
      </c>
      <c r="AG1260" s="12">
        <v>0.70754339423480472</v>
      </c>
      <c r="AH1260" s="12">
        <v>3.1373670404762248</v>
      </c>
    </row>
    <row r="1261" spans="24:34" x14ac:dyDescent="0.25">
      <c r="X1261">
        <v>64.599999999999994</v>
      </c>
      <c r="Y1261" s="12">
        <v>61.718048234609711</v>
      </c>
      <c r="Z1261" s="12">
        <v>2.8819517653902835</v>
      </c>
      <c r="AA1261" s="12">
        <v>2.8863399256699154</v>
      </c>
      <c r="AB1261" s="12">
        <v>1.520319987470097E-3</v>
      </c>
      <c r="AC1261" s="12">
        <v>0.4605594862738106</v>
      </c>
      <c r="AD1261" s="12">
        <v>1.6148687950977113E-4</v>
      </c>
      <c r="AE1261" s="12">
        <v>0.71660092108895201</v>
      </c>
      <c r="AF1261" s="12">
        <v>0.6174071012687804</v>
      </c>
      <c r="AG1261" s="12">
        <v>0.67864533172623431</v>
      </c>
      <c r="AH1261" s="12">
        <v>2.8863399256699123</v>
      </c>
    </row>
    <row r="1262" spans="24:34" x14ac:dyDescent="0.25">
      <c r="X1262">
        <v>64.8</v>
      </c>
      <c r="Y1262" s="12">
        <v>62.161904468270038</v>
      </c>
      <c r="Z1262" s="12">
        <v>2.6380955317299595</v>
      </c>
      <c r="AA1262" s="12">
        <v>2.6418376471803384</v>
      </c>
      <c r="AB1262" s="12">
        <v>1.4164819910020231E-3</v>
      </c>
      <c r="AC1262" s="12">
        <v>0.42156734360487735</v>
      </c>
      <c r="AD1262" s="12">
        <v>1.2604644183781256E-4</v>
      </c>
      <c r="AE1262" s="12">
        <v>0.71660092108895201</v>
      </c>
      <c r="AF1262" s="12">
        <v>0.61762720824551209</v>
      </c>
      <c r="AG1262" s="12">
        <v>0.64928217564082058</v>
      </c>
      <c r="AH1262" s="12">
        <v>2.6418376471803415</v>
      </c>
    </row>
    <row r="1263" spans="24:34" x14ac:dyDescent="0.25">
      <c r="X1263">
        <v>65.099999999999994</v>
      </c>
      <c r="Y1263" s="12">
        <v>75.724178274558</v>
      </c>
      <c r="Z1263" s="12">
        <v>-10.624178274558005</v>
      </c>
      <c r="AA1263" s="12">
        <v>-10.637599265463763</v>
      </c>
      <c r="AB1263" s="12">
        <v>1.2616559968875079E-3</v>
      </c>
      <c r="AC1263" s="12">
        <v>-1.6976107915863301</v>
      </c>
      <c r="AD1263" s="12">
        <v>1.8202686588289305E-3</v>
      </c>
      <c r="AE1263" s="12">
        <v>0.71660092108895201</v>
      </c>
      <c r="AF1263" s="12">
        <v>0.61762720824551209</v>
      </c>
      <c r="AG1263" s="12">
        <v>1.3029239392943588</v>
      </c>
      <c r="AH1263" s="12">
        <v>-10.637599265463765</v>
      </c>
    </row>
    <row r="1264" spans="24:34" x14ac:dyDescent="0.25">
      <c r="X1264">
        <v>65.7</v>
      </c>
      <c r="Y1264" s="12">
        <v>76.463938663991897</v>
      </c>
      <c r="Z1264" s="12">
        <v>-10.763938663991894</v>
      </c>
      <c r="AA1264" s="12">
        <v>-10.779259301411088</v>
      </c>
      <c r="AB1264" s="12">
        <v>1.4213070667281685E-3</v>
      </c>
      <c r="AC1264" s="12">
        <v>-1.7200802388423135</v>
      </c>
      <c r="AD1264" s="12">
        <v>2.105586258045656E-3</v>
      </c>
      <c r="AE1264" s="12">
        <v>0.71660092108895201</v>
      </c>
      <c r="AF1264" s="12">
        <v>0.61784741223293205</v>
      </c>
      <c r="AG1264" s="12">
        <v>1.3115182952754847</v>
      </c>
      <c r="AH1264" s="12">
        <v>-10.779259301411084</v>
      </c>
    </row>
    <row r="1265" spans="24:34" x14ac:dyDescent="0.25">
      <c r="X1265">
        <v>65.2</v>
      </c>
      <c r="Y1265" s="12">
        <v>66.107293211917451</v>
      </c>
      <c r="Z1265" s="12">
        <v>-0.90729321191744816</v>
      </c>
      <c r="AA1265" s="12">
        <v>-0.90799110679594719</v>
      </c>
      <c r="AB1265" s="12">
        <v>7.6861422239923763E-4</v>
      </c>
      <c r="AC1265" s="12">
        <v>-0.14493833498342898</v>
      </c>
      <c r="AD1265" s="12">
        <v>8.0793959046586931E-6</v>
      </c>
      <c r="AE1265" s="12">
        <v>0.71660092108895201</v>
      </c>
      <c r="AF1265" s="12">
        <v>0.61806771333520105</v>
      </c>
      <c r="AG1265" s="12">
        <v>0.38070767654911947</v>
      </c>
      <c r="AH1265" s="12">
        <v>-0.90799110679594353</v>
      </c>
    </row>
    <row r="1266" spans="24:34" x14ac:dyDescent="0.25">
      <c r="X1266">
        <v>64.599999999999994</v>
      </c>
      <c r="Y1266" s="12">
        <v>65.811389056143895</v>
      </c>
      <c r="Z1266" s="12">
        <v>-1.2113890561439007</v>
      </c>
      <c r="AA1266" s="12">
        <v>-1.2123590002128708</v>
      </c>
      <c r="AB1266" s="12">
        <v>8.0004690755366514E-4</v>
      </c>
      <c r="AC1266" s="12">
        <v>-0.19352010146208923</v>
      </c>
      <c r="AD1266" s="12">
        <v>1.4992885224055987E-5</v>
      </c>
      <c r="AE1266" s="12">
        <v>0.71660092108895201</v>
      </c>
      <c r="AF1266" s="12">
        <v>0.61807573152611694</v>
      </c>
      <c r="AG1266" s="12">
        <v>0.4399091968373578</v>
      </c>
      <c r="AH1266" s="12">
        <v>-1.2123590002128659</v>
      </c>
    </row>
    <row r="1267" spans="24:34" x14ac:dyDescent="0.25">
      <c r="X1267">
        <v>63.8</v>
      </c>
      <c r="Y1267" s="12">
        <v>65.416850181779154</v>
      </c>
      <c r="Z1267" s="12">
        <v>-1.6168501817791565</v>
      </c>
      <c r="AA1267" s="12">
        <v>-1.6182196570388214</v>
      </c>
      <c r="AB1267" s="12">
        <v>8.4628514658607163E-4</v>
      </c>
      <c r="AC1267" s="12">
        <v>-0.25829872698135492</v>
      </c>
      <c r="AD1267" s="12">
        <v>2.8255236513427461E-5</v>
      </c>
      <c r="AE1267" s="12">
        <v>0.72844171022016913</v>
      </c>
      <c r="AF1267" s="12">
        <v>0.62155758498704294</v>
      </c>
      <c r="AG1267" s="12">
        <v>0.50823097798280159</v>
      </c>
      <c r="AH1267" s="12">
        <v>-1.6182196570388221</v>
      </c>
    </row>
    <row r="1268" spans="24:34" x14ac:dyDescent="0.25">
      <c r="X1268">
        <v>62.8</v>
      </c>
      <c r="Y1268" s="12">
        <v>76.315986586105112</v>
      </c>
      <c r="Z1268" s="12">
        <v>-13.515986586105114</v>
      </c>
      <c r="AA1268" s="12">
        <v>-13.534772657174159</v>
      </c>
      <c r="AB1268" s="12">
        <v>1.3879857124229459E-3</v>
      </c>
      <c r="AC1268" s="12">
        <v>-2.1598221879763635</v>
      </c>
      <c r="AD1268" s="12">
        <v>3.2418596575843708E-3</v>
      </c>
      <c r="AE1268" s="12">
        <v>0.72844171022016913</v>
      </c>
      <c r="AF1268" s="12">
        <v>0.62243188592329735</v>
      </c>
      <c r="AG1268" s="12">
        <v>1.4696333515460118</v>
      </c>
      <c r="AH1268" s="12">
        <v>-13.534772657174164</v>
      </c>
    </row>
    <row r="1269" spans="24:34" x14ac:dyDescent="0.25">
      <c r="X1269">
        <v>61</v>
      </c>
      <c r="Y1269" s="12">
        <v>63.394838450659854</v>
      </c>
      <c r="Z1269" s="12">
        <v>-2.3948384506598543</v>
      </c>
      <c r="AA1269" s="12">
        <v>-2.3976218246154559</v>
      </c>
      <c r="AB1269" s="12">
        <v>1.160889480994228E-3</v>
      </c>
      <c r="AC1269" s="12">
        <v>-0.38264592482670551</v>
      </c>
      <c r="AD1269" s="12">
        <v>8.5086277932506347E-5</v>
      </c>
      <c r="AE1269" s="12">
        <v>0.72844171022016913</v>
      </c>
      <c r="AF1269" s="12">
        <v>0.62308862715380964</v>
      </c>
      <c r="AG1269" s="12">
        <v>0.61858380582319283</v>
      </c>
      <c r="AH1269" s="12">
        <v>-2.3976218246154528</v>
      </c>
    </row>
    <row r="1270" spans="24:34" x14ac:dyDescent="0.25">
      <c r="X1270">
        <v>68</v>
      </c>
      <c r="Y1270" s="12">
        <v>63.69074260643341</v>
      </c>
      <c r="Z1270" s="12">
        <v>4.3092573935665897</v>
      </c>
      <c r="AA1270" s="12">
        <v>4.3140318829393678</v>
      </c>
      <c r="AB1270" s="12">
        <v>1.1067348370006574E-3</v>
      </c>
      <c r="AC1270" s="12">
        <v>0.68851202961811131</v>
      </c>
      <c r="AD1270" s="12">
        <v>2.6261381281563899E-4</v>
      </c>
      <c r="AE1270" s="12">
        <v>0.72844171022016913</v>
      </c>
      <c r="AF1270" s="12">
        <v>0.62308862715380964</v>
      </c>
      <c r="AG1270" s="12">
        <v>0.82976624998737525</v>
      </c>
      <c r="AH1270" s="12">
        <v>4.3140318829393705</v>
      </c>
    </row>
    <row r="1271" spans="24:34" x14ac:dyDescent="0.25">
      <c r="X1271">
        <v>59.6</v>
      </c>
      <c r="Y1271" s="12">
        <v>63.049616935590706</v>
      </c>
      <c r="Z1271" s="12">
        <v>-3.4496169355907043</v>
      </c>
      <c r="AA1271" s="12">
        <v>-3.4538568432535257</v>
      </c>
      <c r="AB1271" s="12">
        <v>1.2275863926165943E-3</v>
      </c>
      <c r="AC1271" s="12">
        <v>-0.55119623412522445</v>
      </c>
      <c r="AD1271" s="12">
        <v>1.8671018749615649E-4</v>
      </c>
      <c r="AE1271" s="12">
        <v>0.72844171022016913</v>
      </c>
      <c r="AF1271" s="12">
        <v>0.62352693975995455</v>
      </c>
      <c r="AG1271" s="12">
        <v>0.74242591153947779</v>
      </c>
      <c r="AH1271" s="12">
        <v>-3.4538568432535279</v>
      </c>
    </row>
    <row r="1272" spans="24:34" x14ac:dyDescent="0.25">
      <c r="X1272">
        <v>57.6</v>
      </c>
      <c r="Y1272" s="12">
        <v>61.422144078836155</v>
      </c>
      <c r="Z1272" s="12">
        <v>-3.8221440788361534</v>
      </c>
      <c r="AA1272" s="12">
        <v>-3.8282425579286041</v>
      </c>
      <c r="AB1272" s="12">
        <v>1.5930231692915392E-3</v>
      </c>
      <c r="AC1272" s="12">
        <v>-0.61083215412980107</v>
      </c>
      <c r="AD1272" s="12">
        <v>2.9766534089377552E-4</v>
      </c>
      <c r="AE1272" s="12">
        <v>0.72844171022016913</v>
      </c>
      <c r="AF1272" s="12">
        <v>0.6240069469625924</v>
      </c>
      <c r="AG1272" s="12">
        <v>0.78155751811994045</v>
      </c>
      <c r="AH1272" s="12">
        <v>-3.8282425579286015</v>
      </c>
    </row>
    <row r="1273" spans="24:34" x14ac:dyDescent="0.25">
      <c r="X1273">
        <v>55.3</v>
      </c>
      <c r="Y1273" s="12">
        <v>75.773495633853599</v>
      </c>
      <c r="Z1273" s="12">
        <v>-20.473495633853602</v>
      </c>
      <c r="AA1273" s="12">
        <v>-20.499566129326666</v>
      </c>
      <c r="AB1273" s="12">
        <v>1.2717584025235722E-3</v>
      </c>
      <c r="AC1273" s="12">
        <v>-3.2714250471124533</v>
      </c>
      <c r="AD1273" s="12">
        <v>6.8139860186039363E-3</v>
      </c>
      <c r="AE1273" s="12">
        <v>0.72844171022016913</v>
      </c>
      <c r="AF1273" s="12">
        <v>0.62545329115776294</v>
      </c>
      <c r="AG1273" s="12">
        <v>1.8087081155101985</v>
      </c>
      <c r="AH1273" s="12">
        <v>-20.499566129326663</v>
      </c>
    </row>
    <row r="1274" spans="24:34" x14ac:dyDescent="0.25">
      <c r="X1274">
        <v>53.4</v>
      </c>
      <c r="Y1274" s="12">
        <v>58.019246287440268</v>
      </c>
      <c r="Z1274" s="12">
        <v>-4.6192462874402693</v>
      </c>
      <c r="AA1274" s="12">
        <v>-4.6314226968634458</v>
      </c>
      <c r="AB1274" s="12">
        <v>2.6290861836948702E-3</v>
      </c>
      <c r="AC1274" s="12">
        <v>-0.73860358062600562</v>
      </c>
      <c r="AD1274" s="12">
        <v>7.1901995878384311E-4</v>
      </c>
      <c r="AE1274" s="12">
        <v>0.72844171022016913</v>
      </c>
      <c r="AF1274" s="12">
        <v>0.62550417293563043</v>
      </c>
      <c r="AG1274" s="12">
        <v>0.85942049116018038</v>
      </c>
      <c r="AH1274" s="12">
        <v>-4.631422696863444</v>
      </c>
    </row>
    <row r="1275" spans="24:34" x14ac:dyDescent="0.25">
      <c r="X1275">
        <v>52</v>
      </c>
      <c r="Y1275" s="12">
        <v>75.231004681602073</v>
      </c>
      <c r="Z1275" s="12">
        <v>-23.231004681602073</v>
      </c>
      <c r="AA1275" s="12">
        <v>-23.258097635943031</v>
      </c>
      <c r="AB1275" s="12">
        <v>1.1648826471124174E-3</v>
      </c>
      <c r="AC1275" s="12">
        <v>-3.7118441276910392</v>
      </c>
      <c r="AD1275" s="12">
        <v>8.0341111926487581E-3</v>
      </c>
      <c r="AE1275" s="12">
        <v>0.72844171022016913</v>
      </c>
      <c r="AF1275" s="12">
        <v>0.62572435509888091</v>
      </c>
      <c r="AG1275" s="12">
        <v>1.9266146806486861</v>
      </c>
      <c r="AH1275" s="12">
        <v>-23.258097635943031</v>
      </c>
    </row>
    <row r="1276" spans="24:34" x14ac:dyDescent="0.25">
      <c r="X1276">
        <v>57</v>
      </c>
      <c r="Y1276" s="12">
        <v>57.1315338201196</v>
      </c>
      <c r="Z1276" s="12">
        <v>-0.13153382011959991</v>
      </c>
      <c r="AA1276" s="12">
        <v>-0.13192429996546196</v>
      </c>
      <c r="AB1276" s="12">
        <v>2.9598780964635177E-3</v>
      </c>
      <c r="AC1276" s="12">
        <v>-2.1035350633672317E-2</v>
      </c>
      <c r="AD1276" s="12">
        <v>6.5679631161057466E-7</v>
      </c>
      <c r="AE1276" s="12">
        <v>0.72844171022016913</v>
      </c>
      <c r="AF1276" s="12">
        <v>0.62572435509888091</v>
      </c>
      <c r="AG1276" s="12">
        <v>0.14503568744854597</v>
      </c>
      <c r="AH1276" s="12">
        <v>-0.13192429996545896</v>
      </c>
    </row>
    <row r="1277" spans="24:34" x14ac:dyDescent="0.25">
      <c r="X1277">
        <v>73.8</v>
      </c>
      <c r="Y1277" s="12">
        <v>71.285615937954674</v>
      </c>
      <c r="Z1277" s="12">
        <v>2.5143840620453233</v>
      </c>
      <c r="AA1277" s="12">
        <v>2.5160671195166628</v>
      </c>
      <c r="AB1277" s="12">
        <v>6.6892391632977148E-4</v>
      </c>
      <c r="AC1277" s="12">
        <v>0.4016479534527016</v>
      </c>
      <c r="AD1277" s="12">
        <v>5.3991880272645465E-5</v>
      </c>
      <c r="AE1277" s="12">
        <v>0.74840704313415274</v>
      </c>
      <c r="AF1277" s="12">
        <v>0.62572435509888091</v>
      </c>
      <c r="AG1277" s="12">
        <v>0.63375701451952515</v>
      </c>
      <c r="AH1277" s="12">
        <v>2.5160671195166588</v>
      </c>
    </row>
    <row r="1278" spans="24:34" x14ac:dyDescent="0.25">
      <c r="X1278">
        <v>73.599999999999994</v>
      </c>
      <c r="Y1278" s="12">
        <v>71.137663860067889</v>
      </c>
      <c r="Z1278" s="12">
        <v>2.4623361399321055</v>
      </c>
      <c r="AA1278" s="12">
        <v>2.4639622256872116</v>
      </c>
      <c r="AB1278" s="12">
        <v>6.5994751792363077E-4</v>
      </c>
      <c r="AC1278" s="12">
        <v>0.39333204680603168</v>
      </c>
      <c r="AD1278" s="12">
        <v>5.1083985680664387E-5</v>
      </c>
      <c r="AE1278" s="12">
        <v>0.74840704313415274</v>
      </c>
      <c r="AF1278" s="12">
        <v>0.63074694839055856</v>
      </c>
      <c r="AG1278" s="12">
        <v>0.62716189840106806</v>
      </c>
      <c r="AH1278" s="12">
        <v>2.4639622256872054</v>
      </c>
    </row>
    <row r="1279" spans="24:34" x14ac:dyDescent="0.25">
      <c r="X1279">
        <v>73.2</v>
      </c>
      <c r="Y1279" s="12">
        <v>70.891077063589933</v>
      </c>
      <c r="Z1279" s="12">
        <v>2.3089229364100703</v>
      </c>
      <c r="AA1279" s="12">
        <v>2.3104166960437027</v>
      </c>
      <c r="AB1279" s="12">
        <v>6.4653256539905224E-4</v>
      </c>
      <c r="AC1279" s="12">
        <v>0.36882344138757517</v>
      </c>
      <c r="AD1279" s="12">
        <v>4.4002597828888251E-5</v>
      </c>
      <c r="AE1279" s="12">
        <v>0.74840704313415274</v>
      </c>
      <c r="AF1279" s="12">
        <v>0.63078886168588466</v>
      </c>
      <c r="AG1279" s="12">
        <v>0.60730835774553205</v>
      </c>
      <c r="AH1279" s="12">
        <v>2.310416696043704</v>
      </c>
    </row>
    <row r="1280" spans="24:34" x14ac:dyDescent="0.25">
      <c r="X1280">
        <v>73</v>
      </c>
      <c r="Y1280" s="12">
        <v>70.743124985703147</v>
      </c>
      <c r="Z1280" s="12">
        <v>2.2568750142968526</v>
      </c>
      <c r="AA1280" s="12">
        <v>2.2583190083592228</v>
      </c>
      <c r="AB1280" s="12">
        <v>6.3941102077569876E-4</v>
      </c>
      <c r="AC1280" s="12">
        <v>0.3605081098988604</v>
      </c>
      <c r="AD1280" s="12">
        <v>4.1577462559100349E-5</v>
      </c>
      <c r="AE1280" s="12">
        <v>0.74840704313415274</v>
      </c>
      <c r="AF1280" s="12">
        <v>0.63096592181549715</v>
      </c>
      <c r="AG1280" s="12">
        <v>0.6004232756138459</v>
      </c>
      <c r="AH1280" s="12">
        <v>2.2583190083592246</v>
      </c>
    </row>
    <row r="1281" spans="24:34" x14ac:dyDescent="0.25">
      <c r="X1281">
        <v>72.599999999999994</v>
      </c>
      <c r="Y1281" s="12">
        <v>70.496538189225191</v>
      </c>
      <c r="Z1281" s="12">
        <v>2.1034618107748031</v>
      </c>
      <c r="AA1281" s="12">
        <v>2.1047859052595044</v>
      </c>
      <c r="AB1281" s="12">
        <v>6.2908749122243227E-4</v>
      </c>
      <c r="AC1281" s="12">
        <v>0.33600049631688533</v>
      </c>
      <c r="AD1281" s="12">
        <v>3.5533189097571931E-5</v>
      </c>
      <c r="AE1281" s="12">
        <v>0.74840704313415274</v>
      </c>
      <c r="AF1281" s="12">
        <v>0.63140416349404604</v>
      </c>
      <c r="AG1281" s="12">
        <v>0.57965549796140581</v>
      </c>
      <c r="AH1281" s="12">
        <v>2.104785905259503</v>
      </c>
    </row>
    <row r="1282" spans="24:34" x14ac:dyDescent="0.25">
      <c r="X1282">
        <v>76</v>
      </c>
      <c r="Y1282" s="12">
        <v>69.115652128948597</v>
      </c>
      <c r="Z1282" s="12">
        <v>6.8843478710514034</v>
      </c>
      <c r="AA1282" s="12">
        <v>6.8885290818756602</v>
      </c>
      <c r="AB1282" s="12">
        <v>6.0698166104279291E-4</v>
      </c>
      <c r="AC1282" s="12">
        <v>1.0996723149360121</v>
      </c>
      <c r="AD1282" s="12">
        <v>3.6722804950356383E-4</v>
      </c>
      <c r="AE1282" s="12">
        <v>0.74840704313415274</v>
      </c>
      <c r="AF1282" s="12">
        <v>0.63162343195293447</v>
      </c>
      <c r="AG1282" s="12">
        <v>1.0486526188094951</v>
      </c>
      <c r="AH1282" s="12">
        <v>6.8885290818756619</v>
      </c>
    </row>
    <row r="1283" spans="24:34" x14ac:dyDescent="0.25">
      <c r="X1283">
        <v>72.5</v>
      </c>
      <c r="Y1283" s="12">
        <v>70.397903470634006</v>
      </c>
      <c r="Z1283" s="12">
        <v>2.1020965293659941</v>
      </c>
      <c r="AA1283" s="12">
        <v>2.103412211765999</v>
      </c>
      <c r="AB1283" s="12">
        <v>6.2549907842110518E-4</v>
      </c>
      <c r="AC1283" s="12">
        <v>0.33578180763866605</v>
      </c>
      <c r="AD1283" s="12">
        <v>3.5284400243266728E-5</v>
      </c>
      <c r="AE1283" s="12">
        <v>0.74840704313415274</v>
      </c>
      <c r="AF1283" s="12">
        <v>0.63294111586892399</v>
      </c>
      <c r="AG1283" s="12">
        <v>0.57946683049046566</v>
      </c>
      <c r="AH1283" s="12">
        <v>2.1034122117659937</v>
      </c>
    </row>
    <row r="1284" spans="24:34" x14ac:dyDescent="0.25">
      <c r="X1284">
        <v>72.2</v>
      </c>
      <c r="Y1284" s="12">
        <v>70.249951392747221</v>
      </c>
      <c r="Z1284" s="12">
        <v>1.9500486072527821</v>
      </c>
      <c r="AA1284" s="12">
        <v>1.951259746569562</v>
      </c>
      <c r="AB1284" s="12">
        <v>6.2069610102623556E-4</v>
      </c>
      <c r="AC1284" s="12">
        <v>0.31149343701773291</v>
      </c>
      <c r="AD1284" s="12">
        <v>3.0131203026153987E-5</v>
      </c>
      <c r="AE1284" s="12">
        <v>0.74840704313415274</v>
      </c>
      <c r="AF1284" s="12">
        <v>0.63758127254303554</v>
      </c>
      <c r="AG1284" s="12">
        <v>0.55811597093949294</v>
      </c>
      <c r="AH1284" s="12">
        <v>1.9512597465695671</v>
      </c>
    </row>
    <row r="1285" spans="24:34" x14ac:dyDescent="0.25">
      <c r="X1285">
        <v>72</v>
      </c>
      <c r="Y1285" s="12">
        <v>70.05268195556485</v>
      </c>
      <c r="Z1285" s="12">
        <v>1.9473180444351499</v>
      </c>
      <c r="AA1285" s="12">
        <v>1.9485171114558568</v>
      </c>
      <c r="AB1285" s="12">
        <v>6.1537412920636893E-4</v>
      </c>
      <c r="AC1285" s="12">
        <v>0.31105643894383195</v>
      </c>
      <c r="AD1285" s="12">
        <v>2.9788934256554281E-5</v>
      </c>
      <c r="AE1285" s="12">
        <v>0.74840704313415274</v>
      </c>
      <c r="AF1285" s="12">
        <v>0.63862429419409872</v>
      </c>
      <c r="AG1285" s="12">
        <v>0.55772433956555267</v>
      </c>
      <c r="AH1285" s="12">
        <v>1.9485171114558557</v>
      </c>
    </row>
    <row r="1286" spans="24:34" x14ac:dyDescent="0.25">
      <c r="X1286">
        <v>71.599999999999994</v>
      </c>
      <c r="Y1286" s="12">
        <v>76.809160179061038</v>
      </c>
      <c r="Z1286" s="12">
        <v>-5.209160179061044</v>
      </c>
      <c r="AA1286" s="12">
        <v>-5.2169948631191829</v>
      </c>
      <c r="AB1286" s="12">
        <v>1.5017618885402521E-3</v>
      </c>
      <c r="AC1286" s="12">
        <v>-0.83245870718008408</v>
      </c>
      <c r="AD1286" s="12">
        <v>5.2113372650590623E-4</v>
      </c>
      <c r="AE1286" s="12">
        <v>0.74840704313415274</v>
      </c>
      <c r="AF1286" s="12">
        <v>0.63971996435787837</v>
      </c>
      <c r="AG1286" s="12">
        <v>0.91239175093820535</v>
      </c>
      <c r="AH1286" s="12">
        <v>-5.2169948631191865</v>
      </c>
    </row>
    <row r="1287" spans="24:34" x14ac:dyDescent="0.25">
      <c r="X1287">
        <v>71.400000000000006</v>
      </c>
      <c r="Y1287" s="12">
        <v>69.608825721904523</v>
      </c>
      <c r="Z1287" s="12">
        <v>1.7911742780954825</v>
      </c>
      <c r="AA1287" s="12">
        <v>1.7922638327354008</v>
      </c>
      <c r="AB1287" s="12">
        <v>6.0792089870721213E-4</v>
      </c>
      <c r="AC1287" s="12">
        <v>0.2861136199555801</v>
      </c>
      <c r="AD1287" s="12">
        <v>2.4897643213356301E-5</v>
      </c>
      <c r="AE1287" s="12">
        <v>0.74840704313415274</v>
      </c>
      <c r="AF1287" s="12">
        <v>0.63980652482780975</v>
      </c>
      <c r="AG1287" s="12">
        <v>0.53489589637197643</v>
      </c>
      <c r="AH1287" s="12">
        <v>1.7922638327353995</v>
      </c>
    </row>
    <row r="1288" spans="24:34" x14ac:dyDescent="0.25">
      <c r="X1288">
        <v>79</v>
      </c>
      <c r="Y1288" s="12">
        <v>69.263604206835367</v>
      </c>
      <c r="Z1288" s="12">
        <v>9.7363957931646326</v>
      </c>
      <c r="AA1288" s="12">
        <v>9.7423040322847925</v>
      </c>
      <c r="AB1288" s="12">
        <v>6.0645193381214928E-4</v>
      </c>
      <c r="AC1288" s="12">
        <v>1.5552441950892486</v>
      </c>
      <c r="AD1288" s="12">
        <v>7.3388333564617606E-4</v>
      </c>
      <c r="AE1288" s="12">
        <v>0.74840704313415274</v>
      </c>
      <c r="AF1288" s="12">
        <v>0.64059829694201431</v>
      </c>
      <c r="AG1288" s="12">
        <v>1.2470943008005644</v>
      </c>
      <c r="AH1288" s="12">
        <v>9.7423040322847978</v>
      </c>
    </row>
    <row r="1289" spans="24:34" x14ac:dyDescent="0.25">
      <c r="X1289">
        <v>76</v>
      </c>
      <c r="Y1289" s="12">
        <v>69.017017410357411</v>
      </c>
      <c r="Z1289" s="12">
        <v>6.9829825896425888</v>
      </c>
      <c r="AA1289" s="12">
        <v>6.9872288770427105</v>
      </c>
      <c r="AB1289" s="12">
        <v>6.0772124040130257E-4</v>
      </c>
      <c r="AC1289" s="12">
        <v>1.115428158873065</v>
      </c>
      <c r="AD1289" s="12">
        <v>3.7828719279891761E-4</v>
      </c>
      <c r="AE1289" s="12">
        <v>0.77276680816182786</v>
      </c>
      <c r="AF1289" s="12">
        <v>0.64147823353226496</v>
      </c>
      <c r="AG1289" s="12">
        <v>1.0561383237403446</v>
      </c>
      <c r="AH1289" s="12">
        <v>6.9872288770427131</v>
      </c>
    </row>
    <row r="1290" spans="24:34" x14ac:dyDescent="0.25">
      <c r="X1290">
        <v>75</v>
      </c>
      <c r="Y1290" s="12">
        <v>68.967700051061826</v>
      </c>
      <c r="Z1290" s="12">
        <v>6.0322999489381743</v>
      </c>
      <c r="AA1290" s="12">
        <v>6.0359710685430201</v>
      </c>
      <c r="AB1290" s="12">
        <v>6.0820695844198162E-4</v>
      </c>
      <c r="AC1290" s="12">
        <v>0.96357090606084284</v>
      </c>
      <c r="AD1290" s="12">
        <v>2.8252245222501671E-4</v>
      </c>
      <c r="AE1290" s="12">
        <v>0.77276680816182786</v>
      </c>
      <c r="AF1290" s="12">
        <v>0.64169846908388417</v>
      </c>
      <c r="AG1290" s="12">
        <v>0.98161647605408642</v>
      </c>
      <c r="AH1290" s="12">
        <v>6.0359710685430166</v>
      </c>
    </row>
    <row r="1291" spans="24:34" x14ac:dyDescent="0.25">
      <c r="X1291">
        <v>72</v>
      </c>
      <c r="Y1291" s="12">
        <v>76.710525460469853</v>
      </c>
      <c r="Z1291" s="12">
        <v>-4.710525460469853</v>
      </c>
      <c r="AA1291" s="12">
        <v>-4.7174997572404038</v>
      </c>
      <c r="AB1291" s="12">
        <v>1.4783883687225284E-3</v>
      </c>
      <c r="AC1291" s="12">
        <v>-0.75276472685611406</v>
      </c>
      <c r="AD1291" s="12">
        <v>4.1948805016684727E-4</v>
      </c>
      <c r="AE1291" s="12">
        <v>0.77276680816182786</v>
      </c>
      <c r="AF1291" s="12">
        <v>0.64606416560313973</v>
      </c>
      <c r="AG1291" s="12">
        <v>0.86762015125059999</v>
      </c>
      <c r="AH1291" s="12">
        <v>-4.7174997572404083</v>
      </c>
    </row>
    <row r="1292" spans="24:34" x14ac:dyDescent="0.25">
      <c r="X1292">
        <v>67.3</v>
      </c>
      <c r="Y1292" s="12">
        <v>68.178622302332343</v>
      </c>
      <c r="Z1292" s="12">
        <v>-0.87862230233234584</v>
      </c>
      <c r="AA1292" s="12">
        <v>-0.87917309485609962</v>
      </c>
      <c r="AB1292" s="12">
        <v>6.2648928519530773E-4</v>
      </c>
      <c r="AC1292" s="12">
        <v>-0.14034823184707976</v>
      </c>
      <c r="AD1292" s="12">
        <v>6.1740438459070294E-6</v>
      </c>
      <c r="AE1292" s="12">
        <v>0.77276680816182786</v>
      </c>
      <c r="AF1292" s="12">
        <v>0.64606416560313973</v>
      </c>
      <c r="AG1292" s="12">
        <v>0.37463079404539046</v>
      </c>
      <c r="AH1292" s="12">
        <v>-0.87917309485610518</v>
      </c>
    </row>
    <row r="1293" spans="24:34" x14ac:dyDescent="0.25">
      <c r="X1293">
        <v>67.099999999999994</v>
      </c>
      <c r="Y1293" s="12">
        <v>68.129304943036743</v>
      </c>
      <c r="Z1293" s="12">
        <v>-1.0293049430367489</v>
      </c>
      <c r="AA1293" s="12">
        <v>-1.0299520504343036</v>
      </c>
      <c r="AB1293" s="12">
        <v>6.2828885799879448E-4</v>
      </c>
      <c r="AC1293" s="12">
        <v>-0.164417928464833</v>
      </c>
      <c r="AD1293" s="12">
        <v>8.4976855201395842E-6</v>
      </c>
      <c r="AE1293" s="12">
        <v>0.77276680816182786</v>
      </c>
      <c r="AF1293" s="12">
        <v>0.64672055012920393</v>
      </c>
      <c r="AG1293" s="12">
        <v>0.4054848067003658</v>
      </c>
      <c r="AH1293" s="12">
        <v>-1.0299520504343098</v>
      </c>
    </row>
    <row r="1294" spans="24:34" x14ac:dyDescent="0.25">
      <c r="X1294">
        <v>66.900000000000006</v>
      </c>
      <c r="Y1294" s="12">
        <v>68.030670224445558</v>
      </c>
      <c r="Z1294" s="12">
        <v>-1.1306702244455522</v>
      </c>
      <c r="AA1294" s="12">
        <v>-1.1313853956238091</v>
      </c>
      <c r="AB1294" s="12">
        <v>6.3211986032861618E-4</v>
      </c>
      <c r="AC1294" s="12">
        <v>-0.18061004531174771</v>
      </c>
      <c r="AD1294" s="12">
        <v>1.0316392473571728E-5</v>
      </c>
      <c r="AE1294" s="12">
        <v>0.77276680816182786</v>
      </c>
      <c r="AF1294" s="12">
        <v>0.64677040424205134</v>
      </c>
      <c r="AG1294" s="12">
        <v>0.42498240588493508</v>
      </c>
      <c r="AH1294" s="12">
        <v>-1.1313853956238118</v>
      </c>
    </row>
    <row r="1295" spans="24:34" x14ac:dyDescent="0.25">
      <c r="X1295">
        <v>66.599999999999994</v>
      </c>
      <c r="Y1295" s="12">
        <v>67.833400787263187</v>
      </c>
      <c r="Z1295" s="12">
        <v>-1.2334007872631929</v>
      </c>
      <c r="AA1295" s="12">
        <v>-1.2341915452541912</v>
      </c>
      <c r="AB1295" s="12">
        <v>6.4070929187965309E-4</v>
      </c>
      <c r="AC1295" s="12">
        <v>-0.19702077987082353</v>
      </c>
      <c r="AD1295" s="12">
        <v>1.244323892110184E-5</v>
      </c>
      <c r="AE1295" s="12">
        <v>0.77276680816182786</v>
      </c>
      <c r="AF1295" s="12">
        <v>0.64737784014855959</v>
      </c>
      <c r="AG1295" s="12">
        <v>0.44387022863763181</v>
      </c>
      <c r="AH1295" s="12">
        <v>-1.2341915452541965</v>
      </c>
    </row>
    <row r="1296" spans="24:34" x14ac:dyDescent="0.25">
      <c r="X1296">
        <v>66.2</v>
      </c>
      <c r="Y1296" s="12">
        <v>76.414621304696297</v>
      </c>
      <c r="Z1296" s="12">
        <v>-10.214621304696294</v>
      </c>
      <c r="AA1296" s="12">
        <v>-10.229045513596404</v>
      </c>
      <c r="AB1296" s="12">
        <v>1.4101226630521449E-3</v>
      </c>
      <c r="AC1296" s="12">
        <v>-1.6322900388135997</v>
      </c>
      <c r="AD1296" s="12">
        <v>1.8811975226068246E-3</v>
      </c>
      <c r="AE1296" s="12">
        <v>0.78719041678006285</v>
      </c>
      <c r="AF1296" s="12">
        <v>0.64737784014855959</v>
      </c>
      <c r="AG1296" s="12">
        <v>1.277611067114558</v>
      </c>
      <c r="AH1296" s="12">
        <v>-10.229045513596409</v>
      </c>
    </row>
    <row r="1297" spans="24:34" x14ac:dyDescent="0.25">
      <c r="X1297">
        <v>65.8</v>
      </c>
      <c r="Y1297" s="12">
        <v>76.562573382583082</v>
      </c>
      <c r="Z1297" s="12">
        <v>-10.762573382583085</v>
      </c>
      <c r="AA1297" s="12">
        <v>-10.778136016500952</v>
      </c>
      <c r="AB1297" s="12">
        <v>1.4439077308030642E-3</v>
      </c>
      <c r="AC1297" s="12">
        <v>-1.7198815295181473</v>
      </c>
      <c r="AD1297" s="12">
        <v>2.138622074518618E-3</v>
      </c>
      <c r="AE1297" s="12">
        <v>0.78719041678006285</v>
      </c>
      <c r="AF1297" s="12">
        <v>0.647816537914223</v>
      </c>
      <c r="AG1297" s="12">
        <v>1.3114425376348546</v>
      </c>
      <c r="AH1297" s="12">
        <v>-10.778136016500957</v>
      </c>
    </row>
    <row r="1298" spans="24:34" x14ac:dyDescent="0.25">
      <c r="X1298">
        <v>65.400000000000006</v>
      </c>
      <c r="Y1298" s="12">
        <v>66.995005679238119</v>
      </c>
      <c r="Z1298" s="12">
        <v>-1.5950056792381133</v>
      </c>
      <c r="AA1298" s="12">
        <v>-1.5961086060081016</v>
      </c>
      <c r="AB1298" s="12">
        <v>6.9100985098104022E-4</v>
      </c>
      <c r="AC1298" s="12">
        <v>-0.25478917711867527</v>
      </c>
      <c r="AD1298" s="12">
        <v>2.2444834162551269E-5</v>
      </c>
      <c r="AE1298" s="12">
        <v>0.78719041678006285</v>
      </c>
      <c r="AF1298" s="12">
        <v>0.65024000244603786</v>
      </c>
      <c r="AG1298" s="12">
        <v>0.50476645799683961</v>
      </c>
      <c r="AH1298" s="12">
        <v>-1.5961086060081005</v>
      </c>
    </row>
    <row r="1299" spans="24:34" x14ac:dyDescent="0.25">
      <c r="X1299">
        <v>65.099999999999994</v>
      </c>
      <c r="Y1299" s="12">
        <v>66.896370960646934</v>
      </c>
      <c r="Z1299" s="12">
        <v>-1.7963709606469394</v>
      </c>
      <c r="AA1299" s="12">
        <v>-1.797626415726711</v>
      </c>
      <c r="AB1299" s="12">
        <v>6.9839598972787061E-4</v>
      </c>
      <c r="AC1299" s="12">
        <v>-0.28695670260094563</v>
      </c>
      <c r="AD1299" s="12">
        <v>2.8774507778944556E-5</v>
      </c>
      <c r="AE1299" s="12">
        <v>0.78719041678006285</v>
      </c>
      <c r="AF1299" s="12">
        <v>0.6506739815660415</v>
      </c>
      <c r="AG1299" s="12">
        <v>0.53568339772756224</v>
      </c>
      <c r="AH1299" s="12">
        <v>-1.7976264157267117</v>
      </c>
    </row>
    <row r="1300" spans="24:34" x14ac:dyDescent="0.25">
      <c r="X1300">
        <v>64.7</v>
      </c>
      <c r="Y1300" s="12">
        <v>76.513256023287482</v>
      </c>
      <c r="Z1300" s="12">
        <v>-11.813256023287479</v>
      </c>
      <c r="AA1300" s="12">
        <v>-11.830203603346504</v>
      </c>
      <c r="AB1300" s="12">
        <v>1.4325687559784749E-3</v>
      </c>
      <c r="AC1300" s="12">
        <v>-1.8877720746574678</v>
      </c>
      <c r="AD1300" s="12">
        <v>2.5562727882427281E-3</v>
      </c>
      <c r="AE1300" s="12">
        <v>0.78719041678006285</v>
      </c>
      <c r="AF1300" s="12">
        <v>0.65110836058700927</v>
      </c>
      <c r="AG1300" s="12">
        <v>1.3739621809414799</v>
      </c>
      <c r="AH1300" s="12">
        <v>-11.830203603346499</v>
      </c>
    </row>
    <row r="1301" spans="24:34" x14ac:dyDescent="0.25">
      <c r="X1301">
        <v>64.3</v>
      </c>
      <c r="Y1301" s="12">
        <v>66.649784164168963</v>
      </c>
      <c r="Z1301" s="12">
        <v>-2.3497841641689661</v>
      </c>
      <c r="AA1301" s="12">
        <v>-2.351473024625875</v>
      </c>
      <c r="AB1301" s="12">
        <v>7.1821383414489594E-4</v>
      </c>
      <c r="AC1301" s="12">
        <v>-0.37536400697028866</v>
      </c>
      <c r="AD1301" s="12">
        <v>5.0633861801056978E-5</v>
      </c>
      <c r="AE1301" s="12">
        <v>0.78719041678006285</v>
      </c>
      <c r="AF1301" s="12">
        <v>0.65197832153243895</v>
      </c>
      <c r="AG1301" s="12">
        <v>0.61266957405300349</v>
      </c>
      <c r="AH1301" s="12">
        <v>-2.351473024625871</v>
      </c>
    </row>
    <row r="1302" spans="24:34" x14ac:dyDescent="0.25">
      <c r="X1302">
        <v>63.8</v>
      </c>
      <c r="Y1302" s="12">
        <v>66.551149445577778</v>
      </c>
      <c r="Z1302" s="12">
        <v>-2.7511494455777807</v>
      </c>
      <c r="AA1302" s="12">
        <v>-2.7531501101260716</v>
      </c>
      <c r="AB1302" s="12">
        <v>7.266819709316856E-4</v>
      </c>
      <c r="AC1302" s="12">
        <v>-0.43948157921561926</v>
      </c>
      <c r="AD1302" s="12">
        <v>7.0228186097997993E-5</v>
      </c>
      <c r="AE1302" s="12">
        <v>0.78719041678006285</v>
      </c>
      <c r="AF1302" s="12">
        <v>0.65394162724262994</v>
      </c>
      <c r="AG1302" s="12">
        <v>0.66293406852840142</v>
      </c>
      <c r="AH1302" s="12">
        <v>-2.7531501101260782</v>
      </c>
    </row>
    <row r="1303" spans="24:34" x14ac:dyDescent="0.25">
      <c r="X1303">
        <v>63.4</v>
      </c>
      <c r="Y1303" s="12">
        <v>66.501832086282192</v>
      </c>
      <c r="Z1303" s="12">
        <v>-3.1018320862821938</v>
      </c>
      <c r="AA1303" s="12">
        <v>-3.1041012835514081</v>
      </c>
      <c r="AB1303" s="12">
        <v>7.3103196768650443E-4</v>
      </c>
      <c r="AC1303" s="12">
        <v>-0.49550235558871836</v>
      </c>
      <c r="AD1303" s="12">
        <v>8.9808081569082982E-5</v>
      </c>
      <c r="AE1303" s="12">
        <v>0.80177968430189828</v>
      </c>
      <c r="AF1303" s="12">
        <v>0.65487437104474844</v>
      </c>
      <c r="AG1303" s="12">
        <v>0.70391928201230458</v>
      </c>
      <c r="AH1303" s="12">
        <v>-3.1041012835514068</v>
      </c>
    </row>
    <row r="1304" spans="24:34" x14ac:dyDescent="0.25">
      <c r="X1304">
        <v>66.400000000000006</v>
      </c>
      <c r="Y1304" s="12">
        <v>68.129304943036743</v>
      </c>
      <c r="Z1304" s="12">
        <v>-1.7293049430367375</v>
      </c>
      <c r="AA1304" s="12">
        <v>-1.7303921291314452</v>
      </c>
      <c r="AB1304" s="12">
        <v>6.2828885799879448E-4</v>
      </c>
      <c r="AC1304" s="12">
        <v>-0.27623372290357795</v>
      </c>
      <c r="AD1304" s="12">
        <v>2.3985882603770066E-5</v>
      </c>
      <c r="AE1304" s="12">
        <v>0.80177968430189828</v>
      </c>
      <c r="AF1304" s="12">
        <v>0.65503589998785228</v>
      </c>
      <c r="AG1304" s="12">
        <v>0.52557941636214978</v>
      </c>
      <c r="AH1304" s="12">
        <v>-1.7303921291314397</v>
      </c>
    </row>
    <row r="1305" spans="24:34" x14ac:dyDescent="0.25">
      <c r="X1305">
        <v>66</v>
      </c>
      <c r="Y1305" s="12">
        <v>67.932035505854373</v>
      </c>
      <c r="Z1305" s="12">
        <v>-1.9320355058543726</v>
      </c>
      <c r="AA1305" s="12">
        <v>-1.9332655654125972</v>
      </c>
      <c r="AB1305" s="12">
        <v>6.3626000495556898E-4</v>
      </c>
      <c r="AC1305" s="12">
        <v>-0.30861849504168454</v>
      </c>
      <c r="AD1305" s="12">
        <v>3.0319702752244119E-5</v>
      </c>
      <c r="AE1305" s="12">
        <v>0.80177968430189828</v>
      </c>
      <c r="AF1305" s="12">
        <v>0.65547432236473802</v>
      </c>
      <c r="AG1305" s="12">
        <v>0.55553442291336419</v>
      </c>
      <c r="AH1305" s="12">
        <v>-1.9332655654126023</v>
      </c>
    </row>
    <row r="1306" spans="24:34" x14ac:dyDescent="0.25">
      <c r="X1306">
        <v>65.599999999999994</v>
      </c>
      <c r="Y1306" s="12">
        <v>77.499603209199336</v>
      </c>
      <c r="Z1306" s="12">
        <v>-11.899603209199341</v>
      </c>
      <c r="AA1306" s="12">
        <v>-11.919556935032261</v>
      </c>
      <c r="AB1306" s="12">
        <v>1.6740325115839913E-3</v>
      </c>
      <c r="AC1306" s="12">
        <v>-1.9018004067957479</v>
      </c>
      <c r="AD1306" s="12">
        <v>3.0324342752029256E-3</v>
      </c>
      <c r="AE1306" s="12">
        <v>0.80177968430189828</v>
      </c>
      <c r="AF1306" s="12">
        <v>0.65569368680912976</v>
      </c>
      <c r="AG1306" s="12">
        <v>1.3790577967568103</v>
      </c>
      <c r="AH1306" s="12">
        <v>-11.919556935032263</v>
      </c>
    </row>
    <row r="1307" spans="24:34" x14ac:dyDescent="0.25">
      <c r="X1307">
        <v>64.900000000000006</v>
      </c>
      <c r="Y1307" s="12">
        <v>76.315986586105112</v>
      </c>
      <c r="Z1307" s="12">
        <v>-11.415986586105106</v>
      </c>
      <c r="AA1307" s="12">
        <v>-11.431853835895836</v>
      </c>
      <c r="AB1307" s="12">
        <v>1.3879857124229459E-3</v>
      </c>
      <c r="AC1307" s="12">
        <v>-1.8242472326554431</v>
      </c>
      <c r="AD1307" s="12">
        <v>2.3127335758040481E-3</v>
      </c>
      <c r="AE1307" s="12">
        <v>0.80177968430189828</v>
      </c>
      <c r="AF1307" s="12">
        <v>0.65569368680912976</v>
      </c>
      <c r="AG1307" s="12">
        <v>1.3506469681805986</v>
      </c>
      <c r="AH1307" s="12">
        <v>-11.431853835895836</v>
      </c>
    </row>
    <row r="1308" spans="24:34" x14ac:dyDescent="0.25">
      <c r="X1308">
        <v>64.3</v>
      </c>
      <c r="Y1308" s="12">
        <v>67.14295775712489</v>
      </c>
      <c r="Z1308" s="12">
        <v>-2.8429577571248927</v>
      </c>
      <c r="AA1308" s="12">
        <v>-2.8448937365714215</v>
      </c>
      <c r="AB1308" s="12">
        <v>6.8051028466791538E-4</v>
      </c>
      <c r="AC1308" s="12">
        <v>-0.45413697997707825</v>
      </c>
      <c r="AD1308" s="12">
        <v>7.0222142384362838E-5</v>
      </c>
      <c r="AE1308" s="12">
        <v>0.80177968430189828</v>
      </c>
      <c r="AF1308" s="12">
        <v>0.65745229412889727</v>
      </c>
      <c r="AG1308" s="12">
        <v>0.67389686152784412</v>
      </c>
      <c r="AH1308" s="12">
        <v>-2.8448937365714166</v>
      </c>
    </row>
    <row r="1309" spans="24:34" x14ac:dyDescent="0.25">
      <c r="X1309">
        <v>63.5</v>
      </c>
      <c r="Y1309" s="12">
        <v>66.797736242055748</v>
      </c>
      <c r="Z1309" s="12">
        <v>-3.2977362420557483</v>
      </c>
      <c r="AA1309" s="12">
        <v>-3.300066390126787</v>
      </c>
      <c r="AB1309" s="12">
        <v>7.0609127077183231E-4</v>
      </c>
      <c r="AC1309" s="12">
        <v>-0.52679050286140183</v>
      </c>
      <c r="AD1309" s="12">
        <v>9.8042297574286698E-5</v>
      </c>
      <c r="AE1309" s="12">
        <v>0.81442193874053515</v>
      </c>
      <c r="AF1309" s="12">
        <v>0.65746840029514064</v>
      </c>
      <c r="AG1309" s="12">
        <v>0.72580334999323459</v>
      </c>
      <c r="AH1309" s="12">
        <v>-3.3000663901267844</v>
      </c>
    </row>
    <row r="1310" spans="24:34" x14ac:dyDescent="0.25">
      <c r="X1310">
        <v>62.8</v>
      </c>
      <c r="Y1310" s="12">
        <v>66.501832086282192</v>
      </c>
      <c r="Z1310" s="12">
        <v>-3.7018320862821952</v>
      </c>
      <c r="AA1310" s="12">
        <v>-3.7045402236112324</v>
      </c>
      <c r="AB1310" s="12">
        <v>7.3103196768650443E-4</v>
      </c>
      <c r="AC1310" s="12">
        <v>-0.59134939214109739</v>
      </c>
      <c r="AD1310" s="12">
        <v>1.2791229229101609E-4</v>
      </c>
      <c r="AE1310" s="12">
        <v>0.81442193874053515</v>
      </c>
      <c r="AF1310" s="12">
        <v>0.65768497273970838</v>
      </c>
      <c r="AG1310" s="12">
        <v>0.76899245259046423</v>
      </c>
      <c r="AH1310" s="12">
        <v>-3.7045402236112355</v>
      </c>
    </row>
    <row r="1311" spans="24:34" x14ac:dyDescent="0.25">
      <c r="X1311">
        <v>62.1</v>
      </c>
      <c r="Y1311" s="12">
        <v>76.463938663991897</v>
      </c>
      <c r="Z1311" s="12">
        <v>-14.363938663991895</v>
      </c>
      <c r="AA1311" s="12">
        <v>-14.384383289611954</v>
      </c>
      <c r="AB1311" s="12">
        <v>1.4213070667281685E-3</v>
      </c>
      <c r="AC1311" s="12">
        <v>-2.2953611887930139</v>
      </c>
      <c r="AD1311" s="12">
        <v>3.7495374249380919E-3</v>
      </c>
      <c r="AE1311" s="12">
        <v>0.81442193874053515</v>
      </c>
      <c r="AF1311" s="12">
        <v>0.65855477228595061</v>
      </c>
      <c r="AG1311" s="12">
        <v>1.5150449461296565</v>
      </c>
      <c r="AH1311" s="12">
        <v>-14.384383289611947</v>
      </c>
    </row>
    <row r="1312" spans="24:34" x14ac:dyDescent="0.25">
      <c r="X1312">
        <v>61.3</v>
      </c>
      <c r="Y1312" s="12">
        <v>65.959341134030666</v>
      </c>
      <c r="Z1312" s="12">
        <v>-4.6593411340306687</v>
      </c>
      <c r="AA1312" s="12">
        <v>-4.662996843258469</v>
      </c>
      <c r="AB1312" s="12">
        <v>7.8398277989217885E-4</v>
      </c>
      <c r="AC1312" s="12">
        <v>-0.7443264543286473</v>
      </c>
      <c r="AD1312" s="12">
        <v>2.1734219566104331E-4</v>
      </c>
      <c r="AE1312" s="12">
        <v>0.81442193874053515</v>
      </c>
      <c r="AF1312" s="12">
        <v>0.6607276124114847</v>
      </c>
      <c r="AG1312" s="12">
        <v>0.86274356232234339</v>
      </c>
      <c r="AH1312" s="12">
        <v>-4.6629968432584752</v>
      </c>
    </row>
    <row r="1313" spans="24:34" x14ac:dyDescent="0.25">
      <c r="X1313">
        <v>65</v>
      </c>
      <c r="Y1313" s="12">
        <v>65.66343697825711</v>
      </c>
      <c r="Z1313" s="12">
        <v>-0.6634369782571099</v>
      </c>
      <c r="AA1313" s="12">
        <v>-0.66397932095230772</v>
      </c>
      <c r="AB1313" s="12">
        <v>8.1680660538369673E-4</v>
      </c>
      <c r="AC1313" s="12">
        <v>-0.1059853293581956</v>
      </c>
      <c r="AD1313" s="12">
        <v>4.5912995946056019E-6</v>
      </c>
      <c r="AE1313" s="12">
        <v>0.81442193874053515</v>
      </c>
      <c r="AF1313" s="12">
        <v>0.66225642415346919</v>
      </c>
      <c r="AG1313" s="12">
        <v>0.32555388088332721</v>
      </c>
      <c r="AH1313" s="12">
        <v>-0.66397932095230194</v>
      </c>
    </row>
    <row r="1314" spans="24:34" x14ac:dyDescent="0.25">
      <c r="X1314">
        <v>59.7</v>
      </c>
      <c r="Y1314" s="12">
        <v>65.416850181779154</v>
      </c>
      <c r="Z1314" s="12">
        <v>-5.7168501817791508</v>
      </c>
      <c r="AA1314" s="12">
        <v>-5.7216923650410223</v>
      </c>
      <c r="AB1314" s="12">
        <v>8.4628514658607163E-4</v>
      </c>
      <c r="AC1314" s="12">
        <v>-0.91329125044337389</v>
      </c>
      <c r="AD1314" s="12">
        <v>3.5324254857690626E-4</v>
      </c>
      <c r="AE1314" s="12">
        <v>0.81442193874053515</v>
      </c>
      <c r="AF1314" s="12">
        <v>0.66313229190613543</v>
      </c>
      <c r="AG1314" s="12">
        <v>0.95566272839499911</v>
      </c>
      <c r="AH1314" s="12">
        <v>-5.7216923650410196</v>
      </c>
    </row>
    <row r="1315" spans="24:34" x14ac:dyDescent="0.25">
      <c r="X1315">
        <v>75.400000000000006</v>
      </c>
      <c r="Y1315" s="12">
        <v>71.53220273443263</v>
      </c>
      <c r="Z1315" s="12">
        <v>3.8677972655673756</v>
      </c>
      <c r="AA1315" s="12">
        <v>3.8704501893701746</v>
      </c>
      <c r="AB1315" s="12">
        <v>6.8543029182566194E-4</v>
      </c>
      <c r="AC1315" s="12">
        <v>0.61784741223293205</v>
      </c>
      <c r="AD1315" s="12">
        <v>1.3091624577197712E-4</v>
      </c>
      <c r="AE1315" s="12">
        <v>0.81442193874053515</v>
      </c>
      <c r="AF1315" s="12">
        <v>0.6634031065719338</v>
      </c>
      <c r="AG1315" s="12">
        <v>0.78603270430239225</v>
      </c>
      <c r="AH1315" s="12">
        <v>3.8704501893701724</v>
      </c>
    </row>
    <row r="1316" spans="24:34" x14ac:dyDescent="0.25">
      <c r="X1316">
        <v>75.3</v>
      </c>
      <c r="Y1316" s="12">
        <v>71.58152009372823</v>
      </c>
      <c r="Z1316" s="12">
        <v>3.7184799062717673</v>
      </c>
      <c r="AA1316" s="12">
        <v>3.7210435691887369</v>
      </c>
      <c r="AB1316" s="12">
        <v>6.8896342364768845E-4</v>
      </c>
      <c r="AC1316" s="12">
        <v>0.59399629587105518</v>
      </c>
      <c r="AD1316" s="12">
        <v>1.2162783051076439E-4</v>
      </c>
      <c r="AE1316" s="12">
        <v>0.82933781119598415</v>
      </c>
      <c r="AF1316" s="12">
        <v>0.6638829743997896</v>
      </c>
      <c r="AG1316" s="12">
        <v>0.77071155166576766</v>
      </c>
      <c r="AH1316" s="12">
        <v>3.7210435691887378</v>
      </c>
    </row>
    <row r="1317" spans="24:34" x14ac:dyDescent="0.25">
      <c r="X1317">
        <v>74.900000000000006</v>
      </c>
      <c r="Y1317" s="12">
        <v>71.384250656545859</v>
      </c>
      <c r="Z1317" s="12">
        <v>3.5157493434541465</v>
      </c>
      <c r="AA1317" s="12">
        <v>3.5181251143805099</v>
      </c>
      <c r="AB1317" s="12">
        <v>6.752946098052793E-4</v>
      </c>
      <c r="AC1317" s="12">
        <v>0.56160793054909897</v>
      </c>
      <c r="AD1317" s="12">
        <v>1.0656709499570748E-4</v>
      </c>
      <c r="AE1317" s="12">
        <v>0.82933781119598415</v>
      </c>
      <c r="AF1317" s="12">
        <v>0.66410630027251483</v>
      </c>
      <c r="AG1317" s="12">
        <v>0.74940505105656907</v>
      </c>
      <c r="AH1317" s="12">
        <v>3.5181251143805081</v>
      </c>
    </row>
    <row r="1318" spans="24:34" x14ac:dyDescent="0.25">
      <c r="X1318">
        <v>74.599999999999994</v>
      </c>
      <c r="Y1318" s="12">
        <v>71.334933297250259</v>
      </c>
      <c r="Z1318" s="12">
        <v>3.2650667027497349</v>
      </c>
      <c r="AA1318" s="12">
        <v>3.2672625339075125</v>
      </c>
      <c r="AB1318" s="12">
        <v>6.72070620280384E-4</v>
      </c>
      <c r="AC1318" s="12">
        <v>0.52156289229362185</v>
      </c>
      <c r="AD1318" s="12">
        <v>9.147243908796108E-5</v>
      </c>
      <c r="AE1318" s="12">
        <v>0.82933781119598415</v>
      </c>
      <c r="AF1318" s="12">
        <v>0.66488899174397675</v>
      </c>
      <c r="AG1318" s="12">
        <v>0.72219311288160448</v>
      </c>
      <c r="AH1318" s="12">
        <v>3.267262533907517</v>
      </c>
    </row>
    <row r="1319" spans="24:34" x14ac:dyDescent="0.25">
      <c r="X1319">
        <v>74.400000000000006</v>
      </c>
      <c r="Y1319" s="12">
        <v>71.285615937954674</v>
      </c>
      <c r="Z1319" s="12">
        <v>3.1143840620453318</v>
      </c>
      <c r="AA1319" s="12">
        <v>3.1164687425217039</v>
      </c>
      <c r="AB1319" s="12">
        <v>6.6892391632977148E-4</v>
      </c>
      <c r="AC1319" s="12">
        <v>0.49749201153012684</v>
      </c>
      <c r="AD1319" s="12">
        <v>8.2834176335952106E-5</v>
      </c>
      <c r="AE1319" s="12">
        <v>0.82933781119598415</v>
      </c>
      <c r="AF1319" s="12">
        <v>0.66532920575635857</v>
      </c>
      <c r="AG1319" s="12">
        <v>0.70533113608441167</v>
      </c>
      <c r="AH1319" s="12">
        <v>3.1164687425216986</v>
      </c>
    </row>
    <row r="1320" spans="24:34" x14ac:dyDescent="0.25">
      <c r="X1320">
        <v>74.099999999999994</v>
      </c>
      <c r="Y1320" s="12">
        <v>71.137663860067889</v>
      </c>
      <c r="Z1320" s="12">
        <v>2.9623361399321055</v>
      </c>
      <c r="AA1320" s="12">
        <v>2.9642924173553382</v>
      </c>
      <c r="AB1320" s="12">
        <v>6.5994751792363077E-4</v>
      </c>
      <c r="AC1320" s="12">
        <v>0.47320173649366243</v>
      </c>
      <c r="AD1320" s="12">
        <v>7.3936479834943729E-5</v>
      </c>
      <c r="AE1320" s="12">
        <v>0.83794453378675593</v>
      </c>
      <c r="AF1320" s="12">
        <v>0.66576983705079229</v>
      </c>
      <c r="AG1320" s="12">
        <v>0.68789660305431255</v>
      </c>
      <c r="AH1320" s="12">
        <v>2.9642924173553391</v>
      </c>
    </row>
    <row r="1321" spans="24:34" x14ac:dyDescent="0.25">
      <c r="X1321">
        <v>74</v>
      </c>
      <c r="Y1321" s="12">
        <v>71.088346500772303</v>
      </c>
      <c r="Z1321" s="12">
        <v>2.9116534992276968</v>
      </c>
      <c r="AA1321" s="12">
        <v>2.9135680337909662</v>
      </c>
      <c r="AB1321" s="12">
        <v>6.5710995627014956E-4</v>
      </c>
      <c r="AC1321" s="12">
        <v>0.46510506260498918</v>
      </c>
      <c r="AD1321" s="12">
        <v>7.1120640377737596E-5</v>
      </c>
      <c r="AE1321" s="12">
        <v>0.83794453378675593</v>
      </c>
      <c r="AF1321" s="12">
        <v>0.66773422046380004</v>
      </c>
      <c r="AG1321" s="12">
        <v>0.68198611613799676</v>
      </c>
      <c r="AH1321" s="12">
        <v>2.9135680337909711</v>
      </c>
    </row>
    <row r="1322" spans="24:34" x14ac:dyDescent="0.25">
      <c r="X1322">
        <v>73.8</v>
      </c>
      <c r="Y1322" s="12">
        <v>71.088346500772303</v>
      </c>
      <c r="Z1322" s="12">
        <v>2.7116534992276939</v>
      </c>
      <c r="AA1322" s="12">
        <v>2.7134365253842248</v>
      </c>
      <c r="AB1322" s="12">
        <v>6.5710995627014956E-4</v>
      </c>
      <c r="AC1322" s="12">
        <v>0.43315723208680679</v>
      </c>
      <c r="AD1322" s="12">
        <v>6.1685723748588827E-5</v>
      </c>
      <c r="AE1322" s="12">
        <v>0.83794453378675593</v>
      </c>
      <c r="AF1322" s="12">
        <v>0.67100953640487249</v>
      </c>
      <c r="AG1322" s="12">
        <v>0.65814681651346363</v>
      </c>
      <c r="AH1322" s="12">
        <v>2.713436525384231</v>
      </c>
    </row>
    <row r="1323" spans="24:34" x14ac:dyDescent="0.25">
      <c r="X1323">
        <v>73.599999999999994</v>
      </c>
      <c r="Y1323" s="12">
        <v>71.039029141476703</v>
      </c>
      <c r="Z1323" s="12">
        <v>2.5609708585232909</v>
      </c>
      <c r="AA1323" s="12">
        <v>2.562647726243398</v>
      </c>
      <c r="AB1323" s="12">
        <v>6.5434968019095101E-4</v>
      </c>
      <c r="AC1323" s="12">
        <v>0.40908674978348442</v>
      </c>
      <c r="AD1323" s="12">
        <v>5.4789204946377814E-5</v>
      </c>
      <c r="AE1323" s="12">
        <v>0.83794453378675593</v>
      </c>
      <c r="AF1323" s="12">
        <v>0.67100953640487249</v>
      </c>
      <c r="AG1323" s="12">
        <v>0.63959889757838417</v>
      </c>
      <c r="AH1323" s="12">
        <v>2.5626477262434002</v>
      </c>
    </row>
    <row r="1324" spans="24:34" x14ac:dyDescent="0.25">
      <c r="X1324">
        <v>73</v>
      </c>
      <c r="Y1324" s="12">
        <v>70.940394422885518</v>
      </c>
      <c r="Z1324" s="12">
        <v>2.0596055771144819</v>
      </c>
      <c r="AA1324" s="12">
        <v>2.0609432549730826</v>
      </c>
      <c r="AB1324" s="12">
        <v>6.4906098475540235E-4</v>
      </c>
      <c r="AC1324" s="12">
        <v>0.32899832464275697</v>
      </c>
      <c r="AD1324" s="12">
        <v>3.5149961737576924E-5</v>
      </c>
      <c r="AE1324" s="12">
        <v>0.83794453378675593</v>
      </c>
      <c r="AF1324" s="12">
        <v>0.67210651488623063</v>
      </c>
      <c r="AG1324" s="12">
        <v>0.57358375556038632</v>
      </c>
      <c r="AH1324" s="12">
        <v>2.0609432549730795</v>
      </c>
    </row>
    <row r="1325" spans="24:34" x14ac:dyDescent="0.25">
      <c r="X1325">
        <v>73</v>
      </c>
      <c r="Y1325" s="12">
        <v>70.989711782181118</v>
      </c>
      <c r="Z1325" s="12">
        <v>2.0102882178188821</v>
      </c>
      <c r="AA1325" s="12">
        <v>2.0115991099518453</v>
      </c>
      <c r="AB1325" s="12">
        <v>6.5166668968603524E-4</v>
      </c>
      <c r="AC1325" s="12">
        <v>0.32112086183116667</v>
      </c>
      <c r="AD1325" s="12">
        <v>3.3621390869142766E-5</v>
      </c>
      <c r="AE1325" s="12">
        <v>0.83794453378675593</v>
      </c>
      <c r="AF1325" s="12">
        <v>0.67220640367022966</v>
      </c>
      <c r="AG1325" s="12">
        <v>0.56667527017787411</v>
      </c>
      <c r="AH1325" s="12">
        <v>2.01159910995184</v>
      </c>
    </row>
    <row r="1326" spans="24:34" x14ac:dyDescent="0.25">
      <c r="X1326">
        <v>73</v>
      </c>
      <c r="Y1326" s="12">
        <v>76.759842819765453</v>
      </c>
      <c r="Z1326" s="12">
        <v>-3.7598428197654528</v>
      </c>
      <c r="AA1326" s="12">
        <v>-3.7654534828406412</v>
      </c>
      <c r="AB1326" s="12">
        <v>1.4900364858442489E-3</v>
      </c>
      <c r="AC1326" s="12">
        <v>-0.6008445523208098</v>
      </c>
      <c r="AD1326" s="12">
        <v>2.6936350856915045E-4</v>
      </c>
      <c r="AE1326" s="12">
        <v>0.83794453378675593</v>
      </c>
      <c r="AF1326" s="12">
        <v>0.67342635472552959</v>
      </c>
      <c r="AG1326" s="12">
        <v>0.77514163371658074</v>
      </c>
      <c r="AH1326" s="12">
        <v>-3.7654534828406345</v>
      </c>
    </row>
    <row r="1327" spans="24:34" x14ac:dyDescent="0.25">
      <c r="X1327">
        <v>72.900000000000006</v>
      </c>
      <c r="Y1327" s="12">
        <v>69.115652128948597</v>
      </c>
      <c r="Z1327" s="12">
        <v>3.7843478710514091</v>
      </c>
      <c r="AA1327" s="12">
        <v>3.7866462959098754</v>
      </c>
      <c r="AB1327" s="12">
        <v>6.0698166104279291E-4</v>
      </c>
      <c r="AC1327" s="12">
        <v>0.60449336114775754</v>
      </c>
      <c r="AD1327" s="12">
        <v>1.1096661394445083E-4</v>
      </c>
      <c r="AE1327" s="12">
        <v>0.83794453378675593</v>
      </c>
      <c r="AF1327" s="12">
        <v>0.67344220318421266</v>
      </c>
      <c r="AG1327" s="12">
        <v>0.77749171130485861</v>
      </c>
      <c r="AH1327" s="12">
        <v>3.7866462959098821</v>
      </c>
    </row>
    <row r="1328" spans="24:34" x14ac:dyDescent="0.25">
      <c r="X1328">
        <v>72.7</v>
      </c>
      <c r="Y1328" s="12">
        <v>69.017017410357411</v>
      </c>
      <c r="Z1328" s="12">
        <v>3.6829825896425916</v>
      </c>
      <c r="AA1328" s="12">
        <v>3.6852221774354206</v>
      </c>
      <c r="AB1328" s="12">
        <v>6.0772124040130257E-4</v>
      </c>
      <c r="AC1328" s="12">
        <v>0.58830198076390372</v>
      </c>
      <c r="AD1328" s="12">
        <v>1.0522987424328721E-4</v>
      </c>
      <c r="AE1328" s="12">
        <v>0.83794453378675593</v>
      </c>
      <c r="AF1328" s="12">
        <v>0.67386714509484591</v>
      </c>
      <c r="AG1328" s="12">
        <v>0.76700846198976436</v>
      </c>
      <c r="AH1328" s="12">
        <v>3.685222177435417</v>
      </c>
    </row>
    <row r="1329" spans="24:34" x14ac:dyDescent="0.25">
      <c r="X1329">
        <v>72.599999999999994</v>
      </c>
      <c r="Y1329" s="12">
        <v>68.869065332470626</v>
      </c>
      <c r="Z1329" s="12">
        <v>3.7309346675293682</v>
      </c>
      <c r="AA1329" s="12">
        <v>3.7332097238051034</v>
      </c>
      <c r="AB1329" s="12">
        <v>6.0941025124618836E-4</v>
      </c>
      <c r="AC1329" s="12">
        <v>0.59596211937820875</v>
      </c>
      <c r="AD1329" s="12">
        <v>1.0828836981903659E-4</v>
      </c>
      <c r="AE1329" s="12">
        <v>0.83794453378675593</v>
      </c>
      <c r="AF1329" s="12">
        <v>0.67735572104021224</v>
      </c>
      <c r="AG1329" s="12">
        <v>0.77198582848275699</v>
      </c>
      <c r="AH1329" s="12">
        <v>3.733209723805107</v>
      </c>
    </row>
    <row r="1330" spans="24:34" x14ac:dyDescent="0.25">
      <c r="X1330">
        <v>72.400000000000006</v>
      </c>
      <c r="Y1330" s="12">
        <v>76.710525460469853</v>
      </c>
      <c r="Z1330" s="12">
        <v>-4.3105254604698473</v>
      </c>
      <c r="AA1330" s="12">
        <v>-4.3169075263456449</v>
      </c>
      <c r="AB1330" s="12">
        <v>1.4783883687225284E-3</v>
      </c>
      <c r="AC1330" s="12">
        <v>-0.68884279430967243</v>
      </c>
      <c r="AD1330" s="12">
        <v>3.5127020322190739E-4</v>
      </c>
      <c r="AE1330" s="12">
        <v>0.83794453378675593</v>
      </c>
      <c r="AF1330" s="12">
        <v>0.67866775360649245</v>
      </c>
      <c r="AG1330" s="12">
        <v>0.82996553802532813</v>
      </c>
      <c r="AH1330" s="12">
        <v>-4.3169075263456476</v>
      </c>
    </row>
    <row r="1331" spans="24:34" x14ac:dyDescent="0.25">
      <c r="X1331">
        <v>72.3</v>
      </c>
      <c r="Y1331" s="12">
        <v>68.62247853599267</v>
      </c>
      <c r="Z1331" s="12">
        <v>3.6775214640073273</v>
      </c>
      <c r="AA1331" s="12">
        <v>3.6797800061908816</v>
      </c>
      <c r="AB1331" s="12">
        <v>6.1377098080665359E-4</v>
      </c>
      <c r="AC1331" s="12">
        <v>0.58743142472538334</v>
      </c>
      <c r="AD1331" s="12">
        <v>1.0596375637963949E-4</v>
      </c>
      <c r="AE1331" s="12">
        <v>0.83794453378675593</v>
      </c>
      <c r="AF1331" s="12">
        <v>0.67888679453516132</v>
      </c>
      <c r="AG1331" s="12">
        <v>0.76644075095559949</v>
      </c>
      <c r="AH1331" s="12">
        <v>3.6797800061908794</v>
      </c>
    </row>
    <row r="1332" spans="24:34" x14ac:dyDescent="0.25">
      <c r="X1332">
        <v>72.2</v>
      </c>
      <c r="Y1332" s="12">
        <v>68.523843817401485</v>
      </c>
      <c r="Z1332" s="12">
        <v>3.6761561825985183</v>
      </c>
      <c r="AA1332" s="12">
        <v>3.6784222977248078</v>
      </c>
      <c r="AB1332" s="12">
        <v>6.1605627165081927E-4</v>
      </c>
      <c r="AC1332" s="12">
        <v>0.58721401194878609</v>
      </c>
      <c r="AD1332" s="12">
        <v>1.0627982727311136E-4</v>
      </c>
      <c r="AE1332" s="12">
        <v>0.83794453378675593</v>
      </c>
      <c r="AF1332" s="12">
        <v>0.68020326244286777</v>
      </c>
      <c r="AG1332" s="12">
        <v>0.76629890509434118</v>
      </c>
      <c r="AH1332" s="12">
        <v>3.6784222977248118</v>
      </c>
    </row>
    <row r="1333" spans="24:34" x14ac:dyDescent="0.25">
      <c r="X1333">
        <v>72.2</v>
      </c>
      <c r="Y1333" s="12">
        <v>68.474526458105885</v>
      </c>
      <c r="Z1333" s="12">
        <v>3.7254735418941181</v>
      </c>
      <c r="AA1333" s="12">
        <v>3.7277747525893261</v>
      </c>
      <c r="AB1333" s="12">
        <v>6.1731484543432638E-4</v>
      </c>
      <c r="AC1333" s="12">
        <v>0.59509213803530536</v>
      </c>
      <c r="AD1333" s="12">
        <v>1.093738072880348E-4</v>
      </c>
      <c r="AE1333" s="12">
        <v>0.83794453378675593</v>
      </c>
      <c r="AF1333" s="12">
        <v>0.68130324058555058</v>
      </c>
      <c r="AG1333" s="12">
        <v>0.77142215293268923</v>
      </c>
      <c r="AH1333" s="12">
        <v>3.727774752589327</v>
      </c>
    </row>
    <row r="1334" spans="24:34" x14ac:dyDescent="0.25">
      <c r="X1334">
        <v>72.2</v>
      </c>
      <c r="Y1334" s="12">
        <v>68.474526458105885</v>
      </c>
      <c r="Z1334" s="12">
        <v>3.7254735418941181</v>
      </c>
      <c r="AA1334" s="12">
        <v>3.7277747525893261</v>
      </c>
      <c r="AB1334" s="12">
        <v>6.1731484543432638E-4</v>
      </c>
      <c r="AC1334" s="12">
        <v>0.59509213803530536</v>
      </c>
      <c r="AD1334" s="12">
        <v>1.093738072880348E-4</v>
      </c>
      <c r="AE1334" s="12">
        <v>0.83794453378675593</v>
      </c>
      <c r="AF1334" s="12">
        <v>0.68130324058555058</v>
      </c>
      <c r="AG1334" s="12">
        <v>0.77142215293268923</v>
      </c>
      <c r="AH1334" s="12">
        <v>3.727774752589327</v>
      </c>
    </row>
    <row r="1335" spans="24:34" x14ac:dyDescent="0.25">
      <c r="X1335">
        <v>72.2</v>
      </c>
      <c r="Y1335" s="12">
        <v>68.474526458105885</v>
      </c>
      <c r="Z1335" s="12">
        <v>3.7254735418941181</v>
      </c>
      <c r="AA1335" s="12">
        <v>3.7277747525893261</v>
      </c>
      <c r="AB1335" s="12">
        <v>6.1731484543432638E-4</v>
      </c>
      <c r="AC1335" s="12">
        <v>0.59509213803530536</v>
      </c>
      <c r="AD1335" s="12">
        <v>1.093738072880348E-4</v>
      </c>
      <c r="AE1335" s="12">
        <v>0.83794453378675593</v>
      </c>
      <c r="AF1335" s="12">
        <v>0.68152355617311533</v>
      </c>
      <c r="AG1335" s="12">
        <v>0.77142215293268923</v>
      </c>
      <c r="AH1335" s="12">
        <v>3.727774752589327</v>
      </c>
    </row>
    <row r="1336" spans="24:34" x14ac:dyDescent="0.25">
      <c r="X1336">
        <v>72.099999999999994</v>
      </c>
      <c r="Y1336" s="12">
        <v>68.425209098810299</v>
      </c>
      <c r="Z1336" s="12">
        <v>3.6747909011896951</v>
      </c>
      <c r="AA1336" s="12">
        <v>3.6770657204892387</v>
      </c>
      <c r="AB1336" s="12">
        <v>6.1865070479211626E-4</v>
      </c>
      <c r="AC1336" s="12">
        <v>0.58699668946469397</v>
      </c>
      <c r="AD1336" s="12">
        <v>1.0664870343453721E-4</v>
      </c>
      <c r="AE1336" s="12">
        <v>0.873012700415573</v>
      </c>
      <c r="AF1336" s="12">
        <v>0.68174397865674496</v>
      </c>
      <c r="AG1336" s="12">
        <v>0.76615709189740844</v>
      </c>
      <c r="AH1336" s="12">
        <v>3.6770657204892427</v>
      </c>
    </row>
    <row r="1337" spans="24:34" x14ac:dyDescent="0.25">
      <c r="X1337">
        <v>72.099999999999994</v>
      </c>
      <c r="Y1337" s="12">
        <v>68.474526458105885</v>
      </c>
      <c r="Z1337" s="12">
        <v>3.6254735418941095</v>
      </c>
      <c r="AA1337" s="12">
        <v>3.6277129829734776</v>
      </c>
      <c r="AB1337" s="12">
        <v>6.1731484543432638E-4</v>
      </c>
      <c r="AC1337" s="12">
        <v>0.57911854081757286</v>
      </c>
      <c r="AD1337" s="12">
        <v>1.0358093892440821E-4</v>
      </c>
      <c r="AE1337" s="12">
        <v>0.873012700415573</v>
      </c>
      <c r="AF1337" s="12">
        <v>0.68218514473023573</v>
      </c>
      <c r="AG1337" s="12">
        <v>0.76099838424110522</v>
      </c>
      <c r="AH1337" s="12">
        <v>3.627712982973474</v>
      </c>
    </row>
    <row r="1338" spans="24:34" x14ac:dyDescent="0.25">
      <c r="X1338">
        <v>72.099999999999994</v>
      </c>
      <c r="Y1338" s="12">
        <v>68.425209098810299</v>
      </c>
      <c r="Z1338" s="12">
        <v>3.6747909011896951</v>
      </c>
      <c r="AA1338" s="12">
        <v>3.6770657204892387</v>
      </c>
      <c r="AB1338" s="12">
        <v>6.1865070479211626E-4</v>
      </c>
      <c r="AC1338" s="12">
        <v>0.58699668946469397</v>
      </c>
      <c r="AD1338" s="12">
        <v>1.0664870343453721E-4</v>
      </c>
      <c r="AE1338" s="12">
        <v>0.873012700415573</v>
      </c>
      <c r="AF1338" s="12">
        <v>0.68632617640039473</v>
      </c>
      <c r="AG1338" s="12">
        <v>0.76615709189740844</v>
      </c>
      <c r="AH1338" s="12">
        <v>3.6770657204892427</v>
      </c>
    </row>
    <row r="1339" spans="24:34" x14ac:dyDescent="0.25">
      <c r="X1339">
        <v>72</v>
      </c>
      <c r="Y1339" s="12">
        <v>68.375891739514714</v>
      </c>
      <c r="Z1339" s="12">
        <v>3.6241082604852863</v>
      </c>
      <c r="AA1339" s="12">
        <v>3.6263568332637988</v>
      </c>
      <c r="AB1339" s="12">
        <v>6.2006384972418892E-4</v>
      </c>
      <c r="AC1339" s="12">
        <v>0.57890125245750113</v>
      </c>
      <c r="AD1339" s="12">
        <v>1.0396442808594878E-4</v>
      </c>
      <c r="AE1339" s="12">
        <v>0.873012700415573</v>
      </c>
      <c r="AF1339" s="12">
        <v>0.6872023853739182</v>
      </c>
      <c r="AG1339" s="12">
        <v>0.760855605524137</v>
      </c>
      <c r="AH1339" s="12">
        <v>3.6263568332637939</v>
      </c>
    </row>
    <row r="1340" spans="24:34" x14ac:dyDescent="0.25">
      <c r="X1340">
        <v>71.8</v>
      </c>
      <c r="Y1340" s="12">
        <v>68.326574380219114</v>
      </c>
      <c r="Z1340" s="12">
        <v>3.4734256197808833</v>
      </c>
      <c r="AA1340" s="12">
        <v>3.4755858850640493</v>
      </c>
      <c r="AB1340" s="12">
        <v>6.2155428023054436E-4</v>
      </c>
      <c r="AC1340" s="12">
        <v>0.5548321949764462</v>
      </c>
      <c r="AD1340" s="12">
        <v>9.5728751488759949E-5</v>
      </c>
      <c r="AE1340" s="12">
        <v>0.88194836619248052</v>
      </c>
      <c r="AF1340" s="12">
        <v>0.68742170496952371</v>
      </c>
      <c r="AG1340" s="12">
        <v>0.74487058941566908</v>
      </c>
      <c r="AH1340" s="12">
        <v>3.4755858850640537</v>
      </c>
    </row>
    <row r="1341" spans="24:34" x14ac:dyDescent="0.25">
      <c r="X1341">
        <v>48.1</v>
      </c>
      <c r="Y1341" s="12">
        <v>54.764300573931152</v>
      </c>
      <c r="Z1341" s="12">
        <v>-6.6643005739311505</v>
      </c>
      <c r="AA1341" s="12">
        <v>-6.6908257518787195</v>
      </c>
      <c r="AB1341" s="12">
        <v>3.9644102135105337E-3</v>
      </c>
      <c r="AC1341" s="12">
        <v>-1.0663156610634554</v>
      </c>
      <c r="AD1341" s="12">
        <v>2.2627955164594947E-3</v>
      </c>
      <c r="AE1341" s="12">
        <v>0.88194836619248052</v>
      </c>
      <c r="AF1341" s="12">
        <v>0.68818320485912665</v>
      </c>
      <c r="AG1341" s="12">
        <v>1.032625615149777</v>
      </c>
      <c r="AH1341" s="12">
        <v>-6.6908257518787178</v>
      </c>
    </row>
    <row r="1342" spans="24:34" x14ac:dyDescent="0.25">
      <c r="X1342">
        <v>54</v>
      </c>
      <c r="Y1342" s="12">
        <v>75.280322040897673</v>
      </c>
      <c r="Z1342" s="12">
        <v>-21.280322040897673</v>
      </c>
      <c r="AA1342" s="12">
        <v>-21.305339029847858</v>
      </c>
      <c r="AB1342" s="12">
        <v>1.174212197005654E-3</v>
      </c>
      <c r="AC1342" s="12">
        <v>-3.4001804220186185</v>
      </c>
      <c r="AD1342" s="12">
        <v>6.795646351335052E-3</v>
      </c>
      <c r="AE1342" s="12">
        <v>0.88194836619248052</v>
      </c>
      <c r="AF1342" s="12">
        <v>0.68851202961811131</v>
      </c>
      <c r="AG1342" s="12">
        <v>1.8439578145984301</v>
      </c>
      <c r="AH1342" s="12">
        <v>-21.305339029847861</v>
      </c>
    </row>
    <row r="1343" spans="24:34" x14ac:dyDescent="0.25">
      <c r="X1343">
        <v>49.7</v>
      </c>
      <c r="Y1343" s="12">
        <v>57.328803257301971</v>
      </c>
      <c r="Z1343" s="12">
        <v>-7.6288032573019677</v>
      </c>
      <c r="AA1343" s="12">
        <v>-7.6508699329830705</v>
      </c>
      <c r="AB1343" s="12">
        <v>2.8842047864350105E-3</v>
      </c>
      <c r="AC1343" s="12">
        <v>-1.2199787232510317</v>
      </c>
      <c r="AD1343" s="12">
        <v>2.1525587558530075E-3</v>
      </c>
      <c r="AE1343" s="12">
        <v>0.88194836619248052</v>
      </c>
      <c r="AF1343" s="12">
        <v>0.68984910949074341</v>
      </c>
      <c r="AG1343" s="12">
        <v>1.1045264701450264</v>
      </c>
      <c r="AH1343" s="12">
        <v>-7.6508699329830696</v>
      </c>
    </row>
    <row r="1344" spans="24:34" x14ac:dyDescent="0.25">
      <c r="X1344">
        <v>48.9</v>
      </c>
      <c r="Y1344" s="12">
        <v>56.983581742232815</v>
      </c>
      <c r="Z1344" s="12">
        <v>-8.0835817422328162</v>
      </c>
      <c r="AA1344" s="12">
        <v>-8.1080473256698937</v>
      </c>
      <c r="AB1344" s="12">
        <v>3.0174445775148669E-3</v>
      </c>
      <c r="AC1344" s="12">
        <v>-1.2927921141629415</v>
      </c>
      <c r="AD1344" s="12">
        <v>2.5291764866122975E-3</v>
      </c>
      <c r="AE1344" s="12">
        <v>0.89095501331493132</v>
      </c>
      <c r="AF1344" s="12">
        <v>0.69136830949615014</v>
      </c>
      <c r="AG1344" s="12">
        <v>1.1370101644941182</v>
      </c>
      <c r="AH1344" s="12">
        <v>-8.1080473256698919</v>
      </c>
    </row>
    <row r="1345" spans="24:34" x14ac:dyDescent="0.25">
      <c r="X1345">
        <v>48.1</v>
      </c>
      <c r="Y1345" s="12">
        <v>56.687677586459259</v>
      </c>
      <c r="Z1345" s="12">
        <v>-8.5876775864592574</v>
      </c>
      <c r="AA1345" s="12">
        <v>-8.6146817212771367</v>
      </c>
      <c r="AB1345" s="12">
        <v>3.1346642501232022E-3</v>
      </c>
      <c r="AC1345" s="12">
        <v>-1.3734919661747749</v>
      </c>
      <c r="AD1345" s="12">
        <v>2.9660385261355364E-3</v>
      </c>
      <c r="AE1345" s="12">
        <v>0.89095501331493132</v>
      </c>
      <c r="AF1345" s="12">
        <v>0.6926746332214031</v>
      </c>
      <c r="AG1345" s="12">
        <v>1.1719607357649722</v>
      </c>
      <c r="AH1345" s="12">
        <v>-8.6146817212771349</v>
      </c>
    </row>
    <row r="1346" spans="24:34" x14ac:dyDescent="0.25">
      <c r="X1346">
        <v>47.1</v>
      </c>
      <c r="Y1346" s="12">
        <v>56.243821352798932</v>
      </c>
      <c r="Z1346" s="12">
        <v>-9.1438213527989305</v>
      </c>
      <c r="AA1346" s="12">
        <v>-9.1742404786072242</v>
      </c>
      <c r="AB1346" s="12">
        <v>3.3157105352997944E-3</v>
      </c>
      <c r="AC1346" s="12">
        <v>-1.4625730471421043</v>
      </c>
      <c r="AD1346" s="12">
        <v>3.558149016747684E-3</v>
      </c>
      <c r="AE1346" s="12">
        <v>0.89095501331493132</v>
      </c>
      <c r="AF1346" s="12">
        <v>0.69551825822481295</v>
      </c>
      <c r="AG1346" s="12">
        <v>1.2093688631439559</v>
      </c>
      <c r="AH1346" s="12">
        <v>-9.1742404786072225</v>
      </c>
    </row>
    <row r="1347" spans="24:34" x14ac:dyDescent="0.25">
      <c r="X1347">
        <v>46.2</v>
      </c>
      <c r="Y1347" s="12">
        <v>55.849282478434191</v>
      </c>
      <c r="Z1347" s="12">
        <v>-9.6492824784341877</v>
      </c>
      <c r="AA1347" s="12">
        <v>-9.6829976691471487</v>
      </c>
      <c r="AB1347" s="12">
        <v>3.481895985619105E-3</v>
      </c>
      <c r="AC1347" s="12">
        <v>-1.5435512845633101</v>
      </c>
      <c r="AD1347" s="12">
        <v>4.162389637028743E-3</v>
      </c>
      <c r="AE1347" s="12">
        <v>0.89095501331493132</v>
      </c>
      <c r="AF1347" s="12">
        <v>0.69628346304935529</v>
      </c>
      <c r="AG1347" s="12">
        <v>1.2423973939779938</v>
      </c>
      <c r="AH1347" s="12">
        <v>-9.6829976691471504</v>
      </c>
    </row>
    <row r="1348" spans="24:34" x14ac:dyDescent="0.25">
      <c r="X1348">
        <v>45.3</v>
      </c>
      <c r="Y1348" s="12">
        <v>75.378956759488858</v>
      </c>
      <c r="Z1348" s="12">
        <v>-30.078956759488861</v>
      </c>
      <c r="AA1348" s="12">
        <v>-30.114886926048072</v>
      </c>
      <c r="AB1348" s="12">
        <v>1.1931031535149751E-3</v>
      </c>
      <c r="AC1348" s="12">
        <v>-4.8060760954125472</v>
      </c>
      <c r="AD1348" s="12">
        <v>1.3795827358938259E-2</v>
      </c>
      <c r="AE1348" s="12">
        <v>0.89095501331493132</v>
      </c>
      <c r="AF1348" s="12">
        <v>0.69749764315501506</v>
      </c>
      <c r="AG1348" s="12">
        <v>2.1922764641834176</v>
      </c>
      <c r="AH1348" s="12">
        <v>-30.114886926048076</v>
      </c>
    </row>
    <row r="1349" spans="24:34" x14ac:dyDescent="0.25">
      <c r="X1349">
        <v>68.8</v>
      </c>
      <c r="Y1349" s="12">
        <v>68.573161176697084</v>
      </c>
      <c r="Z1349" s="12">
        <v>0.22683882330291283</v>
      </c>
      <c r="AA1349" s="12">
        <v>0.22697838663464154</v>
      </c>
      <c r="AB1349" s="12">
        <v>6.1487498344159504E-4</v>
      </c>
      <c r="AC1349" s="12">
        <v>3.6234275737254608E-2</v>
      </c>
      <c r="AD1349" s="12">
        <v>4.0389001532293788E-7</v>
      </c>
      <c r="AE1349" s="12">
        <v>0.89095501331493132</v>
      </c>
      <c r="AF1349" s="12">
        <v>0.69793870684234005</v>
      </c>
      <c r="AG1349" s="12">
        <v>0.19035302923057099</v>
      </c>
      <c r="AH1349" s="12">
        <v>0.2269783866346364</v>
      </c>
    </row>
    <row r="1350" spans="24:34" x14ac:dyDescent="0.25">
      <c r="X1350">
        <v>68.8</v>
      </c>
      <c r="Y1350" s="12">
        <v>68.62247853599267</v>
      </c>
      <c r="Z1350" s="12">
        <v>0.17752146400732727</v>
      </c>
      <c r="AA1350" s="12">
        <v>0.17763048844643947</v>
      </c>
      <c r="AB1350" s="12">
        <v>6.1377098080665359E-4</v>
      </c>
      <c r="AC1350" s="12">
        <v>2.8356513358735447E-2</v>
      </c>
      <c r="AD1350" s="12">
        <v>2.4691567134865561E-7</v>
      </c>
      <c r="AE1350" s="12">
        <v>0.90460220385671419</v>
      </c>
      <c r="AF1350" s="12">
        <v>0.69793870684234005</v>
      </c>
      <c r="AG1350" s="12">
        <v>0.16839392316451163</v>
      </c>
      <c r="AH1350" s="12">
        <v>0.17763048844644219</v>
      </c>
    </row>
    <row r="1351" spans="24:34" x14ac:dyDescent="0.25">
      <c r="X1351">
        <v>68.7</v>
      </c>
      <c r="Y1351" s="12">
        <v>68.523843817401485</v>
      </c>
      <c r="Z1351" s="12">
        <v>0.17615618259851828</v>
      </c>
      <c r="AA1351" s="12">
        <v>0.17626477161654464</v>
      </c>
      <c r="AB1351" s="12">
        <v>6.1605627165081927E-4</v>
      </c>
      <c r="AC1351" s="12">
        <v>2.8138461364321184E-2</v>
      </c>
      <c r="AD1351" s="12">
        <v>2.4403870521101657E-7</v>
      </c>
      <c r="AE1351" s="12">
        <v>0.90460220385671419</v>
      </c>
      <c r="AF1351" s="12">
        <v>0.69838020883644969</v>
      </c>
      <c r="AG1351" s="12">
        <v>0.16774522754558827</v>
      </c>
      <c r="AH1351" s="12">
        <v>0.17626477161654375</v>
      </c>
    </row>
    <row r="1352" spans="24:34" x14ac:dyDescent="0.25">
      <c r="X1352">
        <v>68.5</v>
      </c>
      <c r="Y1352" s="12">
        <v>68.425209098810299</v>
      </c>
      <c r="Z1352" s="12">
        <v>7.4790901189700776E-2</v>
      </c>
      <c r="AA1352" s="12">
        <v>7.4837199275776811E-2</v>
      </c>
      <c r="AB1352" s="12">
        <v>6.1865070479211626E-4</v>
      </c>
      <c r="AC1352" s="12">
        <v>1.1946805296111499E-2</v>
      </c>
      <c r="AD1352" s="12">
        <v>4.4176148348408446E-8</v>
      </c>
      <c r="AE1352" s="12">
        <v>0.90460220385671419</v>
      </c>
      <c r="AF1352" s="12">
        <v>0.70348925870457635</v>
      </c>
      <c r="AG1352" s="12">
        <v>0.10930144233317098</v>
      </c>
      <c r="AH1352" s="12">
        <v>7.4837199275777408E-2</v>
      </c>
    </row>
    <row r="1353" spans="24:34" x14ac:dyDescent="0.25">
      <c r="X1353">
        <v>68.3</v>
      </c>
      <c r="Y1353" s="12">
        <v>68.326574380219114</v>
      </c>
      <c r="Z1353" s="12">
        <v>-2.6574380219116733E-2</v>
      </c>
      <c r="AA1353" s="12">
        <v>-2.6590907911739237E-2</v>
      </c>
      <c r="AB1353" s="12">
        <v>6.2155428023054436E-4</v>
      </c>
      <c r="AC1353" s="12">
        <v>-4.2448934628521902E-3</v>
      </c>
      <c r="AD1353" s="12">
        <v>5.6034135654757486E-9</v>
      </c>
      <c r="AE1353" s="12">
        <v>0.91148934236618206</v>
      </c>
      <c r="AF1353" s="12">
        <v>0.70438381349447776</v>
      </c>
      <c r="AG1353" s="12">
        <v>6.5152846928220945E-2</v>
      </c>
      <c r="AH1353" s="12">
        <v>-2.6590907911744496E-2</v>
      </c>
    </row>
    <row r="1354" spans="24:34" x14ac:dyDescent="0.25">
      <c r="X1354">
        <v>68.099999999999994</v>
      </c>
      <c r="Y1354" s="12">
        <v>68.129304943036743</v>
      </c>
      <c r="Z1354" s="12">
        <v>-2.9304943036748909E-2</v>
      </c>
      <c r="AA1354" s="12">
        <v>-2.932336658125223E-2</v>
      </c>
      <c r="AB1354" s="12">
        <v>6.2828885799879448E-4</v>
      </c>
      <c r="AC1354" s="12">
        <v>-4.6810792666232863E-3</v>
      </c>
      <c r="AD1354" s="12">
        <v>6.8880184396652802E-9</v>
      </c>
      <c r="AE1354" s="12">
        <v>0.91148934236618206</v>
      </c>
      <c r="AF1354" s="12">
        <v>0.70625693669015921</v>
      </c>
      <c r="AG1354" s="12">
        <v>6.8418413213281168E-2</v>
      </c>
      <c r="AH1354" s="12">
        <v>-2.9323366581250926E-2</v>
      </c>
    </row>
    <row r="1355" spans="24:34" x14ac:dyDescent="0.25">
      <c r="X1355">
        <v>68</v>
      </c>
      <c r="Y1355" s="12">
        <v>68.079987583741143</v>
      </c>
      <c r="Z1355" s="12">
        <v>-7.9987583741143453E-2</v>
      </c>
      <c r="AA1355" s="12">
        <v>-8.0038020957957201E-2</v>
      </c>
      <c r="AB1355" s="12">
        <v>6.3016571637656389E-4</v>
      </c>
      <c r="AC1355" s="12">
        <v>-1.2776976599619723E-2</v>
      </c>
      <c r="AD1355" s="12">
        <v>5.1470067638574746E-8</v>
      </c>
      <c r="AE1355" s="12">
        <v>0.91148934236618206</v>
      </c>
      <c r="AF1355" s="12">
        <v>0.70952118277587373</v>
      </c>
      <c r="AG1355" s="12">
        <v>0.11303528917829035</v>
      </c>
      <c r="AH1355" s="12">
        <v>-8.0038020957957784E-2</v>
      </c>
    </row>
    <row r="1356" spans="24:34" x14ac:dyDescent="0.25">
      <c r="X1356">
        <v>67.599999999999994</v>
      </c>
      <c r="Y1356" s="12">
        <v>77.499603209199336</v>
      </c>
      <c r="Z1356" s="12">
        <v>-9.8996032091993413</v>
      </c>
      <c r="AA1356" s="12">
        <v>-9.9162032558410971</v>
      </c>
      <c r="AB1356" s="12">
        <v>1.6740325115839913E-3</v>
      </c>
      <c r="AC1356" s="12">
        <v>-1.5821594282922791</v>
      </c>
      <c r="AD1356" s="12">
        <v>2.0987562963541801E-3</v>
      </c>
      <c r="AE1356" s="12">
        <v>0.91841998904288702</v>
      </c>
      <c r="AF1356" s="12">
        <v>0.71039598164557227</v>
      </c>
      <c r="AG1356" s="12">
        <v>1.2578391901559909</v>
      </c>
      <c r="AH1356" s="12">
        <v>-9.9162032558410953</v>
      </c>
    </row>
    <row r="1357" spans="24:34" x14ac:dyDescent="0.25">
      <c r="X1357">
        <v>67.599999999999994</v>
      </c>
      <c r="Y1357" s="12">
        <v>77.499603209199336</v>
      </c>
      <c r="Z1357" s="12">
        <v>-9.8996032091993413</v>
      </c>
      <c r="AA1357" s="12">
        <v>-9.9162032558410971</v>
      </c>
      <c r="AB1357" s="12">
        <v>1.6740325115839913E-3</v>
      </c>
      <c r="AC1357" s="12">
        <v>-1.5821594282922791</v>
      </c>
      <c r="AD1357" s="12">
        <v>2.0987562963541801E-3</v>
      </c>
      <c r="AE1357" s="12">
        <v>0.91841998904288702</v>
      </c>
      <c r="AF1357" s="12">
        <v>0.71193113366103178</v>
      </c>
      <c r="AG1357" s="12">
        <v>1.2578391901559909</v>
      </c>
      <c r="AH1357" s="12">
        <v>-9.9162032558410953</v>
      </c>
    </row>
    <row r="1358" spans="24:34" x14ac:dyDescent="0.25">
      <c r="X1358">
        <v>67.400000000000006</v>
      </c>
      <c r="Y1358" s="12">
        <v>76.414621304696297</v>
      </c>
      <c r="Z1358" s="12">
        <v>-9.0146213046962913</v>
      </c>
      <c r="AA1358" s="12">
        <v>-9.0273509768961446</v>
      </c>
      <c r="AB1358" s="12">
        <v>1.4101226630521449E-3</v>
      </c>
      <c r="AC1358" s="12">
        <v>-1.4405307960430658</v>
      </c>
      <c r="AD1358" s="12">
        <v>1.4651592520087025E-3</v>
      </c>
      <c r="AE1358" s="12">
        <v>0.91841998904288702</v>
      </c>
      <c r="AF1358" s="12">
        <v>0.71369226186865253</v>
      </c>
      <c r="AG1358" s="12">
        <v>1.2002211446408806</v>
      </c>
      <c r="AH1358" s="12">
        <v>-9.0273509768961393</v>
      </c>
    </row>
    <row r="1359" spans="24:34" x14ac:dyDescent="0.25">
      <c r="X1359">
        <v>67.099999999999994</v>
      </c>
      <c r="Y1359" s="12">
        <v>76.168034508218341</v>
      </c>
      <c r="Z1359" s="12">
        <v>-9.0680345082183464</v>
      </c>
      <c r="AA1359" s="12">
        <v>-9.0803416394115573</v>
      </c>
      <c r="AB1359" s="12">
        <v>1.3553599282862686E-3</v>
      </c>
      <c r="AC1359" s="12">
        <v>-1.4490264604522103</v>
      </c>
      <c r="AD1359" s="12">
        <v>1.4248406689358866E-3</v>
      </c>
      <c r="AE1359" s="12">
        <v>0.91841998904288702</v>
      </c>
      <c r="AF1359" s="12">
        <v>0.71428301135229977</v>
      </c>
      <c r="AG1359" s="12">
        <v>1.2037551497095289</v>
      </c>
      <c r="AH1359" s="12">
        <v>-9.0803416394115537</v>
      </c>
    </row>
    <row r="1360" spans="24:34" x14ac:dyDescent="0.25">
      <c r="X1360">
        <v>66.8</v>
      </c>
      <c r="Y1360" s="12">
        <v>66.995005679238119</v>
      </c>
      <c r="Z1360" s="12">
        <v>-0.19500567923812184</v>
      </c>
      <c r="AA1360" s="12">
        <v>-0.19514052326202602</v>
      </c>
      <c r="AB1360" s="12">
        <v>6.9100985098104022E-4</v>
      </c>
      <c r="AC1360" s="12">
        <v>-3.1150570304102371E-2</v>
      </c>
      <c r="AD1360" s="12">
        <v>3.3549530951167956E-7</v>
      </c>
      <c r="AE1360" s="12">
        <v>0.91841998904288702</v>
      </c>
      <c r="AF1360" s="12">
        <v>0.71500270922523479</v>
      </c>
      <c r="AG1360" s="12">
        <v>0.17649524159053798</v>
      </c>
      <c r="AH1360" s="12">
        <v>-0.1951405232620215</v>
      </c>
    </row>
    <row r="1361" spans="24:34" x14ac:dyDescent="0.25">
      <c r="X1361">
        <v>66.5</v>
      </c>
      <c r="Y1361" s="12">
        <v>76.513256023287482</v>
      </c>
      <c r="Z1361" s="12">
        <v>-10.013256023287482</v>
      </c>
      <c r="AA1361" s="12">
        <v>-10.027621280230321</v>
      </c>
      <c r="AB1361" s="12">
        <v>1.4325687559784749E-3</v>
      </c>
      <c r="AC1361" s="12">
        <v>-1.6001299777042672</v>
      </c>
      <c r="AD1361" s="12">
        <v>1.8366170231144852E-3</v>
      </c>
      <c r="AE1361" s="12">
        <v>0.91841998904288702</v>
      </c>
      <c r="AF1361" s="12">
        <v>0.718054503585837</v>
      </c>
      <c r="AG1361" s="12">
        <v>1.2649624412227689</v>
      </c>
      <c r="AH1361" s="12">
        <v>-10.027621280230326</v>
      </c>
    </row>
    <row r="1362" spans="24:34" x14ac:dyDescent="0.25">
      <c r="X1362">
        <v>66.2</v>
      </c>
      <c r="Y1362" s="12">
        <v>66.403197367691007</v>
      </c>
      <c r="Z1362" s="12">
        <v>-0.20319736769100416</v>
      </c>
      <c r="AA1362" s="12">
        <v>-0.20334783773337506</v>
      </c>
      <c r="AB1362" s="12">
        <v>7.3996381791899106E-4</v>
      </c>
      <c r="AC1362" s="12">
        <v>-3.2459920950662358E-2</v>
      </c>
      <c r="AD1362" s="12">
        <v>3.9011880544538931E-7</v>
      </c>
      <c r="AE1362" s="12">
        <v>0.93241539434320941</v>
      </c>
      <c r="AF1362" s="12">
        <v>0.71849225126672345</v>
      </c>
      <c r="AG1362" s="12">
        <v>0.18016637019894238</v>
      </c>
      <c r="AH1362" s="12">
        <v>-0.20334783773337892</v>
      </c>
    </row>
    <row r="1363" spans="24:34" x14ac:dyDescent="0.25">
      <c r="X1363">
        <v>65.8</v>
      </c>
      <c r="Y1363" s="12">
        <v>66.008658493326266</v>
      </c>
      <c r="Z1363" s="12">
        <v>-0.20865849332626851</v>
      </c>
      <c r="AA1363" s="12">
        <v>-0.20882111958944449</v>
      </c>
      <c r="AB1363" s="12">
        <v>7.7878264182024886E-4</v>
      </c>
      <c r="AC1363" s="12">
        <v>-3.3332960155392548E-2</v>
      </c>
      <c r="AD1363" s="12">
        <v>4.3298453664559532E-7</v>
      </c>
      <c r="AE1363" s="12">
        <v>0.93241539434320941</v>
      </c>
      <c r="AF1363" s="12">
        <v>0.71880094140058515</v>
      </c>
      <c r="AG1363" s="12">
        <v>0.18257316384231431</v>
      </c>
      <c r="AH1363" s="12">
        <v>-0.20882111958945027</v>
      </c>
    </row>
    <row r="1364" spans="24:34" x14ac:dyDescent="0.25">
      <c r="X1364">
        <v>62</v>
      </c>
      <c r="Y1364" s="12">
        <v>60.485114252219887</v>
      </c>
      <c r="Z1364" s="12">
        <v>1.514885747780113</v>
      </c>
      <c r="AA1364" s="12">
        <v>1.5176807165336754</v>
      </c>
      <c r="AB1364" s="12">
        <v>1.8416052356182717E-3</v>
      </c>
      <c r="AC1364" s="12">
        <v>0.24213010344240019</v>
      </c>
      <c r="AD1364" s="12">
        <v>5.4083483523859817E-5</v>
      </c>
      <c r="AE1364" s="12">
        <v>0.93712127394454448</v>
      </c>
      <c r="AF1364" s="12">
        <v>0.71880094140058515</v>
      </c>
      <c r="AG1364" s="12">
        <v>0.49206717370944403</v>
      </c>
      <c r="AH1364" s="12">
        <v>1.5176807165336783</v>
      </c>
    </row>
    <row r="1365" spans="24:34" x14ac:dyDescent="0.25">
      <c r="X1365">
        <v>69</v>
      </c>
      <c r="Y1365" s="12">
        <v>59.30149762912567</v>
      </c>
      <c r="Z1365" s="12">
        <v>9.6985023708743299</v>
      </c>
      <c r="AA1365" s="12">
        <v>9.7198421189266782</v>
      </c>
      <c r="AB1365" s="12">
        <v>2.1954829915188049E-3</v>
      </c>
      <c r="AC1365" s="12">
        <v>1.5504243594100504</v>
      </c>
      <c r="AD1365" s="12">
        <v>2.6445743537516567E-3</v>
      </c>
      <c r="AE1365" s="12">
        <v>0.93712127394454448</v>
      </c>
      <c r="AF1365" s="12">
        <v>0.7193690875743094</v>
      </c>
      <c r="AG1365" s="12">
        <v>1.2451603749758704</v>
      </c>
      <c r="AH1365" s="12">
        <v>9.7198421189266817</v>
      </c>
    </row>
    <row r="1366" spans="24:34" x14ac:dyDescent="0.25">
      <c r="X1366">
        <v>59.2</v>
      </c>
      <c r="Y1366" s="12">
        <v>75.231004681602073</v>
      </c>
      <c r="Z1366" s="12">
        <v>-16.03100468160207</v>
      </c>
      <c r="AA1366" s="12">
        <v>-16.049700699438191</v>
      </c>
      <c r="AB1366" s="12">
        <v>1.1648826471124174E-3</v>
      </c>
      <c r="AC1366" s="12">
        <v>-2.5614299253926456</v>
      </c>
      <c r="AD1366" s="12">
        <v>3.8258094479129774E-3</v>
      </c>
      <c r="AE1366" s="12">
        <v>0.93712127394454448</v>
      </c>
      <c r="AF1366" s="12">
        <v>0.7196892797457014</v>
      </c>
      <c r="AG1366" s="12">
        <v>1.6004467893037386</v>
      </c>
      <c r="AH1366" s="12">
        <v>-16.049700699438194</v>
      </c>
    </row>
    <row r="1367" spans="24:34" x14ac:dyDescent="0.25">
      <c r="X1367">
        <v>58.9</v>
      </c>
      <c r="Y1367" s="12">
        <v>57.230168538710785</v>
      </c>
      <c r="Z1367" s="12">
        <v>1.6698314612892133</v>
      </c>
      <c r="AA1367" s="12">
        <v>1.6747248177455489</v>
      </c>
      <c r="AB1367" s="12">
        <v>2.921886870300699E-3</v>
      </c>
      <c r="AC1367" s="12">
        <v>0.26704022633522212</v>
      </c>
      <c r="AD1367" s="12">
        <v>1.0448587715084333E-4</v>
      </c>
      <c r="AE1367" s="12">
        <v>0.93712127394454448</v>
      </c>
      <c r="AF1367" s="12">
        <v>0.72002789137080481</v>
      </c>
      <c r="AG1367" s="12">
        <v>0.51675935050584443</v>
      </c>
      <c r="AH1367" s="12">
        <v>1.6747248177455507</v>
      </c>
    </row>
    <row r="1368" spans="24:34" x14ac:dyDescent="0.25">
      <c r="X1368">
        <v>58</v>
      </c>
      <c r="Y1368" s="12">
        <v>56.490408149276888</v>
      </c>
      <c r="Z1368" s="12">
        <v>1.5095918507231119</v>
      </c>
      <c r="AA1368" s="12">
        <v>1.514459864496267</v>
      </c>
      <c r="AB1368" s="12">
        <v>3.2143564100144146E-3</v>
      </c>
      <c r="AC1368" s="12">
        <v>0.24145004751382065</v>
      </c>
      <c r="AD1368" s="12">
        <v>9.399761845446318E-5</v>
      </c>
      <c r="AE1368" s="12">
        <v>0.93712127394454448</v>
      </c>
      <c r="AF1368" s="12">
        <v>0.72223122566888731</v>
      </c>
      <c r="AG1368" s="12">
        <v>0.49137566841859465</v>
      </c>
      <c r="AH1368" s="12">
        <v>1.514459864496265</v>
      </c>
    </row>
    <row r="1369" spans="24:34" x14ac:dyDescent="0.25">
      <c r="X1369">
        <v>56.5</v>
      </c>
      <c r="Y1369" s="12">
        <v>55.454743604069449</v>
      </c>
      <c r="Z1369" s="12">
        <v>1.0452563959305508</v>
      </c>
      <c r="AA1369" s="12">
        <v>1.049088746193469</v>
      </c>
      <c r="AB1369" s="12">
        <v>3.6530277126925158E-3</v>
      </c>
      <c r="AC1369" s="12">
        <v>0.16721921127327877</v>
      </c>
      <c r="AD1369" s="12">
        <v>5.1260720614139873E-5</v>
      </c>
      <c r="AE1369" s="12">
        <v>0.94897780985887181</v>
      </c>
      <c r="AF1369" s="12">
        <v>0.72244684564858153</v>
      </c>
      <c r="AG1369" s="12">
        <v>0.40892445668274569</v>
      </c>
      <c r="AH1369" s="12">
        <v>1.0490887461934693</v>
      </c>
    </row>
    <row r="1370" spans="24:34" x14ac:dyDescent="0.25">
      <c r="X1370">
        <v>55.3</v>
      </c>
      <c r="Y1370" s="12">
        <v>54.271126980975225</v>
      </c>
      <c r="Z1370" s="12">
        <v>1.0288730190247719</v>
      </c>
      <c r="AA1370" s="12">
        <v>1.0332084656402927</v>
      </c>
      <c r="AB1370" s="12">
        <v>4.1961005544373419E-3</v>
      </c>
      <c r="AC1370" s="12">
        <v>0.16464308947585463</v>
      </c>
      <c r="AD1370" s="12">
        <v>5.7112225344139648E-5</v>
      </c>
      <c r="AE1370" s="12">
        <v>0.94897780985887181</v>
      </c>
      <c r="AF1370" s="12">
        <v>0.72665482730745434</v>
      </c>
      <c r="AG1370" s="12">
        <v>0.40576235591273696</v>
      </c>
      <c r="AH1370" s="12">
        <v>1.0332084656402944</v>
      </c>
    </row>
    <row r="1371" spans="24:34" x14ac:dyDescent="0.25">
      <c r="X1371">
        <v>54.5</v>
      </c>
      <c r="Y1371" s="12">
        <v>53.630001310132521</v>
      </c>
      <c r="Z1371" s="12">
        <v>0.86999868986747941</v>
      </c>
      <c r="AA1371" s="12">
        <v>0.87393915232925679</v>
      </c>
      <c r="AB1371" s="12">
        <v>4.5088521909974677E-3</v>
      </c>
      <c r="AC1371" s="12">
        <v>0.13924144994964524</v>
      </c>
      <c r="AD1371" s="12">
        <v>4.3907193100342755E-5</v>
      </c>
      <c r="AE1371" s="12">
        <v>0.94897780985887181</v>
      </c>
      <c r="AF1371" s="12">
        <v>0.72846125247638949</v>
      </c>
      <c r="AG1371" s="12">
        <v>0.37315070675217171</v>
      </c>
      <c r="AH1371" s="12">
        <v>0.87393915232925767</v>
      </c>
    </row>
    <row r="1372" spans="24:34" x14ac:dyDescent="0.25">
      <c r="X1372">
        <v>54</v>
      </c>
      <c r="Y1372" s="12">
        <v>53.136827717176601</v>
      </c>
      <c r="Z1372" s="12">
        <v>0.86317228282339897</v>
      </c>
      <c r="AA1372" s="12">
        <v>0.86729916825269271</v>
      </c>
      <c r="AB1372" s="12">
        <v>4.758318214009319E-3</v>
      </c>
      <c r="AC1372" s="12">
        <v>0.13816621097186754</v>
      </c>
      <c r="AD1372" s="12">
        <v>4.5635059985663978E-5</v>
      </c>
      <c r="AE1372" s="12">
        <v>0.94897780985887181</v>
      </c>
      <c r="AF1372" s="12">
        <v>0.73004681485224099</v>
      </c>
      <c r="AG1372" s="12">
        <v>0.37170715754726535</v>
      </c>
      <c r="AH1372" s="12">
        <v>0.86729916825269082</v>
      </c>
    </row>
    <row r="1373" spans="24:34" x14ac:dyDescent="0.25">
      <c r="X1373">
        <v>53.8</v>
      </c>
      <c r="Y1373" s="12">
        <v>53.038192998585416</v>
      </c>
      <c r="Z1373" s="12">
        <v>0.76180700141458146</v>
      </c>
      <c r="AA1373" s="12">
        <v>0.76548834113170017</v>
      </c>
      <c r="AB1373" s="12">
        <v>4.8091388455030826E-3</v>
      </c>
      <c r="AC1373" s="12">
        <v>0.12194399246830354</v>
      </c>
      <c r="AD1373" s="12">
        <v>3.5929548563137224E-5</v>
      </c>
      <c r="AE1373" s="12">
        <v>0.95855995741850497</v>
      </c>
      <c r="AF1373" s="12">
        <v>0.73754315299390882</v>
      </c>
      <c r="AG1373" s="12">
        <v>0.3492048001793554</v>
      </c>
      <c r="AH1373" s="12">
        <v>0.76548834113169761</v>
      </c>
    </row>
    <row r="1374" spans="24:34" x14ac:dyDescent="0.25">
      <c r="X1374">
        <v>53.7</v>
      </c>
      <c r="Y1374" s="12">
        <v>53.087510357881001</v>
      </c>
      <c r="Z1374" s="12">
        <v>0.61248964211900159</v>
      </c>
      <c r="AA1374" s="12">
        <v>0.61543368601891046</v>
      </c>
      <c r="AB1374" s="12">
        <v>4.7836898869690605E-3</v>
      </c>
      <c r="AC1374" s="12">
        <v>9.804120624823956E-2</v>
      </c>
      <c r="AD1374" s="12">
        <v>2.310110899542181E-5</v>
      </c>
      <c r="AE1374" s="12">
        <v>0.95855995741850497</v>
      </c>
      <c r="AF1374" s="12">
        <v>0.73928899156912653</v>
      </c>
      <c r="AG1374" s="12">
        <v>0.31311532419899152</v>
      </c>
      <c r="AH1374" s="12">
        <v>0.61543368601891035</v>
      </c>
    </row>
    <row r="1375" spans="24:34" x14ac:dyDescent="0.25">
      <c r="X1375">
        <v>54</v>
      </c>
      <c r="Y1375" s="12">
        <v>53.679318669428113</v>
      </c>
      <c r="Z1375" s="12">
        <v>0.32068133057188675</v>
      </c>
      <c r="AA1375" s="12">
        <v>0.32212584939449584</v>
      </c>
      <c r="AB1375" s="12">
        <v>4.4843306593548397E-3</v>
      </c>
      <c r="AC1375" s="12">
        <v>5.1323736485835401E-2</v>
      </c>
      <c r="AD1375" s="12">
        <v>5.9327502410267751E-6</v>
      </c>
      <c r="AE1375" s="12">
        <v>0.95855995741850497</v>
      </c>
      <c r="AF1375" s="12">
        <v>0.74608217780384811</v>
      </c>
      <c r="AG1375" s="12">
        <v>0.22654742657076332</v>
      </c>
      <c r="AH1375" s="12">
        <v>0.32212584939449723</v>
      </c>
    </row>
    <row r="1376" spans="24:34" x14ac:dyDescent="0.25">
      <c r="X1376">
        <v>54.9</v>
      </c>
      <c r="Y1376" s="12">
        <v>54.961570011113523</v>
      </c>
      <c r="Z1376" s="12">
        <v>-6.1570011113524004E-2</v>
      </c>
      <c r="AA1376" s="12">
        <v>-6.1809454640766148E-2</v>
      </c>
      <c r="AB1376" s="12">
        <v>3.8738980732197295E-3</v>
      </c>
      <c r="AC1376" s="12">
        <v>-9.8510089020517697E-3</v>
      </c>
      <c r="AD1376" s="12">
        <v>1.8869713090750044E-7</v>
      </c>
      <c r="AE1376" s="12">
        <v>0.95855995741850497</v>
      </c>
      <c r="AF1376" s="12">
        <v>0.74651576815563458</v>
      </c>
      <c r="AG1376" s="12">
        <v>9.9252248851357361E-2</v>
      </c>
      <c r="AH1376" s="12">
        <v>-6.1809454640763616E-2</v>
      </c>
    </row>
    <row r="1377" spans="24:34" x14ac:dyDescent="0.25">
      <c r="X1377">
        <v>56</v>
      </c>
      <c r="Y1377" s="12">
        <v>56.441090789981303</v>
      </c>
      <c r="Z1377" s="12">
        <v>-0.44109078998130258</v>
      </c>
      <c r="AA1377" s="12">
        <v>-0.44252211566760735</v>
      </c>
      <c r="AB1377" s="12">
        <v>3.2344726639229257E-3</v>
      </c>
      <c r="AC1377" s="12">
        <v>-7.0550504643360767E-2</v>
      </c>
      <c r="AD1377" s="12">
        <v>8.0757102582477539E-6</v>
      </c>
      <c r="AE1377" s="12">
        <v>0.95855995741850497</v>
      </c>
      <c r="AF1377" s="12">
        <v>0.75076422657850461</v>
      </c>
      <c r="AG1377" s="12">
        <v>0.26561344966578926</v>
      </c>
      <c r="AH1377" s="12">
        <v>-0.44252211566761079</v>
      </c>
    </row>
    <row r="1378" spans="24:34" x14ac:dyDescent="0.25">
      <c r="X1378">
        <v>57.3</v>
      </c>
      <c r="Y1378" s="12">
        <v>58.019246287440268</v>
      </c>
      <c r="Z1378" s="12">
        <v>-0.71924628744027075</v>
      </c>
      <c r="AA1378" s="12">
        <v>-0.72114223252027188</v>
      </c>
      <c r="AB1378" s="12">
        <v>2.6290861836948702E-3</v>
      </c>
      <c r="AC1378" s="12">
        <v>-0.11500531692795446</v>
      </c>
      <c r="AD1378" s="12">
        <v>1.7432270915568494E-5</v>
      </c>
      <c r="AE1378" s="12">
        <v>0.95855995741850497</v>
      </c>
      <c r="AF1378" s="12">
        <v>0.75076422657850461</v>
      </c>
      <c r="AG1378" s="12">
        <v>0.33912433844823708</v>
      </c>
      <c r="AH1378" s="12">
        <v>-0.72114223252026866</v>
      </c>
    </row>
    <row r="1379" spans="24:34" x14ac:dyDescent="0.25">
      <c r="X1379">
        <v>82.6</v>
      </c>
      <c r="Y1379" s="12">
        <v>74.737831088646146</v>
      </c>
      <c r="Z1379" s="12">
        <v>7.862168911353848</v>
      </c>
      <c r="AA1379" s="12">
        <v>7.8706364399770763</v>
      </c>
      <c r="AB1379" s="12">
        <v>1.0758378547656069E-3</v>
      </c>
      <c r="AC1379" s="12">
        <v>1.2561593944206686</v>
      </c>
      <c r="AD1379" s="12">
        <v>8.4971602544521585E-4</v>
      </c>
      <c r="AE1379" s="12">
        <v>0.95855995741850497</v>
      </c>
      <c r="AF1379" s="12">
        <v>0.7513164701790952</v>
      </c>
      <c r="AG1379" s="12">
        <v>1.1207851687190853</v>
      </c>
      <c r="AH1379" s="12">
        <v>7.8706364399770727</v>
      </c>
    </row>
    <row r="1380" spans="24:34" x14ac:dyDescent="0.25">
      <c r="X1380">
        <v>82.4</v>
      </c>
      <c r="Y1380" s="12">
        <v>77.302333772016965</v>
      </c>
      <c r="Z1380" s="12">
        <v>5.0976662279830407</v>
      </c>
      <c r="AA1380" s="12">
        <v>5.1059545535837572</v>
      </c>
      <c r="AB1380" s="12">
        <v>1.6232666220858387E-3</v>
      </c>
      <c r="AC1380" s="12">
        <v>0.81469079693434354</v>
      </c>
      <c r="AD1380" s="12">
        <v>5.3957402212721566E-4</v>
      </c>
      <c r="AE1380" s="12">
        <v>0.95855995741850497</v>
      </c>
      <c r="AF1380" s="12">
        <v>0.75186633571990069</v>
      </c>
      <c r="AG1380" s="12">
        <v>0.90260223627816449</v>
      </c>
      <c r="AH1380" s="12">
        <v>5.1059545535837598</v>
      </c>
    </row>
    <row r="1381" spans="24:34" x14ac:dyDescent="0.25">
      <c r="X1381">
        <v>82</v>
      </c>
      <c r="Y1381" s="12">
        <v>74.589879010759375</v>
      </c>
      <c r="Z1381" s="12">
        <v>7.4101209892406246</v>
      </c>
      <c r="AA1381" s="12">
        <v>7.4179144837559363</v>
      </c>
      <c r="AB1381" s="12">
        <v>1.0506314857600782E-3</v>
      </c>
      <c r="AC1381" s="12">
        <v>1.1839195724638638</v>
      </c>
      <c r="AD1381" s="12">
        <v>7.3709139322758368E-4</v>
      </c>
      <c r="AE1381" s="12">
        <v>0.95855995741850497</v>
      </c>
      <c r="AF1381" s="12">
        <v>0.75219537874051923</v>
      </c>
      <c r="AG1381" s="12">
        <v>1.0880806828833347</v>
      </c>
      <c r="AH1381" s="12">
        <v>7.4179144837559345</v>
      </c>
    </row>
    <row r="1382" spans="24:34" x14ac:dyDescent="0.25">
      <c r="X1382">
        <v>82.1</v>
      </c>
      <c r="Y1382" s="12">
        <v>74.49124429216819</v>
      </c>
      <c r="Z1382" s="12">
        <v>7.6087557078318042</v>
      </c>
      <c r="AA1382" s="12">
        <v>7.6166329337131486</v>
      </c>
      <c r="AB1382" s="12">
        <v>1.0342136676278065E-3</v>
      </c>
      <c r="AC1382" s="12">
        <v>1.2156455736274361</v>
      </c>
      <c r="AD1382" s="12">
        <v>7.6496860043977894E-4</v>
      </c>
      <c r="AE1382" s="12">
        <v>0.95855995741850497</v>
      </c>
      <c r="AF1382" s="12">
        <v>0.75417980362634562</v>
      </c>
      <c r="AG1382" s="12">
        <v>1.1025631835080636</v>
      </c>
      <c r="AH1382" s="12">
        <v>7.616632933713154</v>
      </c>
    </row>
    <row r="1383" spans="24:34" x14ac:dyDescent="0.25">
      <c r="X1383">
        <v>81.900000000000006</v>
      </c>
      <c r="Y1383" s="12">
        <v>74.44192693287259</v>
      </c>
      <c r="Z1383" s="12">
        <v>7.4580730671274154</v>
      </c>
      <c r="AA1383" s="12">
        <v>7.465733811033985</v>
      </c>
      <c r="AB1383" s="12">
        <v>1.026120686923095E-3</v>
      </c>
      <c r="AC1383" s="12">
        <v>1.191566286950184</v>
      </c>
      <c r="AD1383" s="12">
        <v>7.2920683259470134E-4</v>
      </c>
      <c r="AE1383" s="12">
        <v>0.95855995741850497</v>
      </c>
      <c r="AF1383" s="12">
        <v>0.75439413290283586</v>
      </c>
      <c r="AG1383" s="12">
        <v>1.0915888818370147</v>
      </c>
      <c r="AH1383" s="12">
        <v>7.4657338110339788</v>
      </c>
    </row>
    <row r="1384" spans="24:34" x14ac:dyDescent="0.25">
      <c r="X1384">
        <v>81.599999999999994</v>
      </c>
      <c r="Y1384" s="12">
        <v>74.343292214281405</v>
      </c>
      <c r="Z1384" s="12">
        <v>7.2567077857185893</v>
      </c>
      <c r="AA1384" s="12">
        <v>7.2640456819183044</v>
      </c>
      <c r="AB1384" s="12">
        <v>1.0101665822365199E-3</v>
      </c>
      <c r="AC1384" s="12">
        <v>1.15938516926544</v>
      </c>
      <c r="AD1384" s="12">
        <v>6.7960632856523939E-4</v>
      </c>
      <c r="AE1384" s="12">
        <v>0.98537673313779217</v>
      </c>
      <c r="AF1384" s="12">
        <v>0.75795438749269373</v>
      </c>
      <c r="AG1384" s="12">
        <v>1.076747495592834</v>
      </c>
      <c r="AH1384" s="12">
        <v>7.2640456819183026</v>
      </c>
    </row>
    <row r="1385" spans="24:34" x14ac:dyDescent="0.25">
      <c r="X1385">
        <v>81.3</v>
      </c>
      <c r="Y1385" s="12">
        <v>77.253016412721379</v>
      </c>
      <c r="Z1385" s="12">
        <v>4.0469835872786177</v>
      </c>
      <c r="AA1385" s="12">
        <v>4.0535128575511976</v>
      </c>
      <c r="AB1385" s="12">
        <v>1.6107683636470073E-3</v>
      </c>
      <c r="AC1385" s="12">
        <v>0.64677040424205134</v>
      </c>
      <c r="AD1385" s="12">
        <v>3.3744537861205947E-4</v>
      </c>
      <c r="AE1385" s="12">
        <v>0.98537673313779217</v>
      </c>
      <c r="AF1385" s="12">
        <v>0.76007231810992781</v>
      </c>
      <c r="AG1385" s="12">
        <v>0.80422037044708794</v>
      </c>
      <c r="AH1385" s="12">
        <v>4.0535128575511976</v>
      </c>
    </row>
    <row r="1386" spans="24:34" x14ac:dyDescent="0.25">
      <c r="X1386">
        <v>89</v>
      </c>
      <c r="Y1386" s="12">
        <v>74.047388058507849</v>
      </c>
      <c r="Z1386" s="12">
        <v>14.952611941492151</v>
      </c>
      <c r="AA1386" s="12">
        <v>14.96704255209751</v>
      </c>
      <c r="AB1386" s="12">
        <v>9.6415912195958243E-4</v>
      </c>
      <c r="AC1386" s="12">
        <v>2.3888845824129725</v>
      </c>
      <c r="AD1386" s="12">
        <v>2.7537720327814657E-3</v>
      </c>
      <c r="AE1386" s="12">
        <v>0.99032898964496086</v>
      </c>
      <c r="AF1386" s="12">
        <v>0.76051240014899479</v>
      </c>
      <c r="AG1386" s="12">
        <v>1.545601689444267</v>
      </c>
      <c r="AH1386" s="12">
        <v>14.967042552097514</v>
      </c>
    </row>
    <row r="1387" spans="24:34" x14ac:dyDescent="0.25">
      <c r="X1387">
        <v>88</v>
      </c>
      <c r="Y1387" s="12">
        <v>73.998070699212263</v>
      </c>
      <c r="Z1387" s="12">
        <v>14.001929300787737</v>
      </c>
      <c r="AA1387" s="12">
        <v>14.015338640171279</v>
      </c>
      <c r="AB1387" s="12">
        <v>9.5676171142341604E-4</v>
      </c>
      <c r="AC1387" s="12">
        <v>2.236991725919987</v>
      </c>
      <c r="AD1387" s="12">
        <v>2.3961735066293753E-3</v>
      </c>
      <c r="AE1387" s="12">
        <v>0.99032898964496086</v>
      </c>
      <c r="AF1387" s="12">
        <v>0.76139399108261829</v>
      </c>
      <c r="AG1387" s="12">
        <v>1.4956576232279857</v>
      </c>
      <c r="AH1387" s="12">
        <v>14.015338640171286</v>
      </c>
    </row>
    <row r="1388" spans="24:34" x14ac:dyDescent="0.25">
      <c r="X1388">
        <v>81</v>
      </c>
      <c r="Y1388" s="12">
        <v>73.800801262029893</v>
      </c>
      <c r="Z1388" s="12">
        <v>7.1991987379701072</v>
      </c>
      <c r="AA1388" s="12">
        <v>7.2058854027598898</v>
      </c>
      <c r="AB1388" s="12">
        <v>9.2794492502157821E-4</v>
      </c>
      <c r="AC1388" s="12">
        <v>1.1501497690986719</v>
      </c>
      <c r="AD1388" s="12">
        <v>6.1433348381265227E-4</v>
      </c>
      <c r="AE1388" s="12">
        <v>0.99032898964496086</v>
      </c>
      <c r="AF1388" s="12">
        <v>0.76161468668651267</v>
      </c>
      <c r="AG1388" s="12">
        <v>1.0724503574052608</v>
      </c>
      <c r="AH1388" s="12">
        <v>7.2058854027598853</v>
      </c>
    </row>
    <row r="1389" spans="24:34" x14ac:dyDescent="0.25">
      <c r="X1389">
        <v>81</v>
      </c>
      <c r="Y1389" s="12">
        <v>73.702166543438707</v>
      </c>
      <c r="Z1389" s="12">
        <v>7.2978334565612926</v>
      </c>
      <c r="AA1389" s="12">
        <v>7.3045097802920367</v>
      </c>
      <c r="AB1389" s="12">
        <v>9.1400024526635615E-4</v>
      </c>
      <c r="AC1389" s="12">
        <v>1.1658995943436852</v>
      </c>
      <c r="AD1389" s="12">
        <v>6.2177856434775713E-4</v>
      </c>
      <c r="AE1389" s="12">
        <v>0.99032898964496086</v>
      </c>
      <c r="AF1389" s="12">
        <v>0.76729016148148688</v>
      </c>
      <c r="AG1389" s="12">
        <v>1.0797683058618108</v>
      </c>
      <c r="AH1389" s="12">
        <v>7.3045097802920296</v>
      </c>
    </row>
    <row r="1390" spans="24:34" x14ac:dyDescent="0.25">
      <c r="X1390">
        <v>79.400000000000006</v>
      </c>
      <c r="Y1390" s="12">
        <v>73.504897106256337</v>
      </c>
      <c r="Z1390" s="12">
        <v>5.8951028937436689</v>
      </c>
      <c r="AA1390" s="12">
        <v>5.90033671847047</v>
      </c>
      <c r="AB1390" s="12">
        <v>8.8703831264730533E-4</v>
      </c>
      <c r="AC1390" s="12">
        <v>0.94178708988748883</v>
      </c>
      <c r="AD1390" s="12">
        <v>3.9373430456999533E-4</v>
      </c>
      <c r="AE1390" s="12">
        <v>1.0003070916314494</v>
      </c>
      <c r="AF1390" s="12">
        <v>0.76816920946356004</v>
      </c>
      <c r="AG1390" s="12">
        <v>0.97045715510139285</v>
      </c>
      <c r="AH1390" s="12">
        <v>5.9003367184704718</v>
      </c>
    </row>
    <row r="1391" spans="24:34" x14ac:dyDescent="0.25">
      <c r="X1391">
        <v>79.5</v>
      </c>
      <c r="Y1391" s="12">
        <v>73.504897106256337</v>
      </c>
      <c r="Z1391" s="12">
        <v>5.9951028937436632</v>
      </c>
      <c r="AA1391" s="12">
        <v>6.0004255010552896</v>
      </c>
      <c r="AB1391" s="12">
        <v>8.8703831264730533E-4</v>
      </c>
      <c r="AC1391" s="12">
        <v>0.95776284309931026</v>
      </c>
      <c r="AD1391" s="12">
        <v>4.0720561507871843E-4</v>
      </c>
      <c r="AE1391" s="12">
        <v>1.0003070916314494</v>
      </c>
      <c r="AF1391" s="12">
        <v>0.76874054678395742</v>
      </c>
      <c r="AG1391" s="12">
        <v>0.97865358687296</v>
      </c>
      <c r="AH1391" s="12">
        <v>6.0004255010552852</v>
      </c>
    </row>
    <row r="1392" spans="24:34" x14ac:dyDescent="0.25">
      <c r="X1392">
        <v>79.400000000000006</v>
      </c>
      <c r="Y1392" s="12">
        <v>73.455579746960737</v>
      </c>
      <c r="Z1392" s="12">
        <v>5.9444202530392687</v>
      </c>
      <c r="AA1392" s="12">
        <v>5.9496588743896268</v>
      </c>
      <c r="AB1392" s="12">
        <v>8.8049104342824967E-4</v>
      </c>
      <c r="AC1392" s="12">
        <v>0.94966279789511998</v>
      </c>
      <c r="AD1392" s="12">
        <v>3.9738947301545834E-4</v>
      </c>
      <c r="AE1392" s="12">
        <v>1.0003070916314494</v>
      </c>
      <c r="AF1392" s="12">
        <v>0.77015409260507373</v>
      </c>
      <c r="AG1392" s="12">
        <v>0.97450643809834314</v>
      </c>
      <c r="AH1392" s="12">
        <v>5.9496588743896224</v>
      </c>
    </row>
    <row r="1393" spans="24:34" x14ac:dyDescent="0.25">
      <c r="X1393">
        <v>79.099999999999994</v>
      </c>
      <c r="Y1393" s="12">
        <v>73.356945028369552</v>
      </c>
      <c r="Z1393" s="12">
        <v>5.7430549716304427</v>
      </c>
      <c r="AA1393" s="12">
        <v>5.7480421360119749</v>
      </c>
      <c r="AB1393" s="12">
        <v>8.6762836171298667E-4</v>
      </c>
      <c r="AC1393" s="12">
        <v>0.9174873770324018</v>
      </c>
      <c r="AD1393" s="12">
        <v>3.6549455379266256E-4</v>
      </c>
      <c r="AE1393" s="12">
        <v>1.0003070916314494</v>
      </c>
      <c r="AF1393" s="12">
        <v>0.77237100312729701</v>
      </c>
      <c r="AG1393" s="12">
        <v>0.95785561387528639</v>
      </c>
      <c r="AH1393" s="12">
        <v>5.7480421360119678</v>
      </c>
    </row>
    <row r="1394" spans="24:34" x14ac:dyDescent="0.25">
      <c r="X1394">
        <v>74.7</v>
      </c>
      <c r="Y1394" s="12">
        <v>70.644490267111962</v>
      </c>
      <c r="Z1394" s="12">
        <v>4.0555097328880407</v>
      </c>
      <c r="AA1394" s="12">
        <v>4.0580868199175626</v>
      </c>
      <c r="AB1394" s="12">
        <v>6.3504975223154371E-4</v>
      </c>
      <c r="AC1394" s="12">
        <v>0.647816537914223</v>
      </c>
      <c r="AD1394" s="12">
        <v>1.3333915637232181E-4</v>
      </c>
      <c r="AE1394" s="12">
        <v>1.0003070916314494</v>
      </c>
      <c r="AF1394" s="12">
        <v>0.77276028147923514</v>
      </c>
      <c r="AG1394" s="12">
        <v>0.80487051002892573</v>
      </c>
      <c r="AH1394" s="12">
        <v>4.0580868199175635</v>
      </c>
    </row>
    <row r="1395" spans="24:34" x14ac:dyDescent="0.25">
      <c r="X1395">
        <v>74.599999999999994</v>
      </c>
      <c r="Y1395" s="12">
        <v>70.595172907816377</v>
      </c>
      <c r="Z1395" s="12">
        <v>4.0048270921836178</v>
      </c>
      <c r="AA1395" s="12">
        <v>4.007363693476762</v>
      </c>
      <c r="AB1395" s="12">
        <v>6.3298504632089045E-4</v>
      </c>
      <c r="AC1395" s="12">
        <v>0.63971996435787837</v>
      </c>
      <c r="AD1395" s="12">
        <v>1.29603954311577E-4</v>
      </c>
      <c r="AE1395" s="12">
        <v>1.0129215482717411</v>
      </c>
      <c r="AF1395" s="12">
        <v>0.77802948180460518</v>
      </c>
      <c r="AG1395" s="12">
        <v>0.79982495857398594</v>
      </c>
      <c r="AH1395" s="12">
        <v>4.0073636934767576</v>
      </c>
    </row>
    <row r="1396" spans="24:34" x14ac:dyDescent="0.25">
      <c r="X1396">
        <v>74.5</v>
      </c>
      <c r="Y1396" s="12">
        <v>70.545855548520777</v>
      </c>
      <c r="Z1396" s="12">
        <v>3.9541444514792232</v>
      </c>
      <c r="AA1396" s="12">
        <v>3.9566410826092238</v>
      </c>
      <c r="AB1396" s="12">
        <v>6.3099762598451987E-4</v>
      </c>
      <c r="AC1396" s="12">
        <v>0.63162343195293447</v>
      </c>
      <c r="AD1396" s="12">
        <v>1.2594714320818734E-4</v>
      </c>
      <c r="AE1396" s="12">
        <v>1.0129215482717411</v>
      </c>
      <c r="AF1396" s="12">
        <v>0.77891589175493559</v>
      </c>
      <c r="AG1396" s="12">
        <v>0.79474740135022426</v>
      </c>
      <c r="AH1396" s="12">
        <v>3.9566410826092224</v>
      </c>
    </row>
    <row r="1397" spans="24:34" x14ac:dyDescent="0.25">
      <c r="X1397">
        <v>74.5</v>
      </c>
      <c r="Y1397" s="12">
        <v>70.644490267111962</v>
      </c>
      <c r="Z1397" s="12">
        <v>3.8555097328880379</v>
      </c>
      <c r="AA1397" s="12">
        <v>3.8579597292582264</v>
      </c>
      <c r="AB1397" s="12">
        <v>6.3504975223154371E-4</v>
      </c>
      <c r="AC1397" s="12">
        <v>0.61586906000974251</v>
      </c>
      <c r="AD1397" s="12">
        <v>1.2051203347288138E-4</v>
      </c>
      <c r="AE1397" s="12">
        <v>1.0129215482717411</v>
      </c>
      <c r="AF1397" s="12">
        <v>0.78046970612878941</v>
      </c>
      <c r="AG1397" s="12">
        <v>0.78477325388276487</v>
      </c>
      <c r="AH1397" s="12">
        <v>3.8579597292582224</v>
      </c>
    </row>
    <row r="1398" spans="24:34" x14ac:dyDescent="0.25">
      <c r="X1398">
        <v>74.5</v>
      </c>
      <c r="Y1398" s="12">
        <v>70.792442344998747</v>
      </c>
      <c r="Z1398" s="12">
        <v>3.7075576550012528</v>
      </c>
      <c r="AA1398" s="12">
        <v>3.7099383505748023</v>
      </c>
      <c r="AB1398" s="12">
        <v>6.4170758340920055E-4</v>
      </c>
      <c r="AC1398" s="12">
        <v>0.59223755407860612</v>
      </c>
      <c r="AD1398" s="12">
        <v>1.1261022883037004E-4</v>
      </c>
      <c r="AE1398" s="12">
        <v>1.0205681915260707</v>
      </c>
      <c r="AF1398" s="12">
        <v>0.78272751175642408</v>
      </c>
      <c r="AG1398" s="12">
        <v>0.76956972008948354</v>
      </c>
      <c r="AH1398" s="12">
        <v>3.7099383505747974</v>
      </c>
    </row>
    <row r="1399" spans="24:34" x14ac:dyDescent="0.25">
      <c r="X1399">
        <v>71.8</v>
      </c>
      <c r="Y1399" s="12">
        <v>68.573161176697084</v>
      </c>
      <c r="Z1399" s="12">
        <v>3.2268388233029128</v>
      </c>
      <c r="AA1399" s="12">
        <v>3.2288241464965211</v>
      </c>
      <c r="AB1399" s="12">
        <v>6.1487498344159504E-4</v>
      </c>
      <c r="AC1399" s="12">
        <v>0.51544160730856059</v>
      </c>
      <c r="AD1399" s="12">
        <v>8.1730262233395417E-5</v>
      </c>
      <c r="AE1399" s="12">
        <v>1.0205681915260707</v>
      </c>
      <c r="AF1399" s="12">
        <v>0.78494256887237923</v>
      </c>
      <c r="AG1399" s="12">
        <v>0.71794262118121988</v>
      </c>
      <c r="AH1399" s="12">
        <v>3.2288241464965255</v>
      </c>
    </row>
    <row r="1400" spans="24:34" x14ac:dyDescent="0.25">
      <c r="X1400">
        <v>72.3</v>
      </c>
      <c r="Y1400" s="12">
        <v>69.115652128948597</v>
      </c>
      <c r="Z1400" s="12">
        <v>3.1843478710514006</v>
      </c>
      <c r="AA1400" s="12">
        <v>3.1862818857229485</v>
      </c>
      <c r="AB1400" s="12">
        <v>6.0698166104279291E-4</v>
      </c>
      <c r="AC1400" s="12">
        <v>0.5086522733177713</v>
      </c>
      <c r="AD1400" s="12">
        <v>7.8569003069490354E-5</v>
      </c>
      <c r="AE1400" s="12">
        <v>1.0205681915260707</v>
      </c>
      <c r="AF1400" s="12">
        <v>0.78546549494892337</v>
      </c>
      <c r="AG1400" s="12">
        <v>0.71319862122537181</v>
      </c>
      <c r="AH1400" s="12">
        <v>3.1862818857229471</v>
      </c>
    </row>
    <row r="1401" spans="24:34" x14ac:dyDescent="0.25">
      <c r="X1401">
        <v>73.7</v>
      </c>
      <c r="Y1401" s="12">
        <v>70.397903470634006</v>
      </c>
      <c r="Z1401" s="12">
        <v>3.302096529365997</v>
      </c>
      <c r="AA1401" s="12">
        <v>3.3041632804528689</v>
      </c>
      <c r="AB1401" s="12">
        <v>6.2549907842110518E-4</v>
      </c>
      <c r="AC1401" s="12">
        <v>0.52746575913062199</v>
      </c>
      <c r="AD1401" s="12">
        <v>8.7067677287532371E-5</v>
      </c>
      <c r="AE1401" s="12">
        <v>1.0205681915260707</v>
      </c>
      <c r="AF1401" s="12">
        <v>0.78568633400815324</v>
      </c>
      <c r="AG1401" s="12">
        <v>0.72626837954754853</v>
      </c>
      <c r="AH1401" s="12">
        <v>3.3041632804528733</v>
      </c>
    </row>
    <row r="1402" spans="24:34" x14ac:dyDescent="0.25">
      <c r="X1402">
        <v>73.8</v>
      </c>
      <c r="Y1402" s="12">
        <v>70.447220829929591</v>
      </c>
      <c r="Z1402" s="12">
        <v>3.3527791700704057</v>
      </c>
      <c r="AA1402" s="12">
        <v>3.3548835363420579</v>
      </c>
      <c r="AB1402" s="12">
        <v>6.2725464203462734E-4</v>
      </c>
      <c r="AC1402" s="12">
        <v>0.53556210356695833</v>
      </c>
      <c r="AD1402" s="12">
        <v>9.0013171640104372E-5</v>
      </c>
      <c r="AE1402" s="12">
        <v>1.0308575175648222</v>
      </c>
      <c r="AF1402" s="12">
        <v>0.78590801937229826</v>
      </c>
      <c r="AG1402" s="12">
        <v>0.73182108712919602</v>
      </c>
      <c r="AH1402" s="12">
        <v>3.3548835363420619</v>
      </c>
    </row>
    <row r="1403" spans="24:34" x14ac:dyDescent="0.25">
      <c r="X1403">
        <v>74.2</v>
      </c>
      <c r="Y1403" s="12">
        <v>70.792442344998747</v>
      </c>
      <c r="Z1403" s="12">
        <v>3.4075576550012556</v>
      </c>
      <c r="AA1403" s="12">
        <v>3.409745714683865</v>
      </c>
      <c r="AB1403" s="12">
        <v>6.4170758340920055E-4</v>
      </c>
      <c r="AC1403" s="12">
        <v>0.54431617759403195</v>
      </c>
      <c r="AD1403" s="12">
        <v>9.5123635431837577E-5</v>
      </c>
      <c r="AE1403" s="12">
        <v>1.0308575175648222</v>
      </c>
      <c r="AF1403" s="12">
        <v>0.79026389018592036</v>
      </c>
      <c r="AG1403" s="12">
        <v>0.73777786466797168</v>
      </c>
      <c r="AH1403" s="12">
        <v>3.4097457146838654</v>
      </c>
    </row>
    <row r="1404" spans="24:34" x14ac:dyDescent="0.25">
      <c r="X1404">
        <v>69.099999999999994</v>
      </c>
      <c r="Y1404" s="12">
        <v>67.882718146558773</v>
      </c>
      <c r="Z1404" s="12">
        <v>1.2172818534412215</v>
      </c>
      <c r="AA1404" s="12">
        <v>1.2180595186755454</v>
      </c>
      <c r="AB1404" s="12">
        <v>6.384460056304697E-4</v>
      </c>
      <c r="AC1404" s="12">
        <v>0.19444575598532307</v>
      </c>
      <c r="AD1404" s="12">
        <v>1.2077261721451789E-5</v>
      </c>
      <c r="AE1404" s="12">
        <v>1.0308575175648222</v>
      </c>
      <c r="AF1404" s="12">
        <v>0.79192020194810819</v>
      </c>
      <c r="AG1404" s="12">
        <v>0.44096003898916175</v>
      </c>
      <c r="AH1404" s="12">
        <v>1.2180595186755401</v>
      </c>
    </row>
    <row r="1405" spans="24:34" x14ac:dyDescent="0.25">
      <c r="X1405">
        <v>73.900000000000006</v>
      </c>
      <c r="Y1405" s="12">
        <v>70.397903470634006</v>
      </c>
      <c r="Z1405" s="12">
        <v>3.5020965293659998</v>
      </c>
      <c r="AA1405" s="12">
        <v>3.504288458567359</v>
      </c>
      <c r="AB1405" s="12">
        <v>6.2549907842110518E-4</v>
      </c>
      <c r="AC1405" s="12">
        <v>0.55941308437928172</v>
      </c>
      <c r="AD1405" s="12">
        <v>9.7934036378019305E-5</v>
      </c>
      <c r="AE1405" s="12">
        <v>1.0386467129748296</v>
      </c>
      <c r="AF1405" s="12">
        <v>0.79422613067821857</v>
      </c>
      <c r="AG1405" s="12">
        <v>0.74793922505727817</v>
      </c>
      <c r="AH1405" s="12">
        <v>3.5042884585673555</v>
      </c>
    </row>
    <row r="1406" spans="24:34" x14ac:dyDescent="0.25">
      <c r="X1406">
        <v>71.400000000000006</v>
      </c>
      <c r="Y1406" s="12">
        <v>68.819747973175041</v>
      </c>
      <c r="Z1406" s="12">
        <v>2.5802520268249651</v>
      </c>
      <c r="AA1406" s="12">
        <v>2.5818272714852526</v>
      </c>
      <c r="AB1406" s="12">
        <v>6.1012782600971583E-4</v>
      </c>
      <c r="AC1406" s="12">
        <v>0.41215758396288016</v>
      </c>
      <c r="AD1406" s="12">
        <v>5.1854026309603654E-5</v>
      </c>
      <c r="AE1406" s="12">
        <v>1.0386467129748296</v>
      </c>
      <c r="AF1406" s="12">
        <v>0.79422613067821857</v>
      </c>
      <c r="AG1406" s="12">
        <v>0.64199500306690871</v>
      </c>
      <c r="AH1406" s="12">
        <v>2.581827271485249</v>
      </c>
    </row>
    <row r="1407" spans="24:34" x14ac:dyDescent="0.25">
      <c r="X1407">
        <v>71.2</v>
      </c>
      <c r="Y1407" s="12">
        <v>68.770430613879455</v>
      </c>
      <c r="Z1407" s="12">
        <v>2.4295693861205478</v>
      </c>
      <c r="AA1407" s="12">
        <v>2.4310545725106465</v>
      </c>
      <c r="AB1407" s="12">
        <v>6.1092268634752608E-4</v>
      </c>
      <c r="AC1407" s="12">
        <v>0.38808838673866147</v>
      </c>
      <c r="AD1407" s="12">
        <v>4.603444933849763E-5</v>
      </c>
      <c r="AE1407" s="12">
        <v>1.0386467129748296</v>
      </c>
      <c r="AF1407" s="12">
        <v>0.79644478277915076</v>
      </c>
      <c r="AG1407" s="12">
        <v>0.62296740423449237</v>
      </c>
      <c r="AH1407" s="12">
        <v>2.4310545725106434</v>
      </c>
    </row>
    <row r="1408" spans="24:34" x14ac:dyDescent="0.25">
      <c r="X1408">
        <v>71.3</v>
      </c>
      <c r="Y1408" s="12">
        <v>68.819747973175041</v>
      </c>
      <c r="Z1408" s="12">
        <v>2.4802520268249566</v>
      </c>
      <c r="AA1408" s="12">
        <v>2.4817662214543219</v>
      </c>
      <c r="AB1408" s="12">
        <v>6.1012782600971583E-4</v>
      </c>
      <c r="AC1408" s="12">
        <v>0.39618404418157122</v>
      </c>
      <c r="AD1408" s="12">
        <v>4.7912612761888212E-5</v>
      </c>
      <c r="AE1408" s="12">
        <v>1.0464994400123697</v>
      </c>
      <c r="AF1408" s="12">
        <v>0.79792228505910512</v>
      </c>
      <c r="AG1408" s="12">
        <v>0.62943152461691276</v>
      </c>
      <c r="AH1408" s="12">
        <v>2.4817662214543166</v>
      </c>
    </row>
    <row r="1409" spans="24:34" x14ac:dyDescent="0.25">
      <c r="X1409">
        <v>76</v>
      </c>
      <c r="Y1409" s="12">
        <v>68.375891739514714</v>
      </c>
      <c r="Z1409" s="12">
        <v>7.6241082604852863</v>
      </c>
      <c r="AA1409" s="12">
        <v>7.6288386275335967</v>
      </c>
      <c r="AB1409" s="12">
        <v>6.2006384972418892E-4</v>
      </c>
      <c r="AC1409" s="12">
        <v>1.2178460199407808</v>
      </c>
      <c r="AD1409" s="12">
        <v>4.601088139359985E-4</v>
      </c>
      <c r="AE1409" s="12">
        <v>1.0491313979639725</v>
      </c>
      <c r="AF1409" s="12">
        <v>0.80166050385291054</v>
      </c>
      <c r="AG1409" s="12">
        <v>1.1035606099987354</v>
      </c>
      <c r="AH1409" s="12">
        <v>7.6288386275336002</v>
      </c>
    </row>
    <row r="1410" spans="24:34" x14ac:dyDescent="0.25">
      <c r="X1410">
        <v>73</v>
      </c>
      <c r="Y1410" s="12">
        <v>76.661208101174267</v>
      </c>
      <c r="Z1410" s="12">
        <v>-3.6612081011742674</v>
      </c>
      <c r="AA1410" s="12">
        <v>-3.6665863142816164</v>
      </c>
      <c r="AB1410" s="12">
        <v>1.4668175371750909E-3</v>
      </c>
      <c r="AC1410" s="12">
        <v>-0.58507535329839033</v>
      </c>
      <c r="AD1410" s="12">
        <v>2.514242733082598E-4</v>
      </c>
      <c r="AE1410" s="12">
        <v>1.0491313979639725</v>
      </c>
      <c r="AF1410" s="12">
        <v>0.80432106905014111</v>
      </c>
      <c r="AG1410" s="12">
        <v>0.76490218544490407</v>
      </c>
      <c r="AH1410" s="12">
        <v>-3.6665863142816217</v>
      </c>
    </row>
    <row r="1411" spans="24:34" x14ac:dyDescent="0.25">
      <c r="X1411">
        <v>70</v>
      </c>
      <c r="Y1411" s="12">
        <v>67.932035505854373</v>
      </c>
      <c r="Z1411" s="12">
        <v>2.0679644941456274</v>
      </c>
      <c r="AA1411" s="12">
        <v>2.0692810949453531</v>
      </c>
      <c r="AB1411" s="12">
        <v>6.3626000495556898E-4</v>
      </c>
      <c r="AC1411" s="12">
        <v>0.33033144993918517</v>
      </c>
      <c r="AD1411" s="12">
        <v>3.4736086554080486E-5</v>
      </c>
      <c r="AE1411" s="12">
        <v>1.0491313979639725</v>
      </c>
      <c r="AF1411" s="12">
        <v>0.80677596452639011</v>
      </c>
      <c r="AG1411" s="12">
        <v>0.57474468239313459</v>
      </c>
      <c r="AH1411" s="12">
        <v>2.0692810949453517</v>
      </c>
    </row>
    <row r="1412" spans="24:34" x14ac:dyDescent="0.25">
      <c r="X1412">
        <v>69.8</v>
      </c>
      <c r="Y1412" s="12">
        <v>67.932035505854373</v>
      </c>
      <c r="Z1412" s="12">
        <v>1.8679644941456246</v>
      </c>
      <c r="AA1412" s="12">
        <v>1.8691537619274499</v>
      </c>
      <c r="AB1412" s="12">
        <v>6.3626000495556898E-4</v>
      </c>
      <c r="AC1412" s="12">
        <v>0.29838395269014123</v>
      </c>
      <c r="AD1412" s="12">
        <v>2.8342096115550059E-5</v>
      </c>
      <c r="AE1412" s="12">
        <v>1.0491313979639725</v>
      </c>
      <c r="AF1412" s="12">
        <v>0.81264250335597521</v>
      </c>
      <c r="AG1412" s="12">
        <v>0.5462453228084807</v>
      </c>
      <c r="AH1412" s="12">
        <v>1.8691537619274512</v>
      </c>
    </row>
    <row r="1413" spans="24:34" x14ac:dyDescent="0.25">
      <c r="X1413">
        <v>69.5</v>
      </c>
      <c r="Y1413" s="12">
        <v>76.513256023287482</v>
      </c>
      <c r="Z1413" s="12">
        <v>-7.0132560232874823</v>
      </c>
      <c r="AA1413" s="12">
        <v>-7.0233174083700334</v>
      </c>
      <c r="AB1413" s="12">
        <v>1.4325687559784749E-3</v>
      </c>
      <c r="AC1413" s="12">
        <v>-1.1207264827822656</v>
      </c>
      <c r="AD1413" s="12">
        <v>9.009638193260256E-4</v>
      </c>
      <c r="AE1413" s="12">
        <v>1.0491313979639725</v>
      </c>
      <c r="AF1413" s="12">
        <v>0.81469079693434354</v>
      </c>
      <c r="AG1413" s="12">
        <v>1.0586436996375437</v>
      </c>
      <c r="AH1413" s="12">
        <v>-7.0233174083700334</v>
      </c>
    </row>
    <row r="1414" spans="24:34" x14ac:dyDescent="0.25">
      <c r="X1414">
        <v>69.3</v>
      </c>
      <c r="Y1414" s="12">
        <v>67.784083427967602</v>
      </c>
      <c r="Z1414" s="12">
        <v>1.5159165720323955</v>
      </c>
      <c r="AA1414" s="12">
        <v>1.5168920092321798</v>
      </c>
      <c r="AB1414" s="12">
        <v>6.4304986370311915E-4</v>
      </c>
      <c r="AC1414" s="12">
        <v>0.24214952517924501</v>
      </c>
      <c r="AD1414" s="12">
        <v>1.8865193376932299E-5</v>
      </c>
      <c r="AE1414" s="12">
        <v>1.0491313979639725</v>
      </c>
      <c r="AF1414" s="12">
        <v>0.82051872584548036</v>
      </c>
      <c r="AG1414" s="12">
        <v>0.4920869081567249</v>
      </c>
      <c r="AH1414" s="12">
        <v>1.5168920092321847</v>
      </c>
    </row>
    <row r="1415" spans="24:34" x14ac:dyDescent="0.25">
      <c r="X1415">
        <v>68.900000000000006</v>
      </c>
      <c r="Y1415" s="12">
        <v>76.365303945400711</v>
      </c>
      <c r="Z1415" s="12">
        <v>-7.4653039454007057</v>
      </c>
      <c r="AA1415" s="12">
        <v>-7.4757626535634074</v>
      </c>
      <c r="AB1415" s="12">
        <v>1.399015544950404E-3</v>
      </c>
      <c r="AC1415" s="12">
        <v>-1.1929442252618014</v>
      </c>
      <c r="AD1415" s="12">
        <v>9.9687529441403865E-4</v>
      </c>
      <c r="AE1415" s="12">
        <v>1.0491313979639725</v>
      </c>
      <c r="AF1415" s="12">
        <v>0.82253284330247922</v>
      </c>
      <c r="AG1415" s="12">
        <v>1.0922198612284073</v>
      </c>
      <c r="AH1415" s="12">
        <v>-7.4757626535634003</v>
      </c>
    </row>
    <row r="1416" spans="24:34" x14ac:dyDescent="0.25">
      <c r="X1416">
        <v>58.4</v>
      </c>
      <c r="Y1416" s="12">
        <v>58.759006676874151</v>
      </c>
      <c r="Z1416" s="12">
        <v>-0.35900667687415222</v>
      </c>
      <c r="AA1416" s="12">
        <v>-0.35986046541772509</v>
      </c>
      <c r="AB1416" s="12">
        <v>2.3725544360226553E-3</v>
      </c>
      <c r="AC1416" s="12">
        <v>-5.739670629987955E-2</v>
      </c>
      <c r="AD1416" s="12">
        <v>3.9173443009684347E-6</v>
      </c>
      <c r="AE1416" s="12">
        <v>1.0491313979639725</v>
      </c>
      <c r="AF1416" s="12">
        <v>0.82463732519519473</v>
      </c>
      <c r="AG1416" s="12">
        <v>0.23957609709626615</v>
      </c>
      <c r="AH1416" s="12">
        <v>-0.35986046541772826</v>
      </c>
    </row>
    <row r="1417" spans="24:34" x14ac:dyDescent="0.25">
      <c r="X1417">
        <v>57.6</v>
      </c>
      <c r="Y1417" s="12">
        <v>58.216515724622631</v>
      </c>
      <c r="Z1417" s="12">
        <v>-0.61651572462263005</v>
      </c>
      <c r="AA1417" s="12">
        <v>-0.61809742197811346</v>
      </c>
      <c r="AB1417" s="12">
        <v>2.5589774350147244E-3</v>
      </c>
      <c r="AC1417" s="12">
        <v>-9.8575544529416456E-2</v>
      </c>
      <c r="AD1417" s="12">
        <v>1.2464865721050148E-5</v>
      </c>
      <c r="AE1417" s="12">
        <v>1.0491313979639725</v>
      </c>
      <c r="AF1417" s="12">
        <v>0.82499853027985059</v>
      </c>
      <c r="AG1417" s="12">
        <v>0.31396742590500765</v>
      </c>
      <c r="AH1417" s="12">
        <v>-0.61809742197811279</v>
      </c>
    </row>
    <row r="1418" spans="24:34" x14ac:dyDescent="0.25">
      <c r="X1418">
        <v>56.5</v>
      </c>
      <c r="Y1418" s="12">
        <v>57.279485898006371</v>
      </c>
      <c r="Z1418" s="12">
        <v>-0.7794858980063708</v>
      </c>
      <c r="AA1418" s="12">
        <v>-0.78175533937393737</v>
      </c>
      <c r="AB1418" s="12">
        <v>2.903007185580714E-3</v>
      </c>
      <c r="AC1418" s="12">
        <v>-0.12465456830957675</v>
      </c>
      <c r="AD1418" s="12">
        <v>2.2620234704146506E-5</v>
      </c>
      <c r="AE1418" s="12">
        <v>1.0491313979639725</v>
      </c>
      <c r="AF1418" s="12">
        <v>0.8250695540482873</v>
      </c>
      <c r="AG1418" s="12">
        <v>0.3530645384481097</v>
      </c>
      <c r="AH1418" s="12">
        <v>-0.78175533937393937</v>
      </c>
    </row>
    <row r="1419" spans="24:34" x14ac:dyDescent="0.25">
      <c r="X1419">
        <v>55</v>
      </c>
      <c r="Y1419" s="12">
        <v>55.997234556320961</v>
      </c>
      <c r="Z1419" s="12">
        <v>-0.99723455632096147</v>
      </c>
      <c r="AA1419" s="12">
        <v>-1.0006557952828743</v>
      </c>
      <c r="AB1419" s="12">
        <v>3.4189967999422406E-3</v>
      </c>
      <c r="AC1419" s="12">
        <v>-0.15951798563254801</v>
      </c>
      <c r="AD1419" s="12">
        <v>4.3649111500208658E-5</v>
      </c>
      <c r="AE1419" s="12">
        <v>1.0491313979639725</v>
      </c>
      <c r="AF1419" s="12">
        <v>0.82995681740473159</v>
      </c>
      <c r="AG1419" s="12">
        <v>0.39939702757099732</v>
      </c>
      <c r="AH1419" s="12">
        <v>-1.0006557952828774</v>
      </c>
    </row>
    <row r="1420" spans="24:34" x14ac:dyDescent="0.25">
      <c r="X1420">
        <v>53.6</v>
      </c>
      <c r="Y1420" s="12">
        <v>54.961570011113523</v>
      </c>
      <c r="Z1420" s="12">
        <v>-1.3615700111135212</v>
      </c>
      <c r="AA1420" s="12">
        <v>-1.3668651072187288</v>
      </c>
      <c r="AB1420" s="12">
        <v>3.8738980732197295E-3</v>
      </c>
      <c r="AC1420" s="12">
        <v>-0.21784693648203454</v>
      </c>
      <c r="AD1420" s="12">
        <v>9.2279830414906667E-5</v>
      </c>
      <c r="AE1420" s="12">
        <v>1.0491313979639725</v>
      </c>
      <c r="AF1420" s="12">
        <v>0.83197441555918616</v>
      </c>
      <c r="AG1420" s="12">
        <v>0.46674075939651399</v>
      </c>
      <c r="AH1420" s="12">
        <v>-1.366865107218727</v>
      </c>
    </row>
    <row r="1421" spans="24:34" x14ac:dyDescent="0.25">
      <c r="X1421">
        <v>52.6</v>
      </c>
      <c r="Y1421" s="12">
        <v>75.329639400193258</v>
      </c>
      <c r="Z1421" s="12">
        <v>-22.729639400193257</v>
      </c>
      <c r="AA1421" s="12">
        <v>-22.756574514902987</v>
      </c>
      <c r="AB1421" s="12">
        <v>1.1836190324731731E-3</v>
      </c>
      <c r="AC1421" s="12">
        <v>-3.6317701711704542</v>
      </c>
      <c r="AD1421" s="12">
        <v>7.8150723433880673E-3</v>
      </c>
      <c r="AE1421" s="12">
        <v>1.0491313979639725</v>
      </c>
      <c r="AF1421" s="12">
        <v>0.83534767847816271</v>
      </c>
      <c r="AG1421" s="12">
        <v>1.9057203811604824</v>
      </c>
      <c r="AH1421" s="12">
        <v>-22.75657451490299</v>
      </c>
    </row>
    <row r="1422" spans="24:34" x14ac:dyDescent="0.25">
      <c r="X1422">
        <v>51.4</v>
      </c>
      <c r="Y1422" s="12">
        <v>54.073857543792855</v>
      </c>
      <c r="Z1422" s="12">
        <v>-2.673857543792856</v>
      </c>
      <c r="AA1422" s="12">
        <v>-2.685380351603321</v>
      </c>
      <c r="AB1422" s="12">
        <v>4.2909406868879832E-3</v>
      </c>
      <c r="AC1422" s="12">
        <v>-0.42789841310832766</v>
      </c>
      <c r="AD1422" s="12">
        <v>3.9452216612514068E-4</v>
      </c>
      <c r="AE1422" s="12">
        <v>1.0491313979639725</v>
      </c>
      <c r="AF1422" s="12">
        <v>0.83649384680296279</v>
      </c>
      <c r="AG1422" s="12">
        <v>0.65413944469686869</v>
      </c>
      <c r="AH1422" s="12">
        <v>-2.6853803516033201</v>
      </c>
    </row>
    <row r="1423" spans="24:34" x14ac:dyDescent="0.25">
      <c r="X1423">
        <v>50</v>
      </c>
      <c r="Y1423" s="12">
        <v>75.083052603715302</v>
      </c>
      <c r="Z1423" s="12">
        <v>-25.083052603715302</v>
      </c>
      <c r="AA1423" s="12">
        <v>-25.111613490951839</v>
      </c>
      <c r="AB1423" s="12">
        <v>1.1373577108784048E-3</v>
      </c>
      <c r="AC1423" s="12">
        <v>-4.0077086623581017</v>
      </c>
      <c r="AD1423" s="12">
        <v>9.1443659212870395E-3</v>
      </c>
      <c r="AE1423" s="12">
        <v>1.0491313979639725</v>
      </c>
      <c r="AF1423" s="12">
        <v>0.8369396663224824</v>
      </c>
      <c r="AG1423" s="12">
        <v>2.0019262379913259</v>
      </c>
      <c r="AH1423" s="12">
        <v>-25.111613490951836</v>
      </c>
    </row>
    <row r="1424" spans="24:34" x14ac:dyDescent="0.25">
      <c r="X1424">
        <v>47.8</v>
      </c>
      <c r="Y1424" s="12">
        <v>49.7832472850763</v>
      </c>
      <c r="Z1424" s="12">
        <v>-1.9832472850763025</v>
      </c>
      <c r="AA1424" s="12">
        <v>-1.99654356345075</v>
      </c>
      <c r="AB1424" s="12">
        <v>6.6596485134878909E-3</v>
      </c>
      <c r="AC1424" s="12">
        <v>-0.31775798237342578</v>
      </c>
      <c r="AD1424" s="12">
        <v>3.3846687636525911E-4</v>
      </c>
      <c r="AE1424" s="12">
        <v>1.0491313979639725</v>
      </c>
      <c r="AF1424" s="12">
        <v>0.84409913476180631</v>
      </c>
      <c r="AG1424" s="12">
        <v>0.56370025933418355</v>
      </c>
      <c r="AH1424" s="12">
        <v>-1.9965435634507511</v>
      </c>
    </row>
    <row r="1425" spans="24:34" x14ac:dyDescent="0.25">
      <c r="X1425">
        <v>46</v>
      </c>
      <c r="Y1425" s="12">
        <v>74.49124429216819</v>
      </c>
      <c r="Z1425" s="12">
        <v>-28.49124429216819</v>
      </c>
      <c r="AA1425" s="12">
        <v>-28.520740832147666</v>
      </c>
      <c r="AB1425" s="12">
        <v>1.0342136676278065E-3</v>
      </c>
      <c r="AC1425" s="12">
        <v>-4.5520261578725201</v>
      </c>
      <c r="AD1425" s="12">
        <v>1.0726033795418428E-2</v>
      </c>
      <c r="AE1425" s="12">
        <v>1.0491313979639725</v>
      </c>
      <c r="AF1425" s="12">
        <v>0.84414732343861476</v>
      </c>
      <c r="AG1425" s="12">
        <v>2.1335477866390806</v>
      </c>
      <c r="AH1425" s="12">
        <v>-28.520740832147666</v>
      </c>
    </row>
    <row r="1426" spans="24:34" x14ac:dyDescent="0.25">
      <c r="X1426">
        <v>45.6</v>
      </c>
      <c r="Y1426" s="12">
        <v>74.195340136394634</v>
      </c>
      <c r="Z1426" s="12">
        <v>-28.595340136394633</v>
      </c>
      <c r="AA1426" s="12">
        <v>-28.623586322649793</v>
      </c>
      <c r="AB1426" s="12">
        <v>9.8681506701377869E-4</v>
      </c>
      <c r="AC1426" s="12">
        <v>-4.5685490958187227</v>
      </c>
      <c r="AD1426" s="12">
        <v>1.0308397309334737E-2</v>
      </c>
      <c r="AE1426" s="12">
        <v>1.0950400512086551</v>
      </c>
      <c r="AF1426" s="12">
        <v>0.84414732343861476</v>
      </c>
      <c r="AG1426" s="12">
        <v>2.1374164535295228</v>
      </c>
      <c r="AH1426" s="12">
        <v>-28.623586322649793</v>
      </c>
    </row>
    <row r="1427" spans="24:34" x14ac:dyDescent="0.25">
      <c r="X1427">
        <v>45.9</v>
      </c>
      <c r="Y1427" s="12">
        <v>77.302333772016965</v>
      </c>
      <c r="Z1427" s="12">
        <v>-31.402333772016966</v>
      </c>
      <c r="AA1427" s="12">
        <v>-31.453391011797827</v>
      </c>
      <c r="AB1427" s="12">
        <v>1.6232666220858387E-3</v>
      </c>
      <c r="AC1427" s="12">
        <v>-5.0186087480358799</v>
      </c>
      <c r="AD1427" s="12">
        <v>2.0475385640835075E-2</v>
      </c>
      <c r="AE1427" s="12">
        <v>1.0950400512086551</v>
      </c>
      <c r="AF1427" s="12">
        <v>0.84503887963499569</v>
      </c>
      <c r="AG1427" s="12">
        <v>2.240225155656431</v>
      </c>
      <c r="AH1427" s="12">
        <v>-31.45339101179783</v>
      </c>
    </row>
    <row r="1428" spans="24:34" x14ac:dyDescent="0.25">
      <c r="X1428">
        <v>46.4</v>
      </c>
      <c r="Y1428" s="12">
        <v>48.648948021277675</v>
      </c>
      <c r="Z1428" s="12">
        <v>-2.2489480212776769</v>
      </c>
      <c r="AA1428" s="12">
        <v>-2.2656769298268671</v>
      </c>
      <c r="AB1428" s="12">
        <v>7.3836248800337673E-3</v>
      </c>
      <c r="AC1428" s="12">
        <v>-0.36046021706040732</v>
      </c>
      <c r="AD1428" s="12">
        <v>4.8325112442620884E-4</v>
      </c>
      <c r="AE1428" s="12">
        <v>1.0950400512086551</v>
      </c>
      <c r="AF1428" s="12">
        <v>0.84781822866300349</v>
      </c>
      <c r="AG1428" s="12">
        <v>0.60038339172599309</v>
      </c>
      <c r="AH1428" s="12">
        <v>-2.2656769298268649</v>
      </c>
    </row>
    <row r="1429" spans="24:34" x14ac:dyDescent="0.25">
      <c r="X1429">
        <v>47.1</v>
      </c>
      <c r="Y1429" s="12">
        <v>49.585977847893929</v>
      </c>
      <c r="Z1429" s="12">
        <v>-2.4859778478939276</v>
      </c>
      <c r="AA1429" s="12">
        <v>-2.5029544382148572</v>
      </c>
      <c r="AB1429" s="12">
        <v>6.7826205949774688E-3</v>
      </c>
      <c r="AC1429" s="12">
        <v>-0.39833066281058521</v>
      </c>
      <c r="AD1429" s="12">
        <v>5.4176469014196997E-4</v>
      </c>
      <c r="AE1429" s="12">
        <v>1.1033838166983498</v>
      </c>
      <c r="AF1429" s="12">
        <v>0.85492865944423024</v>
      </c>
      <c r="AG1429" s="12">
        <v>0.63113442530936725</v>
      </c>
      <c r="AH1429" s="12">
        <v>-2.5029544382148541</v>
      </c>
    </row>
    <row r="1430" spans="24:34" x14ac:dyDescent="0.25">
      <c r="X1430">
        <v>48.4</v>
      </c>
      <c r="Y1430" s="12">
        <v>51.164133345352894</v>
      </c>
      <c r="Z1430" s="12">
        <v>-2.7641333453528958</v>
      </c>
      <c r="AA1430" s="12">
        <v>-2.7803524420194421</v>
      </c>
      <c r="AB1430" s="12">
        <v>5.8334678803395219E-3</v>
      </c>
      <c r="AC1430" s="12">
        <v>-0.44268831672582409</v>
      </c>
      <c r="AD1430" s="12">
        <v>5.7495492334739878E-4</v>
      </c>
      <c r="AE1430" s="12">
        <v>1.1033838166983498</v>
      </c>
      <c r="AF1430" s="12">
        <v>0.85492865944423024</v>
      </c>
      <c r="AG1430" s="12">
        <v>0.66534826724492502</v>
      </c>
      <c r="AH1430" s="12">
        <v>-2.7803524420194399</v>
      </c>
    </row>
    <row r="1431" spans="24:34" x14ac:dyDescent="0.25">
      <c r="X1431">
        <v>82.3</v>
      </c>
      <c r="Y1431" s="12">
        <v>74.935100525828517</v>
      </c>
      <c r="Z1431" s="12">
        <v>7.3648994741714802</v>
      </c>
      <c r="AA1431" s="12">
        <v>7.3730874968254909</v>
      </c>
      <c r="AB1431" s="12">
        <v>1.1105283448129377E-3</v>
      </c>
      <c r="AC1431" s="12">
        <v>1.1767297820851166</v>
      </c>
      <c r="AD1431" s="12">
        <v>7.6972520325827216E-4</v>
      </c>
      <c r="AE1431" s="12">
        <v>1.1033838166983498</v>
      </c>
      <c r="AF1431" s="12">
        <v>0.85613540534641319</v>
      </c>
      <c r="AG1431" s="12">
        <v>1.0847717649741426</v>
      </c>
      <c r="AH1431" s="12">
        <v>7.3730874968254909</v>
      </c>
    </row>
    <row r="1432" spans="24:34" x14ac:dyDescent="0.25">
      <c r="X1432">
        <v>81.900000000000006</v>
      </c>
      <c r="Y1432" s="12">
        <v>74.787148447941746</v>
      </c>
      <c r="Z1432" s="12">
        <v>7.1128515520582596</v>
      </c>
      <c r="AA1432" s="12">
        <v>7.1205730626725767</v>
      </c>
      <c r="AB1432" s="12">
        <v>1.0843945489160153E-3</v>
      </c>
      <c r="AC1432" s="12">
        <v>1.1364438575273879</v>
      </c>
      <c r="AD1432" s="12">
        <v>7.0101046839975254E-4</v>
      </c>
      <c r="AE1432" s="12">
        <v>1.1118051137279645</v>
      </c>
      <c r="AF1432" s="12">
        <v>0.85723851297402098</v>
      </c>
      <c r="AG1432" s="12">
        <v>1.0660412081750816</v>
      </c>
      <c r="AH1432" s="12">
        <v>7.1205730626725803</v>
      </c>
    </row>
    <row r="1433" spans="24:34" x14ac:dyDescent="0.25">
      <c r="X1433">
        <v>81.7</v>
      </c>
      <c r="Y1433" s="12">
        <v>74.787148447941746</v>
      </c>
      <c r="Z1433" s="12">
        <v>6.9128515520582567</v>
      </c>
      <c r="AA1433" s="12">
        <v>6.9203559483251809</v>
      </c>
      <c r="AB1433" s="12">
        <v>1.0843945489160153E-3</v>
      </c>
      <c r="AC1433" s="12">
        <v>1.1044891949223867</v>
      </c>
      <c r="AD1433" s="12">
        <v>6.6214251701514587E-4</v>
      </c>
      <c r="AE1433" s="12">
        <v>1.1118051137279645</v>
      </c>
      <c r="AF1433" s="12">
        <v>0.86056800100437669</v>
      </c>
      <c r="AG1433" s="12">
        <v>1.0509468087978511</v>
      </c>
      <c r="AH1433" s="12">
        <v>6.9203559483251791</v>
      </c>
    </row>
    <row r="1434" spans="24:34" x14ac:dyDescent="0.25">
      <c r="X1434">
        <v>81.7</v>
      </c>
      <c r="Y1434" s="12">
        <v>74.737831088646146</v>
      </c>
      <c r="Z1434" s="12">
        <v>6.9621689113538565</v>
      </c>
      <c r="AA1434" s="12">
        <v>6.9696671431015176</v>
      </c>
      <c r="AB1434" s="12">
        <v>1.0758378547656069E-3</v>
      </c>
      <c r="AC1434" s="12">
        <v>1.1123640285711816</v>
      </c>
      <c r="AD1434" s="12">
        <v>6.6631283691541421E-4</v>
      </c>
      <c r="AE1434" s="12">
        <v>1.1118051137279645</v>
      </c>
      <c r="AF1434" s="12">
        <v>0.86056800100437669</v>
      </c>
      <c r="AG1434" s="12">
        <v>1.0546866968778841</v>
      </c>
      <c r="AH1434" s="12">
        <v>6.9696671431015211</v>
      </c>
    </row>
    <row r="1435" spans="24:34" x14ac:dyDescent="0.25">
      <c r="X1435">
        <v>73.8</v>
      </c>
      <c r="Y1435" s="12">
        <v>71.630837453023815</v>
      </c>
      <c r="Z1435" s="12">
        <v>2.1691625469761817</v>
      </c>
      <c r="AA1435" s="12">
        <v>2.1706658933915861</v>
      </c>
      <c r="AB1435" s="12">
        <v>6.9257384104399783E-4</v>
      </c>
      <c r="AC1435" s="12">
        <v>0.34650633541092773</v>
      </c>
      <c r="AD1435" s="12">
        <v>4.160632263989256E-5</v>
      </c>
      <c r="AE1435" s="12">
        <v>1.1118051137279645</v>
      </c>
      <c r="AF1435" s="12">
        <v>0.86213218749333964</v>
      </c>
      <c r="AG1435" s="12">
        <v>0.58864788745983598</v>
      </c>
      <c r="AH1435" s="12">
        <v>2.1706658933915914</v>
      </c>
    </row>
    <row r="1436" spans="24:34" x14ac:dyDescent="0.25">
      <c r="X1436">
        <v>73.7</v>
      </c>
      <c r="Y1436" s="12">
        <v>71.53220273443263</v>
      </c>
      <c r="Z1436" s="12">
        <v>2.1677972655673727</v>
      </c>
      <c r="AA1436" s="12">
        <v>2.1692841586412897</v>
      </c>
      <c r="AB1436" s="12">
        <v>6.8543029182566194E-4</v>
      </c>
      <c r="AC1436" s="12">
        <v>0.34628700493172115</v>
      </c>
      <c r="AD1436" s="12">
        <v>4.1124768568736175E-5</v>
      </c>
      <c r="AE1436" s="12">
        <v>1.1231576917613038</v>
      </c>
      <c r="AF1436" s="12">
        <v>0.86263572470122163</v>
      </c>
      <c r="AG1436" s="12">
        <v>0.58846155773484576</v>
      </c>
      <c r="AH1436" s="12">
        <v>2.169284158641283</v>
      </c>
    </row>
    <row r="1437" spans="24:34" x14ac:dyDescent="0.25">
      <c r="X1437">
        <v>73.5</v>
      </c>
      <c r="Y1437" s="12">
        <v>71.334933297250259</v>
      </c>
      <c r="Z1437" s="12">
        <v>2.1650667027497406</v>
      </c>
      <c r="AA1437" s="12">
        <v>2.1665227590442697</v>
      </c>
      <c r="AB1437" s="12">
        <v>6.72070620280384E-4</v>
      </c>
      <c r="AC1437" s="12">
        <v>0.34584850917250121</v>
      </c>
      <c r="AD1437" s="12">
        <v>4.0220614857247186E-5</v>
      </c>
      <c r="AE1437" s="12">
        <v>1.1231576917613038</v>
      </c>
      <c r="AF1437" s="12">
        <v>0.86489423416025135</v>
      </c>
      <c r="AG1437" s="12">
        <v>0.58808886162934693</v>
      </c>
      <c r="AH1437" s="12">
        <v>2.1665227590442631</v>
      </c>
    </row>
    <row r="1438" spans="24:34" x14ac:dyDescent="0.25">
      <c r="X1438">
        <v>73.2</v>
      </c>
      <c r="Y1438" s="12">
        <v>71.137663860067889</v>
      </c>
      <c r="Z1438" s="12">
        <v>2.0623361399321141</v>
      </c>
      <c r="AA1438" s="12">
        <v>2.0636980723527074</v>
      </c>
      <c r="AB1438" s="12">
        <v>6.5994751792363077E-4</v>
      </c>
      <c r="AC1438" s="12">
        <v>0.32943629505592842</v>
      </c>
      <c r="AD1438" s="12">
        <v>3.5835131336495517E-5</v>
      </c>
      <c r="AE1438" s="12">
        <v>1.128888636463274</v>
      </c>
      <c r="AF1438" s="12">
        <v>0.86775873330759812</v>
      </c>
      <c r="AG1438" s="12">
        <v>0.57396541276973168</v>
      </c>
      <c r="AH1438" s="12">
        <v>2.063698072352707</v>
      </c>
    </row>
    <row r="1439" spans="24:34" x14ac:dyDescent="0.25">
      <c r="X1439">
        <v>73</v>
      </c>
      <c r="Y1439" s="12">
        <v>70.989711782181118</v>
      </c>
      <c r="Z1439" s="12">
        <v>2.0102882178188821</v>
      </c>
      <c r="AA1439" s="12">
        <v>2.0115991099518453</v>
      </c>
      <c r="AB1439" s="12">
        <v>6.5166668968603524E-4</v>
      </c>
      <c r="AC1439" s="12">
        <v>0.32112086183116667</v>
      </c>
      <c r="AD1439" s="12">
        <v>3.3621390869142766E-5</v>
      </c>
      <c r="AE1439" s="12">
        <v>1.128888636463274</v>
      </c>
      <c r="AF1439" s="12">
        <v>0.87299165853586547</v>
      </c>
      <c r="AG1439" s="12">
        <v>0.56667527017787411</v>
      </c>
      <c r="AH1439" s="12">
        <v>2.01159910995184</v>
      </c>
    </row>
    <row r="1440" spans="24:34" x14ac:dyDescent="0.25">
      <c r="X1440">
        <v>72.8</v>
      </c>
      <c r="Y1440" s="12">
        <v>70.940394422885518</v>
      </c>
      <c r="Z1440" s="12">
        <v>1.859605577114479</v>
      </c>
      <c r="AA1440" s="12">
        <v>1.8608133584653643</v>
      </c>
      <c r="AB1440" s="12">
        <v>6.4906098475540235E-4</v>
      </c>
      <c r="AC1440" s="12">
        <v>0.29705062278192884</v>
      </c>
      <c r="AD1440" s="12">
        <v>2.865486840089911E-5</v>
      </c>
      <c r="AE1440" s="12">
        <v>1.128888636463274</v>
      </c>
      <c r="AF1440" s="12">
        <v>0.87810804725033587</v>
      </c>
      <c r="AG1440" s="12">
        <v>0.54502350663244681</v>
      </c>
      <c r="AH1440" s="12">
        <v>1.8608133584653705</v>
      </c>
    </row>
    <row r="1441" spans="24:34" x14ac:dyDescent="0.25">
      <c r="X1441">
        <v>72.7</v>
      </c>
      <c r="Y1441" s="12">
        <v>70.940394422885518</v>
      </c>
      <c r="Z1441" s="12">
        <v>1.7596055771144847</v>
      </c>
      <c r="AA1441" s="12">
        <v>1.7607484102115194</v>
      </c>
      <c r="AB1441" s="12">
        <v>6.4906098475540235E-4</v>
      </c>
      <c r="AC1441" s="12">
        <v>0.28107677185151592</v>
      </c>
      <c r="AD1441" s="12">
        <v>2.5655908492028681E-5</v>
      </c>
      <c r="AE1441" s="12">
        <v>1.128888636463274</v>
      </c>
      <c r="AF1441" s="12">
        <v>0.88486557942674415</v>
      </c>
      <c r="AG1441" s="12">
        <v>0.53016673966924399</v>
      </c>
      <c r="AH1441" s="12">
        <v>1.7607484102115232</v>
      </c>
    </row>
    <row r="1442" spans="24:34" x14ac:dyDescent="0.25">
      <c r="X1442">
        <v>72.599999999999994</v>
      </c>
      <c r="Y1442" s="12">
        <v>70.891077063589933</v>
      </c>
      <c r="Z1442" s="12">
        <v>1.7089229364100618</v>
      </c>
      <c r="AA1442" s="12">
        <v>1.7100285255395846</v>
      </c>
      <c r="AB1442" s="12">
        <v>6.4653256539905224E-4</v>
      </c>
      <c r="AC1442" s="12">
        <v>0.27298045704933743</v>
      </c>
      <c r="AD1442" s="12">
        <v>2.410484807899468E-5</v>
      </c>
      <c r="AE1442" s="12">
        <v>1.1404631659072275</v>
      </c>
      <c r="AF1442" s="12">
        <v>0.88486557942674415</v>
      </c>
      <c r="AG1442" s="12">
        <v>0.52247531716755524</v>
      </c>
      <c r="AH1442" s="12">
        <v>1.7100285255395844</v>
      </c>
    </row>
    <row r="1443" spans="24:34" x14ac:dyDescent="0.25">
      <c r="X1443">
        <v>69.599999999999994</v>
      </c>
      <c r="Y1443" s="12">
        <v>69.608825721904523</v>
      </c>
      <c r="Z1443" s="12">
        <v>-8.8257219045289048E-3</v>
      </c>
      <c r="AA1443" s="12">
        <v>-8.8310905090054348E-3</v>
      </c>
      <c r="AB1443" s="12">
        <v>6.0792089870721213E-4</v>
      </c>
      <c r="AC1443" s="12">
        <v>-1.409778642819151E-3</v>
      </c>
      <c r="AD1443" s="12">
        <v>6.0448152080763704E-10</v>
      </c>
      <c r="AE1443" s="12">
        <v>1.1404631659072275</v>
      </c>
      <c r="AF1443" s="12">
        <v>0.88531250738747136</v>
      </c>
      <c r="AG1443" s="12">
        <v>3.7547019093653107E-2</v>
      </c>
      <c r="AH1443" s="12">
        <v>-8.8310905090077055E-3</v>
      </c>
    </row>
    <row r="1444" spans="24:34" x14ac:dyDescent="0.25">
      <c r="X1444">
        <v>69.3</v>
      </c>
      <c r="Y1444" s="12">
        <v>69.559508362608923</v>
      </c>
      <c r="Z1444" s="12">
        <v>-0.25950836260892629</v>
      </c>
      <c r="AA1444" s="12">
        <v>-0.25966610436363169</v>
      </c>
      <c r="AB1444" s="12">
        <v>6.0747918985649756E-4</v>
      </c>
      <c r="AC1444" s="12">
        <v>-4.1452616607229285E-2</v>
      </c>
      <c r="AD1444" s="12">
        <v>5.2223889493814427E-7</v>
      </c>
      <c r="AE1444" s="12">
        <v>1.1404631659072275</v>
      </c>
      <c r="AF1444" s="12">
        <v>0.88698298996627567</v>
      </c>
      <c r="AG1444" s="12">
        <v>0.20359915669577142</v>
      </c>
      <c r="AH1444" s="12">
        <v>-0.25966610436363829</v>
      </c>
    </row>
    <row r="1445" spans="24:34" x14ac:dyDescent="0.25">
      <c r="X1445">
        <v>68.8</v>
      </c>
      <c r="Y1445" s="12">
        <v>69.510191003313338</v>
      </c>
      <c r="Z1445" s="12">
        <v>-0.71019100331334073</v>
      </c>
      <c r="AA1445" s="12">
        <v>-0.71062243268568182</v>
      </c>
      <c r="AB1445" s="12">
        <v>6.0711476658006577E-4</v>
      </c>
      <c r="AC1445" s="12">
        <v>-0.11344247142886124</v>
      </c>
      <c r="AD1445" s="12">
        <v>3.9089121122750103E-6</v>
      </c>
      <c r="AE1445" s="12">
        <v>1.1404631659072275</v>
      </c>
      <c r="AF1445" s="12">
        <v>0.88800584649483727</v>
      </c>
      <c r="AG1445" s="12">
        <v>0.33681221983304177</v>
      </c>
      <c r="AH1445" s="12">
        <v>-0.71062243268568726</v>
      </c>
    </row>
    <row r="1446" spans="24:34" x14ac:dyDescent="0.25">
      <c r="X1446">
        <v>68.099999999999994</v>
      </c>
      <c r="Y1446" s="12">
        <v>69.411556284722153</v>
      </c>
      <c r="Z1446" s="12">
        <v>-1.3115562847221582</v>
      </c>
      <c r="AA1446" s="12">
        <v>-1.3123523810058373</v>
      </c>
      <c r="AB1446" s="12">
        <v>6.0661777675005094E-4</v>
      </c>
      <c r="AC1446" s="12">
        <v>-0.20950159698972454</v>
      </c>
      <c r="AD1446" s="12">
        <v>1.3320586398995501E-5</v>
      </c>
      <c r="AE1446" s="12">
        <v>1.1521925343545227</v>
      </c>
      <c r="AF1446" s="12">
        <v>0.88896569336505971</v>
      </c>
      <c r="AG1446" s="12">
        <v>0.45771344418721693</v>
      </c>
      <c r="AH1446" s="12">
        <v>-1.3123523810058366</v>
      </c>
    </row>
    <row r="1447" spans="24:34" x14ac:dyDescent="0.25">
      <c r="X1447">
        <v>67.3</v>
      </c>
      <c r="Y1447" s="12">
        <v>69.164969488244182</v>
      </c>
      <c r="Z1447" s="12">
        <v>-1.864969488244185</v>
      </c>
      <c r="AA1447" s="12">
        <v>-1.8661017040251267</v>
      </c>
      <c r="AB1447" s="12">
        <v>6.0672779972496219E-4</v>
      </c>
      <c r="AC1447" s="12">
        <v>-0.29790113636933752</v>
      </c>
      <c r="AD1447" s="12">
        <v>2.6938399977312981E-5</v>
      </c>
      <c r="AE1447" s="12">
        <v>1.1521925343545227</v>
      </c>
      <c r="AF1447" s="12">
        <v>0.89207229311055547</v>
      </c>
      <c r="AG1447" s="12">
        <v>0.54580320296727602</v>
      </c>
      <c r="AH1447" s="12">
        <v>-1.8661017040251311</v>
      </c>
    </row>
    <row r="1448" spans="24:34" x14ac:dyDescent="0.25">
      <c r="X1448">
        <v>66.7</v>
      </c>
      <c r="Y1448" s="12">
        <v>69.017017410357411</v>
      </c>
      <c r="Z1448" s="12">
        <v>-2.3170174103574084</v>
      </c>
      <c r="AA1448" s="12">
        <v>-2.318426367305122</v>
      </c>
      <c r="AB1448" s="12">
        <v>6.0772124040130257E-4</v>
      </c>
      <c r="AC1448" s="12">
        <v>-0.37010925216184482</v>
      </c>
      <c r="AD1448" s="12">
        <v>4.1648399247157082E-5</v>
      </c>
      <c r="AE1448" s="12">
        <v>1.1521925343545227</v>
      </c>
      <c r="AF1448" s="12">
        <v>0.89408390700733431</v>
      </c>
      <c r="AG1448" s="12">
        <v>0.60836605112534414</v>
      </c>
      <c r="AH1448" s="12">
        <v>-2.318426367305126</v>
      </c>
    </row>
    <row r="1449" spans="24:34" x14ac:dyDescent="0.25">
      <c r="X1449">
        <v>66.400000000000006</v>
      </c>
      <c r="Y1449" s="12">
        <v>68.819747973175041</v>
      </c>
      <c r="Z1449" s="12">
        <v>-2.4197479731750349</v>
      </c>
      <c r="AA1449" s="12">
        <v>-2.4212252300609265</v>
      </c>
      <c r="AB1449" s="12">
        <v>6.1012782600971583E-4</v>
      </c>
      <c r="AC1449" s="12">
        <v>-0.38651940510249733</v>
      </c>
      <c r="AD1449" s="12">
        <v>4.560353382098733E-5</v>
      </c>
      <c r="AE1449" s="12">
        <v>1.1521925343545227</v>
      </c>
      <c r="AF1449" s="12">
        <v>0.89453248479562131</v>
      </c>
      <c r="AG1449" s="12">
        <v>0.62170684820299138</v>
      </c>
      <c r="AH1449" s="12">
        <v>-2.4212252300609318</v>
      </c>
    </row>
    <row r="1450" spans="24:34" x14ac:dyDescent="0.25">
      <c r="X1450">
        <v>66.099999999999994</v>
      </c>
      <c r="Y1450" s="12">
        <v>68.671795895288255</v>
      </c>
      <c r="Z1450" s="12">
        <v>-2.5717958952882611</v>
      </c>
      <c r="AA1450" s="12">
        <v>-2.5733727146576513</v>
      </c>
      <c r="AB1450" s="12">
        <v>6.1274426374599501E-4</v>
      </c>
      <c r="AC1450" s="12">
        <v>-0.41080737818231899</v>
      </c>
      <c r="AD1450" s="12">
        <v>5.1735889652513678E-5</v>
      </c>
      <c r="AE1450" s="12">
        <v>1.1521925343545227</v>
      </c>
      <c r="AF1450" s="12">
        <v>0.89520641382263733</v>
      </c>
      <c r="AG1450" s="12">
        <v>0.64094257011242362</v>
      </c>
      <c r="AH1450" s="12">
        <v>-2.5733727146576482</v>
      </c>
    </row>
    <row r="1451" spans="24:34" x14ac:dyDescent="0.25">
      <c r="X1451">
        <v>65.900000000000006</v>
      </c>
      <c r="Y1451" s="12">
        <v>68.573161176697084</v>
      </c>
      <c r="Z1451" s="12">
        <v>-2.6731611766970786</v>
      </c>
      <c r="AA1451" s="12">
        <v>-2.6748058478985115</v>
      </c>
      <c r="AB1451" s="12">
        <v>6.1487498344159504E-4</v>
      </c>
      <c r="AC1451" s="12">
        <v>-0.42699947811500644</v>
      </c>
      <c r="AD1451" s="12">
        <v>5.6089121203767012E-5</v>
      </c>
      <c r="AE1451" s="12">
        <v>1.1521925343545227</v>
      </c>
      <c r="AF1451" s="12">
        <v>0.90039433063289698</v>
      </c>
      <c r="AG1451" s="12">
        <v>0.65345197077903627</v>
      </c>
      <c r="AH1451" s="12">
        <v>-2.6748058478985146</v>
      </c>
    </row>
    <row r="1452" spans="24:34" x14ac:dyDescent="0.25">
      <c r="X1452">
        <v>65.5</v>
      </c>
      <c r="Y1452" s="12">
        <v>68.030670224445558</v>
      </c>
      <c r="Z1452" s="12">
        <v>-2.5306702244455579</v>
      </c>
      <c r="AA1452" s="12">
        <v>-2.5322709231878378</v>
      </c>
      <c r="AB1452" s="12">
        <v>6.3211986032861618E-4</v>
      </c>
      <c r="AC1452" s="12">
        <v>-0.40424206282635072</v>
      </c>
      <c r="AD1452" s="12">
        <v>5.1680541516601993E-5</v>
      </c>
      <c r="AE1452" s="12">
        <v>1.1700898139672218</v>
      </c>
      <c r="AF1452" s="12">
        <v>0.90084088379483296</v>
      </c>
      <c r="AG1452" s="12">
        <v>0.63580033251513068</v>
      </c>
      <c r="AH1452" s="12">
        <v>-2.5322709231878378</v>
      </c>
    </row>
    <row r="1453" spans="24:34" x14ac:dyDescent="0.25">
      <c r="X1453">
        <v>65.900000000000006</v>
      </c>
      <c r="Y1453" s="12">
        <v>68.869065332470626</v>
      </c>
      <c r="Z1453" s="12">
        <v>-2.9690653324706204</v>
      </c>
      <c r="AA1453" s="12">
        <v>-2.9708758146472434</v>
      </c>
      <c r="AB1453" s="12">
        <v>6.0941025124618836E-4</v>
      </c>
      <c r="AC1453" s="12">
        <v>-0.47426466175117726</v>
      </c>
      <c r="AD1453" s="12">
        <v>6.8578192716423691E-5</v>
      </c>
      <c r="AE1453" s="12">
        <v>1.1700898139672218</v>
      </c>
      <c r="AF1453" s="12">
        <v>0.90273703008363648</v>
      </c>
      <c r="AG1453" s="12">
        <v>0.68866876054542892</v>
      </c>
      <c r="AH1453" s="12">
        <v>-2.9708758146472456</v>
      </c>
    </row>
    <row r="1454" spans="24:34" x14ac:dyDescent="0.25">
      <c r="X1454">
        <v>65.2</v>
      </c>
      <c r="Y1454" s="12">
        <v>68.62247853599267</v>
      </c>
      <c r="Z1454" s="12">
        <v>-3.422478535992667</v>
      </c>
      <c r="AA1454" s="12">
        <v>-3.4245804440906937</v>
      </c>
      <c r="AB1454" s="12">
        <v>6.1377098080665359E-4</v>
      </c>
      <c r="AC1454" s="12">
        <v>-0.54669196690410149</v>
      </c>
      <c r="AD1454" s="12">
        <v>9.1775842374380856E-5</v>
      </c>
      <c r="AE1454" s="12">
        <v>1.1700898139672218</v>
      </c>
      <c r="AF1454" s="12">
        <v>0.90560328996090123</v>
      </c>
      <c r="AG1454" s="12">
        <v>0.7393862095712237</v>
      </c>
      <c r="AH1454" s="12">
        <v>-3.424580444090688</v>
      </c>
    </row>
    <row r="1455" spans="24:34" x14ac:dyDescent="0.25">
      <c r="X1455">
        <v>64.3</v>
      </c>
      <c r="Y1455" s="12">
        <v>68.079987583741143</v>
      </c>
      <c r="Z1455" s="12">
        <v>-3.7799875837411463</v>
      </c>
      <c r="AA1455" s="12">
        <v>-3.7823711043377131</v>
      </c>
      <c r="AB1455" s="12">
        <v>6.3016571637656389E-4</v>
      </c>
      <c r="AC1455" s="12">
        <v>-0.60380387361883947</v>
      </c>
      <c r="AD1455" s="12">
        <v>1.1494506491045072E-4</v>
      </c>
      <c r="AE1455" s="12">
        <v>1.1700898139672218</v>
      </c>
      <c r="AF1455" s="12">
        <v>0.90894028670038685</v>
      </c>
      <c r="AG1455" s="12">
        <v>0.77704817972815521</v>
      </c>
      <c r="AH1455" s="12">
        <v>-3.7823711043377131</v>
      </c>
    </row>
    <row r="1456" spans="24:34" x14ac:dyDescent="0.25">
      <c r="X1456">
        <v>74.599999999999994</v>
      </c>
      <c r="Y1456" s="12">
        <v>70.10199931486045</v>
      </c>
      <c r="Z1456" s="12">
        <v>4.4980006851395444</v>
      </c>
      <c r="AA1456" s="12">
        <v>4.5007758126189401</v>
      </c>
      <c r="AB1456" s="12">
        <v>6.1658869379991124E-4</v>
      </c>
      <c r="AC1456" s="12">
        <v>0.71849225126672345</v>
      </c>
      <c r="AD1456" s="12">
        <v>1.5924932582233648E-4</v>
      </c>
      <c r="AE1456" s="12">
        <v>1.1700898139672218</v>
      </c>
      <c r="AF1456" s="12">
        <v>0.90916389564420896</v>
      </c>
      <c r="AG1456" s="12">
        <v>0.84763922235036027</v>
      </c>
      <c r="AH1456" s="12">
        <v>4.500775812618933</v>
      </c>
    </row>
    <row r="1457" spans="24:34" x14ac:dyDescent="0.25">
      <c r="X1457">
        <v>74.5</v>
      </c>
      <c r="Y1457" s="12">
        <v>70.05268195556485</v>
      </c>
      <c r="Z1457" s="12">
        <v>4.4473180444351499</v>
      </c>
      <c r="AA1457" s="12">
        <v>4.4500564940751133</v>
      </c>
      <c r="AB1457" s="12">
        <v>6.1537412920636893E-4</v>
      </c>
      <c r="AC1457" s="12">
        <v>0.71039598164557227</v>
      </c>
      <c r="AD1457" s="12">
        <v>1.5537372105137217E-4</v>
      </c>
      <c r="AE1457" s="12">
        <v>1.1852957183684145</v>
      </c>
      <c r="AF1457" s="12">
        <v>0.91005976676433042</v>
      </c>
      <c r="AG1457" s="12">
        <v>0.84284991644157636</v>
      </c>
      <c r="AH1457" s="12">
        <v>4.4500564940751106</v>
      </c>
    </row>
    <row r="1458" spans="24:34" x14ac:dyDescent="0.25">
      <c r="X1458">
        <v>74.3</v>
      </c>
      <c r="Y1458" s="12">
        <v>70.003364596269265</v>
      </c>
      <c r="Z1458" s="12">
        <v>4.2966354037307326</v>
      </c>
      <c r="AA1458" s="12">
        <v>4.2992761775881405</v>
      </c>
      <c r="AB1458" s="12">
        <v>6.1423685018710918E-4</v>
      </c>
      <c r="AC1458" s="12">
        <v>0.68632617640039473</v>
      </c>
      <c r="AD1458" s="12">
        <v>1.4475508876118728E-4</v>
      </c>
      <c r="AE1458" s="12">
        <v>1.1852957183684145</v>
      </c>
      <c r="AF1458" s="12">
        <v>0.91347969276621788</v>
      </c>
      <c r="AG1458" s="12">
        <v>0.82844805292812096</v>
      </c>
      <c r="AH1458" s="12">
        <v>4.2992761775881387</v>
      </c>
    </row>
    <row r="1459" spans="24:34" x14ac:dyDescent="0.25">
      <c r="X1459">
        <v>74.099999999999994</v>
      </c>
      <c r="Y1459" s="12">
        <v>69.954047236973665</v>
      </c>
      <c r="Z1459" s="12">
        <v>4.1459527630263295</v>
      </c>
      <c r="AA1459" s="12">
        <v>4.1484965250857897</v>
      </c>
      <c r="AB1459" s="12">
        <v>6.1317685674213221E-4</v>
      </c>
      <c r="AC1459" s="12">
        <v>0.66225642415346919</v>
      </c>
      <c r="AD1459" s="12">
        <v>1.3454714904214597E-4</v>
      </c>
      <c r="AE1459" s="12">
        <v>1.1852957183684145</v>
      </c>
      <c r="AF1459" s="12">
        <v>0.91392269341363519</v>
      </c>
      <c r="AG1459" s="12">
        <v>0.81379138859628464</v>
      </c>
      <c r="AH1459" s="12">
        <v>4.148496525085787</v>
      </c>
    </row>
    <row r="1460" spans="24:34" x14ac:dyDescent="0.25">
      <c r="X1460">
        <v>73.900000000000006</v>
      </c>
      <c r="Y1460" s="12">
        <v>69.806095159086894</v>
      </c>
      <c r="Z1460" s="12">
        <v>4.0939048409131118</v>
      </c>
      <c r="AA1460" s="12">
        <v>4.0964055350523125</v>
      </c>
      <c r="AB1460" s="12">
        <v>6.1046058985289825E-4</v>
      </c>
      <c r="AC1460" s="12">
        <v>0.65394162724262994</v>
      </c>
      <c r="AD1460" s="12">
        <v>1.3060830827850412E-4</v>
      </c>
      <c r="AE1460" s="12">
        <v>1.1852957183684145</v>
      </c>
      <c r="AF1460" s="12">
        <v>0.91659274768182131</v>
      </c>
      <c r="AG1460" s="12">
        <v>0.80866657359051874</v>
      </c>
      <c r="AH1460" s="12">
        <v>4.096405535052317</v>
      </c>
    </row>
    <row r="1461" spans="24:34" x14ac:dyDescent="0.25">
      <c r="X1461">
        <v>73.7</v>
      </c>
      <c r="Y1461" s="12">
        <v>76.809160179061038</v>
      </c>
      <c r="Z1461" s="12">
        <v>-3.1091601790610355</v>
      </c>
      <c r="AA1461" s="12">
        <v>-3.1138364199236293</v>
      </c>
      <c r="AB1461" s="12">
        <v>1.5017618885402521E-3</v>
      </c>
      <c r="AC1461" s="12">
        <v>-0.49686463347408188</v>
      </c>
      <c r="AD1461" s="12">
        <v>1.8565213594478716E-4</v>
      </c>
      <c r="AE1461" s="12">
        <v>1.1852957183684145</v>
      </c>
      <c r="AF1461" s="12">
        <v>0.9174873770324018</v>
      </c>
      <c r="AG1461" s="12">
        <v>0.70488625569951491</v>
      </c>
      <c r="AH1461" s="12">
        <v>-3.1138364199236253</v>
      </c>
    </row>
    <row r="1462" spans="24:34" x14ac:dyDescent="0.25">
      <c r="X1462">
        <v>73.5</v>
      </c>
      <c r="Y1462" s="12">
        <v>69.608825721904523</v>
      </c>
      <c r="Z1462" s="12">
        <v>3.8911742780954768</v>
      </c>
      <c r="AA1462" s="12">
        <v>3.8935412431871868</v>
      </c>
      <c r="AB1462" s="12">
        <v>6.0792089870721213E-4</v>
      </c>
      <c r="AC1462" s="12">
        <v>0.62155758498704294</v>
      </c>
      <c r="AD1462" s="12">
        <v>1.1750163671012774E-4</v>
      </c>
      <c r="AE1462" s="12">
        <v>1.1852957183684145</v>
      </c>
      <c r="AF1462" s="12">
        <v>0.9174873770324018</v>
      </c>
      <c r="AG1462" s="12">
        <v>0.78838923444390263</v>
      </c>
      <c r="AH1462" s="12">
        <v>3.8935412431871885</v>
      </c>
    </row>
    <row r="1463" spans="24:34" x14ac:dyDescent="0.25">
      <c r="X1463">
        <v>73.3</v>
      </c>
      <c r="Y1463" s="12">
        <v>69.460873644017738</v>
      </c>
      <c r="Z1463" s="12">
        <v>3.839126355982259</v>
      </c>
      <c r="AA1463" s="12">
        <v>3.8414574585032426</v>
      </c>
      <c r="AB1463" s="12">
        <v>6.0682762887791708E-4</v>
      </c>
      <c r="AC1463" s="12">
        <v>0.61324336319855821</v>
      </c>
      <c r="AD1463" s="12">
        <v>1.1417333468306702E-4</v>
      </c>
      <c r="AE1463" s="12">
        <v>1.1852957183684145</v>
      </c>
      <c r="AF1463" s="12">
        <v>0.9242453959820478</v>
      </c>
      <c r="AG1463" s="12">
        <v>0.78309856544279166</v>
      </c>
      <c r="AH1463" s="12">
        <v>3.8414574585032377</v>
      </c>
    </row>
    <row r="1464" spans="24:34" x14ac:dyDescent="0.25">
      <c r="X1464">
        <v>73</v>
      </c>
      <c r="Y1464" s="12">
        <v>69.312921566130967</v>
      </c>
      <c r="Z1464" s="12">
        <v>3.6870784338690328</v>
      </c>
      <c r="AA1464" s="12">
        <v>3.6893157453553442</v>
      </c>
      <c r="AB1464" s="12">
        <v>6.064299292171671E-4</v>
      </c>
      <c r="AC1464" s="12">
        <v>0.58895585078930979</v>
      </c>
      <c r="AD1464" s="12">
        <v>1.0523969029172269E-4</v>
      </c>
      <c r="AE1464" s="12">
        <v>1.2070560687293583</v>
      </c>
      <c r="AF1464" s="12">
        <v>0.92491563846673641</v>
      </c>
      <c r="AG1464" s="12">
        <v>0.76743459056085672</v>
      </c>
      <c r="AH1464" s="12">
        <v>3.6893157453553487</v>
      </c>
    </row>
    <row r="1465" spans="24:34" x14ac:dyDescent="0.25">
      <c r="X1465">
        <v>72.5</v>
      </c>
      <c r="Y1465" s="12">
        <v>68.869065332470626</v>
      </c>
      <c r="Z1465" s="12">
        <v>3.6309346675293739</v>
      </c>
      <c r="AA1465" s="12">
        <v>3.6331487456192519</v>
      </c>
      <c r="AB1465" s="12">
        <v>6.0941025124618836E-4</v>
      </c>
      <c r="AC1465" s="12">
        <v>0.57998858533150233</v>
      </c>
      <c r="AD1465" s="12">
        <v>1.0256127158431635E-4</v>
      </c>
      <c r="AE1465" s="12">
        <v>1.2070560687293583</v>
      </c>
      <c r="AF1465" s="12">
        <v>0.92558719305698611</v>
      </c>
      <c r="AG1465" s="12">
        <v>0.7615698164525051</v>
      </c>
      <c r="AH1465" s="12">
        <v>3.6331487456192564</v>
      </c>
    </row>
    <row r="1466" spans="24:34" x14ac:dyDescent="0.25">
      <c r="X1466">
        <v>71.599999999999994</v>
      </c>
      <c r="Y1466" s="12">
        <v>68.277257020923514</v>
      </c>
      <c r="Z1466" s="12">
        <v>3.3227429790764802</v>
      </c>
      <c r="AA1466" s="12">
        <v>3.3248147442773046</v>
      </c>
      <c r="AB1466" s="12">
        <v>6.2312199631118278E-4</v>
      </c>
      <c r="AC1466" s="12">
        <v>0.53076312212305776</v>
      </c>
      <c r="AD1466" s="12">
        <v>8.7824415782211494E-5</v>
      </c>
      <c r="AE1466" s="12">
        <v>1.2070560687293583</v>
      </c>
      <c r="AF1466" s="12">
        <v>0.92633254022089295</v>
      </c>
      <c r="AG1466" s="12">
        <v>0.7285349148277368</v>
      </c>
      <c r="AH1466" s="12">
        <v>3.3248147442772993</v>
      </c>
    </row>
    <row r="1467" spans="24:34" x14ac:dyDescent="0.25">
      <c r="X1467">
        <v>71.7</v>
      </c>
      <c r="Y1467" s="12">
        <v>68.277257020923514</v>
      </c>
      <c r="Z1467" s="12">
        <v>3.4227429790764887</v>
      </c>
      <c r="AA1467" s="12">
        <v>3.4248770953292507</v>
      </c>
      <c r="AB1467" s="12">
        <v>6.2312199631118278E-4</v>
      </c>
      <c r="AC1467" s="12">
        <v>0.54673676575018615</v>
      </c>
      <c r="AD1467" s="12">
        <v>9.3190222366273704E-5</v>
      </c>
      <c r="AE1467" s="12">
        <v>1.2070560687293583</v>
      </c>
      <c r="AF1467" s="12">
        <v>0.933467833592318</v>
      </c>
      <c r="AG1467" s="12">
        <v>0.73941650356898725</v>
      </c>
      <c r="AH1467" s="12">
        <v>3.4248770953292507</v>
      </c>
    </row>
    <row r="1468" spans="24:34" x14ac:dyDescent="0.25">
      <c r="X1468">
        <v>71.400000000000006</v>
      </c>
      <c r="Y1468" s="12">
        <v>68.129304943036743</v>
      </c>
      <c r="Z1468" s="12">
        <v>3.2706950569632625</v>
      </c>
      <c r="AA1468" s="12">
        <v>3.2727512901338542</v>
      </c>
      <c r="AB1468" s="12">
        <v>6.2828885799879448E-4</v>
      </c>
      <c r="AC1468" s="12">
        <v>0.52245052308747053</v>
      </c>
      <c r="AD1468" s="12">
        <v>8.5801058811011861E-5</v>
      </c>
      <c r="AE1468" s="12">
        <v>1.2070560687293583</v>
      </c>
      <c r="AF1468" s="12">
        <v>0.93503492825090018</v>
      </c>
      <c r="AG1468" s="12">
        <v>0.72280739003379768</v>
      </c>
      <c r="AH1468" s="12">
        <v>3.2727512901338547</v>
      </c>
    </row>
    <row r="1469" spans="24:34" x14ac:dyDescent="0.25">
      <c r="X1469">
        <v>71.2</v>
      </c>
      <c r="Y1469" s="12">
        <v>68.030670224445558</v>
      </c>
      <c r="Z1469" s="12">
        <v>3.169329775554445</v>
      </c>
      <c r="AA1469" s="12">
        <v>3.1713344390371105</v>
      </c>
      <c r="AB1469" s="12">
        <v>6.3211986032861618E-4</v>
      </c>
      <c r="AC1469" s="12">
        <v>0.50625972276881537</v>
      </c>
      <c r="AD1469" s="12">
        <v>8.1057052387991196E-5</v>
      </c>
      <c r="AE1469" s="12">
        <v>1.2070560687293583</v>
      </c>
      <c r="AF1469" s="12">
        <v>0.93777327702468061</v>
      </c>
      <c r="AG1469" s="12">
        <v>0.71151930597055157</v>
      </c>
      <c r="AH1469" s="12">
        <v>3.1713344390371043</v>
      </c>
    </row>
    <row r="1470" spans="24:34" x14ac:dyDescent="0.25">
      <c r="X1470">
        <v>71.099999999999994</v>
      </c>
      <c r="Y1470" s="12">
        <v>68.030670224445558</v>
      </c>
      <c r="Z1470" s="12">
        <v>3.0693297755544364</v>
      </c>
      <c r="AA1470" s="12">
        <v>3.0712711870682341</v>
      </c>
      <c r="AB1470" s="12">
        <v>6.3211986032861618E-4</v>
      </c>
      <c r="AC1470" s="12">
        <v>0.49028600723205673</v>
      </c>
      <c r="AD1470" s="12">
        <v>7.6022658035449601E-5</v>
      </c>
      <c r="AE1470" s="12">
        <v>1.2070560687293583</v>
      </c>
      <c r="AF1470" s="12">
        <v>0.94066733624900345</v>
      </c>
      <c r="AG1470" s="12">
        <v>0.70020426107819189</v>
      </c>
      <c r="AH1470" s="12">
        <v>3.0712711870682372</v>
      </c>
    </row>
    <row r="1471" spans="24:34" x14ac:dyDescent="0.25">
      <c r="X1471">
        <v>68</v>
      </c>
      <c r="Y1471" s="12">
        <v>69.954047236973665</v>
      </c>
      <c r="Z1471" s="12">
        <v>-1.9540472369736648</v>
      </c>
      <c r="AA1471" s="12">
        <v>-1.95524614866126</v>
      </c>
      <c r="AB1471" s="12">
        <v>6.1317685674213221E-4</v>
      </c>
      <c r="AC1471" s="12">
        <v>-0.31213098888288698</v>
      </c>
      <c r="AD1471" s="12">
        <v>2.988793545980464E-5</v>
      </c>
      <c r="AE1471" s="12">
        <v>1.2294035019788656</v>
      </c>
      <c r="AF1471" s="12">
        <v>0.94111479247963925</v>
      </c>
      <c r="AG1471" s="12">
        <v>0.55868684330569929</v>
      </c>
      <c r="AH1471" s="12">
        <v>-1.955246148661258</v>
      </c>
    </row>
    <row r="1472" spans="24:34" x14ac:dyDescent="0.25">
      <c r="X1472">
        <v>67.7</v>
      </c>
      <c r="Y1472" s="12">
        <v>69.806095159086894</v>
      </c>
      <c r="Z1472" s="12">
        <v>-2.106095159086891</v>
      </c>
      <c r="AA1472" s="12">
        <v>-2.1073816325213244</v>
      </c>
      <c r="AB1472" s="12">
        <v>6.1046058985289825E-4</v>
      </c>
      <c r="AC1472" s="12">
        <v>-0.3364180040769878</v>
      </c>
      <c r="AD1472" s="12">
        <v>3.4566172799524975E-5</v>
      </c>
      <c r="AE1472" s="12">
        <v>1.2294035019788656</v>
      </c>
      <c r="AF1472" s="12">
        <v>0.94178708988748883</v>
      </c>
      <c r="AG1472" s="12">
        <v>0.58001552054836236</v>
      </c>
      <c r="AH1472" s="12">
        <v>-2.1073816325213253</v>
      </c>
    </row>
    <row r="1473" spans="24:34" x14ac:dyDescent="0.25">
      <c r="X1473">
        <v>67.400000000000006</v>
      </c>
      <c r="Y1473" s="12">
        <v>69.756777799791294</v>
      </c>
      <c r="Z1473" s="12">
        <v>-2.3567777997912884</v>
      </c>
      <c r="AA1473" s="12">
        <v>-2.3582156268249292</v>
      </c>
      <c r="AB1473" s="12">
        <v>6.0970973870505248E-4</v>
      </c>
      <c r="AC1473" s="12">
        <v>-0.37646076066191769</v>
      </c>
      <c r="AD1473" s="12">
        <v>4.3231215001998992E-5</v>
      </c>
      <c r="AE1473" s="12">
        <v>1.2294035019788656</v>
      </c>
      <c r="AF1473" s="12">
        <v>0.94246072560244309</v>
      </c>
      <c r="AG1473" s="12">
        <v>0.61356398253313216</v>
      </c>
      <c r="AH1473" s="12">
        <v>-2.3582156268249297</v>
      </c>
    </row>
    <row r="1474" spans="24:34" x14ac:dyDescent="0.25">
      <c r="X1474">
        <v>67.2</v>
      </c>
      <c r="Y1474" s="12">
        <v>69.658143081200109</v>
      </c>
      <c r="Z1474" s="12">
        <v>-2.4581430812001059</v>
      </c>
      <c r="AA1474" s="12">
        <v>-2.459639624070121</v>
      </c>
      <c r="AB1474" s="12">
        <v>6.0843989313220947E-4</v>
      </c>
      <c r="AC1474" s="12">
        <v>-0.39265213136956634</v>
      </c>
      <c r="AD1474" s="12">
        <v>4.693187730717967E-5</v>
      </c>
      <c r="AE1474" s="12">
        <v>1.2294035019788656</v>
      </c>
      <c r="AF1474" s="12">
        <v>0.94268556875650023</v>
      </c>
      <c r="AG1474" s="12">
        <v>0.62661960659523441</v>
      </c>
      <c r="AH1474" s="12">
        <v>-2.4596396240701188</v>
      </c>
    </row>
    <row r="1475" spans="24:34" x14ac:dyDescent="0.25">
      <c r="X1475">
        <v>66.900000000000006</v>
      </c>
      <c r="Y1475" s="12">
        <v>69.559508362608923</v>
      </c>
      <c r="Z1475" s="12">
        <v>-2.6595083626089178</v>
      </c>
      <c r="AA1475" s="12">
        <v>-2.6611249406319644</v>
      </c>
      <c r="AB1475" s="12">
        <v>6.0747918985649756E-4</v>
      </c>
      <c r="AC1475" s="12">
        <v>-0.42481706335253011</v>
      </c>
      <c r="AD1475" s="12">
        <v>5.4849063825945976E-5</v>
      </c>
      <c r="AE1475" s="12">
        <v>1.2294035019788656</v>
      </c>
      <c r="AF1475" s="12">
        <v>0.94291056105276494</v>
      </c>
      <c r="AG1475" s="12">
        <v>0.65177991941492808</v>
      </c>
      <c r="AH1475" s="12">
        <v>-2.6611249406319599</v>
      </c>
    </row>
    <row r="1476" spans="24:34" x14ac:dyDescent="0.25">
      <c r="X1476">
        <v>66.599999999999994</v>
      </c>
      <c r="Y1476" s="12">
        <v>69.460873644017738</v>
      </c>
      <c r="Z1476" s="12">
        <v>-2.8608736440177438</v>
      </c>
      <c r="AA1476" s="12">
        <v>-2.8626107553147904</v>
      </c>
      <c r="AB1476" s="12">
        <v>6.0682762887791708E-4</v>
      </c>
      <c r="AC1476" s="12">
        <v>-0.4569820350949822</v>
      </c>
      <c r="AD1476" s="12">
        <v>6.340116337579786E-5</v>
      </c>
      <c r="AE1476" s="12">
        <v>1.2457497672431228</v>
      </c>
      <c r="AF1476" s="12">
        <v>0.94313570260215207</v>
      </c>
      <c r="AG1476" s="12">
        <v>0.67600446381291168</v>
      </c>
      <c r="AH1476" s="12">
        <v>-2.8626107553147917</v>
      </c>
    </row>
    <row r="1477" spans="24:34" x14ac:dyDescent="0.25">
      <c r="X1477">
        <v>66.2</v>
      </c>
      <c r="Y1477" s="12">
        <v>69.312921566130967</v>
      </c>
      <c r="Z1477" s="12">
        <v>-3.1129215661309644</v>
      </c>
      <c r="AA1477" s="12">
        <v>-3.1148104804301369</v>
      </c>
      <c r="AB1477" s="12">
        <v>6.064299292171671E-4</v>
      </c>
      <c r="AC1477" s="12">
        <v>-0.4972428447900426</v>
      </c>
      <c r="AD1477" s="12">
        <v>7.501552710484126E-5</v>
      </c>
      <c r="AE1477" s="12">
        <v>1.2457497672431228</v>
      </c>
      <c r="AF1477" s="12">
        <v>0.9487667968990946</v>
      </c>
      <c r="AG1477" s="12">
        <v>0.70515448292558036</v>
      </c>
      <c r="AH1477" s="12">
        <v>-3.1148104804301369</v>
      </c>
    </row>
    <row r="1478" spans="24:34" x14ac:dyDescent="0.25">
      <c r="X1478">
        <v>59.7</v>
      </c>
      <c r="Y1478" s="12">
        <v>63.542790528546632</v>
      </c>
      <c r="Z1478" s="12">
        <v>-3.8427905285466295</v>
      </c>
      <c r="AA1478" s="12">
        <v>-3.8471511373018217</v>
      </c>
      <c r="AB1478" s="12">
        <v>1.1334643739131702E-3</v>
      </c>
      <c r="AC1478" s="12">
        <v>-0.61399045474755976</v>
      </c>
      <c r="AD1478" s="12">
        <v>2.138915630811551E-4</v>
      </c>
      <c r="AE1478" s="12">
        <v>1.2457497672431228</v>
      </c>
      <c r="AF1478" s="12">
        <v>0.94943857309667845</v>
      </c>
      <c r="AG1478" s="12">
        <v>0.78357543015816911</v>
      </c>
      <c r="AH1478" s="12">
        <v>-3.8471511373018208</v>
      </c>
    </row>
    <row r="1479" spans="24:34" x14ac:dyDescent="0.25">
      <c r="X1479">
        <v>59.4</v>
      </c>
      <c r="Y1479" s="12">
        <v>63.444155809955447</v>
      </c>
      <c r="Z1479" s="12">
        <v>-4.0441558099554484</v>
      </c>
      <c r="AA1479" s="12">
        <v>-4.0488187150012607</v>
      </c>
      <c r="AB1479" s="12">
        <v>1.1516704930595928E-3</v>
      </c>
      <c r="AC1479" s="12">
        <v>-0.64616993195422567</v>
      </c>
      <c r="AD1479" s="12">
        <v>2.4070892156043613E-4</v>
      </c>
      <c r="AE1479" s="12">
        <v>1.2457497672431228</v>
      </c>
      <c r="AF1479" s="12">
        <v>0.94966279789511998</v>
      </c>
      <c r="AG1479" s="12">
        <v>0.80384695804252793</v>
      </c>
      <c r="AH1479" s="12">
        <v>-4.0488187150012633</v>
      </c>
    </row>
    <row r="1480" spans="24:34" x14ac:dyDescent="0.25">
      <c r="X1480">
        <v>58.9</v>
      </c>
      <c r="Y1480" s="12">
        <v>63.098934294886298</v>
      </c>
      <c r="Z1480" s="12">
        <v>-4.1989342948862998</v>
      </c>
      <c r="AA1480" s="12">
        <v>-4.204054102983747</v>
      </c>
      <c r="AB1480" s="12">
        <v>1.217826405661979E-3</v>
      </c>
      <c r="AC1480" s="12">
        <v>-0.67092245477072432</v>
      </c>
      <c r="AD1480" s="12">
        <v>2.7442853235326537E-4</v>
      </c>
      <c r="AE1480" s="12">
        <v>1.2457497672431228</v>
      </c>
      <c r="AF1480" s="12">
        <v>0.95033637202574173</v>
      </c>
      <c r="AG1480" s="12">
        <v>0.81909856230537015</v>
      </c>
      <c r="AH1480" s="12">
        <v>-4.2040541029837444</v>
      </c>
    </row>
    <row r="1481" spans="24:34" x14ac:dyDescent="0.25">
      <c r="X1481">
        <v>58.3</v>
      </c>
      <c r="Y1481" s="12">
        <v>75.92144771174037</v>
      </c>
      <c r="Z1481" s="12">
        <v>-17.621447711740373</v>
      </c>
      <c r="AA1481" s="12">
        <v>-17.644430099506891</v>
      </c>
      <c r="AB1481" s="12">
        <v>1.3025293328774625E-3</v>
      </c>
      <c r="AC1481" s="12">
        <v>-2.8157445372861303</v>
      </c>
      <c r="AD1481" s="12">
        <v>5.1702324271816688E-3</v>
      </c>
      <c r="AE1481" s="12">
        <v>1.262435852359769</v>
      </c>
      <c r="AF1481" s="12">
        <v>0.95101129807685614</v>
      </c>
      <c r="AG1481" s="12">
        <v>1.6780180384269205</v>
      </c>
      <c r="AH1481" s="12">
        <v>-17.644430099506888</v>
      </c>
    </row>
    <row r="1482" spans="24:34" x14ac:dyDescent="0.25">
      <c r="X1482">
        <v>57.4</v>
      </c>
      <c r="Y1482" s="12">
        <v>61.668730875314111</v>
      </c>
      <c r="Z1482" s="12">
        <v>-4.2687308753141124</v>
      </c>
      <c r="AA1482" s="12">
        <v>-4.2752816498442954</v>
      </c>
      <c r="AB1482" s="12">
        <v>1.5322439705046308E-3</v>
      </c>
      <c r="AC1482" s="12">
        <v>-0.68218221478947283</v>
      </c>
      <c r="AD1482" s="12">
        <v>3.5707929300268077E-4</v>
      </c>
      <c r="AE1482" s="12">
        <v>1.262435852359769</v>
      </c>
      <c r="AF1482" s="12">
        <v>0.95753849133761337</v>
      </c>
      <c r="AG1482" s="12">
        <v>0.82594322734039827</v>
      </c>
      <c r="AH1482" s="12">
        <v>-4.2752816498442954</v>
      </c>
    </row>
    <row r="1483" spans="24:34" x14ac:dyDescent="0.25">
      <c r="X1483">
        <v>56.7</v>
      </c>
      <c r="Y1483" s="12">
        <v>61.027605204471413</v>
      </c>
      <c r="Z1483" s="12">
        <v>-4.3276052044714106</v>
      </c>
      <c r="AA1483" s="12">
        <v>-4.3349498611976216</v>
      </c>
      <c r="AB1483" s="12">
        <v>1.6942887372132993E-3</v>
      </c>
      <c r="AC1483" s="12">
        <v>-0.69164699792778306</v>
      </c>
      <c r="AD1483" s="12">
        <v>4.0594095116790635E-4</v>
      </c>
      <c r="AE1483" s="12">
        <v>1.262435852359769</v>
      </c>
      <c r="AF1483" s="12">
        <v>0.95753849133761337</v>
      </c>
      <c r="AG1483" s="12">
        <v>0.83165317165738206</v>
      </c>
      <c r="AH1483" s="12">
        <v>-4.3349498611976225</v>
      </c>
    </row>
    <row r="1484" spans="24:34" x14ac:dyDescent="0.25">
      <c r="X1484">
        <v>56.2</v>
      </c>
      <c r="Y1484" s="12">
        <v>60.633066330106672</v>
      </c>
      <c r="Z1484" s="12">
        <v>-4.4330663301066693</v>
      </c>
      <c r="AA1484" s="12">
        <v>-4.4410624656602948</v>
      </c>
      <c r="AB1484" s="12">
        <v>1.8005005818891582E-3</v>
      </c>
      <c r="AC1484" s="12">
        <v>-0.70853971013821226</v>
      </c>
      <c r="AD1484" s="12">
        <v>4.5276652834890722E-4</v>
      </c>
      <c r="AE1484" s="12">
        <v>1.262435852359769</v>
      </c>
      <c r="AF1484" s="12">
        <v>0.95753849133761337</v>
      </c>
      <c r="AG1484" s="12">
        <v>0.84174800869275135</v>
      </c>
      <c r="AH1484" s="12">
        <v>-4.4410624656602966</v>
      </c>
    </row>
    <row r="1485" spans="24:34" x14ac:dyDescent="0.25">
      <c r="X1485">
        <v>73.3</v>
      </c>
      <c r="Y1485" s="12">
        <v>70.940394422885518</v>
      </c>
      <c r="Z1485" s="12">
        <v>2.359605577114479</v>
      </c>
      <c r="AA1485" s="12">
        <v>2.3611380997346316</v>
      </c>
      <c r="AB1485" s="12">
        <v>6.4906098475540235E-4</v>
      </c>
      <c r="AC1485" s="12">
        <v>0.37691987743399802</v>
      </c>
      <c r="AD1485" s="12">
        <v>4.6135535539934737E-5</v>
      </c>
      <c r="AE1485" s="12">
        <v>1.262435852359769</v>
      </c>
      <c r="AF1485" s="12">
        <v>0.95776284309931026</v>
      </c>
      <c r="AG1485" s="12">
        <v>0.61393800781023322</v>
      </c>
      <c r="AH1485" s="12">
        <v>2.3611380997346361</v>
      </c>
    </row>
    <row r="1486" spans="24:34" x14ac:dyDescent="0.25">
      <c r="X1486">
        <v>73.2</v>
      </c>
      <c r="Y1486" s="12">
        <v>70.841759704294333</v>
      </c>
      <c r="Z1486" s="12">
        <v>2.3582402957056701</v>
      </c>
      <c r="AA1486" s="12">
        <v>2.3597601734164328</v>
      </c>
      <c r="AB1486" s="12">
        <v>6.440814316169849E-4</v>
      </c>
      <c r="AC1486" s="12">
        <v>0.37670085090804079</v>
      </c>
      <c r="AD1486" s="12">
        <v>4.5728167386610344E-5</v>
      </c>
      <c r="AE1486" s="12">
        <v>1.262435852359769</v>
      </c>
      <c r="AF1486" s="12">
        <v>0.95866176299251848</v>
      </c>
      <c r="AG1486" s="12">
        <v>0.6137596035159375</v>
      </c>
      <c r="AH1486" s="12">
        <v>2.3597601734164368</v>
      </c>
    </row>
    <row r="1487" spans="24:34" x14ac:dyDescent="0.25">
      <c r="X1487">
        <v>73</v>
      </c>
      <c r="Y1487" s="12">
        <v>70.792442344998747</v>
      </c>
      <c r="Z1487" s="12">
        <v>2.2075576550012528</v>
      </c>
      <c r="AA1487" s="12">
        <v>2.2089751711201302</v>
      </c>
      <c r="AB1487" s="12">
        <v>6.4170758340920055E-4</v>
      </c>
      <c r="AC1487" s="12">
        <v>0.35263067165573281</v>
      </c>
      <c r="AD1487" s="12">
        <v>3.9923271680119242E-5</v>
      </c>
      <c r="AE1487" s="12">
        <v>1.262435852359769</v>
      </c>
      <c r="AF1487" s="12">
        <v>0.96357090606084284</v>
      </c>
      <c r="AG1487" s="12">
        <v>0.59382713954124122</v>
      </c>
      <c r="AH1487" s="12">
        <v>2.2089751711201231</v>
      </c>
    </row>
    <row r="1488" spans="24:34" x14ac:dyDescent="0.25">
      <c r="X1488">
        <v>72.900000000000006</v>
      </c>
      <c r="Y1488" s="12">
        <v>76.907794897652224</v>
      </c>
      <c r="Z1488" s="12">
        <v>-4.007794897652218</v>
      </c>
      <c r="AA1488" s="12">
        <v>-4.0139179068499971</v>
      </c>
      <c r="AB1488" s="12">
        <v>1.5254445506551072E-3</v>
      </c>
      <c r="AC1488" s="12">
        <v>-0.64048007953183794</v>
      </c>
      <c r="AD1488" s="12">
        <v>3.1335792411302298E-4</v>
      </c>
      <c r="AE1488" s="12">
        <v>1.262435852359769</v>
      </c>
      <c r="AF1488" s="12">
        <v>0.96902175808893865</v>
      </c>
      <c r="AG1488" s="12">
        <v>0.80029999345985126</v>
      </c>
      <c r="AH1488" s="12">
        <v>-4.0139179068499988</v>
      </c>
    </row>
    <row r="1489" spans="24:34" x14ac:dyDescent="0.25">
      <c r="X1489">
        <v>72.8</v>
      </c>
      <c r="Y1489" s="12">
        <v>70.595172907816377</v>
      </c>
      <c r="Z1489" s="12">
        <v>2.2048270921836206</v>
      </c>
      <c r="AA1489" s="12">
        <v>2.2062235987304604</v>
      </c>
      <c r="AB1489" s="12">
        <v>6.3298504632089045E-4</v>
      </c>
      <c r="AC1489" s="12">
        <v>0.35219296023537822</v>
      </c>
      <c r="AD1489" s="12">
        <v>3.9282560259191878E-5</v>
      </c>
      <c r="AE1489" s="12">
        <v>1.262435852359769</v>
      </c>
      <c r="AF1489" s="12">
        <v>0.97441288614032495</v>
      </c>
      <c r="AG1489" s="12">
        <v>0.59345847389297446</v>
      </c>
      <c r="AH1489" s="12">
        <v>2.2062235987304573</v>
      </c>
    </row>
    <row r="1490" spans="24:34" x14ac:dyDescent="0.25">
      <c r="X1490">
        <v>72.5</v>
      </c>
      <c r="Y1490" s="12">
        <v>70.348586111338406</v>
      </c>
      <c r="Z1490" s="12">
        <v>2.1514138886615939</v>
      </c>
      <c r="AA1490" s="12">
        <v>2.152756823146035</v>
      </c>
      <c r="AB1490" s="12">
        <v>6.238208003818659E-4</v>
      </c>
      <c r="AC1490" s="12">
        <v>0.34365930766946717</v>
      </c>
      <c r="AD1490" s="12">
        <v>3.686014879731658E-5</v>
      </c>
      <c r="AE1490" s="12">
        <v>1.2933897637306977</v>
      </c>
      <c r="AF1490" s="12">
        <v>0.98138976916095499</v>
      </c>
      <c r="AG1490" s="12">
        <v>0.58622462219653237</v>
      </c>
      <c r="AH1490" s="12">
        <v>2.1527568231460363</v>
      </c>
    </row>
    <row r="1491" spans="24:34" x14ac:dyDescent="0.25">
      <c r="X1491">
        <v>72.599999999999994</v>
      </c>
      <c r="Y1491" s="12">
        <v>70.447220829929591</v>
      </c>
      <c r="Z1491" s="12">
        <v>2.1527791700704029</v>
      </c>
      <c r="AA1491" s="12">
        <v>2.1541303583372127</v>
      </c>
      <c r="AB1491" s="12">
        <v>6.2725464203462734E-4</v>
      </c>
      <c r="AC1491" s="12">
        <v>0.34387798371278494</v>
      </c>
      <c r="AD1491" s="12">
        <v>3.7110356835572553E-5</v>
      </c>
      <c r="AE1491" s="12">
        <v>1.2933897637306977</v>
      </c>
      <c r="AF1491" s="12">
        <v>0.98161419962885577</v>
      </c>
      <c r="AG1491" s="12">
        <v>0.58641110469770685</v>
      </c>
      <c r="AH1491" s="12">
        <v>2.1541303583372176</v>
      </c>
    </row>
    <row r="1492" spans="24:34" x14ac:dyDescent="0.25">
      <c r="X1492">
        <v>72.5</v>
      </c>
      <c r="Y1492" s="12">
        <v>70.397903470634006</v>
      </c>
      <c r="Z1492" s="12">
        <v>2.1020965293659941</v>
      </c>
      <c r="AA1492" s="12">
        <v>2.103412211765999</v>
      </c>
      <c r="AB1492" s="12">
        <v>6.2549907842110518E-4</v>
      </c>
      <c r="AC1492" s="12">
        <v>0.33578180763866605</v>
      </c>
      <c r="AD1492" s="12">
        <v>3.5284400243266728E-5</v>
      </c>
      <c r="AE1492" s="12">
        <v>1.2933897637306977</v>
      </c>
      <c r="AF1492" s="12">
        <v>0.98183878492643328</v>
      </c>
      <c r="AG1492" s="12">
        <v>0.57946683049046566</v>
      </c>
      <c r="AH1492" s="12">
        <v>2.1034122117659937</v>
      </c>
    </row>
    <row r="1493" spans="24:34" x14ac:dyDescent="0.25">
      <c r="X1493">
        <v>72.400000000000006</v>
      </c>
      <c r="Y1493" s="12">
        <v>70.299268752042821</v>
      </c>
      <c r="Z1493" s="12">
        <v>2.1007312479571851</v>
      </c>
      <c r="AA1493" s="12">
        <v>2.1020391783709869</v>
      </c>
      <c r="AB1493" s="12">
        <v>6.222198079169094E-4</v>
      </c>
      <c r="AC1493" s="12">
        <v>0.33556317164743055</v>
      </c>
      <c r="AD1493" s="12">
        <v>3.505360823914366E-5</v>
      </c>
      <c r="AE1493" s="12">
        <v>1.2933897637306977</v>
      </c>
      <c r="AF1493" s="12">
        <v>0.98370567397769704</v>
      </c>
      <c r="AG1493" s="12">
        <v>0.57927814704805713</v>
      </c>
      <c r="AH1493" s="12">
        <v>2.1020391783709851</v>
      </c>
    </row>
    <row r="1494" spans="24:34" x14ac:dyDescent="0.25">
      <c r="X1494">
        <v>72.3</v>
      </c>
      <c r="Y1494" s="12">
        <v>76.858477538356638</v>
      </c>
      <c r="Z1494" s="12">
        <v>-4.5584775383566409</v>
      </c>
      <c r="AA1494" s="12">
        <v>-4.5653875472275303</v>
      </c>
      <c r="AB1494" s="12">
        <v>1.5135645768105384E-3</v>
      </c>
      <c r="AC1494" s="12">
        <v>-0.72847956596066232</v>
      </c>
      <c r="AD1494" s="12">
        <v>4.0221988590564148E-4</v>
      </c>
      <c r="AE1494" s="12">
        <v>1.2933897637306977</v>
      </c>
      <c r="AF1494" s="12">
        <v>0.98370567397769704</v>
      </c>
      <c r="AG1494" s="12">
        <v>0.85351014402915115</v>
      </c>
      <c r="AH1494" s="12">
        <v>-4.5653875472275365</v>
      </c>
    </row>
    <row r="1495" spans="24:34" x14ac:dyDescent="0.25">
      <c r="X1495">
        <v>72.2</v>
      </c>
      <c r="Y1495" s="12">
        <v>70.151316674156035</v>
      </c>
      <c r="Z1495" s="12">
        <v>2.0486833258439674</v>
      </c>
      <c r="AA1495" s="12">
        <v>2.049949950034204</v>
      </c>
      <c r="AB1495" s="12">
        <v>6.1788054396773654E-4</v>
      </c>
      <c r="AC1495" s="12">
        <v>0.32724851535632282</v>
      </c>
      <c r="AD1495" s="12">
        <v>3.3105360347898455E-5</v>
      </c>
      <c r="AE1495" s="12">
        <v>1.2933897637306977</v>
      </c>
      <c r="AF1495" s="12">
        <v>0.98792223245443933</v>
      </c>
      <c r="AG1495" s="12">
        <v>0.57205639176249301</v>
      </c>
      <c r="AH1495" s="12">
        <v>2.0499499500342013</v>
      </c>
    </row>
    <row r="1496" spans="24:34" x14ac:dyDescent="0.25">
      <c r="X1496">
        <v>72</v>
      </c>
      <c r="Y1496" s="12">
        <v>70.05268195556485</v>
      </c>
      <c r="Z1496" s="12">
        <v>1.9473180444351499</v>
      </c>
      <c r="AA1496" s="12">
        <v>1.9485171114558568</v>
      </c>
      <c r="AB1496" s="12">
        <v>6.1537412920636893E-4</v>
      </c>
      <c r="AC1496" s="12">
        <v>0.31105643894383195</v>
      </c>
      <c r="AD1496" s="12">
        <v>2.9788934256554281E-5</v>
      </c>
      <c r="AE1496" s="12">
        <v>1.2933897637306977</v>
      </c>
      <c r="AF1496" s="12">
        <v>0.98881704553212757</v>
      </c>
      <c r="AG1496" s="12">
        <v>0.55772433956555267</v>
      </c>
      <c r="AH1496" s="12">
        <v>1.9485171114558557</v>
      </c>
    </row>
    <row r="1497" spans="24:34" x14ac:dyDescent="0.25">
      <c r="X1497">
        <v>71.900000000000006</v>
      </c>
      <c r="Y1497" s="12">
        <v>69.954047236973665</v>
      </c>
      <c r="Z1497" s="12">
        <v>1.9459527630263409</v>
      </c>
      <c r="AA1497" s="12">
        <v>1.947146708324567</v>
      </c>
      <c r="AB1497" s="12">
        <v>6.1317685674213221E-4</v>
      </c>
      <c r="AC1497" s="12">
        <v>0.31083801289445695</v>
      </c>
      <c r="AD1497" s="12">
        <v>2.9640831879977969E-5</v>
      </c>
      <c r="AE1497" s="12">
        <v>1.2933897637306977</v>
      </c>
      <c r="AF1497" s="12">
        <v>0.98926538572487488</v>
      </c>
      <c r="AG1497" s="12">
        <v>0.55752848617308959</v>
      </c>
      <c r="AH1497" s="12">
        <v>1.947146708324567</v>
      </c>
    </row>
    <row r="1498" spans="24:34" x14ac:dyDescent="0.25">
      <c r="X1498">
        <v>71.8</v>
      </c>
      <c r="Y1498" s="12">
        <v>69.855412518382479</v>
      </c>
      <c r="Z1498" s="12">
        <v>1.9445874816175177</v>
      </c>
      <c r="AA1498" s="12">
        <v>1.9457769131089293</v>
      </c>
      <c r="AB1498" s="12">
        <v>6.1128872657502679E-4</v>
      </c>
      <c r="AC1498" s="12">
        <v>0.31061963536788106</v>
      </c>
      <c r="AD1498" s="12">
        <v>2.950799916634447E-5</v>
      </c>
      <c r="AE1498" s="12">
        <v>1.3219841213691266</v>
      </c>
      <c r="AF1498" s="12">
        <v>0.98993906554931588</v>
      </c>
      <c r="AG1498" s="12">
        <v>0.55733260748666147</v>
      </c>
      <c r="AH1498" s="12">
        <v>1.9457769131089311</v>
      </c>
    </row>
    <row r="1499" spans="24:34" x14ac:dyDescent="0.25">
      <c r="X1499">
        <v>71.599999999999994</v>
      </c>
      <c r="Y1499" s="12">
        <v>69.806095159086894</v>
      </c>
      <c r="Z1499" s="12">
        <v>1.7939048409131004</v>
      </c>
      <c r="AA1499" s="12">
        <v>1.7950006180491869</v>
      </c>
      <c r="AB1499" s="12">
        <v>6.1046058985289825E-4</v>
      </c>
      <c r="AC1499" s="12">
        <v>0.28655015110793142</v>
      </c>
      <c r="AD1499" s="12">
        <v>2.5078070593455689E-5</v>
      </c>
      <c r="AE1499" s="12">
        <v>1.3219841213691266</v>
      </c>
      <c r="AF1499" s="12">
        <v>0.99038896640926477</v>
      </c>
      <c r="AG1499" s="12">
        <v>0.53530379328744848</v>
      </c>
      <c r="AH1499" s="12">
        <v>1.7950006180491811</v>
      </c>
    </row>
    <row r="1500" spans="24:34" x14ac:dyDescent="0.25">
      <c r="X1500">
        <v>71.099999999999994</v>
      </c>
      <c r="Y1500" s="12">
        <v>69.164969488244182</v>
      </c>
      <c r="Z1500" s="12">
        <v>1.9350305117558122</v>
      </c>
      <c r="AA1500" s="12">
        <v>1.9362052613138303</v>
      </c>
      <c r="AB1500" s="12">
        <v>6.0672779972496219E-4</v>
      </c>
      <c r="AC1500" s="12">
        <v>0.30909234279436182</v>
      </c>
      <c r="AD1500" s="12">
        <v>2.900039878235311E-5</v>
      </c>
      <c r="AE1500" s="12">
        <v>1.3219841213691266</v>
      </c>
      <c r="AF1500" s="12">
        <v>0.99076863766694967</v>
      </c>
      <c r="AG1500" s="12">
        <v>0.55596073853677996</v>
      </c>
      <c r="AH1500" s="12">
        <v>1.936205261313825</v>
      </c>
    </row>
    <row r="1501" spans="24:34" x14ac:dyDescent="0.25">
      <c r="X1501">
        <v>71</v>
      </c>
      <c r="Y1501" s="12">
        <v>69.115652128948597</v>
      </c>
      <c r="Z1501" s="12">
        <v>1.8843478710514034</v>
      </c>
      <c r="AA1501" s="12">
        <v>1.8854923303179447</v>
      </c>
      <c r="AB1501" s="12">
        <v>6.0698166104279291E-4</v>
      </c>
      <c r="AC1501" s="12">
        <v>0.30099658301947108</v>
      </c>
      <c r="AD1501" s="12">
        <v>2.7512648125071492E-5</v>
      </c>
      <c r="AE1501" s="12">
        <v>1.3219841213691266</v>
      </c>
      <c r="AF1501" s="12">
        <v>0.99602146458720375</v>
      </c>
      <c r="AG1501" s="12">
        <v>0.54863155488858917</v>
      </c>
      <c r="AH1501" s="12">
        <v>1.8854923303179432</v>
      </c>
    </row>
    <row r="1502" spans="24:34" x14ac:dyDescent="0.25">
      <c r="X1502">
        <v>78</v>
      </c>
      <c r="Y1502" s="12">
        <v>69.017017410357411</v>
      </c>
      <c r="Z1502" s="12">
        <v>8.9829825896425888</v>
      </c>
      <c r="AA1502" s="12">
        <v>8.9884450586229008</v>
      </c>
      <c r="AB1502" s="12">
        <v>6.0772124040130257E-4</v>
      </c>
      <c r="AC1502" s="12">
        <v>1.4348985698483145</v>
      </c>
      <c r="AD1502" s="12">
        <v>6.2600937274668483E-4</v>
      </c>
      <c r="AE1502" s="12">
        <v>1.3219841213691266</v>
      </c>
      <c r="AF1502" s="12">
        <v>0.99781459110162474</v>
      </c>
      <c r="AG1502" s="12">
        <v>1.1978725181956194</v>
      </c>
      <c r="AH1502" s="12">
        <v>8.9884450586228937</v>
      </c>
    </row>
    <row r="1503" spans="24:34" x14ac:dyDescent="0.25">
      <c r="X1503">
        <v>76</v>
      </c>
      <c r="Y1503" s="12">
        <v>68.918382691766226</v>
      </c>
      <c r="Z1503" s="12">
        <v>7.0816173082337741</v>
      </c>
      <c r="AA1503" s="12">
        <v>7.0859310101859876</v>
      </c>
      <c r="AB1503" s="12">
        <v>6.0876996205694355E-4</v>
      </c>
      <c r="AC1503" s="12">
        <v>1.1311841894249639</v>
      </c>
      <c r="AD1503" s="12">
        <v>3.897214756586353E-4</v>
      </c>
      <c r="AE1503" s="12">
        <v>1.3404190152831756</v>
      </c>
      <c r="AF1503" s="12">
        <v>0.99826444466536512</v>
      </c>
      <c r="AG1503" s="12">
        <v>1.0635714312752877</v>
      </c>
      <c r="AH1503" s="12">
        <v>7.0859310101859831</v>
      </c>
    </row>
    <row r="1504" spans="24:34" x14ac:dyDescent="0.25">
      <c r="X1504">
        <v>74</v>
      </c>
      <c r="Y1504" s="12">
        <v>68.770430613879455</v>
      </c>
      <c r="Z1504" s="12">
        <v>5.229569386120545</v>
      </c>
      <c r="AA1504" s="12">
        <v>5.2327662017055161</v>
      </c>
      <c r="AB1504" s="12">
        <v>6.1092268634752608E-4</v>
      </c>
      <c r="AC1504" s="12">
        <v>0.83534767847816271</v>
      </c>
      <c r="AD1504" s="12">
        <v>2.1328297922855238E-4</v>
      </c>
      <c r="AE1504" s="12">
        <v>1.3404190152831756</v>
      </c>
      <c r="AF1504" s="12">
        <v>1.0005231884660233</v>
      </c>
      <c r="AG1504" s="12">
        <v>0.91397356552482567</v>
      </c>
      <c r="AH1504" s="12">
        <v>5.2327662017055196</v>
      </c>
    </row>
    <row r="1505" spans="24:34" x14ac:dyDescent="0.25">
      <c r="X1505">
        <v>71</v>
      </c>
      <c r="Y1505" s="12">
        <v>68.573161176697084</v>
      </c>
      <c r="Z1505" s="12">
        <v>2.4268388233029157</v>
      </c>
      <c r="AA1505" s="12">
        <v>2.428331943866695</v>
      </c>
      <c r="AB1505" s="12">
        <v>6.1487498344159504E-4</v>
      </c>
      <c r="AC1505" s="12">
        <v>0.38765298555621275</v>
      </c>
      <c r="AD1505" s="12">
        <v>4.6228543795892985E-5</v>
      </c>
      <c r="AE1505" s="12">
        <v>1.3404190152831756</v>
      </c>
      <c r="AF1505" s="12">
        <v>1.0061399065838259</v>
      </c>
      <c r="AG1505" s="12">
        <v>0.62261784872922876</v>
      </c>
      <c r="AH1505" s="12">
        <v>2.4283319438666915</v>
      </c>
    </row>
    <row r="1506" spans="24:34" x14ac:dyDescent="0.25">
      <c r="X1506">
        <v>69.900000000000006</v>
      </c>
      <c r="Y1506" s="12">
        <v>68.474526458105885</v>
      </c>
      <c r="Z1506" s="12">
        <v>1.4254735418941209</v>
      </c>
      <c r="AA1506" s="12">
        <v>1.4263540514249087</v>
      </c>
      <c r="AB1506" s="12">
        <v>6.1731484543432638E-4</v>
      </c>
      <c r="AC1506" s="12">
        <v>0.22769940202749159</v>
      </c>
      <c r="AD1506" s="12">
        <v>1.6012851824964293E-5</v>
      </c>
      <c r="AE1506" s="12">
        <v>1.3404190152831756</v>
      </c>
      <c r="AF1506" s="12">
        <v>1.0086252071073831</v>
      </c>
      <c r="AG1506" s="12">
        <v>0.47717858504703625</v>
      </c>
      <c r="AH1506" s="12">
        <v>1.4263540514249109</v>
      </c>
    </row>
    <row r="1507" spans="24:34" x14ac:dyDescent="0.25">
      <c r="X1507">
        <v>69.7</v>
      </c>
      <c r="Y1507" s="12">
        <v>68.375891739514714</v>
      </c>
      <c r="Z1507" s="12">
        <v>1.3241082604852892</v>
      </c>
      <c r="AA1507" s="12">
        <v>1.3249298015586533</v>
      </c>
      <c r="AB1507" s="12">
        <v>6.2006384972418892E-4</v>
      </c>
      <c r="AC1507" s="12">
        <v>0.21150801115461576</v>
      </c>
      <c r="AD1507" s="12">
        <v>1.3878081498339618E-5</v>
      </c>
      <c r="AE1507" s="12">
        <v>1.3555018111021329</v>
      </c>
      <c r="AF1507" s="12">
        <v>1.0122201773352806</v>
      </c>
      <c r="AG1507" s="12">
        <v>0.45990000125529001</v>
      </c>
      <c r="AH1507" s="12">
        <v>1.3249298015586579</v>
      </c>
    </row>
    <row r="1508" spans="24:34" x14ac:dyDescent="0.25">
      <c r="X1508">
        <v>69.599999999999994</v>
      </c>
      <c r="Y1508" s="12">
        <v>68.326574380219114</v>
      </c>
      <c r="Z1508" s="12">
        <v>1.2734256197808804</v>
      </c>
      <c r="AA1508" s="12">
        <v>1.2742176151935496</v>
      </c>
      <c r="AB1508" s="12">
        <v>6.2155428023054436E-4</v>
      </c>
      <c r="AC1508" s="12">
        <v>0.20341231081460104</v>
      </c>
      <c r="AD1508" s="12">
        <v>1.2866889000094848E-5</v>
      </c>
      <c r="AE1508" s="12">
        <v>1.3555018111021329</v>
      </c>
      <c r="AF1508" s="12">
        <v>1.013116488754326</v>
      </c>
      <c r="AG1508" s="12">
        <v>0.45101253953144255</v>
      </c>
      <c r="AH1508" s="12">
        <v>1.2742176151935491</v>
      </c>
    </row>
    <row r="1509" spans="24:34" x14ac:dyDescent="0.25">
      <c r="X1509">
        <v>69.5</v>
      </c>
      <c r="Y1509" s="12">
        <v>68.277257020923514</v>
      </c>
      <c r="Z1509" s="12">
        <v>1.2227429790764859</v>
      </c>
      <c r="AA1509" s="12">
        <v>1.2235053721864944</v>
      </c>
      <c r="AB1509" s="12">
        <v>6.2312199631118278E-4</v>
      </c>
      <c r="AC1509" s="12">
        <v>0.19531660595339312</v>
      </c>
      <c r="AD1509" s="12">
        <v>1.1893019393594543E-5</v>
      </c>
      <c r="AE1509" s="12">
        <v>1.3555018111021329</v>
      </c>
      <c r="AF1509" s="12">
        <v>1.013116488754326</v>
      </c>
      <c r="AG1509" s="12">
        <v>0.44194638357315824</v>
      </c>
      <c r="AH1509" s="12">
        <v>1.2235053721865001</v>
      </c>
    </row>
    <row r="1510" spans="24:34" x14ac:dyDescent="0.25">
      <c r="X1510">
        <v>69.400000000000006</v>
      </c>
      <c r="Y1510" s="12">
        <v>76.661208101174267</v>
      </c>
      <c r="Z1510" s="12">
        <v>-7.2612081011742617</v>
      </c>
      <c r="AA1510" s="12">
        <v>-7.2718746143867889</v>
      </c>
      <c r="AB1510" s="12">
        <v>1.4668175371750909E-3</v>
      </c>
      <c r="AC1510" s="12">
        <v>-1.160369412982857</v>
      </c>
      <c r="AD1510" s="12">
        <v>9.8895411360641551E-4</v>
      </c>
      <c r="AE1510" s="12">
        <v>1.3555018111021329</v>
      </c>
      <c r="AF1510" s="12">
        <v>1.0144091094029171</v>
      </c>
      <c r="AG1510" s="12">
        <v>1.0772044434474159</v>
      </c>
      <c r="AH1510" s="12">
        <v>-7.2718746143867818</v>
      </c>
    </row>
    <row r="1511" spans="24:34" x14ac:dyDescent="0.25">
      <c r="X1511">
        <v>69.3</v>
      </c>
      <c r="Y1511" s="12">
        <v>68.178622302332343</v>
      </c>
      <c r="Z1511" s="12">
        <v>1.1213776976676542</v>
      </c>
      <c r="AA1511" s="12">
        <v>1.1220806691840295</v>
      </c>
      <c r="AB1511" s="12">
        <v>6.2648928519530773E-4</v>
      </c>
      <c r="AC1511" s="12">
        <v>0.17912517891091834</v>
      </c>
      <c r="AD1511" s="12">
        <v>1.0057014875109694E-5</v>
      </c>
      <c r="AE1511" s="12">
        <v>1.3555018111021329</v>
      </c>
      <c r="AF1511" s="12">
        <v>1.015667447025044</v>
      </c>
      <c r="AG1511" s="12">
        <v>0.42323182643903134</v>
      </c>
      <c r="AH1511" s="12">
        <v>1.1220806691840226</v>
      </c>
    </row>
    <row r="1512" spans="24:34" x14ac:dyDescent="0.25">
      <c r="X1512">
        <v>69.2</v>
      </c>
      <c r="Y1512" s="12">
        <v>68.129304943036743</v>
      </c>
      <c r="Z1512" s="12">
        <v>1.0706950569632596</v>
      </c>
      <c r="AA1512" s="12">
        <v>1.0713681856571213</v>
      </c>
      <c r="AB1512" s="12">
        <v>6.2828885799879448E-4</v>
      </c>
      <c r="AC1512" s="12">
        <v>0.17102945485140875</v>
      </c>
      <c r="AD1512" s="12">
        <v>9.1948390883668652E-6</v>
      </c>
      <c r="AE1512" s="12">
        <v>1.3748000243745633</v>
      </c>
      <c r="AF1512" s="12">
        <v>1.0200958558842224</v>
      </c>
      <c r="AG1512" s="12">
        <v>0.41355707568775646</v>
      </c>
      <c r="AH1512" s="12">
        <v>1.0713681856571224</v>
      </c>
    </row>
    <row r="1513" spans="24:34" x14ac:dyDescent="0.25">
      <c r="X1513">
        <v>75.099999999999994</v>
      </c>
      <c r="Y1513" s="12">
        <v>77.006429616243409</v>
      </c>
      <c r="Z1513" s="12">
        <v>-1.9064296162434147</v>
      </c>
      <c r="AA1513" s="12">
        <v>-1.9093880915684167</v>
      </c>
      <c r="AB1513" s="12">
        <v>1.5494363550670933E-3</v>
      </c>
      <c r="AC1513" s="12">
        <v>-0.30466750255851327</v>
      </c>
      <c r="AD1513" s="12">
        <v>7.2022707710132111E-5</v>
      </c>
      <c r="AE1513" s="12">
        <v>1.3748000243745633</v>
      </c>
      <c r="AF1513" s="12">
        <v>1.0214410878988656</v>
      </c>
      <c r="AG1513" s="12">
        <v>0.55196693973327182</v>
      </c>
      <c r="AH1513" s="12">
        <v>-1.9093880915684229</v>
      </c>
    </row>
    <row r="1514" spans="24:34" x14ac:dyDescent="0.25">
      <c r="X1514">
        <v>74.900000000000006</v>
      </c>
      <c r="Y1514" s="12">
        <v>76.957112256947823</v>
      </c>
      <c r="Z1514" s="12">
        <v>-2.0571122569478177</v>
      </c>
      <c r="AA1514" s="12">
        <v>-2.0602797347412718</v>
      </c>
      <c r="AB1514" s="12">
        <v>1.5374018100739587E-3</v>
      </c>
      <c r="AC1514" s="12">
        <v>-0.32874619205021638</v>
      </c>
      <c r="AD1514" s="12">
        <v>8.3204545620027212E-5</v>
      </c>
      <c r="AE1514" s="12">
        <v>1.3748000243745633</v>
      </c>
      <c r="AF1514" s="12">
        <v>1.0218907850633105</v>
      </c>
      <c r="AG1514" s="12">
        <v>0.5733639263593554</v>
      </c>
      <c r="AH1514" s="12">
        <v>-2.0602797347412678</v>
      </c>
    </row>
    <row r="1515" spans="24:34" x14ac:dyDescent="0.25">
      <c r="X1515">
        <v>74.900000000000006</v>
      </c>
      <c r="Y1515" s="12">
        <v>76.957112256947823</v>
      </c>
      <c r="Z1515" s="12">
        <v>-2.0571122569478177</v>
      </c>
      <c r="AA1515" s="12">
        <v>-2.0602797347412718</v>
      </c>
      <c r="AB1515" s="12">
        <v>1.5374018100739587E-3</v>
      </c>
      <c r="AC1515" s="12">
        <v>-0.32874619205021638</v>
      </c>
      <c r="AD1515" s="12">
        <v>8.3204545620027212E-5</v>
      </c>
      <c r="AE1515" s="12">
        <v>1.3748000243745633</v>
      </c>
      <c r="AF1515" s="12">
        <v>1.026596094317954</v>
      </c>
      <c r="AG1515" s="12">
        <v>0.5733639263593554</v>
      </c>
      <c r="AH1515" s="12">
        <v>-2.0602797347412678</v>
      </c>
    </row>
    <row r="1516" spans="24:34" x14ac:dyDescent="0.25">
      <c r="X1516">
        <v>74.8</v>
      </c>
      <c r="Y1516" s="12">
        <v>76.957112256947823</v>
      </c>
      <c r="Z1516" s="12">
        <v>-2.1571122569478263</v>
      </c>
      <c r="AA1516" s="12">
        <v>-2.160433711646661</v>
      </c>
      <c r="AB1516" s="12">
        <v>1.5374018100739587E-3</v>
      </c>
      <c r="AC1516" s="12">
        <v>-0.34472714743755201</v>
      </c>
      <c r="AD1516" s="12">
        <v>9.1490618304788533E-5</v>
      </c>
      <c r="AE1516" s="12">
        <v>1.3748000243745633</v>
      </c>
      <c r="AF1516" s="12">
        <v>1.0293165632573689</v>
      </c>
      <c r="AG1516" s="12">
        <v>0.58713469275588881</v>
      </c>
      <c r="AH1516" s="12">
        <v>-2.1604337116466565</v>
      </c>
    </row>
    <row r="1517" spans="24:34" x14ac:dyDescent="0.25">
      <c r="X1517">
        <v>74.8</v>
      </c>
      <c r="Y1517" s="12">
        <v>77.006429616243409</v>
      </c>
      <c r="Z1517" s="12">
        <v>-2.2064296162434118</v>
      </c>
      <c r="AA1517" s="12">
        <v>-2.2098536438185192</v>
      </c>
      <c r="AB1517" s="12">
        <v>1.5494363550670933E-3</v>
      </c>
      <c r="AC1517" s="12">
        <v>-0.35261065765261829</v>
      </c>
      <c r="AD1517" s="12">
        <v>9.6473503175739393E-5</v>
      </c>
      <c r="AE1517" s="12">
        <v>1.3946242806491955</v>
      </c>
      <c r="AF1517" s="12">
        <v>1.0295413022294642</v>
      </c>
      <c r="AG1517" s="12">
        <v>0.59381028759412569</v>
      </c>
      <c r="AH1517" s="12">
        <v>-2.2098536438185219</v>
      </c>
    </row>
    <row r="1518" spans="24:34" x14ac:dyDescent="0.25">
      <c r="X1518">
        <v>74.7</v>
      </c>
      <c r="Y1518" s="12">
        <v>77.006429616243409</v>
      </c>
      <c r="Z1518" s="12">
        <v>-2.3064296162434061</v>
      </c>
      <c r="AA1518" s="12">
        <v>-2.310008827901882</v>
      </c>
      <c r="AB1518" s="12">
        <v>1.5494363550670933E-3</v>
      </c>
      <c r="AC1518" s="12">
        <v>-0.3685917093506525</v>
      </c>
      <c r="AD1518" s="12">
        <v>1.0541643004820363E-4</v>
      </c>
      <c r="AE1518" s="12">
        <v>1.3946242806491955</v>
      </c>
      <c r="AF1518" s="12">
        <v>1.0380502292493436</v>
      </c>
      <c r="AG1518" s="12">
        <v>0.60711754162653919</v>
      </c>
      <c r="AH1518" s="12">
        <v>-2.3100088279018833</v>
      </c>
    </row>
    <row r="1519" spans="24:34" x14ac:dyDescent="0.25">
      <c r="X1519">
        <v>74.7</v>
      </c>
      <c r="Y1519" s="12">
        <v>77.006429616243409</v>
      </c>
      <c r="Z1519" s="12">
        <v>-2.3064296162434061</v>
      </c>
      <c r="AA1519" s="12">
        <v>-2.310008827901882</v>
      </c>
      <c r="AB1519" s="12">
        <v>1.5494363550670933E-3</v>
      </c>
      <c r="AC1519" s="12">
        <v>-0.3685917093506525</v>
      </c>
      <c r="AD1519" s="12">
        <v>1.0541643004820363E-4</v>
      </c>
      <c r="AE1519" s="12">
        <v>1.3946242806491955</v>
      </c>
      <c r="AF1519" s="12">
        <v>1.0388429136221622</v>
      </c>
      <c r="AG1519" s="12">
        <v>0.60711754162653919</v>
      </c>
      <c r="AH1519" s="12">
        <v>-2.3100088279018833</v>
      </c>
    </row>
    <row r="1520" spans="24:34" x14ac:dyDescent="0.25">
      <c r="X1520">
        <v>74.599999999999994</v>
      </c>
      <c r="Y1520" s="12">
        <v>77.006429616243409</v>
      </c>
      <c r="Z1520" s="12">
        <v>-2.4064296162434147</v>
      </c>
      <c r="AA1520" s="12">
        <v>-2.410164011985259</v>
      </c>
      <c r="AB1520" s="12">
        <v>1.5494363550670933E-3</v>
      </c>
      <c r="AC1520" s="12">
        <v>-0.38457276104868904</v>
      </c>
      <c r="AD1520" s="12">
        <v>1.1475568777930032E-4</v>
      </c>
      <c r="AE1520" s="12">
        <v>1.3946242806491955</v>
      </c>
      <c r="AF1520" s="12">
        <v>1.0408070416110324</v>
      </c>
      <c r="AG1520" s="12">
        <v>0.62013930777583282</v>
      </c>
      <c r="AH1520" s="12">
        <v>-2.410164011985259</v>
      </c>
    </row>
    <row r="1521" spans="24:34" x14ac:dyDescent="0.25">
      <c r="X1521">
        <v>74.400000000000006</v>
      </c>
      <c r="Y1521" s="12">
        <v>77.006429616243409</v>
      </c>
      <c r="Z1521" s="12">
        <v>-2.6064296162434033</v>
      </c>
      <c r="AA1521" s="12">
        <v>-2.6104743801519845</v>
      </c>
      <c r="AB1521" s="12">
        <v>1.5494363550670933E-3</v>
      </c>
      <c r="AC1521" s="12">
        <v>-0.41653486444475751</v>
      </c>
      <c r="AD1521" s="12">
        <v>1.3462319581738436E-4</v>
      </c>
      <c r="AE1521" s="12">
        <v>1.3946242806491955</v>
      </c>
      <c r="AF1521" s="12">
        <v>1.0441704192502477</v>
      </c>
      <c r="AG1521" s="12">
        <v>0.6453951227308411</v>
      </c>
      <c r="AH1521" s="12">
        <v>-2.6104743801519819</v>
      </c>
    </row>
    <row r="1522" spans="24:34" x14ac:dyDescent="0.25">
      <c r="X1522">
        <v>74.2</v>
      </c>
      <c r="Y1522" s="12">
        <v>76.907794897652224</v>
      </c>
      <c r="Z1522" s="12">
        <v>-2.7077948976522208</v>
      </c>
      <c r="AA1522" s="12">
        <v>-2.7119317992371208</v>
      </c>
      <c r="AB1522" s="12">
        <v>1.5254445506551072E-3</v>
      </c>
      <c r="AC1522" s="12">
        <v>-0.43272890347261844</v>
      </c>
      <c r="AD1522" s="12">
        <v>1.4304123020108329E-4</v>
      </c>
      <c r="AE1522" s="12">
        <v>1.3946242806491955</v>
      </c>
      <c r="AF1522" s="12">
        <v>1.0480011592766461</v>
      </c>
      <c r="AG1522" s="12">
        <v>0.65782133096504136</v>
      </c>
      <c r="AH1522" s="12">
        <v>-2.7119317992371155</v>
      </c>
    </row>
    <row r="1523" spans="24:34" x14ac:dyDescent="0.25">
      <c r="X1523">
        <v>74</v>
      </c>
      <c r="Y1523" s="12">
        <v>76.858477538356638</v>
      </c>
      <c r="Z1523" s="12">
        <v>-2.8584775383566381</v>
      </c>
      <c r="AA1523" s="12">
        <v>-2.8628105870513139</v>
      </c>
      <c r="AB1523" s="12">
        <v>1.5135645768105384E-3</v>
      </c>
      <c r="AC1523" s="12">
        <v>-0.45680656730866409</v>
      </c>
      <c r="AD1523" s="12">
        <v>1.5815883888170633E-4</v>
      </c>
      <c r="AE1523" s="12">
        <v>1.4191611772342045</v>
      </c>
      <c r="AF1523" s="12">
        <v>1.0518221920170263</v>
      </c>
      <c r="AG1523" s="12">
        <v>0.67587466834366861</v>
      </c>
      <c r="AH1523" s="12">
        <v>-2.862810587051317</v>
      </c>
    </row>
    <row r="1524" spans="24:34" x14ac:dyDescent="0.25">
      <c r="X1524">
        <v>73.7</v>
      </c>
      <c r="Y1524" s="12">
        <v>76.759842819765453</v>
      </c>
      <c r="Z1524" s="12">
        <v>-3.0598428197654499</v>
      </c>
      <c r="AA1524" s="12">
        <v>-3.0644089008352466</v>
      </c>
      <c r="AB1524" s="12">
        <v>1.4900364858442489E-3</v>
      </c>
      <c r="AC1524" s="12">
        <v>-0.48898051789534785</v>
      </c>
      <c r="AD1524" s="12">
        <v>1.7840113654726418E-4</v>
      </c>
      <c r="AE1524" s="12">
        <v>1.4191611772342045</v>
      </c>
      <c r="AF1524" s="12">
        <v>1.0556496322037261</v>
      </c>
      <c r="AG1524" s="12">
        <v>0.699271419332542</v>
      </c>
      <c r="AH1524" s="12">
        <v>-3.0644089008352404</v>
      </c>
    </row>
    <row r="1525" spans="24:34" x14ac:dyDescent="0.25">
      <c r="X1525">
        <v>73.5</v>
      </c>
      <c r="Y1525" s="12">
        <v>76.661208101174267</v>
      </c>
      <c r="Z1525" s="12">
        <v>-3.1612081011742674</v>
      </c>
      <c r="AA1525" s="12">
        <v>-3.1658518281559083</v>
      </c>
      <c r="AB1525" s="12">
        <v>1.4668175371750909E-3</v>
      </c>
      <c r="AC1525" s="12">
        <v>-0.50517340056443649</v>
      </c>
      <c r="AD1525" s="12">
        <v>1.8744098020732802E-4</v>
      </c>
      <c r="AE1525" s="12">
        <v>1.4191611772342045</v>
      </c>
      <c r="AF1525" s="12">
        <v>1.055876273585886</v>
      </c>
      <c r="AG1525" s="12">
        <v>0.71075551391771596</v>
      </c>
      <c r="AH1525" s="12">
        <v>-3.1658518281559043</v>
      </c>
    </row>
    <row r="1526" spans="24:34" x14ac:dyDescent="0.25">
      <c r="X1526">
        <v>73.2</v>
      </c>
      <c r="Y1526" s="12">
        <v>77.055746975539009</v>
      </c>
      <c r="Z1526" s="12">
        <v>-3.8557469755390059</v>
      </c>
      <c r="AA1526" s="12">
        <v>-3.8617773269171778</v>
      </c>
      <c r="AB1526" s="12">
        <v>1.5615481856345104E-3</v>
      </c>
      <c r="AC1526" s="12">
        <v>-0.61619265491903197</v>
      </c>
      <c r="AD1526" s="12">
        <v>2.9691841295483159E-4</v>
      </c>
      <c r="AE1526" s="12">
        <v>1.4191611772342045</v>
      </c>
      <c r="AF1526" s="12">
        <v>1.0601455402077302</v>
      </c>
      <c r="AG1526" s="12">
        <v>0.78497939776724834</v>
      </c>
      <c r="AH1526" s="12">
        <v>-3.8617773269171778</v>
      </c>
    </row>
    <row r="1527" spans="24:34" x14ac:dyDescent="0.25">
      <c r="X1527">
        <v>72.900000000000006</v>
      </c>
      <c r="Y1527" s="12">
        <v>72.074693686684157</v>
      </c>
      <c r="Z1527" s="12">
        <v>0.82530631331584914</v>
      </c>
      <c r="AA1527" s="12">
        <v>0.82590802484818937</v>
      </c>
      <c r="AB1527" s="12">
        <v>7.2854544845350733E-4</v>
      </c>
      <c r="AC1527" s="12">
        <v>0.13183844326960098</v>
      </c>
      <c r="AD1527" s="12">
        <v>6.3361770600939205E-6</v>
      </c>
      <c r="AE1527" s="12">
        <v>1.4191611772342045</v>
      </c>
      <c r="AF1527" s="12">
        <v>1.0703504468303997</v>
      </c>
      <c r="AG1527" s="12">
        <v>0.36309563928750366</v>
      </c>
      <c r="AH1527" s="12">
        <v>0.82590802484819348</v>
      </c>
    </row>
    <row r="1528" spans="24:34" x14ac:dyDescent="0.25">
      <c r="X1528">
        <v>75.5</v>
      </c>
      <c r="Y1528" s="12">
        <v>76.759842819765453</v>
      </c>
      <c r="Z1528" s="12">
        <v>-1.2598428197654528</v>
      </c>
      <c r="AA1528" s="12">
        <v>-1.261722832821377</v>
      </c>
      <c r="AB1528" s="12">
        <v>1.4900364858442489E-3</v>
      </c>
      <c r="AC1528" s="12">
        <v>-0.20133014365844731</v>
      </c>
      <c r="AD1528" s="12">
        <v>3.0243504305740683E-5</v>
      </c>
      <c r="AE1528" s="12">
        <v>1.4191611772342045</v>
      </c>
      <c r="AF1528" s="12">
        <v>1.0713998326951428</v>
      </c>
      <c r="AG1528" s="12">
        <v>0.44869827686146435</v>
      </c>
      <c r="AH1528" s="12">
        <v>-1.2617228328213794</v>
      </c>
    </row>
    <row r="1529" spans="24:34" x14ac:dyDescent="0.25">
      <c r="X1529">
        <v>75.2</v>
      </c>
      <c r="Y1529" s="12">
        <v>76.661208101174267</v>
      </c>
      <c r="Z1529" s="12">
        <v>-1.4612081011742646</v>
      </c>
      <c r="AA1529" s="12">
        <v>-1.4633545753284665</v>
      </c>
      <c r="AB1529" s="12">
        <v>1.4668175371750909E-3</v>
      </c>
      <c r="AC1529" s="12">
        <v>-0.23350676126899303</v>
      </c>
      <c r="AD1529" s="12">
        <v>4.0048155350692054E-5</v>
      </c>
      <c r="AE1529" s="12">
        <v>1.4191611772342045</v>
      </c>
      <c r="AF1529" s="12">
        <v>1.0713998326951428</v>
      </c>
      <c r="AG1529" s="12">
        <v>0.48322537316348885</v>
      </c>
      <c r="AH1529" s="12">
        <v>-1.4633545753284618</v>
      </c>
    </row>
    <row r="1530" spans="24:34" x14ac:dyDescent="0.25">
      <c r="X1530">
        <v>74.8</v>
      </c>
      <c r="Y1530" s="12">
        <v>72.074693686684157</v>
      </c>
      <c r="Z1530" s="12">
        <v>2.7253063133158406</v>
      </c>
      <c r="AA1530" s="12">
        <v>2.7272932704146058</v>
      </c>
      <c r="AB1530" s="12">
        <v>7.2854544845350733E-4</v>
      </c>
      <c r="AC1530" s="12">
        <v>0.43535368139474029</v>
      </c>
      <c r="AD1530" s="12">
        <v>6.9091976195755531E-5</v>
      </c>
      <c r="AE1530" s="12">
        <v>1.4191611772342045</v>
      </c>
      <c r="AF1530" s="12">
        <v>1.0782720532585777</v>
      </c>
      <c r="AG1530" s="12">
        <v>0.65981336860868489</v>
      </c>
      <c r="AH1530" s="12">
        <v>2.7272932704145991</v>
      </c>
    </row>
    <row r="1531" spans="24:34" x14ac:dyDescent="0.25">
      <c r="X1531">
        <v>74.5</v>
      </c>
      <c r="Y1531" s="12">
        <v>71.976058968092971</v>
      </c>
      <c r="Z1531" s="12">
        <v>2.5239410319070288</v>
      </c>
      <c r="AA1531" s="12">
        <v>2.5257596059977345</v>
      </c>
      <c r="AB1531" s="12">
        <v>7.2001075889808119E-4</v>
      </c>
      <c r="AC1531" s="12">
        <v>0.40318489049038159</v>
      </c>
      <c r="AD1531" s="12">
        <v>5.8563941271683801E-5</v>
      </c>
      <c r="AE1531" s="12">
        <v>1.4191611772342045</v>
      </c>
      <c r="AF1531" s="12">
        <v>1.0804326604836814</v>
      </c>
      <c r="AG1531" s="12">
        <v>0.63496841692353612</v>
      </c>
      <c r="AH1531" s="12">
        <v>2.5257596059977372</v>
      </c>
    </row>
    <row r="1532" spans="24:34" x14ac:dyDescent="0.25">
      <c r="X1532">
        <v>74.2</v>
      </c>
      <c r="Y1532" s="12">
        <v>71.877424249501786</v>
      </c>
      <c r="Z1532" s="12">
        <v>2.322575750498217</v>
      </c>
      <c r="AA1532" s="12">
        <v>2.3242301031140613</v>
      </c>
      <c r="AB1532" s="12">
        <v>7.1178521163978625E-4</v>
      </c>
      <c r="AC1532" s="12">
        <v>0.37101643172993937</v>
      </c>
      <c r="AD1532" s="12">
        <v>4.9024648438452059E-5</v>
      </c>
      <c r="AE1532" s="12">
        <v>1.4576525936309466</v>
      </c>
      <c r="AF1532" s="12">
        <v>1.0871499523680024</v>
      </c>
      <c r="AG1532" s="12">
        <v>0.60911118174758483</v>
      </c>
      <c r="AH1532" s="12">
        <v>2.3242301031140618</v>
      </c>
    </row>
    <row r="1533" spans="24:34" x14ac:dyDescent="0.25">
      <c r="X1533">
        <v>73.900000000000006</v>
      </c>
      <c r="Y1533" s="12">
        <v>71.778789530910601</v>
      </c>
      <c r="Z1533" s="12">
        <v>2.1212104690894051</v>
      </c>
      <c r="AA1533" s="12">
        <v>2.1227045746252742</v>
      </c>
      <c r="AB1533" s="12">
        <v>7.0386880667862241E-4</v>
      </c>
      <c r="AC1533" s="12">
        <v>0.33884829017939366</v>
      </c>
      <c r="AD1533" s="12">
        <v>4.0436924244124055E-5</v>
      </c>
      <c r="AE1533" s="12">
        <v>1.4576525936309466</v>
      </c>
      <c r="AF1533" s="12">
        <v>1.0876032345815179</v>
      </c>
      <c r="AG1533" s="12">
        <v>0.58210676871119926</v>
      </c>
      <c r="AH1533" s="12">
        <v>2.1227045746252777</v>
      </c>
    </row>
    <row r="1534" spans="24:34" x14ac:dyDescent="0.25">
      <c r="X1534">
        <v>73.5</v>
      </c>
      <c r="Y1534" s="12">
        <v>71.630837453023815</v>
      </c>
      <c r="Z1534" s="12">
        <v>1.8691625469761846</v>
      </c>
      <c r="AA1534" s="12">
        <v>1.8704579772419976</v>
      </c>
      <c r="AB1534" s="12">
        <v>6.9257384104399783E-4</v>
      </c>
      <c r="AC1534" s="12">
        <v>0.29858373930664472</v>
      </c>
      <c r="AD1534" s="12">
        <v>3.0893654031470546E-5</v>
      </c>
      <c r="AE1534" s="12">
        <v>1.4576525936309466</v>
      </c>
      <c r="AF1534" s="12">
        <v>1.0878301335941964</v>
      </c>
      <c r="AG1534" s="12">
        <v>0.54642816481825374</v>
      </c>
      <c r="AH1534" s="12">
        <v>1.8704579772419945</v>
      </c>
    </row>
    <row r="1535" spans="24:34" x14ac:dyDescent="0.25">
      <c r="X1535">
        <v>73.2</v>
      </c>
      <c r="Y1535" s="12">
        <v>71.482885375137045</v>
      </c>
      <c r="Z1535" s="12">
        <v>1.7171146248629583</v>
      </c>
      <c r="AA1535" s="12">
        <v>1.7182864523136203</v>
      </c>
      <c r="AB1535" s="12">
        <v>6.8197444557791822E-4</v>
      </c>
      <c r="AC1535" s="12">
        <v>0.27429384742878699</v>
      </c>
      <c r="AD1535" s="12">
        <v>2.5672402727538415E-5</v>
      </c>
      <c r="AE1535" s="12">
        <v>1.4576525936309466</v>
      </c>
      <c r="AF1535" s="12">
        <v>1.0952515147837214</v>
      </c>
      <c r="AG1535" s="12">
        <v>0.52373070124710752</v>
      </c>
      <c r="AH1535" s="12">
        <v>1.718286452313619</v>
      </c>
    </row>
    <row r="1536" spans="24:34" x14ac:dyDescent="0.25">
      <c r="X1536">
        <v>72.8</v>
      </c>
      <c r="Y1536" s="12">
        <v>71.384250656545859</v>
      </c>
      <c r="Z1536" s="12">
        <v>1.4157493434541379</v>
      </c>
      <c r="AA1536" s="12">
        <v>1.4167060374048788</v>
      </c>
      <c r="AB1536" s="12">
        <v>6.752946098052793E-4</v>
      </c>
      <c r="AC1536" s="12">
        <v>0.22615265801980058</v>
      </c>
      <c r="AD1536" s="12">
        <v>1.72806492883862E-5</v>
      </c>
      <c r="AE1536" s="12">
        <v>1.4576525936309466</v>
      </c>
      <c r="AF1536" s="12">
        <v>1.0954782184276444</v>
      </c>
      <c r="AG1536" s="12">
        <v>0.47555510513483146</v>
      </c>
      <c r="AH1536" s="12">
        <v>1.4167060374048761</v>
      </c>
    </row>
    <row r="1537" spans="24:34" x14ac:dyDescent="0.25">
      <c r="X1537">
        <v>72.400000000000006</v>
      </c>
      <c r="Y1537" s="12">
        <v>71.236298578659074</v>
      </c>
      <c r="Z1537" s="12">
        <v>1.1637014213409316</v>
      </c>
      <c r="AA1537" s="12">
        <v>1.1644767934516125</v>
      </c>
      <c r="AB1537" s="12">
        <v>6.6585449795344173E-4</v>
      </c>
      <c r="AC1537" s="12">
        <v>0.18588949220924658</v>
      </c>
      <c r="AD1537" s="12">
        <v>1.151193417207247E-5</v>
      </c>
      <c r="AE1537" s="12">
        <v>1.4576525936309466</v>
      </c>
      <c r="AF1537" s="12">
        <v>1.0954782184276444</v>
      </c>
      <c r="AG1537" s="12">
        <v>0.43114903711970248</v>
      </c>
      <c r="AH1537" s="12">
        <v>1.1644767934516138</v>
      </c>
    </row>
    <row r="1538" spans="24:34" x14ac:dyDescent="0.25">
      <c r="X1538">
        <v>72</v>
      </c>
      <c r="Y1538" s="12">
        <v>71.088346500772303</v>
      </c>
      <c r="Z1538" s="12">
        <v>0.91165349922769678</v>
      </c>
      <c r="AA1538" s="12">
        <v>0.9122529497235945</v>
      </c>
      <c r="AB1538" s="12">
        <v>6.5710995627014956E-4</v>
      </c>
      <c r="AC1538" s="12">
        <v>0.1456267574231698</v>
      </c>
      <c r="AD1538" s="12">
        <v>6.9722970844129499E-6</v>
      </c>
      <c r="AE1538" s="12">
        <v>1.4576525936309466</v>
      </c>
      <c r="AF1538" s="12">
        <v>1.0975031802010247</v>
      </c>
      <c r="AG1538" s="12">
        <v>0.38161074070729428</v>
      </c>
      <c r="AH1538" s="12">
        <v>0.91225294972359694</v>
      </c>
    </row>
    <row r="1539" spans="24:34" x14ac:dyDescent="0.25">
      <c r="X1539">
        <v>71.599999999999994</v>
      </c>
      <c r="Y1539" s="12">
        <v>70.940394422885518</v>
      </c>
      <c r="Z1539" s="12">
        <v>0.6596055771144762</v>
      </c>
      <c r="AA1539" s="12">
        <v>0.66003397941912567</v>
      </c>
      <c r="AB1539" s="12">
        <v>6.4906098475540235E-4</v>
      </c>
      <c r="AC1539" s="12">
        <v>0.10536441161696232</v>
      </c>
      <c r="AD1539" s="12">
        <v>3.6051669110556341E-6</v>
      </c>
      <c r="AE1539" s="12">
        <v>1.4576525936309466</v>
      </c>
      <c r="AF1539" s="12">
        <v>1.0996723149360121</v>
      </c>
      <c r="AG1539" s="12">
        <v>0.32459884722063065</v>
      </c>
      <c r="AH1539" s="12">
        <v>0.66003397941913</v>
      </c>
    </row>
    <row r="1540" spans="24:34" x14ac:dyDescent="0.25">
      <c r="X1540">
        <v>71.2</v>
      </c>
      <c r="Y1540" s="12">
        <v>70.792442344998747</v>
      </c>
      <c r="Z1540" s="12">
        <v>0.40755765500125563</v>
      </c>
      <c r="AA1540" s="12">
        <v>0.40781935577452089</v>
      </c>
      <c r="AB1540" s="12">
        <v>6.4170758340920055E-4</v>
      </c>
      <c r="AC1540" s="12">
        <v>6.5102412748285224E-2</v>
      </c>
      <c r="AD1540" s="12">
        <v>1.3607555797790612E-6</v>
      </c>
      <c r="AE1540" s="12">
        <v>1.4576525936309466</v>
      </c>
      <c r="AF1540" s="12">
        <v>1.1040342659902653</v>
      </c>
      <c r="AG1540" s="12">
        <v>0.25515174455269796</v>
      </c>
      <c r="AH1540" s="12">
        <v>0.40781935577451717</v>
      </c>
    </row>
    <row r="1541" spans="24:34" x14ac:dyDescent="0.25">
      <c r="X1541">
        <v>78</v>
      </c>
      <c r="Y1541" s="12">
        <v>76.907794897652224</v>
      </c>
      <c r="Z1541" s="12">
        <v>1.0922051023477763</v>
      </c>
      <c r="AA1541" s="12">
        <v>1.0938737460928536</v>
      </c>
      <c r="AB1541" s="12">
        <v>1.5254445506551072E-3</v>
      </c>
      <c r="AC1541" s="12">
        <v>0.17454376500817786</v>
      </c>
      <c r="AD1541" s="12">
        <v>2.3272235741155024E-5</v>
      </c>
      <c r="AE1541" s="12">
        <v>1.4576525936309466</v>
      </c>
      <c r="AF1541" s="12">
        <v>1.1040616729686279</v>
      </c>
      <c r="AG1541" s="12">
        <v>0.41778435227779637</v>
      </c>
      <c r="AH1541" s="12">
        <v>1.0938737460928583</v>
      </c>
    </row>
    <row r="1542" spans="24:34" x14ac:dyDescent="0.25">
      <c r="X1542">
        <v>74</v>
      </c>
      <c r="Y1542" s="12">
        <v>70.545855548520777</v>
      </c>
      <c r="Z1542" s="12">
        <v>3.4541444514792232</v>
      </c>
      <c r="AA1542" s="12">
        <v>3.4563253845915369</v>
      </c>
      <c r="AB1542" s="12">
        <v>6.3099762598451987E-4</v>
      </c>
      <c r="AC1542" s="12">
        <v>0.55175489911308739</v>
      </c>
      <c r="AD1542" s="12">
        <v>9.6109042586188872E-5</v>
      </c>
      <c r="AE1542" s="12">
        <v>1.4576525936309466</v>
      </c>
      <c r="AF1542" s="12">
        <v>1.1044891949223867</v>
      </c>
      <c r="AG1542" s="12">
        <v>0.74280205917396824</v>
      </c>
      <c r="AH1542" s="12">
        <v>3.4563253845915303</v>
      </c>
    </row>
    <row r="1543" spans="24:34" x14ac:dyDescent="0.25">
      <c r="X1543">
        <v>66</v>
      </c>
      <c r="Y1543" s="12">
        <v>66.896370960646934</v>
      </c>
      <c r="Z1543" s="12">
        <v>-0.89637096064693367</v>
      </c>
      <c r="AA1543" s="12">
        <v>-0.89699742004789584</v>
      </c>
      <c r="AB1543" s="12">
        <v>6.9839598972787061E-4</v>
      </c>
      <c r="AC1543" s="12">
        <v>-0.14318849547748858</v>
      </c>
      <c r="AD1543" s="12">
        <v>7.164591087286156E-6</v>
      </c>
      <c r="AE1543" s="12">
        <v>1.4576525936309466</v>
      </c>
      <c r="AF1543" s="12">
        <v>1.1107749963364246</v>
      </c>
      <c r="AG1543" s="12">
        <v>0.37840255744047052</v>
      </c>
      <c r="AH1543" s="12">
        <v>-0.8969974200478914</v>
      </c>
    </row>
    <row r="1544" spans="24:34" x14ac:dyDescent="0.25">
      <c r="X1544">
        <v>65.400000000000006</v>
      </c>
      <c r="Y1544" s="12">
        <v>66.353880008395407</v>
      </c>
      <c r="Z1544" s="12">
        <v>-0.95388000839540155</v>
      </c>
      <c r="AA1544" s="12">
        <v>-0.95459074480240247</v>
      </c>
      <c r="AB1544" s="12">
        <v>7.4454567139665875E-4</v>
      </c>
      <c r="AC1544" s="12">
        <v>-0.15237865040876719</v>
      </c>
      <c r="AD1544" s="12">
        <v>8.6503377660219356E-6</v>
      </c>
      <c r="AE1544" s="12">
        <v>1.4576525936309466</v>
      </c>
      <c r="AF1544" s="12">
        <v>1.1114549561370928</v>
      </c>
      <c r="AG1544" s="12">
        <v>0.3903570806438218</v>
      </c>
      <c r="AH1544" s="12">
        <v>-0.95459074480239947</v>
      </c>
    </row>
    <row r="1545" spans="24:34" x14ac:dyDescent="0.25">
      <c r="X1545">
        <v>65.599999999999994</v>
      </c>
      <c r="Y1545" s="12">
        <v>76.513256023287482</v>
      </c>
      <c r="Z1545" s="12">
        <v>-10.913256023287488</v>
      </c>
      <c r="AA1545" s="12">
        <v>-10.928912441788412</v>
      </c>
      <c r="AB1545" s="12">
        <v>1.4325687559784749E-3</v>
      </c>
      <c r="AC1545" s="12">
        <v>-1.7439510261808686</v>
      </c>
      <c r="AD1545" s="12">
        <v>2.1816076704109376E-3</v>
      </c>
      <c r="AE1545" s="12">
        <v>1.4576525936309466</v>
      </c>
      <c r="AF1545" s="12">
        <v>1.1114549561370928</v>
      </c>
      <c r="AG1545" s="12">
        <v>1.3205873792297382</v>
      </c>
      <c r="AH1545" s="12">
        <v>-10.92891244178842</v>
      </c>
    </row>
    <row r="1546" spans="24:34" x14ac:dyDescent="0.25">
      <c r="X1546">
        <v>65.599999999999994</v>
      </c>
      <c r="Y1546" s="12">
        <v>66.896370960646934</v>
      </c>
      <c r="Z1546" s="12">
        <v>-1.2963709606469394</v>
      </c>
      <c r="AA1546" s="12">
        <v>-1.2972769736829264</v>
      </c>
      <c r="AB1546" s="12">
        <v>6.9839598972787061E-4</v>
      </c>
      <c r="AC1546" s="12">
        <v>-0.20708547642124775</v>
      </c>
      <c r="AD1546" s="12">
        <v>1.4985610476193697E-5</v>
      </c>
      <c r="AE1546" s="12">
        <v>1.5222105313262397</v>
      </c>
      <c r="AF1546" s="12">
        <v>1.1123640285711816</v>
      </c>
      <c r="AG1546" s="12">
        <v>0.45506645275305424</v>
      </c>
      <c r="AH1546" s="12">
        <v>-1.2972769736829257</v>
      </c>
    </row>
    <row r="1547" spans="24:34" x14ac:dyDescent="0.25">
      <c r="X1547">
        <v>65.8</v>
      </c>
      <c r="Y1547" s="12">
        <v>67.19227511642049</v>
      </c>
      <c r="Z1547" s="12">
        <v>-1.3922751164204925</v>
      </c>
      <c r="AA1547" s="12">
        <v>-1.3932185552639993</v>
      </c>
      <c r="AB1547" s="12">
        <v>6.7716500037877261E-4</v>
      </c>
      <c r="AC1547" s="12">
        <v>-0.22240307889981301</v>
      </c>
      <c r="AD1547" s="12">
        <v>1.6758698458743311E-5</v>
      </c>
      <c r="AE1547" s="12">
        <v>1.5222105313262397</v>
      </c>
      <c r="AF1547" s="12">
        <v>1.1123640285711816</v>
      </c>
      <c r="AG1547" s="12">
        <v>0.47159630925168722</v>
      </c>
      <c r="AH1547" s="12">
        <v>-1.3932185552639955</v>
      </c>
    </row>
    <row r="1548" spans="24:34" x14ac:dyDescent="0.25">
      <c r="X1548">
        <v>65.599999999999994</v>
      </c>
      <c r="Y1548" s="12">
        <v>66.995005679238119</v>
      </c>
      <c r="Z1548" s="12">
        <v>-1.3950056792381247</v>
      </c>
      <c r="AA1548" s="12">
        <v>-1.395970308472954</v>
      </c>
      <c r="AB1548" s="12">
        <v>6.9100985098104022E-4</v>
      </c>
      <c r="AC1548" s="12">
        <v>-0.22284080471659504</v>
      </c>
      <c r="AD1548" s="12">
        <v>1.716895588502383E-5</v>
      </c>
      <c r="AE1548" s="12">
        <v>1.5222105313262397</v>
      </c>
      <c r="AF1548" s="12">
        <v>1.115428158873065</v>
      </c>
      <c r="AG1548" s="12">
        <v>0.47206017065263517</v>
      </c>
      <c r="AH1548" s="12">
        <v>-1.3959703084729564</v>
      </c>
    </row>
    <row r="1549" spans="24:34" x14ac:dyDescent="0.25">
      <c r="X1549">
        <v>64.5</v>
      </c>
      <c r="Y1549" s="12">
        <v>66.008658493326266</v>
      </c>
      <c r="Z1549" s="12">
        <v>-1.5086584933262657</v>
      </c>
      <c r="AA1549" s="12">
        <v>-1.5098343260914504</v>
      </c>
      <c r="AB1549" s="12">
        <v>7.7878264182024886E-4</v>
      </c>
      <c r="AC1549" s="12">
        <v>-0.24100650131459608</v>
      </c>
      <c r="AD1549" s="12">
        <v>2.2635085347544667E-5</v>
      </c>
      <c r="AE1549" s="12">
        <v>1.5222105313262397</v>
      </c>
      <c r="AF1549" s="12">
        <v>1.1197839936025069</v>
      </c>
      <c r="AG1549" s="12">
        <v>0.49092412989645973</v>
      </c>
      <c r="AH1549" s="12">
        <v>-1.5098343260914502</v>
      </c>
    </row>
    <row r="1550" spans="24:34" x14ac:dyDescent="0.25">
      <c r="X1550">
        <v>64.099999999999994</v>
      </c>
      <c r="Y1550" s="12">
        <v>65.71275433755271</v>
      </c>
      <c r="Z1550" s="12">
        <v>-1.6127543375527154</v>
      </c>
      <c r="AA1550" s="12">
        <v>-1.6140635735246605</v>
      </c>
      <c r="AB1550" s="12">
        <v>8.1114275386606999E-4</v>
      </c>
      <c r="AC1550" s="12">
        <v>-0.25763986752520551</v>
      </c>
      <c r="AD1550" s="12">
        <v>2.6942993686389188E-5</v>
      </c>
      <c r="AE1550" s="12">
        <v>1.5222105313262397</v>
      </c>
      <c r="AF1550" s="12">
        <v>1.1200113272849841</v>
      </c>
      <c r="AG1550" s="12">
        <v>0.50758237511285353</v>
      </c>
      <c r="AH1550" s="12">
        <v>-1.6140635735246591</v>
      </c>
    </row>
    <row r="1551" spans="24:34" x14ac:dyDescent="0.25">
      <c r="X1551">
        <v>63.7</v>
      </c>
      <c r="Y1551" s="12">
        <v>65.515484900370339</v>
      </c>
      <c r="Z1551" s="12">
        <v>-1.8154849003703362</v>
      </c>
      <c r="AA1551" s="12">
        <v>-1.8170007548239937</v>
      </c>
      <c r="AB1551" s="12">
        <v>8.3426187338227317E-4</v>
      </c>
      <c r="AC1551" s="12">
        <v>-0.29002972721922066</v>
      </c>
      <c r="AD1551" s="12">
        <v>3.5117201169204981E-5</v>
      </c>
      <c r="AE1551" s="12">
        <v>1.5222105313262397</v>
      </c>
      <c r="AF1551" s="12">
        <v>1.1274316938465434</v>
      </c>
      <c r="AG1551" s="12">
        <v>0.5385440810362887</v>
      </c>
      <c r="AH1551" s="12">
        <v>-1.8170007548239928</v>
      </c>
    </row>
    <row r="1552" spans="24:34" x14ac:dyDescent="0.25">
      <c r="X1552">
        <v>63.3</v>
      </c>
      <c r="Y1552" s="12">
        <v>65.367532822483554</v>
      </c>
      <c r="Z1552" s="12">
        <v>-2.0675328224835567</v>
      </c>
      <c r="AA1552" s="12">
        <v>-2.0692967173093564</v>
      </c>
      <c r="AB1552" s="12">
        <v>8.5241271154939523E-4</v>
      </c>
      <c r="AC1552" s="12">
        <v>-0.3302982178788868</v>
      </c>
      <c r="AD1552" s="12">
        <v>4.6537466730819607E-5</v>
      </c>
      <c r="AE1552" s="12">
        <v>1.5519290565282795</v>
      </c>
      <c r="AF1552" s="12">
        <v>1.1311841894249639</v>
      </c>
      <c r="AG1552" s="12">
        <v>0.57471577138520114</v>
      </c>
      <c r="AH1552" s="12">
        <v>-2.0692967173093586</v>
      </c>
    </row>
    <row r="1553" spans="24:34" x14ac:dyDescent="0.25">
      <c r="X1553">
        <v>63.5</v>
      </c>
      <c r="Y1553" s="12">
        <v>65.860706415439481</v>
      </c>
      <c r="Z1553" s="12">
        <v>-2.3607064154394806</v>
      </c>
      <c r="AA1553" s="12">
        <v>-2.3625837597275989</v>
      </c>
      <c r="AB1553" s="12">
        <v>7.9461491275888715E-4</v>
      </c>
      <c r="AC1553" s="12">
        <v>-0.37712318841343073</v>
      </c>
      <c r="AD1553" s="12">
        <v>5.6550757103066999E-5</v>
      </c>
      <c r="AE1553" s="12">
        <v>1.5519290565282795</v>
      </c>
      <c r="AF1553" s="12">
        <v>1.1359883885797051</v>
      </c>
      <c r="AG1553" s="12">
        <v>0.61410356489229956</v>
      </c>
      <c r="AH1553" s="12">
        <v>-2.362583759727602</v>
      </c>
    </row>
    <row r="1554" spans="24:34" x14ac:dyDescent="0.25">
      <c r="X1554">
        <v>63.4</v>
      </c>
      <c r="Y1554" s="12">
        <v>66.205927930508636</v>
      </c>
      <c r="Z1554" s="12">
        <v>-2.8059279305086378</v>
      </c>
      <c r="AA1554" s="12">
        <v>-2.8080585588267652</v>
      </c>
      <c r="AB1554" s="12">
        <v>7.587549452753576E-4</v>
      </c>
      <c r="AC1554" s="12">
        <v>-0.44823934605122023</v>
      </c>
      <c r="AD1554" s="12">
        <v>7.6281836261988948E-5</v>
      </c>
      <c r="AE1554" s="12">
        <v>1.5519290565282795</v>
      </c>
      <c r="AF1554" s="12">
        <v>1.1364438575273879</v>
      </c>
      <c r="AG1554" s="12">
        <v>0.66950679313299</v>
      </c>
      <c r="AH1554" s="12">
        <v>-2.8080585588267701</v>
      </c>
    </row>
    <row r="1555" spans="24:34" x14ac:dyDescent="0.25">
      <c r="X1555">
        <v>63.3</v>
      </c>
      <c r="Y1555" s="12">
        <v>66.304562649099822</v>
      </c>
      <c r="Z1555" s="12">
        <v>-3.0045626490998245</v>
      </c>
      <c r="AA1555" s="12">
        <v>-3.0068153696388862</v>
      </c>
      <c r="AB1555" s="12">
        <v>7.4920481044860878E-4</v>
      </c>
      <c r="AC1555" s="12">
        <v>-0.47996840782585676</v>
      </c>
      <c r="AD1555" s="12">
        <v>8.6361736041394834E-5</v>
      </c>
      <c r="AE1555" s="12">
        <v>1.5519290565282795</v>
      </c>
      <c r="AF1555" s="12">
        <v>1.1368979555890717</v>
      </c>
      <c r="AG1555" s="12">
        <v>0.6927975229645793</v>
      </c>
      <c r="AH1555" s="12">
        <v>-3.0068153696388888</v>
      </c>
    </row>
    <row r="1556" spans="24:34" x14ac:dyDescent="0.25">
      <c r="X1556">
        <v>61.5</v>
      </c>
      <c r="Y1556" s="12">
        <v>75.724178274558</v>
      </c>
      <c r="Z1556" s="12">
        <v>-14.224178274558</v>
      </c>
      <c r="AA1556" s="12">
        <v>-14.242146964684551</v>
      </c>
      <c r="AB1556" s="12">
        <v>1.2616559968875079E-3</v>
      </c>
      <c r="AC1556" s="12">
        <v>-2.2728457595787162</v>
      </c>
      <c r="AD1556" s="12">
        <v>3.2628654546918482E-3</v>
      </c>
      <c r="AE1556" s="12">
        <v>1.5725296242490356</v>
      </c>
      <c r="AF1556" s="12">
        <v>1.1422748403336687</v>
      </c>
      <c r="AG1556" s="12">
        <v>1.5075960200195264</v>
      </c>
      <c r="AH1556" s="12">
        <v>-14.242146964684547</v>
      </c>
    </row>
    <row r="1557" spans="24:34" x14ac:dyDescent="0.25">
      <c r="X1557">
        <v>67</v>
      </c>
      <c r="Y1557" s="12">
        <v>61.570096156722926</v>
      </c>
      <c r="Z1557" s="12">
        <v>5.4299038432770743</v>
      </c>
      <c r="AA1557" s="12">
        <v>5.4383677043320233</v>
      </c>
      <c r="AB1557" s="12">
        <v>1.5563237932965459E-3</v>
      </c>
      <c r="AC1557" s="12">
        <v>0.86775873330759812</v>
      </c>
      <c r="AD1557" s="12">
        <v>5.86873334517477E-4</v>
      </c>
      <c r="AE1557" s="12">
        <v>1.5725296242490356</v>
      </c>
      <c r="AF1557" s="12">
        <v>1.1422748403336687</v>
      </c>
      <c r="AG1557" s="12">
        <v>0.93153568547189758</v>
      </c>
      <c r="AH1557" s="12">
        <v>5.4383677043320215</v>
      </c>
    </row>
    <row r="1558" spans="24:34" x14ac:dyDescent="0.25">
      <c r="X1558">
        <v>60</v>
      </c>
      <c r="Y1558" s="12">
        <v>60.879653126584628</v>
      </c>
      <c r="Z1558" s="12">
        <v>-0.87965312658462835</v>
      </c>
      <c r="AA1558" s="12">
        <v>-0.88118068726420518</v>
      </c>
      <c r="AB1558" s="12">
        <v>1.7335385371596258E-3</v>
      </c>
      <c r="AC1558" s="12">
        <v>-0.14059078313859988</v>
      </c>
      <c r="AD1558" s="12">
        <v>1.7162111717405417E-5</v>
      </c>
      <c r="AE1558" s="12">
        <v>1.5725296242490356</v>
      </c>
      <c r="AF1558" s="12">
        <v>1.1431813526041603</v>
      </c>
      <c r="AG1558" s="12">
        <v>0.37495437474258103</v>
      </c>
      <c r="AH1558" s="12">
        <v>-0.88118068726420162</v>
      </c>
    </row>
    <row r="1559" spans="24:34" x14ac:dyDescent="0.25">
      <c r="X1559">
        <v>59.3</v>
      </c>
      <c r="Y1559" s="12">
        <v>60.485114252219887</v>
      </c>
      <c r="Z1559" s="12">
        <v>-1.1851142522198899</v>
      </c>
      <c r="AA1559" s="12">
        <v>-1.1873007915739038</v>
      </c>
      <c r="AB1559" s="12">
        <v>1.8416052356182717E-3</v>
      </c>
      <c r="AC1559" s="12">
        <v>-0.18942143782233006</v>
      </c>
      <c r="AD1559" s="12">
        <v>3.3099797692008641E-5</v>
      </c>
      <c r="AE1559" s="12">
        <v>1.5725296242490356</v>
      </c>
      <c r="AF1559" s="12">
        <v>1.1501497690986719</v>
      </c>
      <c r="AG1559" s="12">
        <v>0.4352257320314713</v>
      </c>
      <c r="AH1559" s="12">
        <v>-1.187300791573906</v>
      </c>
    </row>
    <row r="1560" spans="24:34" x14ac:dyDescent="0.25">
      <c r="X1560">
        <v>58.4</v>
      </c>
      <c r="Y1560" s="12">
        <v>59.745353862786004</v>
      </c>
      <c r="Z1560" s="12">
        <v>-1.3453538627860055</v>
      </c>
      <c r="AA1560" s="12">
        <v>-1.348127719228799</v>
      </c>
      <c r="AB1560" s="12">
        <v>2.0575620567920162E-3</v>
      </c>
      <c r="AC1560" s="12">
        <v>-0.21505642593531299</v>
      </c>
      <c r="AD1560" s="12">
        <v>4.7678469192921027E-5</v>
      </c>
      <c r="AE1560" s="12">
        <v>1.5725296242490356</v>
      </c>
      <c r="AF1560" s="12">
        <v>1.1519654498744241</v>
      </c>
      <c r="AG1560" s="12">
        <v>0.46374176643398529</v>
      </c>
      <c r="AH1560" s="12">
        <v>-1.3481277192288001</v>
      </c>
    </row>
    <row r="1561" spans="24:34" x14ac:dyDescent="0.25">
      <c r="X1561">
        <v>57.5</v>
      </c>
      <c r="Y1561" s="12">
        <v>58.956276114056521</v>
      </c>
      <c r="Z1561" s="12">
        <v>-1.4562761140565215</v>
      </c>
      <c r="AA1561" s="12">
        <v>-1.4596436328077189</v>
      </c>
      <c r="AB1561" s="12">
        <v>2.3070828217994777E-3</v>
      </c>
      <c r="AC1561" s="12">
        <v>-0.2328165886167213</v>
      </c>
      <c r="AD1561" s="12">
        <v>6.2670641979062393E-5</v>
      </c>
      <c r="AE1561" s="12">
        <v>1.5992570753291051</v>
      </c>
      <c r="AF1561" s="12">
        <v>1.1591579652109718</v>
      </c>
      <c r="AG1561" s="12">
        <v>0.48251071347351582</v>
      </c>
      <c r="AH1561" s="12">
        <v>-1.4596436328077211</v>
      </c>
    </row>
    <row r="1562" spans="24:34" x14ac:dyDescent="0.25">
      <c r="X1562">
        <v>56.3</v>
      </c>
      <c r="Y1562" s="12">
        <v>75.576226196671229</v>
      </c>
      <c r="Z1562" s="12">
        <v>-19.276226196671232</v>
      </c>
      <c r="AA1562" s="12">
        <v>-19.300000178013619</v>
      </c>
      <c r="AB1562" s="12">
        <v>1.2318124934250112E-3</v>
      </c>
      <c r="AC1562" s="12">
        <v>-3.0800538045024748</v>
      </c>
      <c r="AD1562" s="12">
        <v>5.8501434337062041E-3</v>
      </c>
      <c r="AE1562" s="12">
        <v>1.5992570753291051</v>
      </c>
      <c r="AF1562" s="12">
        <v>1.15938516926544</v>
      </c>
      <c r="AG1562" s="12">
        <v>1.7550082063917749</v>
      </c>
      <c r="AH1562" s="12">
        <v>-19.300000178013612</v>
      </c>
    </row>
    <row r="1563" spans="24:34" x14ac:dyDescent="0.25">
      <c r="X1563">
        <v>55.5</v>
      </c>
      <c r="Y1563" s="12">
        <v>75.576226196671229</v>
      </c>
      <c r="Z1563" s="12">
        <v>-20.076226196671229</v>
      </c>
      <c r="AA1563" s="12">
        <v>-20.100986843395091</v>
      </c>
      <c r="AB1563" s="12">
        <v>1.2318124934250112E-3</v>
      </c>
      <c r="AC1563" s="12">
        <v>-3.2078818875754722</v>
      </c>
      <c r="AD1563" s="12">
        <v>6.3458038937855444E-3</v>
      </c>
      <c r="AE1563" s="12">
        <v>1.5992570753291051</v>
      </c>
      <c r="AF1563" s="12">
        <v>1.1658995943436852</v>
      </c>
      <c r="AG1563" s="12">
        <v>1.7910560816388392</v>
      </c>
      <c r="AH1563" s="12">
        <v>-20.100986843395095</v>
      </c>
    </row>
    <row r="1564" spans="24:34" x14ac:dyDescent="0.25">
      <c r="X1564">
        <v>54.9</v>
      </c>
      <c r="Y1564" s="12">
        <v>75.576226196671229</v>
      </c>
      <c r="Z1564" s="12">
        <v>-20.67622619667123</v>
      </c>
      <c r="AA1564" s="12">
        <v>-20.701726842431206</v>
      </c>
      <c r="AB1564" s="12">
        <v>1.2318124934250112E-3</v>
      </c>
      <c r="AC1564" s="12">
        <v>-3.3037529498802205</v>
      </c>
      <c r="AD1564" s="12">
        <v>6.730774424352712E-3</v>
      </c>
      <c r="AE1564" s="12">
        <v>1.5992570753291051</v>
      </c>
      <c r="AF1564" s="12">
        <v>1.167487240525996</v>
      </c>
      <c r="AG1564" s="12">
        <v>1.8176228843960511</v>
      </c>
      <c r="AH1564" s="12">
        <v>-20.701726842431206</v>
      </c>
    </row>
    <row r="1565" spans="24:34" x14ac:dyDescent="0.25">
      <c r="X1565">
        <v>53.2</v>
      </c>
      <c r="Y1565" s="12">
        <v>55.602695681956227</v>
      </c>
      <c r="Z1565" s="12">
        <v>-2.4026956819562244</v>
      </c>
      <c r="AA1565" s="12">
        <v>-2.4113482594325433</v>
      </c>
      <c r="AB1565" s="12">
        <v>3.5882736732328639E-3</v>
      </c>
      <c r="AC1565" s="12">
        <v>-0.38436868029226995</v>
      </c>
      <c r="AD1565" s="12">
        <v>2.660190378606308E-4</v>
      </c>
      <c r="AE1565" s="12">
        <v>1.6214924498394727</v>
      </c>
      <c r="AF1565" s="12">
        <v>1.1751345778177833</v>
      </c>
      <c r="AG1565" s="12">
        <v>0.61997474165668232</v>
      </c>
      <c r="AH1565" s="12">
        <v>-2.4113482594325419</v>
      </c>
    </row>
    <row r="1566" spans="24:34" x14ac:dyDescent="0.25">
      <c r="X1566">
        <v>51.3</v>
      </c>
      <c r="Y1566" s="12">
        <v>53.679318669428113</v>
      </c>
      <c r="Z1566" s="12">
        <v>-2.3793186694281161</v>
      </c>
      <c r="AA1566" s="12">
        <v>-2.390036382856735</v>
      </c>
      <c r="AB1566" s="12">
        <v>4.4843306593548397E-3</v>
      </c>
      <c r="AC1566" s="12">
        <v>-0.38080022989733309</v>
      </c>
      <c r="AD1566" s="12">
        <v>3.2659831251821085E-4</v>
      </c>
      <c r="AE1566" s="12">
        <v>1.6214924498394727</v>
      </c>
      <c r="AF1566" s="12">
        <v>1.1753619069748906</v>
      </c>
      <c r="AG1566" s="12">
        <v>0.6170901310970166</v>
      </c>
      <c r="AH1566" s="12">
        <v>-2.3900363828567341</v>
      </c>
    </row>
    <row r="1567" spans="24:34" x14ac:dyDescent="0.25">
      <c r="X1567">
        <v>51</v>
      </c>
      <c r="Y1567" s="12">
        <v>74.984417885124117</v>
      </c>
      <c r="Z1567" s="12">
        <v>-23.984417885124117</v>
      </c>
      <c r="AA1567" s="12">
        <v>-24.011295990139999</v>
      </c>
      <c r="AB1567" s="12">
        <v>1.119394181260477E-3</v>
      </c>
      <c r="AC1567" s="12">
        <v>-3.8321370415645561</v>
      </c>
      <c r="AD1567" s="12">
        <v>8.2285162570193554E-3</v>
      </c>
      <c r="AE1567" s="12">
        <v>1.6214924498394727</v>
      </c>
      <c r="AF1567" s="12">
        <v>1.1767297820851166</v>
      </c>
      <c r="AG1567" s="12">
        <v>1.9575844915519116</v>
      </c>
      <c r="AH1567" s="12">
        <v>-24.011295990140002</v>
      </c>
    </row>
    <row r="1568" spans="24:34" x14ac:dyDescent="0.25">
      <c r="X1568">
        <v>48.8</v>
      </c>
      <c r="Y1568" s="12">
        <v>51.805259016195592</v>
      </c>
      <c r="Z1568" s="12">
        <v>-3.0052590161955948</v>
      </c>
      <c r="AA1568" s="12">
        <v>-3.0217896579586707</v>
      </c>
      <c r="AB1568" s="12">
        <v>5.470480620495574E-3</v>
      </c>
      <c r="AC1568" s="12">
        <v>-0.48121782882243275</v>
      </c>
      <c r="AD1568" s="12">
        <v>6.3688530516127126E-4</v>
      </c>
      <c r="AE1568" s="12">
        <v>1.6214924498394727</v>
      </c>
      <c r="AF1568" s="12">
        <v>1.1839195724638638</v>
      </c>
      <c r="AG1568" s="12">
        <v>0.69369865851278156</v>
      </c>
      <c r="AH1568" s="12">
        <v>-3.0217896579586716</v>
      </c>
    </row>
    <row r="1569" spans="24:34" x14ac:dyDescent="0.25">
      <c r="X1569">
        <v>78</v>
      </c>
      <c r="Y1569" s="12">
        <v>76.463938663991897</v>
      </c>
      <c r="Z1569" s="12">
        <v>1.5360613360081032</v>
      </c>
      <c r="AA1569" s="12">
        <v>1.5382476582751821</v>
      </c>
      <c r="AB1569" s="12">
        <v>1.4213070667281685E-3</v>
      </c>
      <c r="AC1569" s="12">
        <v>0.24546300682257874</v>
      </c>
      <c r="AD1569" s="12">
        <v>4.287930368697713E-5</v>
      </c>
      <c r="AE1569" s="12">
        <v>1.6445597025796697</v>
      </c>
      <c r="AF1569" s="12">
        <v>1.191566286950184</v>
      </c>
      <c r="AG1569" s="12">
        <v>0.49544223358791156</v>
      </c>
      <c r="AH1569" s="12">
        <v>1.5382476582751878</v>
      </c>
    </row>
    <row r="1570" spans="24:34" x14ac:dyDescent="0.25">
      <c r="X1570">
        <v>71</v>
      </c>
      <c r="Y1570" s="12">
        <v>67.833400787263187</v>
      </c>
      <c r="Z1570" s="12">
        <v>3.1665992127368128</v>
      </c>
      <c r="AA1570" s="12">
        <v>3.1686293830250349</v>
      </c>
      <c r="AB1570" s="12">
        <v>6.4070929187965309E-4</v>
      </c>
      <c r="AC1570" s="12">
        <v>0.50582572418823413</v>
      </c>
      <c r="AD1570" s="12">
        <v>8.2018381770218777E-5</v>
      </c>
      <c r="AE1570" s="12">
        <v>1.6445597025796697</v>
      </c>
      <c r="AF1570" s="12">
        <v>1.191566286950184</v>
      </c>
      <c r="AG1570" s="12">
        <v>0.71121426039431612</v>
      </c>
      <c r="AH1570" s="12">
        <v>3.1686293830250398</v>
      </c>
    </row>
    <row r="1571" spans="24:34" x14ac:dyDescent="0.25">
      <c r="X1571">
        <v>77</v>
      </c>
      <c r="Y1571" s="12">
        <v>76.365303945400711</v>
      </c>
      <c r="Z1571" s="12">
        <v>0.63469605459928857</v>
      </c>
      <c r="AA1571" s="12">
        <v>0.6355852482417248</v>
      </c>
      <c r="AB1571" s="12">
        <v>1.399015544950404E-3</v>
      </c>
      <c r="AC1571" s="12">
        <v>0.10142346496114826</v>
      </c>
      <c r="AD1571" s="12">
        <v>7.2057209806200279E-6</v>
      </c>
      <c r="AE1571" s="12">
        <v>1.6445597025796697</v>
      </c>
      <c r="AF1571" s="12">
        <v>1.1992132314852391</v>
      </c>
      <c r="AG1571" s="12">
        <v>0.31847050877773325</v>
      </c>
      <c r="AH1571" s="12">
        <v>0.63558524824171991</v>
      </c>
    </row>
    <row r="1572" spans="24:34" x14ac:dyDescent="0.25">
      <c r="X1572">
        <v>75</v>
      </c>
      <c r="Y1572" s="12">
        <v>76.414621304696297</v>
      </c>
      <c r="Z1572" s="12">
        <v>-1.414621304696297</v>
      </c>
      <c r="AA1572" s="12">
        <v>-1.4166189111277845</v>
      </c>
      <c r="AB1572" s="12">
        <v>1.4101226630521449E-3</v>
      </c>
      <c r="AC1572" s="12">
        <v>-0.22605559182968829</v>
      </c>
      <c r="AD1572" s="12">
        <v>3.608030884272942E-5</v>
      </c>
      <c r="AE1572" s="12">
        <v>1.6624525291871317</v>
      </c>
      <c r="AF1572" s="12">
        <v>1.199668643623282</v>
      </c>
      <c r="AG1572" s="12">
        <v>0.47545303851136372</v>
      </c>
      <c r="AH1572" s="12">
        <v>-1.4166189111277865</v>
      </c>
    </row>
    <row r="1573" spans="24:34" x14ac:dyDescent="0.25">
      <c r="X1573">
        <v>69.8</v>
      </c>
      <c r="Y1573" s="12">
        <v>67.14295775712489</v>
      </c>
      <c r="Z1573" s="12">
        <v>2.6570422428751073</v>
      </c>
      <c r="AA1573" s="12">
        <v>2.6588516187470645</v>
      </c>
      <c r="AB1573" s="12">
        <v>6.8051028466791538E-4</v>
      </c>
      <c r="AC1573" s="12">
        <v>0.4244386455714102</v>
      </c>
      <c r="AD1573" s="12">
        <v>6.1338080328016714E-5</v>
      </c>
      <c r="AE1573" s="12">
        <v>1.6624525291871317</v>
      </c>
      <c r="AF1573" s="12">
        <v>1.199668643623282</v>
      </c>
      <c r="AG1573" s="12">
        <v>0.65148955906553885</v>
      </c>
      <c r="AH1573" s="12">
        <v>2.6588516187470703</v>
      </c>
    </row>
    <row r="1574" spans="24:34" x14ac:dyDescent="0.25">
      <c r="X1574">
        <v>69.2</v>
      </c>
      <c r="Y1574" s="12">
        <v>66.205927930508636</v>
      </c>
      <c r="Z1574" s="12">
        <v>2.9940720694913665</v>
      </c>
      <c r="AA1574" s="12">
        <v>2.9963455615039152</v>
      </c>
      <c r="AB1574" s="12">
        <v>7.587549452753576E-4</v>
      </c>
      <c r="AC1574" s="12">
        <v>0.47829485991671744</v>
      </c>
      <c r="AD1574" s="12">
        <v>8.6854557996270574E-5</v>
      </c>
      <c r="AE1574" s="12">
        <v>1.6624525291871317</v>
      </c>
      <c r="AF1574" s="12">
        <v>1.1998966337585826</v>
      </c>
      <c r="AG1574" s="12">
        <v>0.69158864935503206</v>
      </c>
      <c r="AH1574" s="12">
        <v>2.9963455615039112</v>
      </c>
    </row>
    <row r="1575" spans="24:34" x14ac:dyDescent="0.25">
      <c r="X1575">
        <v>67.7</v>
      </c>
      <c r="Y1575" s="12">
        <v>64.134598840093744</v>
      </c>
      <c r="Z1575" s="12">
        <v>3.5654011599062585</v>
      </c>
      <c r="AA1575" s="12">
        <v>3.5690798806619455</v>
      </c>
      <c r="AB1575" s="12">
        <v>1.030719647274391E-3</v>
      </c>
      <c r="AC1575" s="12">
        <v>0.56964065148812748</v>
      </c>
      <c r="AD1575" s="12">
        <v>1.6740189675711336E-4</v>
      </c>
      <c r="AE1575" s="12">
        <v>1.6624525291871317</v>
      </c>
      <c r="AF1575" s="12">
        <v>1.2052740117650202</v>
      </c>
      <c r="AG1575" s="12">
        <v>0.75474542164105074</v>
      </c>
      <c r="AH1575" s="12">
        <v>3.5690798806619486</v>
      </c>
    </row>
    <row r="1576" spans="24:34" x14ac:dyDescent="0.25">
      <c r="X1576">
        <v>67.5</v>
      </c>
      <c r="Y1576" s="12">
        <v>63.937329402911374</v>
      </c>
      <c r="Z1576" s="12">
        <v>3.5626705970886263</v>
      </c>
      <c r="AA1576" s="12">
        <v>3.5664643569278169</v>
      </c>
      <c r="AB1576" s="12">
        <v>1.0637313202987927E-3</v>
      </c>
      <c r="AC1576" s="12">
        <v>0.56921379726251486</v>
      </c>
      <c r="AD1576" s="12">
        <v>1.7251029050432726E-4</v>
      </c>
      <c r="AE1576" s="12">
        <v>1.6624525291871317</v>
      </c>
      <c r="AF1576" s="12">
        <v>1.208227605804173</v>
      </c>
      <c r="AG1576" s="12">
        <v>0.75446258837832036</v>
      </c>
      <c r="AH1576" s="12">
        <v>3.5664643569278196</v>
      </c>
    </row>
    <row r="1577" spans="24:34" x14ac:dyDescent="0.25">
      <c r="X1577">
        <v>67.7</v>
      </c>
      <c r="Y1577" s="12">
        <v>64.4305029958673</v>
      </c>
      <c r="Z1577" s="12">
        <v>3.2694970041327025</v>
      </c>
      <c r="AA1577" s="12">
        <v>3.2727157878715474</v>
      </c>
      <c r="AB1577" s="12">
        <v>9.8352070496627252E-4</v>
      </c>
      <c r="AC1577" s="12">
        <v>0.52235199451434144</v>
      </c>
      <c r="AD1577" s="12">
        <v>1.3430969839652951E-4</v>
      </c>
      <c r="AE1577" s="12">
        <v>1.6624525291871317</v>
      </c>
      <c r="AF1577" s="12">
        <v>1.2154176440926825</v>
      </c>
      <c r="AG1577" s="12">
        <v>0.72273922995388973</v>
      </c>
      <c r="AH1577" s="12">
        <v>3.2727157878715443</v>
      </c>
    </row>
    <row r="1578" spans="24:34" x14ac:dyDescent="0.25">
      <c r="X1578">
        <v>67</v>
      </c>
      <c r="Y1578" s="12">
        <v>63.888012043615781</v>
      </c>
      <c r="Z1578" s="12">
        <v>3.111987956384219</v>
      </c>
      <c r="AA1578" s="12">
        <v>3.1153281409740785</v>
      </c>
      <c r="AB1578" s="12">
        <v>1.0721774524905998E-3</v>
      </c>
      <c r="AC1578" s="12">
        <v>0.49720958536886034</v>
      </c>
      <c r="AD1578" s="12">
        <v>1.3267269461641334E-4</v>
      </c>
      <c r="AE1578" s="12">
        <v>1.6624525291871317</v>
      </c>
      <c r="AF1578" s="12">
        <v>1.2156455736274361</v>
      </c>
      <c r="AG1578" s="12">
        <v>0.70513089945687413</v>
      </c>
      <c r="AH1578" s="12">
        <v>3.1153281409740807</v>
      </c>
    </row>
    <row r="1579" spans="24:34" x14ac:dyDescent="0.25">
      <c r="X1579">
        <v>67.400000000000006</v>
      </c>
      <c r="Y1579" s="12">
        <v>64.4305029958673</v>
      </c>
      <c r="Z1579" s="12">
        <v>2.9694970041327053</v>
      </c>
      <c r="AA1579" s="12">
        <v>2.9724204411804749</v>
      </c>
      <c r="AB1579" s="12">
        <v>9.8352070496627252E-4</v>
      </c>
      <c r="AC1579" s="12">
        <v>0.47442242059021111</v>
      </c>
      <c r="AD1579" s="12">
        <v>1.107927314031224E-4</v>
      </c>
      <c r="AE1579" s="12">
        <v>1.7064083338107217</v>
      </c>
      <c r="AF1579" s="12">
        <v>1.2178460199407808</v>
      </c>
      <c r="AG1579" s="12">
        <v>0.68878329000507199</v>
      </c>
      <c r="AH1579" s="12">
        <v>2.9724204411804713</v>
      </c>
    </row>
    <row r="1580" spans="24:34" x14ac:dyDescent="0.25">
      <c r="X1580">
        <v>67.599999999999994</v>
      </c>
      <c r="Y1580" s="12">
        <v>64.972993948118813</v>
      </c>
      <c r="Z1580" s="12">
        <v>2.6270060518811817</v>
      </c>
      <c r="AA1580" s="12">
        <v>2.6293835813022071</v>
      </c>
      <c r="AB1580" s="12">
        <v>9.042155119301635E-4</v>
      </c>
      <c r="AC1580" s="12">
        <v>0.41968761145274608</v>
      </c>
      <c r="AD1580" s="12">
        <v>7.9705287069378099E-5</v>
      </c>
      <c r="AE1580" s="12">
        <v>1.7064083338107217</v>
      </c>
      <c r="AF1580" s="12">
        <v>1.2318507563480223</v>
      </c>
      <c r="AG1580" s="12">
        <v>0.64783301201215893</v>
      </c>
      <c r="AH1580" s="12">
        <v>2.6293835813022097</v>
      </c>
    </row>
    <row r="1581" spans="24:34" x14ac:dyDescent="0.25">
      <c r="X1581">
        <v>67.599999999999994</v>
      </c>
      <c r="Y1581" s="12">
        <v>64.972993948118813</v>
      </c>
      <c r="Z1581" s="12">
        <v>2.6270060518811817</v>
      </c>
      <c r="AA1581" s="12">
        <v>2.6293835813022071</v>
      </c>
      <c r="AB1581" s="12">
        <v>9.042155119301635E-4</v>
      </c>
      <c r="AC1581" s="12">
        <v>0.41968761145274608</v>
      </c>
      <c r="AD1581" s="12">
        <v>7.9705287069378099E-5</v>
      </c>
      <c r="AE1581" s="12">
        <v>1.7064083338107217</v>
      </c>
      <c r="AF1581" s="12">
        <v>1.2323078453423892</v>
      </c>
      <c r="AG1581" s="12">
        <v>0.64783301201215893</v>
      </c>
      <c r="AH1581" s="12">
        <v>2.6293835813022097</v>
      </c>
    </row>
    <row r="1582" spans="24:34" x14ac:dyDescent="0.25">
      <c r="X1582">
        <v>67.7</v>
      </c>
      <c r="Y1582" s="12">
        <v>65.120946026005598</v>
      </c>
      <c r="Z1582" s="12">
        <v>2.5790539739944052</v>
      </c>
      <c r="AA1582" s="12">
        <v>2.5813364170029871</v>
      </c>
      <c r="AB1582" s="12">
        <v>8.8420981998025433E-4</v>
      </c>
      <c r="AC1582" s="12">
        <v>0.41202271486650544</v>
      </c>
      <c r="AD1582" s="12">
        <v>7.5119352238100107E-5</v>
      </c>
      <c r="AE1582" s="12">
        <v>1.7064083338107217</v>
      </c>
      <c r="AF1582" s="12">
        <v>1.2379636429312488</v>
      </c>
      <c r="AG1582" s="12">
        <v>0.6418899554179871</v>
      </c>
      <c r="AH1582" s="12">
        <v>2.581336417002992</v>
      </c>
    </row>
    <row r="1583" spans="24:34" x14ac:dyDescent="0.25">
      <c r="X1583">
        <v>67.5</v>
      </c>
      <c r="Y1583" s="12">
        <v>64.923676588823227</v>
      </c>
      <c r="Z1583" s="12">
        <v>2.576323411176773</v>
      </c>
      <c r="AA1583" s="12">
        <v>2.5786726816478733</v>
      </c>
      <c r="AB1583" s="12">
        <v>9.1103864706203229E-4</v>
      </c>
      <c r="AC1583" s="12">
        <v>0.41159201369580484</v>
      </c>
      <c r="AD1583" s="12">
        <v>7.7238978758911099E-5</v>
      </c>
      <c r="AE1583" s="12">
        <v>1.7330844772440364</v>
      </c>
      <c r="AF1583" s="12">
        <v>1.2472118712967961</v>
      </c>
      <c r="AG1583" s="12">
        <v>0.64155437314058172</v>
      </c>
      <c r="AH1583" s="12">
        <v>2.5786726816478773</v>
      </c>
    </row>
    <row r="1584" spans="24:34" x14ac:dyDescent="0.25">
      <c r="X1584">
        <v>76.8</v>
      </c>
      <c r="Y1584" s="12">
        <v>71.828106890206186</v>
      </c>
      <c r="Z1584" s="12">
        <v>4.971893109793811</v>
      </c>
      <c r="AA1584" s="12">
        <v>4.9754146504012482</v>
      </c>
      <c r="AB1584" s="12">
        <v>7.0778836637206289E-4</v>
      </c>
      <c r="AC1584" s="12">
        <v>0.79422613067821857</v>
      </c>
      <c r="AD1584" s="12">
        <v>2.233928480411302E-4</v>
      </c>
      <c r="AE1584" s="12">
        <v>1.7330844772440364</v>
      </c>
      <c r="AF1584" s="12">
        <v>1.2527489538171797</v>
      </c>
      <c r="AG1584" s="12">
        <v>0.89119365498090175</v>
      </c>
      <c r="AH1584" s="12">
        <v>4.975414650401242</v>
      </c>
    </row>
    <row r="1585" spans="24:34" x14ac:dyDescent="0.25">
      <c r="X1585">
        <v>76.8</v>
      </c>
      <c r="Y1585" s="12">
        <v>71.828106890206186</v>
      </c>
      <c r="Z1585" s="12">
        <v>4.971893109793811</v>
      </c>
      <c r="AA1585" s="12">
        <v>4.9754146504012482</v>
      </c>
      <c r="AB1585" s="12">
        <v>7.0778836637206289E-4</v>
      </c>
      <c r="AC1585" s="12">
        <v>0.79422613067821857</v>
      </c>
      <c r="AD1585" s="12">
        <v>2.233928480411302E-4</v>
      </c>
      <c r="AE1585" s="12">
        <v>1.7330844772440364</v>
      </c>
      <c r="AF1585" s="12">
        <v>1.2561593944206686</v>
      </c>
      <c r="AG1585" s="12">
        <v>0.89119365498090175</v>
      </c>
      <c r="AH1585" s="12">
        <v>4.975414650401242</v>
      </c>
    </row>
    <row r="1586" spans="24:34" x14ac:dyDescent="0.25">
      <c r="X1586">
        <v>76.5</v>
      </c>
      <c r="Y1586" s="12">
        <v>71.778789530910601</v>
      </c>
      <c r="Z1586" s="12">
        <v>4.7212104690893995</v>
      </c>
      <c r="AA1586" s="12">
        <v>4.7245359225513113</v>
      </c>
      <c r="AB1586" s="12">
        <v>7.0386880667862241E-4</v>
      </c>
      <c r="AC1586" s="12">
        <v>0.75417980362634562</v>
      </c>
      <c r="AD1586" s="12">
        <v>2.0031677220966313E-4</v>
      </c>
      <c r="AE1586" s="12">
        <v>1.7539324289023792</v>
      </c>
      <c r="AF1586" s="12">
        <v>1.2638048789374623</v>
      </c>
      <c r="AG1586" s="12">
        <v>0.868435261620776</v>
      </c>
      <c r="AH1586" s="12">
        <v>4.7245359225513157</v>
      </c>
    </row>
    <row r="1587" spans="24:34" x14ac:dyDescent="0.25">
      <c r="X1587">
        <v>77</v>
      </c>
      <c r="Y1587" s="12">
        <v>72.124011045979742</v>
      </c>
      <c r="Z1587" s="12">
        <v>4.8759889540202579</v>
      </c>
      <c r="AA1587" s="12">
        <v>4.8795653275977457</v>
      </c>
      <c r="AB1587" s="12">
        <v>7.3292872159264467E-4</v>
      </c>
      <c r="AC1587" s="12">
        <v>0.77891589175493559</v>
      </c>
      <c r="AD1587" s="12">
        <v>2.2250065715814129E-4</v>
      </c>
      <c r="AE1587" s="12">
        <v>1.7539324289023792</v>
      </c>
      <c r="AF1587" s="12">
        <v>1.2689505337394402</v>
      </c>
      <c r="AG1587" s="12">
        <v>0.88256211778828098</v>
      </c>
      <c r="AH1587" s="12">
        <v>4.8795653275977422</v>
      </c>
    </row>
    <row r="1588" spans="24:34" x14ac:dyDescent="0.25">
      <c r="X1588">
        <v>76.3</v>
      </c>
      <c r="Y1588" s="12">
        <v>71.778789530910601</v>
      </c>
      <c r="Z1588" s="12">
        <v>4.5212104690893966</v>
      </c>
      <c r="AA1588" s="12">
        <v>4.5243950496339238</v>
      </c>
      <c r="AB1588" s="12">
        <v>7.0386880667862241E-4</v>
      </c>
      <c r="AC1588" s="12">
        <v>0.72223122566888731</v>
      </c>
      <c r="AD1588" s="12">
        <v>1.8370460359745414E-4</v>
      </c>
      <c r="AE1588" s="12">
        <v>1.7539324289023792</v>
      </c>
      <c r="AF1588" s="12">
        <v>1.2761477455988237</v>
      </c>
      <c r="AG1588" s="12">
        <v>0.84984188274577721</v>
      </c>
      <c r="AH1588" s="12">
        <v>4.5243950496339247</v>
      </c>
    </row>
    <row r="1589" spans="24:34" x14ac:dyDescent="0.25">
      <c r="X1589">
        <v>76.599999999999994</v>
      </c>
      <c r="Y1589" s="12">
        <v>71.778789530910601</v>
      </c>
      <c r="Z1589" s="12">
        <v>4.8212104690893938</v>
      </c>
      <c r="AA1589" s="12">
        <v>4.824606359010005</v>
      </c>
      <c r="AB1589" s="12">
        <v>7.0386880667862241E-4</v>
      </c>
      <c r="AC1589" s="12">
        <v>0.77015409260507373</v>
      </c>
      <c r="AD1589" s="12">
        <v>2.0889246393881119E-4</v>
      </c>
      <c r="AE1589" s="12">
        <v>1.7539324289023792</v>
      </c>
      <c r="AF1589" s="12">
        <v>1.2772779073357581</v>
      </c>
      <c r="AG1589" s="12">
        <v>0.87758423675740305</v>
      </c>
      <c r="AH1589" s="12">
        <v>4.8246063590100041</v>
      </c>
    </row>
    <row r="1590" spans="24:34" x14ac:dyDescent="0.25">
      <c r="X1590">
        <v>76.400000000000006</v>
      </c>
      <c r="Y1590" s="12">
        <v>71.729472171615001</v>
      </c>
      <c r="Z1590" s="12">
        <v>4.6705278283850049</v>
      </c>
      <c r="AA1590" s="12">
        <v>4.673799612121357</v>
      </c>
      <c r="AB1590" s="12">
        <v>7.0002653255946481E-4</v>
      </c>
      <c r="AC1590" s="12">
        <v>0.74608217780384811</v>
      </c>
      <c r="AD1590" s="12">
        <v>1.9496738247709434E-4</v>
      </c>
      <c r="AE1590" s="12">
        <v>1.7539324289023792</v>
      </c>
      <c r="AF1590" s="12">
        <v>1.280698546833182</v>
      </c>
      <c r="AG1590" s="12">
        <v>0.86376048636404301</v>
      </c>
      <c r="AH1590" s="12">
        <v>4.6737996121213561</v>
      </c>
    </row>
    <row r="1591" spans="24:34" x14ac:dyDescent="0.25">
      <c r="X1591">
        <v>75.400000000000006</v>
      </c>
      <c r="Y1591" s="12">
        <v>71.482885375137045</v>
      </c>
      <c r="Z1591" s="12">
        <v>3.9171146248629611</v>
      </c>
      <c r="AA1591" s="12">
        <v>3.9197878199882865</v>
      </c>
      <c r="AB1591" s="12">
        <v>6.8197444557791822E-4</v>
      </c>
      <c r="AC1591" s="12">
        <v>0.62572435509888091</v>
      </c>
      <c r="AD1591" s="12">
        <v>1.335981681431287E-4</v>
      </c>
      <c r="AE1591" s="12">
        <v>1.7539324289023792</v>
      </c>
      <c r="AF1591" s="12">
        <v>1.2830413946695711</v>
      </c>
      <c r="AG1591" s="12">
        <v>0.79102740477108691</v>
      </c>
      <c r="AH1591" s="12">
        <v>3.9197878199882807</v>
      </c>
    </row>
    <row r="1592" spans="24:34" x14ac:dyDescent="0.25">
      <c r="X1592">
        <v>76.2</v>
      </c>
      <c r="Y1592" s="12">
        <v>71.828106890206186</v>
      </c>
      <c r="Z1592" s="12">
        <v>4.3718931097938167</v>
      </c>
      <c r="AA1592" s="12">
        <v>4.3749896765899052</v>
      </c>
      <c r="AB1592" s="12">
        <v>7.0778836637206289E-4</v>
      </c>
      <c r="AC1592" s="12">
        <v>0.69838020883644969</v>
      </c>
      <c r="AD1592" s="12">
        <v>1.7272880518139525E-4</v>
      </c>
      <c r="AE1592" s="12">
        <v>1.7539324289023792</v>
      </c>
      <c r="AF1592" s="12">
        <v>1.3045149333462531</v>
      </c>
      <c r="AG1592" s="12">
        <v>0.83569145552437574</v>
      </c>
      <c r="AH1592" s="12">
        <v>4.3749896765899052</v>
      </c>
    </row>
    <row r="1593" spans="24:34" x14ac:dyDescent="0.25">
      <c r="X1593">
        <v>75.7</v>
      </c>
      <c r="Y1593" s="12">
        <v>71.53220273443263</v>
      </c>
      <c r="Z1593" s="12">
        <v>4.1677972655673727</v>
      </c>
      <c r="AA1593" s="12">
        <v>4.1706559594988022</v>
      </c>
      <c r="AB1593" s="12">
        <v>6.8543029182566194E-4</v>
      </c>
      <c r="AC1593" s="12">
        <v>0.66576983705079229</v>
      </c>
      <c r="AD1593" s="12">
        <v>1.5201250279213373E-4</v>
      </c>
      <c r="AE1593" s="12">
        <v>1.7539324289023792</v>
      </c>
      <c r="AF1593" s="12">
        <v>1.3045149333462531</v>
      </c>
      <c r="AG1593" s="12">
        <v>0.81594720236715823</v>
      </c>
      <c r="AH1593" s="12">
        <v>4.1706559594987969</v>
      </c>
    </row>
    <row r="1594" spans="24:34" x14ac:dyDescent="0.25">
      <c r="X1594">
        <v>75.400000000000006</v>
      </c>
      <c r="Y1594" s="12">
        <v>71.58152009372823</v>
      </c>
      <c r="Z1594" s="12">
        <v>3.8184799062717758</v>
      </c>
      <c r="AA1594" s="12">
        <v>3.8211125130308972</v>
      </c>
      <c r="AB1594" s="12">
        <v>6.8896342364768845E-4</v>
      </c>
      <c r="AC1594" s="12">
        <v>0.6099704657158147</v>
      </c>
      <c r="AD1594" s="12">
        <v>1.2825759775845149E-4</v>
      </c>
      <c r="AE1594" s="12">
        <v>1.7539324289023792</v>
      </c>
      <c r="AF1594" s="12">
        <v>1.3066758117161019</v>
      </c>
      <c r="AG1594" s="12">
        <v>0.78100605997381012</v>
      </c>
      <c r="AH1594" s="12">
        <v>3.8211125130308963</v>
      </c>
    </row>
    <row r="1595" spans="24:34" x14ac:dyDescent="0.25">
      <c r="X1595">
        <v>75.400000000000006</v>
      </c>
      <c r="Y1595" s="12">
        <v>71.630837453023815</v>
      </c>
      <c r="Z1595" s="12">
        <v>3.7691625469761902</v>
      </c>
      <c r="AA1595" s="12">
        <v>3.7717747795228007</v>
      </c>
      <c r="AB1595" s="12">
        <v>6.9257384104399783E-4</v>
      </c>
      <c r="AC1595" s="12">
        <v>0.60209351463377414</v>
      </c>
      <c r="AD1595" s="12">
        <v>1.2562175952268264E-4</v>
      </c>
      <c r="AE1595" s="12">
        <v>1.7539324289023792</v>
      </c>
      <c r="AF1595" s="12">
        <v>1.3092294137594034</v>
      </c>
      <c r="AG1595" s="12">
        <v>0.77594685039232814</v>
      </c>
      <c r="AH1595" s="12">
        <v>3.7717747795227976</v>
      </c>
    </row>
    <row r="1596" spans="24:34" x14ac:dyDescent="0.25">
      <c r="X1596">
        <v>75.400000000000006</v>
      </c>
      <c r="Y1596" s="12">
        <v>71.482885375137045</v>
      </c>
      <c r="Z1596" s="12">
        <v>3.9171146248629611</v>
      </c>
      <c r="AA1596" s="12">
        <v>3.9197878199882865</v>
      </c>
      <c r="AB1596" s="12">
        <v>6.8197444557791822E-4</v>
      </c>
      <c r="AC1596" s="12">
        <v>0.62572435509888091</v>
      </c>
      <c r="AD1596" s="12">
        <v>1.335981681431287E-4</v>
      </c>
      <c r="AE1596" s="12">
        <v>1.8295749434197284</v>
      </c>
      <c r="AF1596" s="12">
        <v>1.3099105717880792</v>
      </c>
      <c r="AG1596" s="12">
        <v>0.79102740477108691</v>
      </c>
      <c r="AH1596" s="12">
        <v>3.9197878199882807</v>
      </c>
    </row>
    <row r="1597" spans="24:34" x14ac:dyDescent="0.25">
      <c r="X1597">
        <v>75.2</v>
      </c>
      <c r="Y1597" s="12">
        <v>71.53220273443263</v>
      </c>
      <c r="Z1597" s="12">
        <v>3.6677972655673727</v>
      </c>
      <c r="AA1597" s="12">
        <v>3.6703130092844134</v>
      </c>
      <c r="AB1597" s="12">
        <v>6.8543029182566194E-4</v>
      </c>
      <c r="AC1597" s="12">
        <v>0.58589912902102448</v>
      </c>
      <c r="AD1597" s="12">
        <v>1.1772719146180319E-4</v>
      </c>
      <c r="AE1597" s="12">
        <v>1.8295749434197284</v>
      </c>
      <c r="AF1597" s="12">
        <v>1.3414079802032521</v>
      </c>
      <c r="AG1597" s="12">
        <v>0.76544048039088219</v>
      </c>
      <c r="AH1597" s="12">
        <v>3.6703130092844183</v>
      </c>
    </row>
    <row r="1598" spans="24:34" x14ac:dyDescent="0.25">
      <c r="X1598">
        <v>75.099999999999994</v>
      </c>
      <c r="Y1598" s="12">
        <v>71.137663860067889</v>
      </c>
      <c r="Z1598" s="12">
        <v>3.9623361399321055</v>
      </c>
      <c r="AA1598" s="12">
        <v>3.9649528006916057</v>
      </c>
      <c r="AB1598" s="12">
        <v>6.5994751792363077E-4</v>
      </c>
      <c r="AC1598" s="12">
        <v>0.63294111586892399</v>
      </c>
      <c r="AD1598" s="12">
        <v>1.3227955555706214E-4</v>
      </c>
      <c r="AE1598" s="12">
        <v>1.8460302671294702</v>
      </c>
      <c r="AF1598" s="12">
        <v>1.3515640707368906</v>
      </c>
      <c r="AG1598" s="12">
        <v>0.79557596486377335</v>
      </c>
      <c r="AH1598" s="12">
        <v>3.9649528006916062</v>
      </c>
    </row>
    <row r="1599" spans="24:34" x14ac:dyDescent="0.25">
      <c r="X1599">
        <v>69.2</v>
      </c>
      <c r="Y1599" s="12">
        <v>68.523843817401485</v>
      </c>
      <c r="Z1599" s="12">
        <v>0.67615618259851828</v>
      </c>
      <c r="AA1599" s="12">
        <v>0.67657298963200674</v>
      </c>
      <c r="AB1599" s="12">
        <v>6.1605627165081927E-4</v>
      </c>
      <c r="AC1599" s="12">
        <v>0.10800639716210189</v>
      </c>
      <c r="AD1599" s="12">
        <v>3.5954808366702877E-6</v>
      </c>
      <c r="AE1599" s="12">
        <v>1.8460302671294702</v>
      </c>
      <c r="AF1599" s="12">
        <v>1.3576112196555163</v>
      </c>
      <c r="AG1599" s="12">
        <v>0.32864326733116245</v>
      </c>
      <c r="AH1599" s="12">
        <v>0.67657298963201062</v>
      </c>
    </row>
    <row r="1600" spans="24:34" x14ac:dyDescent="0.25">
      <c r="X1600">
        <v>69.099999999999994</v>
      </c>
      <c r="Y1600" s="12">
        <v>68.474526458105885</v>
      </c>
      <c r="Z1600" s="12">
        <v>0.62547354189410953</v>
      </c>
      <c r="AA1600" s="12">
        <v>0.62585989449814861</v>
      </c>
      <c r="AB1600" s="12">
        <v>6.1731484543432638E-4</v>
      </c>
      <c r="AC1600" s="12">
        <v>9.9910624285641347E-2</v>
      </c>
      <c r="AD1600" s="12">
        <v>3.0829625557568758E-6</v>
      </c>
      <c r="AE1600" s="12">
        <v>1.8630011940066851</v>
      </c>
      <c r="AF1600" s="12">
        <v>1.3729053689857607</v>
      </c>
      <c r="AG1600" s="12">
        <v>0.31608641901486584</v>
      </c>
      <c r="AH1600" s="12">
        <v>0.62585989449814527</v>
      </c>
    </row>
    <row r="1601" spans="24:34" x14ac:dyDescent="0.25">
      <c r="X1601">
        <v>68.8</v>
      </c>
      <c r="Y1601" s="12">
        <v>68.523843817401485</v>
      </c>
      <c r="Z1601" s="12">
        <v>0.2761561825985126</v>
      </c>
      <c r="AA1601" s="12">
        <v>0.27632641521962853</v>
      </c>
      <c r="AB1601" s="12">
        <v>6.1605627165081927E-4</v>
      </c>
      <c r="AC1601" s="12">
        <v>4.4112048523876415E-2</v>
      </c>
      <c r="AD1601" s="12">
        <v>5.9975306046404429E-7</v>
      </c>
      <c r="AE1601" s="12">
        <v>1.8630011940066851</v>
      </c>
      <c r="AF1601" s="12">
        <v>1.3890658002792677</v>
      </c>
      <c r="AG1601" s="12">
        <v>0.21002868500249297</v>
      </c>
      <c r="AH1601" s="12">
        <v>0.27632641521963147</v>
      </c>
    </row>
    <row r="1602" spans="24:34" x14ac:dyDescent="0.25">
      <c r="X1602">
        <v>68.5</v>
      </c>
      <c r="Y1602" s="12">
        <v>68.573161176697084</v>
      </c>
      <c r="Z1602" s="12">
        <v>-7.3161176697084329E-2</v>
      </c>
      <c r="AA1602" s="12">
        <v>-7.3206189351552098E-2</v>
      </c>
      <c r="AB1602" s="12">
        <v>6.1487498344159504E-4</v>
      </c>
      <c r="AC1602" s="12">
        <v>-1.1686457419875531E-2</v>
      </c>
      <c r="AD1602" s="12">
        <v>4.2013581899986407E-8</v>
      </c>
      <c r="AE1602" s="12">
        <v>1.8630011940066851</v>
      </c>
      <c r="AF1602" s="12">
        <v>1.4224285903973033</v>
      </c>
      <c r="AG1602" s="12">
        <v>0.1081039195398369</v>
      </c>
      <c r="AH1602" s="12">
        <v>-7.3206189351549683E-2</v>
      </c>
    </row>
    <row r="1603" spans="24:34" x14ac:dyDescent="0.25">
      <c r="X1603">
        <v>68.3</v>
      </c>
      <c r="Y1603" s="12">
        <v>68.573161176697084</v>
      </c>
      <c r="Z1603" s="12">
        <v>-0.27316117669708717</v>
      </c>
      <c r="AA1603" s="12">
        <v>-0.27332924000900505</v>
      </c>
      <c r="AB1603" s="12">
        <v>6.1487498344159504E-4</v>
      </c>
      <c r="AC1603" s="12">
        <v>-4.363361285796305E-2</v>
      </c>
      <c r="AD1603" s="12">
        <v>5.8568795844472089E-7</v>
      </c>
      <c r="AE1603" s="12">
        <v>1.8895099603334296</v>
      </c>
      <c r="AF1603" s="12">
        <v>1.4348985698483145</v>
      </c>
      <c r="AG1603" s="12">
        <v>0.20888660286854935</v>
      </c>
      <c r="AH1603" s="12">
        <v>-0.27332924000901182</v>
      </c>
    </row>
    <row r="1604" spans="24:34" x14ac:dyDescent="0.25">
      <c r="X1604">
        <v>68</v>
      </c>
      <c r="Y1604" s="12">
        <v>68.573161176697084</v>
      </c>
      <c r="Z1604" s="12">
        <v>-0.57316117669708433</v>
      </c>
      <c r="AA1604" s="12">
        <v>-0.57351381599519868</v>
      </c>
      <c r="AB1604" s="12">
        <v>6.1487498344159504E-4</v>
      </c>
      <c r="AC1604" s="12">
        <v>-9.1554346015093185E-2</v>
      </c>
      <c r="AD1604" s="12">
        <v>2.5785875215018375E-6</v>
      </c>
      <c r="AE1604" s="12">
        <v>1.898648757670367</v>
      </c>
      <c r="AF1604" s="12">
        <v>1.4437747247507053</v>
      </c>
      <c r="AG1604" s="12">
        <v>0.3025794871023037</v>
      </c>
      <c r="AH1604" s="12">
        <v>-0.57351381599519791</v>
      </c>
    </row>
    <row r="1605" spans="24:34" x14ac:dyDescent="0.25">
      <c r="X1605">
        <v>67.900000000000006</v>
      </c>
      <c r="Y1605" s="12">
        <v>68.523843817401485</v>
      </c>
      <c r="Z1605" s="12">
        <v>-0.62384381740147887</v>
      </c>
      <c r="AA1605" s="12">
        <v>-0.62422837720819757</v>
      </c>
      <c r="AB1605" s="12">
        <v>6.1605627165081927E-4</v>
      </c>
      <c r="AC1605" s="12">
        <v>-9.9650235912127488E-2</v>
      </c>
      <c r="AD1605" s="12">
        <v>3.0606571418849995E-6</v>
      </c>
      <c r="AE1605" s="12">
        <v>1.898648757670367</v>
      </c>
      <c r="AF1605" s="12">
        <v>1.4463552516244109</v>
      </c>
      <c r="AG1605" s="12">
        <v>0.31567425601738175</v>
      </c>
      <c r="AH1605" s="12">
        <v>-0.62422837720820046</v>
      </c>
    </row>
    <row r="1606" spans="24:34" x14ac:dyDescent="0.25">
      <c r="X1606">
        <v>67.8</v>
      </c>
      <c r="Y1606" s="12">
        <v>68.523843817401485</v>
      </c>
      <c r="Z1606" s="12">
        <v>-0.7238438174014874</v>
      </c>
      <c r="AA1606" s="12">
        <v>-0.72429002081129568</v>
      </c>
      <c r="AB1606" s="12">
        <v>6.1605627165081927E-4</v>
      </c>
      <c r="AC1606" s="12">
        <v>-0.11562382307168499</v>
      </c>
      <c r="AD1606" s="12">
        <v>4.1205261063066482E-6</v>
      </c>
      <c r="AE1606" s="12">
        <v>1.917417123160428</v>
      </c>
      <c r="AF1606" s="12">
        <v>1.448493853655707</v>
      </c>
      <c r="AG1606" s="12">
        <v>0.34003503212416952</v>
      </c>
      <c r="AH1606" s="12">
        <v>-0.72429002081130234</v>
      </c>
    </row>
    <row r="1607" spans="24:34" x14ac:dyDescent="0.25">
      <c r="X1607">
        <v>67.599999999999994</v>
      </c>
      <c r="Y1607" s="12">
        <v>68.474526458105885</v>
      </c>
      <c r="Z1607" s="12">
        <v>-0.87452645810589047</v>
      </c>
      <c r="AA1607" s="12">
        <v>-0.87506664973952297</v>
      </c>
      <c r="AB1607" s="12">
        <v>6.1731484543432638E-4</v>
      </c>
      <c r="AC1607" s="12">
        <v>-0.13969333398032444</v>
      </c>
      <c r="AD1607" s="12">
        <v>6.0269316989448994E-6</v>
      </c>
      <c r="AE1607" s="12">
        <v>1.9270603903023944</v>
      </c>
      <c r="AF1607" s="12">
        <v>1.4617975791977447</v>
      </c>
      <c r="AG1607" s="12">
        <v>0.37375571431126564</v>
      </c>
      <c r="AH1607" s="12">
        <v>-0.8750666497395192</v>
      </c>
    </row>
    <row r="1608" spans="24:34" x14ac:dyDescent="0.25">
      <c r="X1608">
        <v>67.3</v>
      </c>
      <c r="Y1608" s="12">
        <v>68.129304943036743</v>
      </c>
      <c r="Z1608" s="12">
        <v>-0.82930494303674607</v>
      </c>
      <c r="AA1608" s="12">
        <v>-0.82982631366370185</v>
      </c>
      <c r="AB1608" s="12">
        <v>6.2828885799879448E-4</v>
      </c>
      <c r="AC1608" s="12">
        <v>-0.13247055862519061</v>
      </c>
      <c r="AD1608" s="12">
        <v>5.5162132356058332E-6</v>
      </c>
      <c r="AE1608" s="12">
        <v>1.9368862628682144</v>
      </c>
      <c r="AF1608" s="12">
        <v>1.4617975791977447</v>
      </c>
      <c r="AG1608" s="12">
        <v>0.36396505137882484</v>
      </c>
      <c r="AH1608" s="12">
        <v>-0.82982631366369519</v>
      </c>
    </row>
    <row r="1609" spans="24:34" x14ac:dyDescent="0.25">
      <c r="X1609">
        <v>67.8</v>
      </c>
      <c r="Y1609" s="12">
        <v>68.573161176697084</v>
      </c>
      <c r="Z1609" s="12">
        <v>-0.77316117669708717</v>
      </c>
      <c r="AA1609" s="12">
        <v>-0.77363686665266584</v>
      </c>
      <c r="AB1609" s="12">
        <v>6.1487498344159504E-4</v>
      </c>
      <c r="AC1609" s="12">
        <v>-0.12350150145318071</v>
      </c>
      <c r="AD1609" s="12">
        <v>4.6921125623666543E-6</v>
      </c>
      <c r="AE1609" s="12">
        <v>1.9368862628682144</v>
      </c>
      <c r="AF1609" s="12">
        <v>1.474289523820308</v>
      </c>
      <c r="AG1609" s="12">
        <v>0.35142780404114399</v>
      </c>
      <c r="AH1609" s="12">
        <v>-0.77363686665266007</v>
      </c>
    </row>
    <row r="1610" spans="24:34" x14ac:dyDescent="0.25">
      <c r="X1610">
        <v>67.2</v>
      </c>
      <c r="Y1610" s="12">
        <v>68.573161176697084</v>
      </c>
      <c r="Z1610" s="12">
        <v>-1.3731611766970815</v>
      </c>
      <c r="AA1610" s="12">
        <v>-1.3740060186250389</v>
      </c>
      <c r="AB1610" s="12">
        <v>6.1487498344159504E-4</v>
      </c>
      <c r="AC1610" s="12">
        <v>-0.219342967767441</v>
      </c>
      <c r="AD1610" s="12">
        <v>1.4800329279329052E-5</v>
      </c>
      <c r="AE1610" s="12">
        <v>1.9368862628682144</v>
      </c>
      <c r="AF1610" s="12">
        <v>1.4775451710616032</v>
      </c>
      <c r="AG1610" s="12">
        <v>0.46834065354978632</v>
      </c>
      <c r="AH1610" s="12">
        <v>-1.3740060186250322</v>
      </c>
    </row>
    <row r="1611" spans="24:34" x14ac:dyDescent="0.25">
      <c r="X1611">
        <v>67.099999999999994</v>
      </c>
      <c r="Y1611" s="12">
        <v>68.425209098810299</v>
      </c>
      <c r="Z1611" s="12">
        <v>-1.3252090988103049</v>
      </c>
      <c r="AA1611" s="12">
        <v>-1.3260294478627941</v>
      </c>
      <c r="AB1611" s="12">
        <v>6.1865070479211626E-4</v>
      </c>
      <c r="AC1611" s="12">
        <v>-0.21168370521389407</v>
      </c>
      <c r="AD1611" s="12">
        <v>1.386944661628329E-5</v>
      </c>
      <c r="AE1611" s="12">
        <v>1.9368862628682144</v>
      </c>
      <c r="AF1611" s="12">
        <v>1.501166577773223</v>
      </c>
      <c r="AG1611" s="12">
        <v>0.46009097493201717</v>
      </c>
      <c r="AH1611" s="12">
        <v>-1.3260294478628003</v>
      </c>
    </row>
    <row r="1612" spans="24:34" x14ac:dyDescent="0.25">
      <c r="X1612">
        <v>71.7</v>
      </c>
      <c r="Y1612" s="12">
        <v>70.989711782181118</v>
      </c>
      <c r="Z1612" s="12">
        <v>0.71028821781888496</v>
      </c>
      <c r="AA1612" s="12">
        <v>0.71075139082493877</v>
      </c>
      <c r="AB1612" s="12">
        <v>6.5166668968603524E-4</v>
      </c>
      <c r="AC1612" s="12">
        <v>0.1134605290091162</v>
      </c>
      <c r="AD1612" s="12">
        <v>4.1972829046437868E-6</v>
      </c>
      <c r="AE1612" s="12">
        <v>1.9368862628682144</v>
      </c>
      <c r="AF1612" s="12">
        <v>1.516914205513094</v>
      </c>
      <c r="AG1612" s="12">
        <v>0.33683902536540539</v>
      </c>
      <c r="AH1612" s="12">
        <v>0.71075139082493366</v>
      </c>
    </row>
    <row r="1613" spans="24:34" x14ac:dyDescent="0.25">
      <c r="X1613">
        <v>71.599999999999994</v>
      </c>
      <c r="Y1613" s="12">
        <v>70.940394422885518</v>
      </c>
      <c r="Z1613" s="12">
        <v>0.6596055771144762</v>
      </c>
      <c r="AA1613" s="12">
        <v>0.66003397941912567</v>
      </c>
      <c r="AB1613" s="12">
        <v>6.4906098475540235E-4</v>
      </c>
      <c r="AC1613" s="12">
        <v>0.10536441161696232</v>
      </c>
      <c r="AD1613" s="12">
        <v>3.6051669110556341E-6</v>
      </c>
      <c r="AE1613" s="12">
        <v>1.9368862628682144</v>
      </c>
      <c r="AF1613" s="12">
        <v>1.548812313792526</v>
      </c>
      <c r="AG1613" s="12">
        <v>0.32459884722063065</v>
      </c>
      <c r="AH1613" s="12">
        <v>0.66003397941913</v>
      </c>
    </row>
    <row r="1614" spans="24:34" x14ac:dyDescent="0.25">
      <c r="X1614">
        <v>71.400000000000006</v>
      </c>
      <c r="Y1614" s="12">
        <v>70.792442344998747</v>
      </c>
      <c r="Z1614" s="12">
        <v>0.60755765500125847</v>
      </c>
      <c r="AA1614" s="12">
        <v>0.60794777970180292</v>
      </c>
      <c r="AB1614" s="12">
        <v>6.4170758340920055E-4</v>
      </c>
      <c r="AC1614" s="12">
        <v>9.7049997071335464E-2</v>
      </c>
      <c r="AD1614" s="12">
        <v>3.023966730054701E-6</v>
      </c>
      <c r="AE1614" s="12">
        <v>1.9368862628682144</v>
      </c>
      <c r="AF1614" s="12">
        <v>1.5504243594100504</v>
      </c>
      <c r="AG1614" s="12">
        <v>0.31152848516842802</v>
      </c>
      <c r="AH1614" s="12">
        <v>0.60794777970180991</v>
      </c>
    </row>
    <row r="1615" spans="24:34" x14ac:dyDescent="0.25">
      <c r="X1615">
        <v>71.2</v>
      </c>
      <c r="Y1615" s="12">
        <v>70.644490267111962</v>
      </c>
      <c r="Z1615" s="12">
        <v>0.55550973288804073</v>
      </c>
      <c r="AA1615" s="12">
        <v>0.55586273337914349</v>
      </c>
      <c r="AB1615" s="12">
        <v>6.3504975223154371E-4</v>
      </c>
      <c r="AC1615" s="12">
        <v>8.8735674585821572E-2</v>
      </c>
      <c r="AD1615" s="12">
        <v>2.5017859658732466E-6</v>
      </c>
      <c r="AE1615" s="12">
        <v>1.9368862628682144</v>
      </c>
      <c r="AF1615" s="12">
        <v>1.5552441950892486</v>
      </c>
      <c r="AG1615" s="12">
        <v>0.29788533798396588</v>
      </c>
      <c r="AH1615" s="12">
        <v>0.55586273337914793</v>
      </c>
    </row>
    <row r="1616" spans="24:34" x14ac:dyDescent="0.25">
      <c r="X1616">
        <v>71</v>
      </c>
      <c r="Y1616" s="12">
        <v>70.447220829929591</v>
      </c>
      <c r="Z1616" s="12">
        <v>0.55277917007040855</v>
      </c>
      <c r="AA1616" s="12">
        <v>0.55312612099743319</v>
      </c>
      <c r="AB1616" s="12">
        <v>6.2725464203462734E-4</v>
      </c>
      <c r="AC1616" s="12">
        <v>8.8299157240555343E-2</v>
      </c>
      <c r="AD1616" s="12">
        <v>2.446805815928108E-6</v>
      </c>
      <c r="AE1616" s="12">
        <v>1.9368862628682144</v>
      </c>
      <c r="AF1616" s="12">
        <v>1.5585732803812806</v>
      </c>
      <c r="AG1616" s="12">
        <v>0.29715174110301851</v>
      </c>
      <c r="AH1616" s="12">
        <v>0.55312612099743474</v>
      </c>
    </row>
    <row r="1617" spans="24:34" x14ac:dyDescent="0.25">
      <c r="X1617">
        <v>78</v>
      </c>
      <c r="Y1617" s="12">
        <v>70.249951392747221</v>
      </c>
      <c r="Z1617" s="12">
        <v>7.7500486072527792</v>
      </c>
      <c r="AA1617" s="12">
        <v>7.7548620198725047</v>
      </c>
      <c r="AB1617" s="12">
        <v>6.2069610102623556E-4</v>
      </c>
      <c r="AC1617" s="12">
        <v>1.2379636429312488</v>
      </c>
      <c r="AD1617" s="12">
        <v>4.7592054240269043E-4</v>
      </c>
      <c r="AE1617" s="12">
        <v>2.0350728680272758</v>
      </c>
      <c r="AF1617" s="12">
        <v>1.5585732803812806</v>
      </c>
      <c r="AG1617" s="12">
        <v>1.1126381455492387</v>
      </c>
      <c r="AH1617" s="12">
        <v>7.75486201987251</v>
      </c>
    </row>
    <row r="1618" spans="24:34" x14ac:dyDescent="0.25">
      <c r="X1618">
        <v>75</v>
      </c>
      <c r="Y1618" s="12">
        <v>70.05268195556485</v>
      </c>
      <c r="Z1618" s="12">
        <v>4.9473180444351499</v>
      </c>
      <c r="AA1618" s="12">
        <v>4.9503643705989617</v>
      </c>
      <c r="AB1618" s="12">
        <v>6.1537412920636893E-4</v>
      </c>
      <c r="AC1618" s="12">
        <v>0.79026389018592036</v>
      </c>
      <c r="AD1618" s="12">
        <v>1.9227412801242288E-4</v>
      </c>
      <c r="AE1618" s="12">
        <v>2.0350728680272758</v>
      </c>
      <c r="AF1618" s="12">
        <v>1.6136857266692093</v>
      </c>
      <c r="AG1618" s="12">
        <v>0.8889678791643264</v>
      </c>
      <c r="AH1618" s="12">
        <v>4.9503643705989608</v>
      </c>
    </row>
    <row r="1619" spans="24:34" x14ac:dyDescent="0.25">
      <c r="X1619">
        <v>73</v>
      </c>
      <c r="Y1619" s="12">
        <v>69.855412518382479</v>
      </c>
      <c r="Z1619" s="12">
        <v>3.1445874816175206</v>
      </c>
      <c r="AA1619" s="12">
        <v>3.1465109082637923</v>
      </c>
      <c r="AB1619" s="12">
        <v>6.1128872657502679E-4</v>
      </c>
      <c r="AC1619" s="12">
        <v>0.50230222407374281</v>
      </c>
      <c r="AD1619" s="12">
        <v>7.716354182342336E-5</v>
      </c>
      <c r="AE1619" s="12">
        <v>2.0350728680272758</v>
      </c>
      <c r="AF1619" s="12">
        <v>1.6215589486297826</v>
      </c>
      <c r="AG1619" s="12">
        <v>0.70873282982640418</v>
      </c>
      <c r="AH1619" s="12">
        <v>3.1465109082637874</v>
      </c>
    </row>
    <row r="1620" spans="24:34" x14ac:dyDescent="0.25">
      <c r="X1620">
        <v>71</v>
      </c>
      <c r="Y1620" s="12">
        <v>69.658143081200109</v>
      </c>
      <c r="Z1620" s="12">
        <v>1.3418569187998912</v>
      </c>
      <c r="AA1620" s="12">
        <v>1.3426738551368231</v>
      </c>
      <c r="AB1620" s="12">
        <v>6.0843989313220947E-4</v>
      </c>
      <c r="AC1620" s="12">
        <v>0.21434186772502414</v>
      </c>
      <c r="AD1620" s="12">
        <v>1.398511460572492E-5</v>
      </c>
      <c r="AE1620" s="12">
        <v>2.0350728680272758</v>
      </c>
      <c r="AF1620" s="12">
        <v>1.6215589486297826</v>
      </c>
      <c r="AG1620" s="12">
        <v>0.46297069855988093</v>
      </c>
      <c r="AH1620" s="12">
        <v>1.342673855136822</v>
      </c>
    </row>
    <row r="1621" spans="24:34" x14ac:dyDescent="0.25">
      <c r="X1621">
        <v>69.900000000000006</v>
      </c>
      <c r="Y1621" s="12">
        <v>69.460873644017738</v>
      </c>
      <c r="Z1621" s="12">
        <v>0.43912635598226757</v>
      </c>
      <c r="AA1621" s="12">
        <v>0.43939299178961733</v>
      </c>
      <c r="AB1621" s="12">
        <v>6.0682762887791708E-4</v>
      </c>
      <c r="AC1621" s="12">
        <v>7.0143907348106438E-2</v>
      </c>
      <c r="AD1621" s="12">
        <v>1.4937533118645756E-6</v>
      </c>
      <c r="AE1621" s="12">
        <v>2.0350728680272758</v>
      </c>
      <c r="AF1621" s="12">
        <v>1.7175337555052825</v>
      </c>
      <c r="AG1621" s="12">
        <v>0.26484695080009218</v>
      </c>
      <c r="AH1621" s="12">
        <v>0.43939299178962082</v>
      </c>
    </row>
    <row r="1622" spans="24:34" x14ac:dyDescent="0.25">
      <c r="X1622">
        <v>69.599999999999994</v>
      </c>
      <c r="Y1622" s="12">
        <v>69.263604206835367</v>
      </c>
      <c r="Z1622" s="12">
        <v>0.33639579316462687</v>
      </c>
      <c r="AA1622" s="12">
        <v>0.33659992483997314</v>
      </c>
      <c r="AB1622" s="12">
        <v>6.0645193381214928E-4</v>
      </c>
      <c r="AC1622" s="12">
        <v>5.3734217022999679E-2</v>
      </c>
      <c r="AD1622" s="12">
        <v>8.760556567864516E-7</v>
      </c>
      <c r="AE1622" s="12">
        <v>2.0350728680272758</v>
      </c>
      <c r="AF1622" s="12">
        <v>1.7262119917111352</v>
      </c>
      <c r="AG1622" s="12">
        <v>0.2318064214447039</v>
      </c>
      <c r="AH1622" s="12">
        <v>0.33659992483996709</v>
      </c>
    </row>
    <row r="1623" spans="24:34" x14ac:dyDescent="0.25">
      <c r="X1623">
        <v>69.400000000000006</v>
      </c>
      <c r="Y1623" s="12">
        <v>69.066334769652997</v>
      </c>
      <c r="Z1623" s="12">
        <v>0.3336652303470089</v>
      </c>
      <c r="AA1623" s="12">
        <v>0.33386799265510092</v>
      </c>
      <c r="AB1623" s="12">
        <v>6.073128079349063E-4</v>
      </c>
      <c r="AC1623" s="12">
        <v>5.3298073242605812E-2</v>
      </c>
      <c r="AD1623" s="12">
        <v>8.6311625545223664E-7</v>
      </c>
      <c r="AE1623" s="12">
        <v>2.1134016615055304</v>
      </c>
      <c r="AF1623" s="12">
        <v>1.7655750318460264</v>
      </c>
      <c r="AG1623" s="12">
        <v>0.23086375471824461</v>
      </c>
      <c r="AH1623" s="12">
        <v>0.33386799265510786</v>
      </c>
    </row>
    <row r="1624" spans="24:34" x14ac:dyDescent="0.25">
      <c r="X1624">
        <v>69.3</v>
      </c>
      <c r="Y1624" s="12">
        <v>68.918382691766226</v>
      </c>
      <c r="Z1624" s="12">
        <v>0.38161730823377127</v>
      </c>
      <c r="AA1624" s="12">
        <v>0.38184976690187966</v>
      </c>
      <c r="AB1624" s="12">
        <v>6.0876996205694355E-4</v>
      </c>
      <c r="AC1624" s="12">
        <v>6.0957751131657849E-2</v>
      </c>
      <c r="AD1624" s="12">
        <v>1.1317371149239292E-6</v>
      </c>
      <c r="AE1624" s="12">
        <v>2.1134016615055304</v>
      </c>
      <c r="AF1624" s="12">
        <v>1.7655750318460264</v>
      </c>
      <c r="AG1624" s="12">
        <v>0.24689623555586637</v>
      </c>
      <c r="AH1624" s="12">
        <v>0.38184976690187961</v>
      </c>
    </row>
    <row r="1625" spans="24:34" x14ac:dyDescent="0.25">
      <c r="X1625">
        <v>69.099999999999994</v>
      </c>
      <c r="Y1625" s="12">
        <v>68.770430613879455</v>
      </c>
      <c r="Z1625" s="12">
        <v>0.32956938612053932</v>
      </c>
      <c r="AA1625" s="12">
        <v>0.32977085061448008</v>
      </c>
      <c r="AB1625" s="12">
        <v>6.1092268634752608E-4</v>
      </c>
      <c r="AC1625" s="12">
        <v>5.2643917934033849E-2</v>
      </c>
      <c r="AD1625" s="12">
        <v>8.4706759013011662E-7</v>
      </c>
      <c r="AE1625" s="12">
        <v>2.1134016615055304</v>
      </c>
      <c r="AF1625" s="12">
        <v>1.7734476690293779</v>
      </c>
      <c r="AG1625" s="12">
        <v>0.22944262449255989</v>
      </c>
      <c r="AH1625" s="12">
        <v>0.32977085061447581</v>
      </c>
    </row>
    <row r="1626" spans="24:34" x14ac:dyDescent="0.25">
      <c r="X1626">
        <v>69</v>
      </c>
      <c r="Y1626" s="12">
        <v>76.710525460469853</v>
      </c>
      <c r="Z1626" s="12">
        <v>-7.710525460469853</v>
      </c>
      <c r="AA1626" s="12">
        <v>-7.7219414889510745</v>
      </c>
      <c r="AB1626" s="12">
        <v>1.4783883687225284E-3</v>
      </c>
      <c r="AC1626" s="12">
        <v>-1.2321792209544196</v>
      </c>
      <c r="AD1626" s="12">
        <v>1.1239547675532173E-3</v>
      </c>
      <c r="AE1626" s="12">
        <v>2.1134016615055304</v>
      </c>
      <c r="AF1626" s="12">
        <v>1.7813203180618205</v>
      </c>
      <c r="AG1626" s="12">
        <v>1.110035684541006</v>
      </c>
      <c r="AH1626" s="12">
        <v>-7.7219414889510736</v>
      </c>
    </row>
    <row r="1627" spans="24:34" x14ac:dyDescent="0.25">
      <c r="X1627">
        <v>61.1</v>
      </c>
      <c r="Y1627" s="12">
        <v>62.112587108974445</v>
      </c>
      <c r="Z1627" s="12">
        <v>-1.0125871089744436</v>
      </c>
      <c r="AA1627" s="12">
        <v>-1.014034857089797</v>
      </c>
      <c r="AB1627" s="12">
        <v>1.4277104038680111E-3</v>
      </c>
      <c r="AC1627" s="12">
        <v>-0.16181220601800564</v>
      </c>
      <c r="AD1627" s="12">
        <v>1.8717729894149969E-5</v>
      </c>
      <c r="AE1627" s="12">
        <v>2.1134016615055304</v>
      </c>
      <c r="AF1627" s="12">
        <v>1.8052474173912594</v>
      </c>
      <c r="AG1627" s="12">
        <v>0.40225887935259508</v>
      </c>
      <c r="AH1627" s="12">
        <v>-1.0140348570897955</v>
      </c>
    </row>
    <row r="1628" spans="24:34" x14ac:dyDescent="0.25">
      <c r="X1628">
        <v>63</v>
      </c>
      <c r="Y1628" s="12">
        <v>61.422144078836155</v>
      </c>
      <c r="Z1628" s="12">
        <v>1.5778559211638452</v>
      </c>
      <c r="AA1628" s="12">
        <v>1.5803734927539352</v>
      </c>
      <c r="AB1628" s="12">
        <v>1.5930231692915392E-3</v>
      </c>
      <c r="AC1628" s="12">
        <v>0.25216347457117649</v>
      </c>
      <c r="AD1628" s="12">
        <v>5.07281295754451E-5</v>
      </c>
      <c r="AE1628" s="12">
        <v>2.190305027167327</v>
      </c>
      <c r="AF1628" s="12">
        <v>1.8131292912265984</v>
      </c>
      <c r="AG1628" s="12">
        <v>0.50215881409288887</v>
      </c>
      <c r="AH1628" s="12">
        <v>1.5803734927539363</v>
      </c>
    </row>
    <row r="1629" spans="24:34" x14ac:dyDescent="0.25">
      <c r="X1629">
        <v>59.2</v>
      </c>
      <c r="Y1629" s="12">
        <v>60.386479533628702</v>
      </c>
      <c r="Z1629" s="12">
        <v>-1.1864795336286988</v>
      </c>
      <c r="AA1629" s="12">
        <v>-1.1887016863394493</v>
      </c>
      <c r="AB1629" s="12">
        <v>1.8693947659757613E-3</v>
      </c>
      <c r="AC1629" s="12">
        <v>-0.18964229599538671</v>
      </c>
      <c r="AD1629" s="12">
        <v>3.3678602627024567E-5</v>
      </c>
      <c r="AE1629" s="12">
        <v>2.190305027167327</v>
      </c>
      <c r="AF1629" s="12">
        <v>1.8781055325175278</v>
      </c>
      <c r="AG1629" s="12">
        <v>0.43547938641844658</v>
      </c>
      <c r="AH1629" s="12">
        <v>-1.1887016863394484</v>
      </c>
    </row>
    <row r="1630" spans="24:34" x14ac:dyDescent="0.25">
      <c r="X1630">
        <v>58.2</v>
      </c>
      <c r="Y1630" s="12">
        <v>59.548084425603633</v>
      </c>
      <c r="Z1630" s="12">
        <v>-1.3480844256036306</v>
      </c>
      <c r="AA1630" s="12">
        <v>-1.3509458469724294</v>
      </c>
      <c r="AB1630" s="12">
        <v>2.1180873942610945E-3</v>
      </c>
      <c r="AC1630" s="12">
        <v>-0.21549944480501243</v>
      </c>
      <c r="AD1630" s="12">
        <v>4.9286393527282838E-5</v>
      </c>
      <c r="AE1630" s="12">
        <v>2.190305027167327</v>
      </c>
      <c r="AF1630" s="12">
        <v>1.8859775015469182</v>
      </c>
      <c r="AG1630" s="12">
        <v>0.46421917754979969</v>
      </c>
      <c r="AH1630" s="12">
        <v>-1.3509458469724323</v>
      </c>
    </row>
    <row r="1631" spans="24:34" x14ac:dyDescent="0.25">
      <c r="X1631">
        <v>58</v>
      </c>
      <c r="Y1631" s="12">
        <v>59.696036503490411</v>
      </c>
      <c r="Z1631" s="12">
        <v>-1.6960365034904115</v>
      </c>
      <c r="AA1631" s="12">
        <v>-1.6995589711106334</v>
      </c>
      <c r="AB1631" s="12">
        <v>2.0725774627978616E-3</v>
      </c>
      <c r="AC1631" s="12">
        <v>-0.2711155056293979</v>
      </c>
      <c r="AD1631" s="12">
        <v>7.6329168535557872E-5</v>
      </c>
      <c r="AE1631" s="12">
        <v>2.190305027167327</v>
      </c>
      <c r="AF1631" s="12">
        <v>1.9017214781924545</v>
      </c>
      <c r="AG1631" s="12">
        <v>0.52068753166308668</v>
      </c>
      <c r="AH1631" s="12">
        <v>-1.6995589711106314</v>
      </c>
    </row>
    <row r="1632" spans="24:34" x14ac:dyDescent="0.25">
      <c r="X1632">
        <v>57.4</v>
      </c>
      <c r="Y1632" s="12">
        <v>59.449449707012448</v>
      </c>
      <c r="Z1632" s="12">
        <v>-2.0494497070124496</v>
      </c>
      <c r="AA1632" s="12">
        <v>-2.053863076285694</v>
      </c>
      <c r="AB1632" s="12">
        <v>2.1488137764413299E-3</v>
      </c>
      <c r="AC1632" s="12">
        <v>-0.32762196893777162</v>
      </c>
      <c r="AD1632" s="12">
        <v>1.155710444353015E-4</v>
      </c>
      <c r="AE1632" s="12">
        <v>2.190305027167327</v>
      </c>
      <c r="AF1632" s="12">
        <v>1.9017214781924545</v>
      </c>
      <c r="AG1632" s="12">
        <v>0.57238271194872026</v>
      </c>
      <c r="AH1632" s="12">
        <v>-2.0538630762856966</v>
      </c>
    </row>
    <row r="1633" spans="24:34" x14ac:dyDescent="0.25">
      <c r="X1633">
        <v>55.7</v>
      </c>
      <c r="Y1633" s="12">
        <v>75.378956759488858</v>
      </c>
      <c r="Z1633" s="12">
        <v>-19.678956759488855</v>
      </c>
      <c r="AA1633" s="12">
        <v>-19.702463831217898</v>
      </c>
      <c r="AB1633" s="12">
        <v>1.1931031535149751E-3</v>
      </c>
      <c r="AC1633" s="12">
        <v>-3.1443432171097596</v>
      </c>
      <c r="AD1633" s="12">
        <v>5.9050877430119313E-3</v>
      </c>
      <c r="AE1633" s="12">
        <v>2.190305027167327</v>
      </c>
      <c r="AF1633" s="12">
        <v>1.9174655123725244</v>
      </c>
      <c r="AG1633" s="12">
        <v>1.7732296007877151</v>
      </c>
      <c r="AH1633" s="12">
        <v>-19.702463831217894</v>
      </c>
    </row>
    <row r="1634" spans="24:34" x14ac:dyDescent="0.25">
      <c r="X1634">
        <v>52.6</v>
      </c>
      <c r="Y1634" s="12">
        <v>53.580683950836928</v>
      </c>
      <c r="Z1634" s="12">
        <v>-0.9806839508369265</v>
      </c>
      <c r="AA1634" s="12">
        <v>-0.98515008046243935</v>
      </c>
      <c r="AB1634" s="12">
        <v>4.5334510082143814E-3</v>
      </c>
      <c r="AC1634" s="12">
        <v>-0.15695833107859</v>
      </c>
      <c r="AD1634" s="12">
        <v>5.6097176758823617E-5</v>
      </c>
      <c r="AE1634" s="12">
        <v>2.190305027167327</v>
      </c>
      <c r="AF1634" s="12">
        <v>1.9253375533200257</v>
      </c>
      <c r="AG1634" s="12">
        <v>0.3961796701984972</v>
      </c>
      <c r="AH1634" s="12">
        <v>-0.98515008046244135</v>
      </c>
    </row>
    <row r="1635" spans="24:34" x14ac:dyDescent="0.25">
      <c r="X1635">
        <v>58</v>
      </c>
      <c r="Y1635" s="12">
        <v>51.657306938308821</v>
      </c>
      <c r="Z1635" s="12">
        <v>6.342693061691179</v>
      </c>
      <c r="AA1635" s="12">
        <v>6.3781112724859668</v>
      </c>
      <c r="AB1635" s="12">
        <v>5.5530876276145523E-3</v>
      </c>
      <c r="AC1635" s="12">
        <v>1.015667447025044</v>
      </c>
      <c r="AD1635" s="12">
        <v>2.8802222014554929E-3</v>
      </c>
      <c r="AE1635" s="12">
        <v>2.190305027167327</v>
      </c>
      <c r="AF1635" s="12">
        <v>1.9646980331429804</v>
      </c>
      <c r="AG1635" s="12">
        <v>1.0078032779392236</v>
      </c>
      <c r="AH1635" s="12">
        <v>6.3781112724859694</v>
      </c>
    </row>
    <row r="1636" spans="24:34" x14ac:dyDescent="0.25">
      <c r="X1636">
        <v>49.3</v>
      </c>
      <c r="Y1636" s="12">
        <v>50.276420878032226</v>
      </c>
      <c r="Z1636" s="12">
        <v>-0.97642087803222921</v>
      </c>
      <c r="AA1636" s="12">
        <v>-0.98266831793984011</v>
      </c>
      <c r="AB1636" s="12">
        <v>6.357628299963735E-3</v>
      </c>
      <c r="AC1636" s="12">
        <v>-0.1564194106754602</v>
      </c>
      <c r="AD1636" s="12">
        <v>7.8273783263905532E-5</v>
      </c>
      <c r="AE1636" s="12">
        <v>2.349487559997844</v>
      </c>
      <c r="AF1636" s="12">
        <v>1.9670301763419078</v>
      </c>
      <c r="AG1636" s="12">
        <v>0.39549893890560589</v>
      </c>
      <c r="AH1636" s="12">
        <v>-0.98266831793984133</v>
      </c>
    </row>
    <row r="1637" spans="24:34" x14ac:dyDescent="0.25">
      <c r="X1637">
        <v>59.2</v>
      </c>
      <c r="Y1637" s="12">
        <v>59.30149762912567</v>
      </c>
      <c r="Z1637" s="12">
        <v>-0.10149762912566729</v>
      </c>
      <c r="AA1637" s="12">
        <v>-0.10172095575390472</v>
      </c>
      <c r="AB1637" s="12">
        <v>2.1954829915188049E-3</v>
      </c>
      <c r="AC1637" s="12">
        <v>-1.6225638825576223E-2</v>
      </c>
      <c r="AD1637" s="12">
        <v>2.8963979058938879E-7</v>
      </c>
      <c r="AE1637" s="12">
        <v>2.349487559997844</v>
      </c>
      <c r="AF1637" s="12">
        <v>2.0670381026652125</v>
      </c>
      <c r="AG1637" s="12">
        <v>0.12737989961362123</v>
      </c>
      <c r="AH1637" s="12">
        <v>-0.10172095575390602</v>
      </c>
    </row>
    <row r="1638" spans="24:34" x14ac:dyDescent="0.25">
      <c r="X1638">
        <v>58</v>
      </c>
      <c r="Y1638" s="12">
        <v>57.920611568849083</v>
      </c>
      <c r="Z1638" s="12">
        <v>7.9388431150917427E-2</v>
      </c>
      <c r="AA1638" s="12">
        <v>7.9600535076693291E-2</v>
      </c>
      <c r="AB1638" s="12">
        <v>2.6646042714806384E-3</v>
      </c>
      <c r="AC1638" s="12">
        <v>1.2694197269849505E-2</v>
      </c>
      <c r="AD1638" s="12">
        <v>2.1526428332301848E-7</v>
      </c>
      <c r="AE1638" s="12">
        <v>2.349487559997844</v>
      </c>
      <c r="AF1638" s="12">
        <v>2.0851000747940249</v>
      </c>
      <c r="AG1638" s="12">
        <v>0.11266852830249229</v>
      </c>
      <c r="AH1638" s="12">
        <v>7.9600535076694928E-2</v>
      </c>
    </row>
    <row r="1639" spans="24:34" x14ac:dyDescent="0.25">
      <c r="X1639">
        <v>56.6</v>
      </c>
      <c r="Y1639" s="12">
        <v>56.441090789981303</v>
      </c>
      <c r="Z1639" s="12">
        <v>0.15890921001869884</v>
      </c>
      <c r="AA1639" s="12">
        <v>0.15942486538774858</v>
      </c>
      <c r="AB1639" s="12">
        <v>3.2344726639229257E-3</v>
      </c>
      <c r="AC1639" s="12">
        <v>2.5416819425706519E-2</v>
      </c>
      <c r="AD1639" s="12">
        <v>1.048148667752633E-6</v>
      </c>
      <c r="AE1639" s="12">
        <v>2.428517260365656</v>
      </c>
      <c r="AF1639" s="12">
        <v>2.1087145852351155</v>
      </c>
      <c r="AG1639" s="12">
        <v>0.15942653300409729</v>
      </c>
      <c r="AH1639" s="12">
        <v>0.15942486538774511</v>
      </c>
    </row>
    <row r="1640" spans="24:34" x14ac:dyDescent="0.25">
      <c r="X1640">
        <v>54.9</v>
      </c>
      <c r="Y1640" s="12">
        <v>54.714983214635559</v>
      </c>
      <c r="Z1640" s="12">
        <v>0.18501678536443933</v>
      </c>
      <c r="AA1640" s="12">
        <v>0.18575744328671107</v>
      </c>
      <c r="AB1640" s="12">
        <v>3.9872314625189432E-3</v>
      </c>
      <c r="AC1640" s="12">
        <v>2.9603790189802748E-2</v>
      </c>
      <c r="AD1640" s="12">
        <v>1.7541679875052881E-6</v>
      </c>
      <c r="AE1640" s="12">
        <v>2.428517260365656</v>
      </c>
      <c r="AF1640" s="12">
        <v>2.1818963826701916</v>
      </c>
      <c r="AG1640" s="12">
        <v>0.17205752000363933</v>
      </c>
      <c r="AH1640" s="12">
        <v>0.18575744328670915</v>
      </c>
    </row>
    <row r="1641" spans="24:34" x14ac:dyDescent="0.25">
      <c r="X1641">
        <v>52.4</v>
      </c>
      <c r="Y1641" s="12">
        <v>51.607989579013221</v>
      </c>
      <c r="Z1641" s="12">
        <v>0.79201042098677732</v>
      </c>
      <c r="AA1641" s="12">
        <v>0.79645526087939089</v>
      </c>
      <c r="AB1641" s="12">
        <v>5.5807778678027761E-3</v>
      </c>
      <c r="AC1641" s="12">
        <v>0.12682789379569709</v>
      </c>
      <c r="AD1641" s="12">
        <v>4.5136178971401389E-5</v>
      </c>
      <c r="AE1641" s="12">
        <v>2.428517260365656</v>
      </c>
      <c r="AF1641" s="12">
        <v>2.2291208841534038</v>
      </c>
      <c r="AG1641" s="12">
        <v>0.35612904093277353</v>
      </c>
      <c r="AH1641" s="12">
        <v>0.79645526087938812</v>
      </c>
    </row>
    <row r="1642" spans="24:34" x14ac:dyDescent="0.25">
      <c r="X1642">
        <v>50</v>
      </c>
      <c r="Y1642" s="12">
        <v>48.648948021277675</v>
      </c>
      <c r="Z1642" s="12">
        <v>1.3510519787223245</v>
      </c>
      <c r="AA1642" s="12">
        <v>1.3611018441631444</v>
      </c>
      <c r="AB1642" s="12">
        <v>7.3836248800337673E-3</v>
      </c>
      <c r="AC1642" s="12">
        <v>0.21654590719863157</v>
      </c>
      <c r="AD1642" s="12">
        <v>1.7440468738303303E-4</v>
      </c>
      <c r="AE1642" s="12">
        <v>2.428517260365656</v>
      </c>
      <c r="AF1642" s="12">
        <v>2.236991725919987</v>
      </c>
      <c r="AG1642" s="12">
        <v>0.4653449335693165</v>
      </c>
      <c r="AH1642" s="12">
        <v>1.3611018441631473</v>
      </c>
    </row>
    <row r="1643" spans="24:34" x14ac:dyDescent="0.25">
      <c r="X1643">
        <v>48.2</v>
      </c>
      <c r="Y1643" s="12">
        <v>46.429666852976005</v>
      </c>
      <c r="Z1643" s="12">
        <v>1.7703331470239974</v>
      </c>
      <c r="AA1643" s="12">
        <v>1.7862636667888836</v>
      </c>
      <c r="AB1643" s="12">
        <v>8.9183473084501214E-3</v>
      </c>
      <c r="AC1643" s="12">
        <v>0.2839676860035143</v>
      </c>
      <c r="AD1643" s="12">
        <v>3.6281296167769186E-4</v>
      </c>
      <c r="AE1643" s="12">
        <v>2.428517260365656</v>
      </c>
      <c r="AF1643" s="12">
        <v>2.236991725919987</v>
      </c>
      <c r="AG1643" s="12">
        <v>0.53288618484955519</v>
      </c>
      <c r="AH1643" s="12">
        <v>1.7862636667888863</v>
      </c>
    </row>
    <row r="1644" spans="24:34" x14ac:dyDescent="0.25">
      <c r="X1644">
        <v>46.6</v>
      </c>
      <c r="Y1644" s="12">
        <v>74.293974854985819</v>
      </c>
      <c r="Z1644" s="12">
        <v>-27.693974854985818</v>
      </c>
      <c r="AA1644" s="12">
        <v>-27.721760526874327</v>
      </c>
      <c r="AB1644" s="12">
        <v>1.0023054582546567E-3</v>
      </c>
      <c r="AC1644" s="12">
        <v>-4.4245763152790198</v>
      </c>
      <c r="AD1644" s="12">
        <v>9.8208481092199023E-3</v>
      </c>
      <c r="AE1644" s="12">
        <v>2.428517260365656</v>
      </c>
      <c r="AF1644" s="12">
        <v>2.236991725919987</v>
      </c>
      <c r="AG1644" s="12">
        <v>2.1034676881946677</v>
      </c>
      <c r="AH1644" s="12">
        <v>-27.721760526874331</v>
      </c>
    </row>
    <row r="1645" spans="24:34" x14ac:dyDescent="0.25">
      <c r="X1645">
        <v>45.4</v>
      </c>
      <c r="Y1645" s="12">
        <v>77.253016412721379</v>
      </c>
      <c r="Z1645" s="12">
        <v>-31.853016412721381</v>
      </c>
      <c r="AA1645" s="12">
        <v>-31.904407022213682</v>
      </c>
      <c r="AB1645" s="12">
        <v>1.6107683636470073E-3</v>
      </c>
      <c r="AC1645" s="12">
        <v>-5.090603373422125</v>
      </c>
      <c r="AD1645" s="12">
        <v>2.0904593616995325E-2</v>
      </c>
      <c r="AE1645" s="12">
        <v>2.6570161854420777</v>
      </c>
      <c r="AF1645" s="12">
        <v>2.3416637597646837</v>
      </c>
      <c r="AG1645" s="12">
        <v>2.2562365508567859</v>
      </c>
      <c r="AH1645" s="12">
        <v>-31.904407022213682</v>
      </c>
    </row>
    <row r="1646" spans="24:34" x14ac:dyDescent="0.25">
      <c r="X1646">
        <v>44.6</v>
      </c>
      <c r="Y1646" s="12">
        <v>42.237691312850636</v>
      </c>
      <c r="Z1646" s="12">
        <v>2.3623086871493655</v>
      </c>
      <c r="AA1646" s="12">
        <v>2.391591985748029</v>
      </c>
      <c r="AB1646" s="12">
        <v>1.2244270248926818E-2</v>
      </c>
      <c r="AC1646" s="12">
        <v>0.37956006112400126</v>
      </c>
      <c r="AD1646" s="12">
        <v>8.9292373887255245E-4</v>
      </c>
      <c r="AE1646" s="12">
        <v>2.6570161854420777</v>
      </c>
      <c r="AF1646" s="12">
        <v>2.3652740310542679</v>
      </c>
      <c r="AG1646" s="12">
        <v>0.61608445940796241</v>
      </c>
      <c r="AH1646" s="12">
        <v>2.3915919857480321</v>
      </c>
    </row>
    <row r="1647" spans="24:34" x14ac:dyDescent="0.25">
      <c r="X1647">
        <v>44.3</v>
      </c>
      <c r="Y1647" s="12">
        <v>41.94178715707708</v>
      </c>
      <c r="Z1647" s="12">
        <v>2.3582128429229172</v>
      </c>
      <c r="AA1647" s="12">
        <v>2.3880639775486614</v>
      </c>
      <c r="AB1647" s="12">
        <v>1.2500140241798494E-2</v>
      </c>
      <c r="AC1647" s="12">
        <v>0.37895105334748591</v>
      </c>
      <c r="AD1647" s="12">
        <v>9.0889577448825007E-4</v>
      </c>
      <c r="AE1647" s="12">
        <v>2.6570161854420777</v>
      </c>
      <c r="AF1647" s="12">
        <v>2.3888845824129725</v>
      </c>
      <c r="AG1647" s="12">
        <v>0.61559000426215982</v>
      </c>
      <c r="AH1647" s="12">
        <v>2.3880639775486627</v>
      </c>
    </row>
    <row r="1648" spans="24:34" x14ac:dyDescent="0.25">
      <c r="X1648">
        <v>44.5</v>
      </c>
      <c r="Y1648" s="12">
        <v>42.336326031441821</v>
      </c>
      <c r="Z1648" s="12">
        <v>2.1636739685581787</v>
      </c>
      <c r="AA1648" s="12">
        <v>2.1903072250854905</v>
      </c>
      <c r="AB1648" s="12">
        <v>1.2159598535897188E-2</v>
      </c>
      <c r="AC1648" s="12">
        <v>0.34762985524455753</v>
      </c>
      <c r="AD1648" s="12">
        <v>7.4376646266607047E-4</v>
      </c>
      <c r="AE1648" s="12">
        <v>2.6570161854420777</v>
      </c>
      <c r="AF1648" s="12">
        <v>2.420365795789972</v>
      </c>
      <c r="AG1648" s="12">
        <v>0.58960143762083683</v>
      </c>
      <c r="AH1648" s="12">
        <v>2.1903072250854936</v>
      </c>
    </row>
    <row r="1649" spans="24:34" x14ac:dyDescent="0.25">
      <c r="X1649">
        <v>44.8</v>
      </c>
      <c r="Y1649" s="12">
        <v>73.998070699212263</v>
      </c>
      <c r="Z1649" s="12">
        <v>-29.198070699212266</v>
      </c>
      <c r="AA1649" s="12">
        <v>-29.226033048609978</v>
      </c>
      <c r="AB1649" s="12">
        <v>9.5676171142341604E-4</v>
      </c>
      <c r="AC1649" s="12">
        <v>-4.6647744867052019</v>
      </c>
      <c r="AD1649" s="12">
        <v>1.0419594378973116E-2</v>
      </c>
      <c r="AE1649" s="12">
        <v>2.6570161854420777</v>
      </c>
      <c r="AF1649" s="12">
        <v>2.4361066238540796</v>
      </c>
      <c r="AG1649" s="12">
        <v>2.1598089005060612</v>
      </c>
      <c r="AH1649" s="12">
        <v>-29.226033048609974</v>
      </c>
    </row>
    <row r="1650" spans="24:34" x14ac:dyDescent="0.25">
      <c r="X1650">
        <v>45.3</v>
      </c>
      <c r="Y1650" s="12">
        <v>43.766529451014001</v>
      </c>
      <c r="Z1650" s="12">
        <v>1.5334705489859957</v>
      </c>
      <c r="AA1650" s="12">
        <v>1.5504739746477298</v>
      </c>
      <c r="AB1650" s="12">
        <v>1.0966598562607675E-2</v>
      </c>
      <c r="AC1650" s="12">
        <v>0.2462286590059013</v>
      </c>
      <c r="AD1650" s="12">
        <v>3.3613070898664285E-4</v>
      </c>
      <c r="AE1650" s="12">
        <v>2.6570161854420777</v>
      </c>
      <c r="AF1650" s="12">
        <v>2.5148132698148755</v>
      </c>
      <c r="AG1650" s="12">
        <v>0.49621432769107071</v>
      </c>
      <c r="AH1650" s="12">
        <v>1.5504739746477281</v>
      </c>
    </row>
    <row r="1651" spans="24:34" x14ac:dyDescent="0.25">
      <c r="X1651">
        <v>46</v>
      </c>
      <c r="Y1651" s="12">
        <v>44.802193996221447</v>
      </c>
      <c r="Z1651" s="12">
        <v>1.1978060037785525</v>
      </c>
      <c r="AA1651" s="12">
        <v>1.2100801822065179</v>
      </c>
      <c r="AB1651" s="12">
        <v>1.0143276956724078E-2</v>
      </c>
      <c r="AC1651" s="12">
        <v>0.19225115458485478</v>
      </c>
      <c r="AD1651" s="12">
        <v>1.8937117087060364E-4</v>
      </c>
      <c r="AE1651" s="12">
        <v>2.6570161854420777</v>
      </c>
      <c r="AF1651" s="12">
        <v>2.5226841858335303</v>
      </c>
      <c r="AG1651" s="12">
        <v>0.4384645419926847</v>
      </c>
      <c r="AH1651" s="12">
        <v>1.2100801822065164</v>
      </c>
    </row>
  </sheetData>
  <conditionalFormatting sqref="I3:I1048576">
    <cfRule type="expression" dxfId="19" priority="1">
      <formula>AND(ISNUMBER(I3),I3&gt;5,I3&lt;=10)</formula>
    </cfRule>
    <cfRule type="expression" dxfId="18" priority="2">
      <formula>AND(ISNUMBER(I3),I3&gt;10)</formula>
    </cfRule>
  </conditionalFormatting>
  <conditionalFormatting sqref="P5">
    <cfRule type="expression" dxfId="17" priority="3">
      <formula>AND(ISNUMBER(P5),P5&lt;0)</formula>
    </cfRule>
  </conditionalFormatting>
  <conditionalFormatting sqref="P10">
    <cfRule type="expression" dxfId="16" priority="4">
      <formula>AND(ISNUMBER(P10),P10&lt;0.98,P10&gt;=0.95)</formula>
    </cfRule>
    <cfRule type="expression" dxfId="15" priority="5">
      <formula>AND(ISNUMBER(P10),P10&lt;0.95)</formula>
    </cfRule>
  </conditionalFormatting>
  <conditionalFormatting sqref="P21:P1048576">
    <cfRule type="expression" dxfId="14" priority="6">
      <formula>AND(ISNUMBER(P21),P21&gt;$M$12)</formula>
    </cfRule>
  </conditionalFormatting>
  <conditionalFormatting sqref="Q15">
    <cfRule type="expression" dxfId="13" priority="7">
      <formula>AND(ISNUMBER(Q15),Q15&gt;$M$12)</formula>
    </cfRule>
  </conditionalFormatting>
  <conditionalFormatting sqref="AB3:AB1048576">
    <cfRule type="expression" dxfId="12" priority="8">
      <formula>AND(ISNUMBER(AB3),AB3&gt;2*$P$6)</formula>
    </cfRule>
    <cfRule type="expression" dxfId="11" priority="9">
      <formula>AND(ISNUMBER(AB3),AB3&gt;3*$P$6)</formula>
    </cfRule>
  </conditionalFormatting>
  <conditionalFormatting sqref="AC3:AC1048576">
    <cfRule type="expression" dxfId="10" priority="10">
      <formula>AND(ISNUMBER(AC3),ABS(AC3)&gt;2,ABS(AC3)&lt;3)</formula>
    </cfRule>
    <cfRule type="expression" dxfId="9" priority="11">
      <formula>AND(ISNUMBER(AC3),ABS(AC3)&gt;=3)</formula>
    </cfRule>
  </conditionalFormatting>
  <conditionalFormatting sqref="AF3:AF1048576">
    <cfRule type="expression" dxfId="8" priority="12">
      <formula>AND(ISNUMBER(AF3),ABS(AF3)&gt;2,ABS(AF3)&lt;3)</formula>
    </cfRule>
    <cfRule type="expression" dxfId="7" priority="13">
      <formula>AND(ISNUMBER(AF3),ABS(AF3)&gt;=3)</formula>
    </cfRule>
  </conditionalFormatting>
  <conditionalFormatting sqref="AD3:AD1048576">
    <cfRule type="expression" dxfId="6" priority="14">
      <formula>AND(ISNUMBER(AD3),AD3&gt;4/$M$8,AD3&lt;=0.9)</formula>
    </cfRule>
    <cfRule type="expression" dxfId="5" priority="15">
      <formula>AND(ISNUMBER(AD3),AD3&gt;0.9)</formula>
    </cfRule>
  </conditionalFormatting>
  <conditionalFormatting sqref="AG3:AG1048576">
    <cfRule type="expression" dxfId="4" priority="16">
      <formula>AND(ISNUMBER(AG3),AG3&gt;1.414,AG3&lt;=1.732)</formula>
    </cfRule>
    <cfRule type="expression" dxfId="3" priority="17">
      <formula>AND(ISNUMBER(AG3),AG3&gt;1.732)</formula>
    </cfRule>
  </conditionalFormatting>
  <conditionalFormatting sqref="AH3:AH1048576">
    <cfRule type="expression" dxfId="2" priority="18">
      <formula>AND(ISNUMBER(AH3),ABS(AH3)&gt;2*$M$7,ABS(AH3)&lt;=3*$M$7)</formula>
    </cfRule>
    <cfRule type="expression" dxfId="1" priority="19">
      <formula>AND(ISNUMBER(AH3),ABS(AH3)&gt;3*$M$7)</formula>
    </cfRule>
  </conditionalFormatting>
  <conditionalFormatting sqref="U13:U1048576">
    <cfRule type="expression" dxfId="0" priority="20">
      <formula>NOT(INDEX(_xlfn.TAKE(Ind_Var_Include,COLUMNS(All_Xs)),ROW()-ROW($U$13)+1))</formula>
    </cfRule>
  </conditionalFormatting>
  <dataValidations count="1">
    <dataValidation type="list" allowBlank="1" showInputMessage="1" showErrorMessage="1" sqref="B2:B16000" xr:uid="{BEF14E09-17E8-4BE0-BF3B-CE1A5106AC31}">
      <formula1>"TRUE,FALSE"</formula1>
    </dataValidation>
  </dataValidations>
  <pageMargins left="0.7" right="0.7" top="0.75" bottom="0.75" header="0.3" footer="0.3"/>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5979C-8EAB-4004-9925-F5E8E00E0357}">
  <dimension ref="A1:BR29"/>
  <sheetViews>
    <sheetView workbookViewId="0">
      <pane xSplit="1" ySplit="3" topLeftCell="B6" activePane="bottomRight" state="frozen"/>
      <selection pane="topRight" activeCell="B1" sqref="B1"/>
      <selection pane="bottomLeft" activeCell="A4" sqref="A4"/>
      <selection pane="bottomRight" activeCell="B4" sqref="B4"/>
    </sheetView>
  </sheetViews>
  <sheetFormatPr defaultRowHeight="15" x14ac:dyDescent="0.25"/>
  <cols>
    <col min="1" max="1" width="14.7109375" customWidth="1"/>
    <col min="2" max="2" width="2.7109375" customWidth="1"/>
    <col min="3" max="3" width="16.7109375" customWidth="1"/>
    <col min="4" max="4" width="12.7109375" customWidth="1"/>
    <col min="5" max="5" width="2.7109375" customWidth="1"/>
    <col min="6" max="6" width="12.7109375" customWidth="1"/>
    <col min="7" max="7" width="10.7109375" customWidth="1"/>
    <col min="8" max="8" width="2.7109375" customWidth="1"/>
    <col min="9" max="9" width="12.7109375" customWidth="1"/>
    <col min="10" max="10" width="10.7109375" customWidth="1"/>
    <col min="11" max="11" width="2.7109375" customWidth="1"/>
    <col min="12" max="12" width="12.7109375" customWidth="1"/>
    <col min="13" max="13" width="10.7109375" customWidth="1"/>
    <col min="14" max="15" width="2.7109375" customWidth="1"/>
    <col min="16" max="16" width="14.7109375" customWidth="1"/>
    <col min="17" max="17" width="10.7109375" customWidth="1"/>
    <col min="18" max="18" width="12.7109375" customWidth="1"/>
    <col min="19" max="19" width="10.7109375" customWidth="1"/>
    <col min="20" max="20" width="12.7109375" customWidth="1"/>
    <col min="21" max="21" width="10.7109375" customWidth="1"/>
    <col min="22" max="23" width="12.7109375" customWidth="1"/>
    <col min="24" max="24" width="6.7109375" customWidth="1"/>
    <col min="25" max="26" width="12.7109375" customWidth="1"/>
    <col min="27" max="27" width="2.7109375" customWidth="1"/>
    <col min="28" max="28" width="12.7109375" customWidth="1"/>
    <col min="29" max="48" width="6.7109375" customWidth="1"/>
    <col min="49" max="49" width="2.7109375" customWidth="1"/>
    <col min="50" max="50" width="12.7109375" customWidth="1"/>
    <col min="51" max="70" width="6.7109375" customWidth="1"/>
  </cols>
  <sheetData>
    <row r="1" spans="1:70" ht="20.100000000000001" customHeight="1" x14ac:dyDescent="0.3">
      <c r="A1" s="37" t="s">
        <v>713</v>
      </c>
      <c r="F1" s="54" t="s">
        <v>727</v>
      </c>
      <c r="G1" s="54"/>
      <c r="H1" s="54"/>
      <c r="I1" s="54"/>
      <c r="J1" s="54"/>
      <c r="K1" s="54"/>
      <c r="L1" s="54"/>
      <c r="M1" s="54"/>
    </row>
    <row r="2" spans="1:70" ht="18" customHeight="1" x14ac:dyDescent="0.25">
      <c r="F2" s="54" t="s">
        <v>728</v>
      </c>
      <c r="G2" s="54"/>
      <c r="I2" s="54" t="s">
        <v>730</v>
      </c>
      <c r="J2" s="54"/>
      <c r="L2" s="54" t="s">
        <v>731</v>
      </c>
      <c r="M2" s="54"/>
      <c r="P2" s="54" t="s">
        <v>732</v>
      </c>
      <c r="Q2" s="54"/>
      <c r="R2" s="54"/>
      <c r="S2" s="54"/>
      <c r="T2" s="54"/>
      <c r="U2" s="54"/>
      <c r="V2" s="54"/>
      <c r="W2" s="54"/>
      <c r="X2" s="54"/>
      <c r="Y2" s="54"/>
      <c r="Z2" s="54"/>
    </row>
    <row r="3" spans="1:70" ht="18" customHeight="1" x14ac:dyDescent="0.25">
      <c r="A3" s="4" t="s">
        <v>714</v>
      </c>
      <c r="C3" s="14" t="s">
        <v>715</v>
      </c>
      <c r="D3" s="18"/>
      <c r="AB3" s="51" t="s">
        <v>750</v>
      </c>
      <c r="AC3" s="52"/>
      <c r="AD3" s="52"/>
      <c r="AE3" s="52"/>
      <c r="AF3" s="52"/>
      <c r="AG3" s="52"/>
      <c r="AH3" s="52"/>
      <c r="AI3" s="52"/>
      <c r="AJ3" s="52"/>
      <c r="AK3" s="52"/>
      <c r="AL3" s="52"/>
      <c r="AM3" s="52"/>
      <c r="AN3" s="52"/>
      <c r="AO3" s="52"/>
      <c r="AP3" s="52"/>
      <c r="AQ3" s="52"/>
      <c r="AR3" s="52"/>
      <c r="AS3" s="52"/>
      <c r="AT3" s="52"/>
      <c r="AU3" s="52"/>
      <c r="AV3" s="53"/>
      <c r="AX3" s="51" t="s">
        <v>756</v>
      </c>
      <c r="AY3" s="52"/>
      <c r="AZ3" s="52"/>
      <c r="BA3" s="52"/>
      <c r="BB3" s="52"/>
      <c r="BC3" s="52"/>
      <c r="BD3" s="52"/>
      <c r="BE3" s="52"/>
      <c r="BF3" s="52"/>
      <c r="BG3" s="52"/>
      <c r="BH3" s="52"/>
      <c r="BI3" s="52"/>
      <c r="BJ3" s="52"/>
      <c r="BK3" s="52"/>
      <c r="BL3" s="52"/>
      <c r="BM3" s="52"/>
      <c r="BN3" s="52"/>
      <c r="BO3" s="52"/>
      <c r="BP3" s="52"/>
      <c r="BQ3" s="52"/>
      <c r="BR3" s="53"/>
    </row>
    <row r="4" spans="1:70" ht="18" customHeight="1" x14ac:dyDescent="0.25">
      <c r="A4" t="str" cm="1">
        <f t="array" ref="A4">IFERROR(_xlfn._xlws.FILTER(#REF!,#REF!),"")</f>
        <v/>
      </c>
      <c r="C4" s="39" t="s">
        <v>717</v>
      </c>
      <c r="D4" s="40" t="e">
        <f>AVERAGE(UV_Data)</f>
        <v>#DIV/0!</v>
      </c>
      <c r="F4" s="38" t="s">
        <v>729</v>
      </c>
      <c r="G4" s="38" t="s">
        <v>725</v>
      </c>
      <c r="I4" s="38" t="s">
        <v>729</v>
      </c>
      <c r="J4" s="38" t="s">
        <v>725</v>
      </c>
      <c r="L4" s="38" t="s">
        <v>729</v>
      </c>
      <c r="M4" s="38" t="s">
        <v>725</v>
      </c>
      <c r="P4" s="42" t="s">
        <v>733</v>
      </c>
      <c r="Q4" s="43" t="s">
        <v>734</v>
      </c>
      <c r="R4" s="43" t="s">
        <v>716</v>
      </c>
      <c r="S4" s="43" t="s">
        <v>735</v>
      </c>
      <c r="T4" s="43" t="s">
        <v>716</v>
      </c>
      <c r="U4" s="43" t="s">
        <v>736</v>
      </c>
      <c r="V4" s="43" t="s">
        <v>716</v>
      </c>
      <c r="W4" s="43" t="s">
        <v>737</v>
      </c>
      <c r="X4" s="43" t="s">
        <v>738</v>
      </c>
      <c r="Y4" s="43" t="s">
        <v>63</v>
      </c>
      <c r="Z4" s="46" t="s">
        <v>67</v>
      </c>
      <c r="AB4" s="13" t="s">
        <v>751</v>
      </c>
      <c r="AC4" s="30">
        <v>0.5</v>
      </c>
      <c r="AD4" s="30">
        <v>10</v>
      </c>
      <c r="AV4" s="28"/>
      <c r="AX4" s="13" t="s">
        <v>751</v>
      </c>
      <c r="AY4" s="12">
        <f>MAX(0.001,$AC$7-($AD$4-$AC$4)/(20-1))</f>
        <v>1E-3</v>
      </c>
      <c r="AZ4" s="12">
        <f>$AC$7+($AD$4-$AC$4)/(20-1)</f>
        <v>1</v>
      </c>
      <c r="BR4" s="28"/>
    </row>
    <row r="5" spans="1:70" x14ac:dyDescent="0.25">
      <c r="C5" s="13" t="s">
        <v>718</v>
      </c>
      <c r="D5" s="19" t="e">
        <f>MEDIAN(UV_Data)</f>
        <v>#NUM!</v>
      </c>
      <c r="F5" s="11" t="e" cm="1">
        <f t="array" aca="1" ref="F5" ca="1">Bin_Edges(UV_Data,"Sturges")</f>
        <v>#NAME?</v>
      </c>
      <c r="G5" s="36" t="e" cm="1" vm="1">
        <f t="array" aca="1" ref="G5" ca="1">Bin_Counts(UV_Data,_xlfn.ANCHORARRAY(F5))</f>
        <v>#VALUE!</v>
      </c>
      <c r="I5" s="11" t="e" cm="1">
        <f t="array" aca="1" ref="I5" ca="1">Bin_Edges(UV_Data,"Scott")</f>
        <v>#NAME?</v>
      </c>
      <c r="J5" s="36" t="e" cm="1" vm="1">
        <f t="array" aca="1" ref="J5" ca="1">Bin_Counts(UV_Data,_xlfn.ANCHORARRAY(I5))</f>
        <v>#VALUE!</v>
      </c>
      <c r="L5" s="11" t="e" cm="1">
        <f t="array" aca="1" ref="L5" ca="1">Bin_Edges(UV_Data)</f>
        <v>#NAME?</v>
      </c>
      <c r="M5" s="36" t="e" cm="1" vm="1">
        <f t="array" aca="1" ref="M5" ca="1">Bin_Counts(UV_Data,_xlfn.ANCHORARRAY(L5))</f>
        <v>#VALUE!</v>
      </c>
      <c r="P5" s="13" t="s">
        <v>739</v>
      </c>
      <c r="Q5" t="s">
        <v>717</v>
      </c>
      <c r="R5" s="12" t="e">
        <f>AVERAGE(UV_Data)</f>
        <v>#DIV/0!</v>
      </c>
      <c r="S5" t="s">
        <v>720</v>
      </c>
      <c r="T5" s="12" t="e">
        <f>_xlfn.STDEV.S(UV_Data)</f>
        <v>#DIV/0!</v>
      </c>
      <c r="V5" s="12"/>
      <c r="W5" s="11" cm="1">
        <f t="array" aca="1" ref="W5" ca="1">NLL_Normal(UV_Data,$R$5,$T$5)</f>
        <v>1000000000000000</v>
      </c>
      <c r="X5" s="36">
        <v>2</v>
      </c>
      <c r="Y5" s="11" cm="1">
        <f t="array" aca="1" ref="Y5" ca="1">GoF_AIC($W$5,$X$5)</f>
        <v>2000000000000004</v>
      </c>
      <c r="Z5" s="47" t="e" cm="1">
        <f t="array" aca="1" ref="Z5" ca="1">GoF_BIC($W$5,$X$5,UV_n)</f>
        <v>#NUM!</v>
      </c>
      <c r="AB5" s="13" t="s">
        <v>752</v>
      </c>
      <c r="AC5" s="30">
        <v>0.1</v>
      </c>
      <c r="AD5" s="30">
        <f>IFERROR(2*AVERAGE(UV_Data),10)</f>
        <v>10</v>
      </c>
      <c r="AV5" s="28"/>
      <c r="AX5" s="13" t="s">
        <v>752</v>
      </c>
      <c r="AY5" s="12">
        <f>MAX(0.001,$AE$7-($AD$5-$AC$5)/(20-1))</f>
        <v>1E-3</v>
      </c>
      <c r="AZ5" s="12">
        <f>$AE$7+($AD$5-$AC$5)/(20-1)</f>
        <v>0.62105263157894741</v>
      </c>
      <c r="BR5" s="28"/>
    </row>
    <row r="6" spans="1:70" x14ac:dyDescent="0.25">
      <c r="C6" s="13" t="s">
        <v>719</v>
      </c>
      <c r="D6" s="19" t="str">
        <f>IFERROR(_xlfn.MODE.SNGL(UV_Data),"N/A")</f>
        <v>N/A</v>
      </c>
      <c r="P6" s="13" t="s">
        <v>740</v>
      </c>
      <c r="Q6" t="s">
        <v>741</v>
      </c>
      <c r="R6" s="12" t="e" cm="1" vm="1">
        <f t="array" ref="R6">AVERAGE(LN(_xlfn._xlws.FILTER(UV_Data,ISNUMBER(UV_Data))))</f>
        <v>#VALUE!</v>
      </c>
      <c r="S6" t="s">
        <v>742</v>
      </c>
      <c r="T6" s="12" t="e" cm="1" vm="1">
        <f t="array" ref="T6">_xlfn.STDEV.S(LN(_xlfn._xlws.FILTER(UV_Data,ISNUMBER(UV_Data))))</f>
        <v>#VALUE!</v>
      </c>
      <c r="V6" s="12"/>
      <c r="W6" s="11" cm="1">
        <f t="array" aca="1" ref="W6" ca="1">NLL_Lognormal(UV_Data,$R$6,$T$6)</f>
        <v>1000000000000000</v>
      </c>
      <c r="X6" s="36">
        <v>2</v>
      </c>
      <c r="Y6" s="11" cm="1">
        <f t="array" aca="1" ref="Y6" ca="1">GoF_AIC($W$6,$X$6)</f>
        <v>2000000000000004</v>
      </c>
      <c r="Z6" s="47" t="e" cm="1">
        <f t="array" aca="1" ref="Z6" ca="1">GoF_BIC($W$6,$X$6,UV_n)</f>
        <v>#NUM!</v>
      </c>
      <c r="AB6" s="13" t="s">
        <v>753</v>
      </c>
      <c r="AC6" s="11">
        <f>IF(COUNT(UV_WB_S1)=0,"—",MIN(UV_WB_S1))</f>
        <v>1000000000000000</v>
      </c>
      <c r="AV6" s="28"/>
      <c r="AX6" s="13" t="s">
        <v>753</v>
      </c>
      <c r="AY6" s="11">
        <f>IF(COUNT(UV_WB_S2)=0,"—",MIN(UV_WB_S2))</f>
        <v>1000000000000000</v>
      </c>
      <c r="BR6" s="28"/>
    </row>
    <row r="7" spans="1:70" x14ac:dyDescent="0.25">
      <c r="C7" s="13" t="s">
        <v>720</v>
      </c>
      <c r="D7" s="19" t="e">
        <f>_xlfn.STDEV.S(UV_Data)</f>
        <v>#DIV/0!</v>
      </c>
      <c r="P7" s="13" t="s">
        <v>743</v>
      </c>
      <c r="Q7" t="s">
        <v>744</v>
      </c>
      <c r="R7" s="12" t="e">
        <f>1/AVERAGE(UV_Data)</f>
        <v>#DIV/0!</v>
      </c>
      <c r="T7" s="12"/>
      <c r="V7" s="12"/>
      <c r="W7" s="11" cm="1">
        <f t="array" aca="1" ref="W7" ca="1">NLL_Exponential(UV_Data,$R$7)</f>
        <v>1000000000000000</v>
      </c>
      <c r="X7" s="36">
        <v>1</v>
      </c>
      <c r="Y7" s="11" cm="1">
        <f t="array" aca="1" ref="Y7" ca="1">GoF_AIC($W$7,$X$7)</f>
        <v>2000000000000002</v>
      </c>
      <c r="Z7" s="47" t="e" cm="1">
        <f t="array" aca="1" ref="Z7" ca="1">GoF_BIC($W$7,$X$7,UV_n)</f>
        <v>#NUM!</v>
      </c>
      <c r="AB7" s="13" t="s">
        <v>754</v>
      </c>
      <c r="AC7" s="12" cm="1">
        <f t="array" ref="AC7">IFERROR(INDEX(_xlfn.ANCHORARRAY($AC$9),1,$AC$8),"—")</f>
        <v>0.5</v>
      </c>
      <c r="AD7" t="s">
        <v>755</v>
      </c>
      <c r="AE7" s="12" cm="1">
        <f t="array" ref="AE7">IFERROR(INDEX(_xlfn.ANCHORARRAY($AB$10),$AB$8),"—")</f>
        <v>0.1</v>
      </c>
      <c r="AV7" s="28"/>
      <c r="AX7" s="13" t="s">
        <v>754</v>
      </c>
      <c r="AY7" s="12" cm="1">
        <f t="array" ref="AY7">IFERROR(INDEX(_xlfn.ANCHORARRAY($AY$9),1,$AY$8),"—")</f>
        <v>1E-3</v>
      </c>
      <c r="AZ7" t="s">
        <v>755</v>
      </c>
      <c r="BA7" s="12" cm="1">
        <f t="array" ref="BA7">IFERROR(INDEX(_xlfn.ANCHORARRAY($AX$10),$AX$8),"—")</f>
        <v>1E-3</v>
      </c>
      <c r="BR7" s="28"/>
    </row>
    <row r="8" spans="1:70" x14ac:dyDescent="0.25">
      <c r="C8" s="13" t="s">
        <v>721</v>
      </c>
      <c r="D8" s="19" t="e">
        <f>_xlfn.VAR.S(UV_Data)</f>
        <v>#DIV/0!</v>
      </c>
      <c r="P8" s="13" t="s">
        <v>745</v>
      </c>
      <c r="Q8" t="s">
        <v>722</v>
      </c>
      <c r="R8" s="12">
        <f>MIN(UV_Data)-(MAX(UV_Data)-MIN(UV_Data))*0.001</f>
        <v>0</v>
      </c>
      <c r="S8" t="s">
        <v>719</v>
      </c>
      <c r="T8" s="12" t="e">
        <f>IFERROR(_xlfn.MODE.SNGL(UV_Data),MEDIAN(UV_Data))</f>
        <v>#NUM!</v>
      </c>
      <c r="U8" t="s">
        <v>723</v>
      </c>
      <c r="V8" s="12">
        <f>MAX(UV_Data)+(MAX(UV_Data)-MIN(UV_Data))*0.001</f>
        <v>0</v>
      </c>
      <c r="W8" s="11" cm="1">
        <f t="array" ref="W8">NLL_Triangular(UV_Data,$R$8,$T$8,$V$8)</f>
        <v>1000000000000000</v>
      </c>
      <c r="X8" s="36">
        <v>3</v>
      </c>
      <c r="Y8" s="11" cm="1">
        <f t="array" ref="Y8">GoF_AIC($W$8,$X$8)</f>
        <v>2000000000000006</v>
      </c>
      <c r="Z8" s="47" t="e" cm="1">
        <f t="array" ref="Z8">GoF_BIC($W$8,$X$8,UV_n)</f>
        <v>#NUM!</v>
      </c>
      <c r="AB8" s="13" cm="1">
        <f t="array" ref="AB8">IFERROR(MIN(IF(UV_WB_S1=MIN(UV_WB_S1),ROW(UV_WB_S1)-ROW($AB$9))),1)</f>
        <v>1</v>
      </c>
      <c r="AC8" cm="1">
        <f t="array" ref="AC8">IFERROR(MIN(IF(UV_WB_S1=MIN(UV_WB_S1),COLUMN(UV_WB_S1)-COLUMN($AB$9))),1)</f>
        <v>1</v>
      </c>
      <c r="AD8">
        <v>1</v>
      </c>
      <c r="AE8">
        <v>1</v>
      </c>
      <c r="AV8" s="28"/>
      <c r="AX8" s="13" cm="1">
        <f t="array" ref="AX8">IFERROR(MIN(IF(UV_WB_S2=MIN(UV_WB_S2),ROW(UV_WB_S2)-ROW($AX$9))),1)</f>
        <v>1</v>
      </c>
      <c r="AY8" cm="1">
        <f t="array" ref="AY8">IFERROR(MIN(IF(UV_WB_S2=MIN(UV_WB_S2),COLUMN(UV_WB_S2)-COLUMN($AX$9))),1)</f>
        <v>1</v>
      </c>
      <c r="AZ8">
        <v>1</v>
      </c>
      <c r="BA8">
        <v>1</v>
      </c>
      <c r="BR8" s="28"/>
    </row>
    <row r="9" spans="1:70" x14ac:dyDescent="0.25">
      <c r="C9" s="13" t="s">
        <v>722</v>
      </c>
      <c r="D9" s="19">
        <f>MIN(UV_Data)</f>
        <v>0</v>
      </c>
      <c r="P9" s="13" t="s">
        <v>746</v>
      </c>
      <c r="Q9" t="s">
        <v>722</v>
      </c>
      <c r="R9" s="12">
        <f>MIN(UV_Data)-(MAX(UV_Data)-MIN(UV_Data))*0.001</f>
        <v>0</v>
      </c>
      <c r="S9" t="s">
        <v>719</v>
      </c>
      <c r="T9" s="12" t="e">
        <f>IFERROR(_xlfn.MODE.SNGL(UV_Data),MEDIAN(UV_Data))</f>
        <v>#NUM!</v>
      </c>
      <c r="U9" t="s">
        <v>723</v>
      </c>
      <c r="V9" s="12">
        <f>MAX(UV_Data)+(MAX(UV_Data)-MIN(UV_Data))*0.001</f>
        <v>0</v>
      </c>
      <c r="W9" s="11" cm="1">
        <f t="array" aca="1" ref="W9" ca="1">NLL_BetaPERT(UV_Data,$R$9,$T$9,$V$9)</f>
        <v>1000000000000000</v>
      </c>
      <c r="X9" s="36">
        <v>3</v>
      </c>
      <c r="Y9" s="11" cm="1">
        <f t="array" aca="1" ref="Y9" ca="1">GoF_AIC($W$9,$X$9)</f>
        <v>2000000000000006</v>
      </c>
      <c r="Z9" s="47" t="e" cm="1">
        <f t="array" aca="1" ref="Z9" ca="1">GoF_BIC($W$9,$X$9,UV_n)</f>
        <v>#NUM!</v>
      </c>
      <c r="AB9" s="49" cm="1">
        <f t="array" aca="1" ref="AB9" ca="1">NLL_Weibull(UV_Data,$AD$8,$AE$8)</f>
        <v>1000000000000000</v>
      </c>
      <c r="AC9" s="11" cm="1">
        <f t="array" ref="AC9:AV9">_xlfn.SEQUENCE(1,20,$AC$4,($AD$4-$AC$4)/(20-1))</f>
        <v>0.5</v>
      </c>
      <c r="AD9">
        <v>1</v>
      </c>
      <c r="AE9">
        <v>1.5</v>
      </c>
      <c r="AF9">
        <v>2</v>
      </c>
      <c r="AG9">
        <v>2.5</v>
      </c>
      <c r="AH9">
        <v>3</v>
      </c>
      <c r="AI9">
        <v>3.5</v>
      </c>
      <c r="AJ9">
        <v>4</v>
      </c>
      <c r="AK9">
        <v>4.5</v>
      </c>
      <c r="AL9">
        <v>5</v>
      </c>
      <c r="AM9">
        <v>5.5</v>
      </c>
      <c r="AN9">
        <v>6</v>
      </c>
      <c r="AO9">
        <v>6.5</v>
      </c>
      <c r="AP9">
        <v>7</v>
      </c>
      <c r="AQ9">
        <v>7.5</v>
      </c>
      <c r="AR9">
        <v>8</v>
      </c>
      <c r="AS9">
        <v>8.5</v>
      </c>
      <c r="AT9">
        <v>9</v>
      </c>
      <c r="AU9">
        <v>9.5</v>
      </c>
      <c r="AV9" s="28">
        <v>10</v>
      </c>
      <c r="AX9" s="49" cm="1">
        <f t="array" aca="1" ref="AX9" ca="1">NLL_Weibull(UV_Data,$AZ$8,$BA$8)</f>
        <v>1000000000000000</v>
      </c>
      <c r="AY9" s="11" cm="1">
        <f t="array" ref="AY9:BR9">_xlfn.SEQUENCE(1,20,$AY$4,($AZ$4-$AY$4)/(20-1))</f>
        <v>1E-3</v>
      </c>
      <c r="AZ9">
        <v>5.3578947368421052E-2</v>
      </c>
      <c r="BA9">
        <v>0.1061578947368421</v>
      </c>
      <c r="BB9">
        <v>0.15873684210526315</v>
      </c>
      <c r="BC9">
        <v>0.21131578947368421</v>
      </c>
      <c r="BD9">
        <v>0.26389473684210524</v>
      </c>
      <c r="BE9">
        <v>0.3164736842105263</v>
      </c>
      <c r="BF9">
        <v>0.36905263157894735</v>
      </c>
      <c r="BG9">
        <v>0.42163157894736841</v>
      </c>
      <c r="BH9">
        <v>0.47421052631578947</v>
      </c>
      <c r="BI9">
        <v>0.52678947368421047</v>
      </c>
      <c r="BJ9">
        <v>0.57936842105263153</v>
      </c>
      <c r="BK9">
        <v>0.63194736842105259</v>
      </c>
      <c r="BL9">
        <v>0.68452631578947365</v>
      </c>
      <c r="BM9">
        <v>0.73710526315789471</v>
      </c>
      <c r="BN9">
        <v>0.78968421052631577</v>
      </c>
      <c r="BO9">
        <v>0.84226315789473682</v>
      </c>
      <c r="BP9">
        <v>0.89484210526315788</v>
      </c>
      <c r="BQ9">
        <v>0.94742105263157894</v>
      </c>
      <c r="BR9" s="28">
        <v>1</v>
      </c>
    </row>
    <row r="10" spans="1:70" x14ac:dyDescent="0.25">
      <c r="C10" s="13" t="s">
        <v>723</v>
      </c>
      <c r="D10" s="19">
        <f>MAX(UV_Data)</f>
        <v>0</v>
      </c>
      <c r="P10" s="16" t="s">
        <v>747</v>
      </c>
      <c r="Q10" s="25" t="s">
        <v>748</v>
      </c>
      <c r="R10" s="44">
        <f>$AY$7</f>
        <v>1E-3</v>
      </c>
      <c r="S10" s="25" t="s">
        <v>749</v>
      </c>
      <c r="T10" s="44">
        <f>$BA$7</f>
        <v>1E-3</v>
      </c>
      <c r="U10" s="25"/>
      <c r="V10" s="44"/>
      <c r="W10" s="45" cm="1">
        <f t="array" aca="1" ref="W10" ca="1">NLL_Weibull(UV_Data,$R$10,$T$10)</f>
        <v>1000000000000000</v>
      </c>
      <c r="X10" s="17">
        <v>2</v>
      </c>
      <c r="Y10" s="45" cm="1">
        <f t="array" aca="1" ref="Y10" ca="1">GoF_AIC($W$10,$X$10)</f>
        <v>2000000000000004</v>
      </c>
      <c r="Z10" s="48" t="e" cm="1">
        <f t="array" aca="1" ref="Z10" ca="1">GoF_BIC($W$10,$X$10,UV_n)</f>
        <v>#NUM!</v>
      </c>
      <c r="AB10" s="50" cm="1">
        <f t="array" ref="AB10:AB29">_xlfn.SEQUENCE(20,1,$AC$5,($AD$5-$AC$5)/(20-1))</f>
        <v>0.1</v>
      </c>
      <c r="AC10" s="11">
        <f t="dataTable" ref="AC10:AV29" dt2D="1" dtr="1" r1="AD8" r2="AE8" ca="1"/>
        <v>1000000000000000</v>
      </c>
      <c r="AD10" s="11">
        <v>1000000000000000</v>
      </c>
      <c r="AE10" s="11">
        <v>1000000000000000</v>
      </c>
      <c r="AF10" s="11">
        <v>1000000000000000</v>
      </c>
      <c r="AG10" s="11">
        <v>1000000000000000</v>
      </c>
      <c r="AH10" s="11">
        <v>1000000000000000</v>
      </c>
      <c r="AI10" s="11">
        <v>1000000000000000</v>
      </c>
      <c r="AJ10" s="11">
        <v>1000000000000000</v>
      </c>
      <c r="AK10" s="11">
        <v>1000000000000000</v>
      </c>
      <c r="AL10" s="11">
        <v>1000000000000000</v>
      </c>
      <c r="AM10" s="11">
        <v>1000000000000000</v>
      </c>
      <c r="AN10" s="11">
        <v>1000000000000000</v>
      </c>
      <c r="AO10" s="11">
        <v>1000000000000000</v>
      </c>
      <c r="AP10" s="11">
        <v>1000000000000000</v>
      </c>
      <c r="AQ10" s="11">
        <v>1000000000000000</v>
      </c>
      <c r="AR10" s="11">
        <v>1000000000000000</v>
      </c>
      <c r="AS10" s="11">
        <v>1000000000000000</v>
      </c>
      <c r="AT10" s="11">
        <v>1000000000000000</v>
      </c>
      <c r="AU10" s="11">
        <v>1000000000000000</v>
      </c>
      <c r="AV10" s="47">
        <v>1000000000000000</v>
      </c>
      <c r="AX10" s="50" cm="1">
        <f t="array" ref="AX10:AX29">_xlfn.SEQUENCE(20,1,$AY$5,($AZ$5-$AY$5)/(20-1))</f>
        <v>1E-3</v>
      </c>
      <c r="AY10" s="11">
        <f t="dataTable" ref="AY10:BR29" dt2D="1" dtr="1" r1="AZ8" r2="BA8" ca="1"/>
        <v>1000000000000000</v>
      </c>
      <c r="AZ10" s="11">
        <v>1000000000000000</v>
      </c>
      <c r="BA10" s="11">
        <v>1000000000000000</v>
      </c>
      <c r="BB10" s="11">
        <v>1000000000000000</v>
      </c>
      <c r="BC10" s="11">
        <v>1000000000000000</v>
      </c>
      <c r="BD10" s="11">
        <v>1000000000000000</v>
      </c>
      <c r="BE10" s="11">
        <v>1000000000000000</v>
      </c>
      <c r="BF10" s="11">
        <v>1000000000000000</v>
      </c>
      <c r="BG10" s="11">
        <v>1000000000000000</v>
      </c>
      <c r="BH10" s="11">
        <v>1000000000000000</v>
      </c>
      <c r="BI10" s="11">
        <v>1000000000000000</v>
      </c>
      <c r="BJ10" s="11">
        <v>1000000000000000</v>
      </c>
      <c r="BK10" s="11">
        <v>1000000000000000</v>
      </c>
      <c r="BL10" s="11">
        <v>1000000000000000</v>
      </c>
      <c r="BM10" s="11">
        <v>1000000000000000</v>
      </c>
      <c r="BN10" s="11">
        <v>1000000000000000</v>
      </c>
      <c r="BO10" s="11">
        <v>1000000000000000</v>
      </c>
      <c r="BP10" s="11">
        <v>1000000000000000</v>
      </c>
      <c r="BQ10" s="11">
        <v>1000000000000000</v>
      </c>
      <c r="BR10" s="47">
        <v>1000000000000000</v>
      </c>
    </row>
    <row r="11" spans="1:70" x14ac:dyDescent="0.25">
      <c r="C11" s="13" t="s">
        <v>724</v>
      </c>
      <c r="D11" s="19">
        <f>MAX(UV_Data)-MIN(UV_Data)</f>
        <v>0</v>
      </c>
      <c r="AB11" s="13">
        <v>0.62105263157894741</v>
      </c>
      <c r="AC11" s="11">
        <v>1000000000000000</v>
      </c>
      <c r="AD11" s="11">
        <v>1000000000000000</v>
      </c>
      <c r="AE11" s="11">
        <v>1000000000000000</v>
      </c>
      <c r="AF11" s="11">
        <v>1000000000000000</v>
      </c>
      <c r="AG11" s="11">
        <v>1000000000000000</v>
      </c>
      <c r="AH11" s="11">
        <v>1000000000000000</v>
      </c>
      <c r="AI11" s="11">
        <v>1000000000000000</v>
      </c>
      <c r="AJ11" s="11">
        <v>1000000000000000</v>
      </c>
      <c r="AK11" s="11">
        <v>1000000000000000</v>
      </c>
      <c r="AL11" s="11">
        <v>1000000000000000</v>
      </c>
      <c r="AM11" s="11">
        <v>1000000000000000</v>
      </c>
      <c r="AN11" s="11">
        <v>1000000000000000</v>
      </c>
      <c r="AO11" s="11">
        <v>1000000000000000</v>
      </c>
      <c r="AP11" s="11">
        <v>1000000000000000</v>
      </c>
      <c r="AQ11" s="11">
        <v>1000000000000000</v>
      </c>
      <c r="AR11" s="11">
        <v>1000000000000000</v>
      </c>
      <c r="AS11" s="11">
        <v>1000000000000000</v>
      </c>
      <c r="AT11" s="11">
        <v>1000000000000000</v>
      </c>
      <c r="AU11" s="11">
        <v>1000000000000000</v>
      </c>
      <c r="AV11" s="47">
        <v>1000000000000000</v>
      </c>
      <c r="AX11" s="13">
        <v>3.3634349030470918E-2</v>
      </c>
      <c r="AY11" s="11">
        <v>1000000000000000</v>
      </c>
      <c r="AZ11" s="11">
        <v>1000000000000000</v>
      </c>
      <c r="BA11" s="11">
        <v>1000000000000000</v>
      </c>
      <c r="BB11" s="11">
        <v>1000000000000000</v>
      </c>
      <c r="BC11" s="11">
        <v>1000000000000000</v>
      </c>
      <c r="BD11" s="11">
        <v>1000000000000000</v>
      </c>
      <c r="BE11" s="11">
        <v>1000000000000000</v>
      </c>
      <c r="BF11" s="11">
        <v>1000000000000000</v>
      </c>
      <c r="BG11" s="11">
        <v>1000000000000000</v>
      </c>
      <c r="BH11" s="11">
        <v>1000000000000000</v>
      </c>
      <c r="BI11" s="11">
        <v>1000000000000000</v>
      </c>
      <c r="BJ11" s="11">
        <v>1000000000000000</v>
      </c>
      <c r="BK11" s="11">
        <v>1000000000000000</v>
      </c>
      <c r="BL11" s="11">
        <v>1000000000000000</v>
      </c>
      <c r="BM11" s="11">
        <v>1000000000000000</v>
      </c>
      <c r="BN11" s="11">
        <v>1000000000000000</v>
      </c>
      <c r="BO11" s="11">
        <v>1000000000000000</v>
      </c>
      <c r="BP11" s="11">
        <v>1000000000000000</v>
      </c>
      <c r="BQ11" s="11">
        <v>1000000000000000</v>
      </c>
      <c r="BR11" s="47">
        <v>1000000000000000</v>
      </c>
    </row>
    <row r="12" spans="1:70" x14ac:dyDescent="0.25">
      <c r="C12" s="13" t="s">
        <v>229</v>
      </c>
      <c r="D12" s="19" t="e" cm="1">
        <f t="array" ref="D12">INDEX(Skewness(UV_Data),1)</f>
        <v>#DIV/0!</v>
      </c>
      <c r="AB12" s="13">
        <v>1.142105263157895</v>
      </c>
      <c r="AC12" s="11">
        <v>1000000000000000</v>
      </c>
      <c r="AD12" s="11">
        <v>1000000000000000</v>
      </c>
      <c r="AE12" s="11">
        <v>1000000000000000</v>
      </c>
      <c r="AF12" s="11">
        <v>1000000000000000</v>
      </c>
      <c r="AG12" s="11">
        <v>1000000000000000</v>
      </c>
      <c r="AH12" s="11">
        <v>1000000000000000</v>
      </c>
      <c r="AI12" s="11">
        <v>1000000000000000</v>
      </c>
      <c r="AJ12" s="11">
        <v>1000000000000000</v>
      </c>
      <c r="AK12" s="11">
        <v>1000000000000000</v>
      </c>
      <c r="AL12" s="11">
        <v>1000000000000000</v>
      </c>
      <c r="AM12" s="11">
        <v>1000000000000000</v>
      </c>
      <c r="AN12" s="11">
        <v>1000000000000000</v>
      </c>
      <c r="AO12" s="11">
        <v>1000000000000000</v>
      </c>
      <c r="AP12" s="11">
        <v>1000000000000000</v>
      </c>
      <c r="AQ12" s="11">
        <v>1000000000000000</v>
      </c>
      <c r="AR12" s="11">
        <v>1000000000000000</v>
      </c>
      <c r="AS12" s="11">
        <v>1000000000000000</v>
      </c>
      <c r="AT12" s="11">
        <v>1000000000000000</v>
      </c>
      <c r="AU12" s="11">
        <v>1000000000000000</v>
      </c>
      <c r="AV12" s="47">
        <v>1000000000000000</v>
      </c>
      <c r="AX12" s="13">
        <v>6.6268698060941836E-2</v>
      </c>
      <c r="AY12" s="11">
        <v>1000000000000000</v>
      </c>
      <c r="AZ12" s="11">
        <v>1000000000000000</v>
      </c>
      <c r="BA12" s="11">
        <v>1000000000000000</v>
      </c>
      <c r="BB12" s="11">
        <v>1000000000000000</v>
      </c>
      <c r="BC12" s="11">
        <v>1000000000000000</v>
      </c>
      <c r="BD12" s="11">
        <v>1000000000000000</v>
      </c>
      <c r="BE12" s="11">
        <v>1000000000000000</v>
      </c>
      <c r="BF12" s="11">
        <v>1000000000000000</v>
      </c>
      <c r="BG12" s="11">
        <v>1000000000000000</v>
      </c>
      <c r="BH12" s="11">
        <v>1000000000000000</v>
      </c>
      <c r="BI12" s="11">
        <v>1000000000000000</v>
      </c>
      <c r="BJ12" s="11">
        <v>1000000000000000</v>
      </c>
      <c r="BK12" s="11">
        <v>1000000000000000</v>
      </c>
      <c r="BL12" s="11">
        <v>1000000000000000</v>
      </c>
      <c r="BM12" s="11">
        <v>1000000000000000</v>
      </c>
      <c r="BN12" s="11">
        <v>1000000000000000</v>
      </c>
      <c r="BO12" s="11">
        <v>1000000000000000</v>
      </c>
      <c r="BP12" s="11">
        <v>1000000000000000</v>
      </c>
      <c r="BQ12" s="11">
        <v>1000000000000000</v>
      </c>
      <c r="BR12" s="47">
        <v>1000000000000000</v>
      </c>
    </row>
    <row r="13" spans="1:70" x14ac:dyDescent="0.25">
      <c r="C13" s="13" t="s">
        <v>233</v>
      </c>
      <c r="D13" s="19" t="e" cm="1">
        <f t="array" ref="D13">INDEX(Kurtosis(UV_Data),1)</f>
        <v>#DIV/0!</v>
      </c>
      <c r="AB13" s="13">
        <v>1.6631578947368424</v>
      </c>
      <c r="AC13" s="11">
        <v>1000000000000000</v>
      </c>
      <c r="AD13" s="11">
        <v>1000000000000000</v>
      </c>
      <c r="AE13" s="11">
        <v>1000000000000000</v>
      </c>
      <c r="AF13" s="11">
        <v>1000000000000000</v>
      </c>
      <c r="AG13" s="11">
        <v>1000000000000000</v>
      </c>
      <c r="AH13" s="11">
        <v>1000000000000000</v>
      </c>
      <c r="AI13" s="11">
        <v>1000000000000000</v>
      </c>
      <c r="AJ13" s="11">
        <v>1000000000000000</v>
      </c>
      <c r="AK13" s="11">
        <v>1000000000000000</v>
      </c>
      <c r="AL13" s="11">
        <v>1000000000000000</v>
      </c>
      <c r="AM13" s="11">
        <v>1000000000000000</v>
      </c>
      <c r="AN13" s="11">
        <v>1000000000000000</v>
      </c>
      <c r="AO13" s="11">
        <v>1000000000000000</v>
      </c>
      <c r="AP13" s="11">
        <v>1000000000000000</v>
      </c>
      <c r="AQ13" s="11">
        <v>1000000000000000</v>
      </c>
      <c r="AR13" s="11">
        <v>1000000000000000</v>
      </c>
      <c r="AS13" s="11">
        <v>1000000000000000</v>
      </c>
      <c r="AT13" s="11">
        <v>1000000000000000</v>
      </c>
      <c r="AU13" s="11">
        <v>1000000000000000</v>
      </c>
      <c r="AV13" s="47">
        <v>1000000000000000</v>
      </c>
      <c r="AX13" s="13">
        <v>9.890304709141276E-2</v>
      </c>
      <c r="AY13" s="11">
        <v>1000000000000000</v>
      </c>
      <c r="AZ13" s="11">
        <v>1000000000000000</v>
      </c>
      <c r="BA13" s="11">
        <v>1000000000000000</v>
      </c>
      <c r="BB13" s="11">
        <v>1000000000000000</v>
      </c>
      <c r="BC13" s="11">
        <v>1000000000000000</v>
      </c>
      <c r="BD13" s="11">
        <v>1000000000000000</v>
      </c>
      <c r="BE13" s="11">
        <v>1000000000000000</v>
      </c>
      <c r="BF13" s="11">
        <v>1000000000000000</v>
      </c>
      <c r="BG13" s="11">
        <v>1000000000000000</v>
      </c>
      <c r="BH13" s="11">
        <v>1000000000000000</v>
      </c>
      <c r="BI13" s="11">
        <v>1000000000000000</v>
      </c>
      <c r="BJ13" s="11">
        <v>1000000000000000</v>
      </c>
      <c r="BK13" s="11">
        <v>1000000000000000</v>
      </c>
      <c r="BL13" s="11">
        <v>1000000000000000</v>
      </c>
      <c r="BM13" s="11">
        <v>1000000000000000</v>
      </c>
      <c r="BN13" s="11">
        <v>1000000000000000</v>
      </c>
      <c r="BO13" s="11">
        <v>1000000000000000</v>
      </c>
      <c r="BP13" s="11">
        <v>1000000000000000</v>
      </c>
      <c r="BQ13" s="11">
        <v>1000000000000000</v>
      </c>
      <c r="BR13" s="47">
        <v>1000000000000000</v>
      </c>
    </row>
    <row r="14" spans="1:70" x14ac:dyDescent="0.25">
      <c r="C14" s="13" t="s">
        <v>725</v>
      </c>
      <c r="D14" s="41">
        <f>COUNT(UV_Data)</f>
        <v>0</v>
      </c>
      <c r="AB14" s="13">
        <v>2.1842105263157898</v>
      </c>
      <c r="AC14" s="11">
        <v>1000000000000000</v>
      </c>
      <c r="AD14" s="11">
        <v>1000000000000000</v>
      </c>
      <c r="AE14" s="11">
        <v>1000000000000000</v>
      </c>
      <c r="AF14" s="11">
        <v>1000000000000000</v>
      </c>
      <c r="AG14" s="11">
        <v>1000000000000000</v>
      </c>
      <c r="AH14" s="11">
        <v>1000000000000000</v>
      </c>
      <c r="AI14" s="11">
        <v>1000000000000000</v>
      </c>
      <c r="AJ14" s="11">
        <v>1000000000000000</v>
      </c>
      <c r="AK14" s="11">
        <v>1000000000000000</v>
      </c>
      <c r="AL14" s="11">
        <v>1000000000000000</v>
      </c>
      <c r="AM14" s="11">
        <v>1000000000000000</v>
      </c>
      <c r="AN14" s="11">
        <v>1000000000000000</v>
      </c>
      <c r="AO14" s="11">
        <v>1000000000000000</v>
      </c>
      <c r="AP14" s="11">
        <v>1000000000000000</v>
      </c>
      <c r="AQ14" s="11">
        <v>1000000000000000</v>
      </c>
      <c r="AR14" s="11">
        <v>1000000000000000</v>
      </c>
      <c r="AS14" s="11">
        <v>1000000000000000</v>
      </c>
      <c r="AT14" s="11">
        <v>1000000000000000</v>
      </c>
      <c r="AU14" s="11">
        <v>1000000000000000</v>
      </c>
      <c r="AV14" s="47">
        <v>1000000000000000</v>
      </c>
      <c r="AX14" s="13">
        <v>0.13153739612188367</v>
      </c>
      <c r="AY14" s="11">
        <v>1000000000000000</v>
      </c>
      <c r="AZ14" s="11">
        <v>1000000000000000</v>
      </c>
      <c r="BA14" s="11">
        <v>1000000000000000</v>
      </c>
      <c r="BB14" s="11">
        <v>1000000000000000</v>
      </c>
      <c r="BC14" s="11">
        <v>1000000000000000</v>
      </c>
      <c r="BD14" s="11">
        <v>1000000000000000</v>
      </c>
      <c r="BE14" s="11">
        <v>1000000000000000</v>
      </c>
      <c r="BF14" s="11">
        <v>1000000000000000</v>
      </c>
      <c r="BG14" s="11">
        <v>1000000000000000</v>
      </c>
      <c r="BH14" s="11">
        <v>1000000000000000</v>
      </c>
      <c r="BI14" s="11">
        <v>1000000000000000</v>
      </c>
      <c r="BJ14" s="11">
        <v>1000000000000000</v>
      </c>
      <c r="BK14" s="11">
        <v>1000000000000000</v>
      </c>
      <c r="BL14" s="11">
        <v>1000000000000000</v>
      </c>
      <c r="BM14" s="11">
        <v>1000000000000000</v>
      </c>
      <c r="BN14" s="11">
        <v>1000000000000000</v>
      </c>
      <c r="BO14" s="11">
        <v>1000000000000000</v>
      </c>
      <c r="BP14" s="11">
        <v>1000000000000000</v>
      </c>
      <c r="BQ14" s="11">
        <v>1000000000000000</v>
      </c>
      <c r="BR14" s="47">
        <v>1000000000000000</v>
      </c>
    </row>
    <row r="15" spans="1:70" x14ac:dyDescent="0.25">
      <c r="C15" s="16" t="s">
        <v>726</v>
      </c>
      <c r="D15" s="20" cm="1">
        <f t="array" ref="D15">Missing_Count(UV_Data)</f>
        <v>0</v>
      </c>
      <c r="AB15" s="13">
        <v>2.7052631578947373</v>
      </c>
      <c r="AC15" s="11">
        <v>1000000000000000</v>
      </c>
      <c r="AD15" s="11">
        <v>1000000000000000</v>
      </c>
      <c r="AE15" s="11">
        <v>1000000000000000</v>
      </c>
      <c r="AF15" s="11">
        <v>1000000000000000</v>
      </c>
      <c r="AG15" s="11">
        <v>1000000000000000</v>
      </c>
      <c r="AH15" s="11">
        <v>1000000000000000</v>
      </c>
      <c r="AI15" s="11">
        <v>1000000000000000</v>
      </c>
      <c r="AJ15" s="11">
        <v>1000000000000000</v>
      </c>
      <c r="AK15" s="11">
        <v>1000000000000000</v>
      </c>
      <c r="AL15" s="11">
        <v>1000000000000000</v>
      </c>
      <c r="AM15" s="11">
        <v>1000000000000000</v>
      </c>
      <c r="AN15" s="11">
        <v>1000000000000000</v>
      </c>
      <c r="AO15" s="11">
        <v>1000000000000000</v>
      </c>
      <c r="AP15" s="11">
        <v>1000000000000000</v>
      </c>
      <c r="AQ15" s="11">
        <v>1000000000000000</v>
      </c>
      <c r="AR15" s="11">
        <v>1000000000000000</v>
      </c>
      <c r="AS15" s="11">
        <v>1000000000000000</v>
      </c>
      <c r="AT15" s="11">
        <v>1000000000000000</v>
      </c>
      <c r="AU15" s="11">
        <v>1000000000000000</v>
      </c>
      <c r="AV15" s="47">
        <v>1000000000000000</v>
      </c>
      <c r="AX15" s="13">
        <v>0.16417174515235458</v>
      </c>
      <c r="AY15" s="11">
        <v>1000000000000000</v>
      </c>
      <c r="AZ15" s="11">
        <v>1000000000000000</v>
      </c>
      <c r="BA15" s="11">
        <v>1000000000000000</v>
      </c>
      <c r="BB15" s="11">
        <v>1000000000000000</v>
      </c>
      <c r="BC15" s="11">
        <v>1000000000000000</v>
      </c>
      <c r="BD15" s="11">
        <v>1000000000000000</v>
      </c>
      <c r="BE15" s="11">
        <v>1000000000000000</v>
      </c>
      <c r="BF15" s="11">
        <v>1000000000000000</v>
      </c>
      <c r="BG15" s="11">
        <v>1000000000000000</v>
      </c>
      <c r="BH15" s="11">
        <v>1000000000000000</v>
      </c>
      <c r="BI15" s="11">
        <v>1000000000000000</v>
      </c>
      <c r="BJ15" s="11">
        <v>1000000000000000</v>
      </c>
      <c r="BK15" s="11">
        <v>1000000000000000</v>
      </c>
      <c r="BL15" s="11">
        <v>1000000000000000</v>
      </c>
      <c r="BM15" s="11">
        <v>1000000000000000</v>
      </c>
      <c r="BN15" s="11">
        <v>1000000000000000</v>
      </c>
      <c r="BO15" s="11">
        <v>1000000000000000</v>
      </c>
      <c r="BP15" s="11">
        <v>1000000000000000</v>
      </c>
      <c r="BQ15" s="11">
        <v>1000000000000000</v>
      </c>
      <c r="BR15" s="47">
        <v>1000000000000000</v>
      </c>
    </row>
    <row r="16" spans="1:70" x14ac:dyDescent="0.25">
      <c r="AB16" s="13">
        <v>3.2263157894736847</v>
      </c>
      <c r="AC16" s="11">
        <v>1000000000000000</v>
      </c>
      <c r="AD16" s="11">
        <v>1000000000000000</v>
      </c>
      <c r="AE16" s="11">
        <v>1000000000000000</v>
      </c>
      <c r="AF16" s="11">
        <v>1000000000000000</v>
      </c>
      <c r="AG16" s="11">
        <v>1000000000000000</v>
      </c>
      <c r="AH16" s="11">
        <v>1000000000000000</v>
      </c>
      <c r="AI16" s="11">
        <v>1000000000000000</v>
      </c>
      <c r="AJ16" s="11">
        <v>1000000000000000</v>
      </c>
      <c r="AK16" s="11">
        <v>1000000000000000</v>
      </c>
      <c r="AL16" s="11">
        <v>1000000000000000</v>
      </c>
      <c r="AM16" s="11">
        <v>1000000000000000</v>
      </c>
      <c r="AN16" s="11">
        <v>1000000000000000</v>
      </c>
      <c r="AO16" s="11">
        <v>1000000000000000</v>
      </c>
      <c r="AP16" s="11">
        <v>1000000000000000</v>
      </c>
      <c r="AQ16" s="11">
        <v>1000000000000000</v>
      </c>
      <c r="AR16" s="11">
        <v>1000000000000000</v>
      </c>
      <c r="AS16" s="11">
        <v>1000000000000000</v>
      </c>
      <c r="AT16" s="11">
        <v>1000000000000000</v>
      </c>
      <c r="AU16" s="11">
        <v>1000000000000000</v>
      </c>
      <c r="AV16" s="47">
        <v>1000000000000000</v>
      </c>
      <c r="AX16" s="13">
        <v>0.19680609418282549</v>
      </c>
      <c r="AY16" s="11">
        <v>1000000000000000</v>
      </c>
      <c r="AZ16" s="11">
        <v>1000000000000000</v>
      </c>
      <c r="BA16" s="11">
        <v>1000000000000000</v>
      </c>
      <c r="BB16" s="11">
        <v>1000000000000000</v>
      </c>
      <c r="BC16" s="11">
        <v>1000000000000000</v>
      </c>
      <c r="BD16" s="11">
        <v>1000000000000000</v>
      </c>
      <c r="BE16" s="11">
        <v>1000000000000000</v>
      </c>
      <c r="BF16" s="11">
        <v>1000000000000000</v>
      </c>
      <c r="BG16" s="11">
        <v>1000000000000000</v>
      </c>
      <c r="BH16" s="11">
        <v>1000000000000000</v>
      </c>
      <c r="BI16" s="11">
        <v>1000000000000000</v>
      </c>
      <c r="BJ16" s="11">
        <v>1000000000000000</v>
      </c>
      <c r="BK16" s="11">
        <v>1000000000000000</v>
      </c>
      <c r="BL16" s="11">
        <v>1000000000000000</v>
      </c>
      <c r="BM16" s="11">
        <v>1000000000000000</v>
      </c>
      <c r="BN16" s="11">
        <v>1000000000000000</v>
      </c>
      <c r="BO16" s="11">
        <v>1000000000000000</v>
      </c>
      <c r="BP16" s="11">
        <v>1000000000000000</v>
      </c>
      <c r="BQ16" s="11">
        <v>1000000000000000</v>
      </c>
      <c r="BR16" s="47">
        <v>1000000000000000</v>
      </c>
    </row>
    <row r="17" spans="28:70" x14ac:dyDescent="0.25">
      <c r="AB17" s="13">
        <v>3.7473684210526321</v>
      </c>
      <c r="AC17" s="11">
        <v>1000000000000000</v>
      </c>
      <c r="AD17" s="11">
        <v>1000000000000000</v>
      </c>
      <c r="AE17" s="11">
        <v>1000000000000000</v>
      </c>
      <c r="AF17" s="11">
        <v>1000000000000000</v>
      </c>
      <c r="AG17" s="11">
        <v>1000000000000000</v>
      </c>
      <c r="AH17" s="11">
        <v>1000000000000000</v>
      </c>
      <c r="AI17" s="11">
        <v>1000000000000000</v>
      </c>
      <c r="AJ17" s="11">
        <v>1000000000000000</v>
      </c>
      <c r="AK17" s="11">
        <v>1000000000000000</v>
      </c>
      <c r="AL17" s="11">
        <v>1000000000000000</v>
      </c>
      <c r="AM17" s="11">
        <v>1000000000000000</v>
      </c>
      <c r="AN17" s="11">
        <v>1000000000000000</v>
      </c>
      <c r="AO17" s="11">
        <v>1000000000000000</v>
      </c>
      <c r="AP17" s="11">
        <v>1000000000000000</v>
      </c>
      <c r="AQ17" s="11">
        <v>1000000000000000</v>
      </c>
      <c r="AR17" s="11">
        <v>1000000000000000</v>
      </c>
      <c r="AS17" s="11">
        <v>1000000000000000</v>
      </c>
      <c r="AT17" s="11">
        <v>1000000000000000</v>
      </c>
      <c r="AU17" s="11">
        <v>1000000000000000</v>
      </c>
      <c r="AV17" s="47">
        <v>1000000000000000</v>
      </c>
      <c r="AX17" s="13">
        <v>0.2294404432132964</v>
      </c>
      <c r="AY17" s="11">
        <v>1000000000000000</v>
      </c>
      <c r="AZ17" s="11">
        <v>1000000000000000</v>
      </c>
      <c r="BA17" s="11">
        <v>1000000000000000</v>
      </c>
      <c r="BB17" s="11">
        <v>1000000000000000</v>
      </c>
      <c r="BC17" s="11">
        <v>1000000000000000</v>
      </c>
      <c r="BD17" s="11">
        <v>1000000000000000</v>
      </c>
      <c r="BE17" s="11">
        <v>1000000000000000</v>
      </c>
      <c r="BF17" s="11">
        <v>1000000000000000</v>
      </c>
      <c r="BG17" s="11">
        <v>1000000000000000</v>
      </c>
      <c r="BH17" s="11">
        <v>1000000000000000</v>
      </c>
      <c r="BI17" s="11">
        <v>1000000000000000</v>
      </c>
      <c r="BJ17" s="11">
        <v>1000000000000000</v>
      </c>
      <c r="BK17" s="11">
        <v>1000000000000000</v>
      </c>
      <c r="BL17" s="11">
        <v>1000000000000000</v>
      </c>
      <c r="BM17" s="11">
        <v>1000000000000000</v>
      </c>
      <c r="BN17" s="11">
        <v>1000000000000000</v>
      </c>
      <c r="BO17" s="11">
        <v>1000000000000000</v>
      </c>
      <c r="BP17" s="11">
        <v>1000000000000000</v>
      </c>
      <c r="BQ17" s="11">
        <v>1000000000000000</v>
      </c>
      <c r="BR17" s="47">
        <v>1000000000000000</v>
      </c>
    </row>
    <row r="18" spans="28:70" x14ac:dyDescent="0.25">
      <c r="AB18" s="13">
        <v>4.2684210526315791</v>
      </c>
      <c r="AC18" s="11">
        <v>1000000000000000</v>
      </c>
      <c r="AD18" s="11">
        <v>1000000000000000</v>
      </c>
      <c r="AE18" s="11">
        <v>1000000000000000</v>
      </c>
      <c r="AF18" s="11">
        <v>1000000000000000</v>
      </c>
      <c r="AG18" s="11">
        <v>1000000000000000</v>
      </c>
      <c r="AH18" s="11">
        <v>1000000000000000</v>
      </c>
      <c r="AI18" s="11">
        <v>1000000000000000</v>
      </c>
      <c r="AJ18" s="11">
        <v>1000000000000000</v>
      </c>
      <c r="AK18" s="11">
        <v>1000000000000000</v>
      </c>
      <c r="AL18" s="11">
        <v>1000000000000000</v>
      </c>
      <c r="AM18" s="11">
        <v>1000000000000000</v>
      </c>
      <c r="AN18" s="11">
        <v>1000000000000000</v>
      </c>
      <c r="AO18" s="11">
        <v>1000000000000000</v>
      </c>
      <c r="AP18" s="11">
        <v>1000000000000000</v>
      </c>
      <c r="AQ18" s="11">
        <v>1000000000000000</v>
      </c>
      <c r="AR18" s="11">
        <v>1000000000000000</v>
      </c>
      <c r="AS18" s="11">
        <v>1000000000000000</v>
      </c>
      <c r="AT18" s="11">
        <v>1000000000000000</v>
      </c>
      <c r="AU18" s="11">
        <v>1000000000000000</v>
      </c>
      <c r="AV18" s="47">
        <v>1000000000000000</v>
      </c>
      <c r="AX18" s="13">
        <v>0.26207479224376734</v>
      </c>
      <c r="AY18" s="11">
        <v>1000000000000000</v>
      </c>
      <c r="AZ18" s="11">
        <v>1000000000000000</v>
      </c>
      <c r="BA18" s="11">
        <v>1000000000000000</v>
      </c>
      <c r="BB18" s="11">
        <v>1000000000000000</v>
      </c>
      <c r="BC18" s="11">
        <v>1000000000000000</v>
      </c>
      <c r="BD18" s="11">
        <v>1000000000000000</v>
      </c>
      <c r="BE18" s="11">
        <v>1000000000000000</v>
      </c>
      <c r="BF18" s="11">
        <v>1000000000000000</v>
      </c>
      <c r="BG18" s="11">
        <v>1000000000000000</v>
      </c>
      <c r="BH18" s="11">
        <v>1000000000000000</v>
      </c>
      <c r="BI18" s="11">
        <v>1000000000000000</v>
      </c>
      <c r="BJ18" s="11">
        <v>1000000000000000</v>
      </c>
      <c r="BK18" s="11">
        <v>1000000000000000</v>
      </c>
      <c r="BL18" s="11">
        <v>1000000000000000</v>
      </c>
      <c r="BM18" s="11">
        <v>1000000000000000</v>
      </c>
      <c r="BN18" s="11">
        <v>1000000000000000</v>
      </c>
      <c r="BO18" s="11">
        <v>1000000000000000</v>
      </c>
      <c r="BP18" s="11">
        <v>1000000000000000</v>
      </c>
      <c r="BQ18" s="11">
        <v>1000000000000000</v>
      </c>
      <c r="BR18" s="47">
        <v>1000000000000000</v>
      </c>
    </row>
    <row r="19" spans="28:70" x14ac:dyDescent="0.25">
      <c r="AB19" s="13">
        <v>4.7894736842105265</v>
      </c>
      <c r="AC19" s="11">
        <v>1000000000000000</v>
      </c>
      <c r="AD19" s="11">
        <v>1000000000000000</v>
      </c>
      <c r="AE19" s="11">
        <v>1000000000000000</v>
      </c>
      <c r="AF19" s="11">
        <v>1000000000000000</v>
      </c>
      <c r="AG19" s="11">
        <v>1000000000000000</v>
      </c>
      <c r="AH19" s="11">
        <v>1000000000000000</v>
      </c>
      <c r="AI19" s="11">
        <v>1000000000000000</v>
      </c>
      <c r="AJ19" s="11">
        <v>1000000000000000</v>
      </c>
      <c r="AK19" s="11">
        <v>1000000000000000</v>
      </c>
      <c r="AL19" s="11">
        <v>1000000000000000</v>
      </c>
      <c r="AM19" s="11">
        <v>1000000000000000</v>
      </c>
      <c r="AN19" s="11">
        <v>1000000000000000</v>
      </c>
      <c r="AO19" s="11">
        <v>1000000000000000</v>
      </c>
      <c r="AP19" s="11">
        <v>1000000000000000</v>
      </c>
      <c r="AQ19" s="11">
        <v>1000000000000000</v>
      </c>
      <c r="AR19" s="11">
        <v>1000000000000000</v>
      </c>
      <c r="AS19" s="11">
        <v>1000000000000000</v>
      </c>
      <c r="AT19" s="11">
        <v>1000000000000000</v>
      </c>
      <c r="AU19" s="11">
        <v>1000000000000000</v>
      </c>
      <c r="AV19" s="47">
        <v>1000000000000000</v>
      </c>
      <c r="AX19" s="13">
        <v>0.29470914127423825</v>
      </c>
      <c r="AY19" s="11">
        <v>1000000000000000</v>
      </c>
      <c r="AZ19" s="11">
        <v>1000000000000000</v>
      </c>
      <c r="BA19" s="11">
        <v>1000000000000000</v>
      </c>
      <c r="BB19" s="11">
        <v>1000000000000000</v>
      </c>
      <c r="BC19" s="11">
        <v>1000000000000000</v>
      </c>
      <c r="BD19" s="11">
        <v>1000000000000000</v>
      </c>
      <c r="BE19" s="11">
        <v>1000000000000000</v>
      </c>
      <c r="BF19" s="11">
        <v>1000000000000000</v>
      </c>
      <c r="BG19" s="11">
        <v>1000000000000000</v>
      </c>
      <c r="BH19" s="11">
        <v>1000000000000000</v>
      </c>
      <c r="BI19" s="11">
        <v>1000000000000000</v>
      </c>
      <c r="BJ19" s="11">
        <v>1000000000000000</v>
      </c>
      <c r="BK19" s="11">
        <v>1000000000000000</v>
      </c>
      <c r="BL19" s="11">
        <v>1000000000000000</v>
      </c>
      <c r="BM19" s="11">
        <v>1000000000000000</v>
      </c>
      <c r="BN19" s="11">
        <v>1000000000000000</v>
      </c>
      <c r="BO19" s="11">
        <v>1000000000000000</v>
      </c>
      <c r="BP19" s="11">
        <v>1000000000000000</v>
      </c>
      <c r="BQ19" s="11">
        <v>1000000000000000</v>
      </c>
      <c r="BR19" s="47">
        <v>1000000000000000</v>
      </c>
    </row>
    <row r="20" spans="28:70" x14ac:dyDescent="0.25">
      <c r="AB20" s="13">
        <v>5.310526315789474</v>
      </c>
      <c r="AC20" s="11">
        <v>1000000000000000</v>
      </c>
      <c r="AD20" s="11">
        <v>1000000000000000</v>
      </c>
      <c r="AE20" s="11">
        <v>1000000000000000</v>
      </c>
      <c r="AF20" s="11">
        <v>1000000000000000</v>
      </c>
      <c r="AG20" s="11">
        <v>1000000000000000</v>
      </c>
      <c r="AH20" s="11">
        <v>1000000000000000</v>
      </c>
      <c r="AI20" s="11">
        <v>1000000000000000</v>
      </c>
      <c r="AJ20" s="11">
        <v>1000000000000000</v>
      </c>
      <c r="AK20" s="11">
        <v>1000000000000000</v>
      </c>
      <c r="AL20" s="11">
        <v>1000000000000000</v>
      </c>
      <c r="AM20" s="11">
        <v>1000000000000000</v>
      </c>
      <c r="AN20" s="11">
        <v>1000000000000000</v>
      </c>
      <c r="AO20" s="11">
        <v>1000000000000000</v>
      </c>
      <c r="AP20" s="11">
        <v>1000000000000000</v>
      </c>
      <c r="AQ20" s="11">
        <v>1000000000000000</v>
      </c>
      <c r="AR20" s="11">
        <v>1000000000000000</v>
      </c>
      <c r="AS20" s="11">
        <v>1000000000000000</v>
      </c>
      <c r="AT20" s="11">
        <v>1000000000000000</v>
      </c>
      <c r="AU20" s="11">
        <v>1000000000000000</v>
      </c>
      <c r="AV20" s="47">
        <v>1000000000000000</v>
      </c>
      <c r="AX20" s="13">
        <v>0.32734349030470916</v>
      </c>
      <c r="AY20" s="11">
        <v>1000000000000000</v>
      </c>
      <c r="AZ20" s="11">
        <v>1000000000000000</v>
      </c>
      <c r="BA20" s="11">
        <v>1000000000000000</v>
      </c>
      <c r="BB20" s="11">
        <v>1000000000000000</v>
      </c>
      <c r="BC20" s="11">
        <v>1000000000000000</v>
      </c>
      <c r="BD20" s="11">
        <v>1000000000000000</v>
      </c>
      <c r="BE20" s="11">
        <v>1000000000000000</v>
      </c>
      <c r="BF20" s="11">
        <v>1000000000000000</v>
      </c>
      <c r="BG20" s="11">
        <v>1000000000000000</v>
      </c>
      <c r="BH20" s="11">
        <v>1000000000000000</v>
      </c>
      <c r="BI20" s="11">
        <v>1000000000000000</v>
      </c>
      <c r="BJ20" s="11">
        <v>1000000000000000</v>
      </c>
      <c r="BK20" s="11">
        <v>1000000000000000</v>
      </c>
      <c r="BL20" s="11">
        <v>1000000000000000</v>
      </c>
      <c r="BM20" s="11">
        <v>1000000000000000</v>
      </c>
      <c r="BN20" s="11">
        <v>1000000000000000</v>
      </c>
      <c r="BO20" s="11">
        <v>1000000000000000</v>
      </c>
      <c r="BP20" s="11">
        <v>1000000000000000</v>
      </c>
      <c r="BQ20" s="11">
        <v>1000000000000000</v>
      </c>
      <c r="BR20" s="47">
        <v>1000000000000000</v>
      </c>
    </row>
    <row r="21" spans="28:70" x14ac:dyDescent="0.25">
      <c r="AB21" s="13">
        <v>5.8315789473684214</v>
      </c>
      <c r="AC21" s="11">
        <v>1000000000000000</v>
      </c>
      <c r="AD21" s="11">
        <v>1000000000000000</v>
      </c>
      <c r="AE21" s="11">
        <v>1000000000000000</v>
      </c>
      <c r="AF21" s="11">
        <v>1000000000000000</v>
      </c>
      <c r="AG21" s="11">
        <v>1000000000000000</v>
      </c>
      <c r="AH21" s="11">
        <v>1000000000000000</v>
      </c>
      <c r="AI21" s="11">
        <v>1000000000000000</v>
      </c>
      <c r="AJ21" s="11">
        <v>1000000000000000</v>
      </c>
      <c r="AK21" s="11">
        <v>1000000000000000</v>
      </c>
      <c r="AL21" s="11">
        <v>1000000000000000</v>
      </c>
      <c r="AM21" s="11">
        <v>1000000000000000</v>
      </c>
      <c r="AN21" s="11">
        <v>1000000000000000</v>
      </c>
      <c r="AO21" s="11">
        <v>1000000000000000</v>
      </c>
      <c r="AP21" s="11">
        <v>1000000000000000</v>
      </c>
      <c r="AQ21" s="11">
        <v>1000000000000000</v>
      </c>
      <c r="AR21" s="11">
        <v>1000000000000000</v>
      </c>
      <c r="AS21" s="11">
        <v>1000000000000000</v>
      </c>
      <c r="AT21" s="11">
        <v>1000000000000000</v>
      </c>
      <c r="AU21" s="11">
        <v>1000000000000000</v>
      </c>
      <c r="AV21" s="47">
        <v>1000000000000000</v>
      </c>
      <c r="AX21" s="13">
        <v>0.35997783933518007</v>
      </c>
      <c r="AY21" s="11">
        <v>1000000000000000</v>
      </c>
      <c r="AZ21" s="11">
        <v>1000000000000000</v>
      </c>
      <c r="BA21" s="11">
        <v>1000000000000000</v>
      </c>
      <c r="BB21" s="11">
        <v>1000000000000000</v>
      </c>
      <c r="BC21" s="11">
        <v>1000000000000000</v>
      </c>
      <c r="BD21" s="11">
        <v>1000000000000000</v>
      </c>
      <c r="BE21" s="11">
        <v>1000000000000000</v>
      </c>
      <c r="BF21" s="11">
        <v>1000000000000000</v>
      </c>
      <c r="BG21" s="11">
        <v>1000000000000000</v>
      </c>
      <c r="BH21" s="11">
        <v>1000000000000000</v>
      </c>
      <c r="BI21" s="11">
        <v>1000000000000000</v>
      </c>
      <c r="BJ21" s="11">
        <v>1000000000000000</v>
      </c>
      <c r="BK21" s="11">
        <v>1000000000000000</v>
      </c>
      <c r="BL21" s="11">
        <v>1000000000000000</v>
      </c>
      <c r="BM21" s="11">
        <v>1000000000000000</v>
      </c>
      <c r="BN21" s="11">
        <v>1000000000000000</v>
      </c>
      <c r="BO21" s="11">
        <v>1000000000000000</v>
      </c>
      <c r="BP21" s="11">
        <v>1000000000000000</v>
      </c>
      <c r="BQ21" s="11">
        <v>1000000000000000</v>
      </c>
      <c r="BR21" s="47">
        <v>1000000000000000</v>
      </c>
    </row>
    <row r="22" spans="28:70" x14ac:dyDescent="0.25">
      <c r="AB22" s="13">
        <v>6.3526315789473689</v>
      </c>
      <c r="AC22" s="11">
        <v>1000000000000000</v>
      </c>
      <c r="AD22" s="11">
        <v>1000000000000000</v>
      </c>
      <c r="AE22" s="11">
        <v>1000000000000000</v>
      </c>
      <c r="AF22" s="11">
        <v>1000000000000000</v>
      </c>
      <c r="AG22" s="11">
        <v>1000000000000000</v>
      </c>
      <c r="AH22" s="11">
        <v>1000000000000000</v>
      </c>
      <c r="AI22" s="11">
        <v>1000000000000000</v>
      </c>
      <c r="AJ22" s="11">
        <v>1000000000000000</v>
      </c>
      <c r="AK22" s="11">
        <v>1000000000000000</v>
      </c>
      <c r="AL22" s="11">
        <v>1000000000000000</v>
      </c>
      <c r="AM22" s="11">
        <v>1000000000000000</v>
      </c>
      <c r="AN22" s="11">
        <v>1000000000000000</v>
      </c>
      <c r="AO22" s="11">
        <v>1000000000000000</v>
      </c>
      <c r="AP22" s="11">
        <v>1000000000000000</v>
      </c>
      <c r="AQ22" s="11">
        <v>1000000000000000</v>
      </c>
      <c r="AR22" s="11">
        <v>1000000000000000</v>
      </c>
      <c r="AS22" s="11">
        <v>1000000000000000</v>
      </c>
      <c r="AT22" s="11">
        <v>1000000000000000</v>
      </c>
      <c r="AU22" s="11">
        <v>1000000000000000</v>
      </c>
      <c r="AV22" s="47">
        <v>1000000000000000</v>
      </c>
      <c r="AX22" s="13">
        <v>0.39261218836565098</v>
      </c>
      <c r="AY22" s="11">
        <v>1000000000000000</v>
      </c>
      <c r="AZ22" s="11">
        <v>1000000000000000</v>
      </c>
      <c r="BA22" s="11">
        <v>1000000000000000</v>
      </c>
      <c r="BB22" s="11">
        <v>1000000000000000</v>
      </c>
      <c r="BC22" s="11">
        <v>1000000000000000</v>
      </c>
      <c r="BD22" s="11">
        <v>1000000000000000</v>
      </c>
      <c r="BE22" s="11">
        <v>1000000000000000</v>
      </c>
      <c r="BF22" s="11">
        <v>1000000000000000</v>
      </c>
      <c r="BG22" s="11">
        <v>1000000000000000</v>
      </c>
      <c r="BH22" s="11">
        <v>1000000000000000</v>
      </c>
      <c r="BI22" s="11">
        <v>1000000000000000</v>
      </c>
      <c r="BJ22" s="11">
        <v>1000000000000000</v>
      </c>
      <c r="BK22" s="11">
        <v>1000000000000000</v>
      </c>
      <c r="BL22" s="11">
        <v>1000000000000000</v>
      </c>
      <c r="BM22" s="11">
        <v>1000000000000000</v>
      </c>
      <c r="BN22" s="11">
        <v>1000000000000000</v>
      </c>
      <c r="BO22" s="11">
        <v>1000000000000000</v>
      </c>
      <c r="BP22" s="11">
        <v>1000000000000000</v>
      </c>
      <c r="BQ22" s="11">
        <v>1000000000000000</v>
      </c>
      <c r="BR22" s="47">
        <v>1000000000000000</v>
      </c>
    </row>
    <row r="23" spans="28:70" x14ac:dyDescent="0.25">
      <c r="AB23" s="13">
        <v>6.8736842105263163</v>
      </c>
      <c r="AC23" s="11">
        <v>1000000000000000</v>
      </c>
      <c r="AD23" s="11">
        <v>1000000000000000</v>
      </c>
      <c r="AE23" s="11">
        <v>1000000000000000</v>
      </c>
      <c r="AF23" s="11">
        <v>1000000000000000</v>
      </c>
      <c r="AG23" s="11">
        <v>1000000000000000</v>
      </c>
      <c r="AH23" s="11">
        <v>1000000000000000</v>
      </c>
      <c r="AI23" s="11">
        <v>1000000000000000</v>
      </c>
      <c r="AJ23" s="11">
        <v>1000000000000000</v>
      </c>
      <c r="AK23" s="11">
        <v>1000000000000000</v>
      </c>
      <c r="AL23" s="11">
        <v>1000000000000000</v>
      </c>
      <c r="AM23" s="11">
        <v>1000000000000000</v>
      </c>
      <c r="AN23" s="11">
        <v>1000000000000000</v>
      </c>
      <c r="AO23" s="11">
        <v>1000000000000000</v>
      </c>
      <c r="AP23" s="11">
        <v>1000000000000000</v>
      </c>
      <c r="AQ23" s="11">
        <v>1000000000000000</v>
      </c>
      <c r="AR23" s="11">
        <v>1000000000000000</v>
      </c>
      <c r="AS23" s="11">
        <v>1000000000000000</v>
      </c>
      <c r="AT23" s="11">
        <v>1000000000000000</v>
      </c>
      <c r="AU23" s="11">
        <v>1000000000000000</v>
      </c>
      <c r="AV23" s="47">
        <v>1000000000000000</v>
      </c>
      <c r="AX23" s="13">
        <v>0.42524653739612189</v>
      </c>
      <c r="AY23" s="11">
        <v>1000000000000000</v>
      </c>
      <c r="AZ23" s="11">
        <v>1000000000000000</v>
      </c>
      <c r="BA23" s="11">
        <v>1000000000000000</v>
      </c>
      <c r="BB23" s="11">
        <v>1000000000000000</v>
      </c>
      <c r="BC23" s="11">
        <v>1000000000000000</v>
      </c>
      <c r="BD23" s="11">
        <v>1000000000000000</v>
      </c>
      <c r="BE23" s="11">
        <v>1000000000000000</v>
      </c>
      <c r="BF23" s="11">
        <v>1000000000000000</v>
      </c>
      <c r="BG23" s="11">
        <v>1000000000000000</v>
      </c>
      <c r="BH23" s="11">
        <v>1000000000000000</v>
      </c>
      <c r="BI23" s="11">
        <v>1000000000000000</v>
      </c>
      <c r="BJ23" s="11">
        <v>1000000000000000</v>
      </c>
      <c r="BK23" s="11">
        <v>1000000000000000</v>
      </c>
      <c r="BL23" s="11">
        <v>1000000000000000</v>
      </c>
      <c r="BM23" s="11">
        <v>1000000000000000</v>
      </c>
      <c r="BN23" s="11">
        <v>1000000000000000</v>
      </c>
      <c r="BO23" s="11">
        <v>1000000000000000</v>
      </c>
      <c r="BP23" s="11">
        <v>1000000000000000</v>
      </c>
      <c r="BQ23" s="11">
        <v>1000000000000000</v>
      </c>
      <c r="BR23" s="47">
        <v>1000000000000000</v>
      </c>
    </row>
    <row r="24" spans="28:70" x14ac:dyDescent="0.25">
      <c r="AB24" s="13">
        <v>7.3947368421052637</v>
      </c>
      <c r="AC24" s="11">
        <v>1000000000000000</v>
      </c>
      <c r="AD24" s="11">
        <v>1000000000000000</v>
      </c>
      <c r="AE24" s="11">
        <v>1000000000000000</v>
      </c>
      <c r="AF24" s="11">
        <v>1000000000000000</v>
      </c>
      <c r="AG24" s="11">
        <v>1000000000000000</v>
      </c>
      <c r="AH24" s="11">
        <v>1000000000000000</v>
      </c>
      <c r="AI24" s="11">
        <v>1000000000000000</v>
      </c>
      <c r="AJ24" s="11">
        <v>1000000000000000</v>
      </c>
      <c r="AK24" s="11">
        <v>1000000000000000</v>
      </c>
      <c r="AL24" s="11">
        <v>1000000000000000</v>
      </c>
      <c r="AM24" s="11">
        <v>1000000000000000</v>
      </c>
      <c r="AN24" s="11">
        <v>1000000000000000</v>
      </c>
      <c r="AO24" s="11">
        <v>1000000000000000</v>
      </c>
      <c r="AP24" s="11">
        <v>1000000000000000</v>
      </c>
      <c r="AQ24" s="11">
        <v>1000000000000000</v>
      </c>
      <c r="AR24" s="11">
        <v>1000000000000000</v>
      </c>
      <c r="AS24" s="11">
        <v>1000000000000000</v>
      </c>
      <c r="AT24" s="11">
        <v>1000000000000000</v>
      </c>
      <c r="AU24" s="11">
        <v>1000000000000000</v>
      </c>
      <c r="AV24" s="47">
        <v>1000000000000000</v>
      </c>
      <c r="AX24" s="13">
        <v>0.4578808864265928</v>
      </c>
      <c r="AY24" s="11">
        <v>1000000000000000</v>
      </c>
      <c r="AZ24" s="11">
        <v>1000000000000000</v>
      </c>
      <c r="BA24" s="11">
        <v>1000000000000000</v>
      </c>
      <c r="BB24" s="11">
        <v>1000000000000000</v>
      </c>
      <c r="BC24" s="11">
        <v>1000000000000000</v>
      </c>
      <c r="BD24" s="11">
        <v>1000000000000000</v>
      </c>
      <c r="BE24" s="11">
        <v>1000000000000000</v>
      </c>
      <c r="BF24" s="11">
        <v>1000000000000000</v>
      </c>
      <c r="BG24" s="11">
        <v>1000000000000000</v>
      </c>
      <c r="BH24" s="11">
        <v>1000000000000000</v>
      </c>
      <c r="BI24" s="11">
        <v>1000000000000000</v>
      </c>
      <c r="BJ24" s="11">
        <v>1000000000000000</v>
      </c>
      <c r="BK24" s="11">
        <v>1000000000000000</v>
      </c>
      <c r="BL24" s="11">
        <v>1000000000000000</v>
      </c>
      <c r="BM24" s="11">
        <v>1000000000000000</v>
      </c>
      <c r="BN24" s="11">
        <v>1000000000000000</v>
      </c>
      <c r="BO24" s="11">
        <v>1000000000000000</v>
      </c>
      <c r="BP24" s="11">
        <v>1000000000000000</v>
      </c>
      <c r="BQ24" s="11">
        <v>1000000000000000</v>
      </c>
      <c r="BR24" s="47">
        <v>1000000000000000</v>
      </c>
    </row>
    <row r="25" spans="28:70" x14ac:dyDescent="0.25">
      <c r="AB25" s="13">
        <v>7.9157894736842112</v>
      </c>
      <c r="AC25" s="11">
        <v>1000000000000000</v>
      </c>
      <c r="AD25" s="11">
        <v>1000000000000000</v>
      </c>
      <c r="AE25" s="11">
        <v>1000000000000000</v>
      </c>
      <c r="AF25" s="11">
        <v>1000000000000000</v>
      </c>
      <c r="AG25" s="11">
        <v>1000000000000000</v>
      </c>
      <c r="AH25" s="11">
        <v>1000000000000000</v>
      </c>
      <c r="AI25" s="11">
        <v>1000000000000000</v>
      </c>
      <c r="AJ25" s="11">
        <v>1000000000000000</v>
      </c>
      <c r="AK25" s="11">
        <v>1000000000000000</v>
      </c>
      <c r="AL25" s="11">
        <v>1000000000000000</v>
      </c>
      <c r="AM25" s="11">
        <v>1000000000000000</v>
      </c>
      <c r="AN25" s="11">
        <v>1000000000000000</v>
      </c>
      <c r="AO25" s="11">
        <v>1000000000000000</v>
      </c>
      <c r="AP25" s="11">
        <v>1000000000000000</v>
      </c>
      <c r="AQ25" s="11">
        <v>1000000000000000</v>
      </c>
      <c r="AR25" s="11">
        <v>1000000000000000</v>
      </c>
      <c r="AS25" s="11">
        <v>1000000000000000</v>
      </c>
      <c r="AT25" s="11">
        <v>1000000000000000</v>
      </c>
      <c r="AU25" s="11">
        <v>1000000000000000</v>
      </c>
      <c r="AV25" s="47">
        <v>1000000000000000</v>
      </c>
      <c r="AX25" s="13">
        <v>0.49051523545706371</v>
      </c>
      <c r="AY25" s="11">
        <v>1000000000000000</v>
      </c>
      <c r="AZ25" s="11">
        <v>1000000000000000</v>
      </c>
      <c r="BA25" s="11">
        <v>1000000000000000</v>
      </c>
      <c r="BB25" s="11">
        <v>1000000000000000</v>
      </c>
      <c r="BC25" s="11">
        <v>1000000000000000</v>
      </c>
      <c r="BD25" s="11">
        <v>1000000000000000</v>
      </c>
      <c r="BE25" s="11">
        <v>1000000000000000</v>
      </c>
      <c r="BF25" s="11">
        <v>1000000000000000</v>
      </c>
      <c r="BG25" s="11">
        <v>1000000000000000</v>
      </c>
      <c r="BH25" s="11">
        <v>1000000000000000</v>
      </c>
      <c r="BI25" s="11">
        <v>1000000000000000</v>
      </c>
      <c r="BJ25" s="11">
        <v>1000000000000000</v>
      </c>
      <c r="BK25" s="11">
        <v>1000000000000000</v>
      </c>
      <c r="BL25" s="11">
        <v>1000000000000000</v>
      </c>
      <c r="BM25" s="11">
        <v>1000000000000000</v>
      </c>
      <c r="BN25" s="11">
        <v>1000000000000000</v>
      </c>
      <c r="BO25" s="11">
        <v>1000000000000000</v>
      </c>
      <c r="BP25" s="11">
        <v>1000000000000000</v>
      </c>
      <c r="BQ25" s="11">
        <v>1000000000000000</v>
      </c>
      <c r="BR25" s="47">
        <v>1000000000000000</v>
      </c>
    </row>
    <row r="26" spans="28:70" x14ac:dyDescent="0.25">
      <c r="AB26" s="13">
        <v>8.4368421052631586</v>
      </c>
      <c r="AC26" s="11">
        <v>1000000000000000</v>
      </c>
      <c r="AD26" s="11">
        <v>1000000000000000</v>
      </c>
      <c r="AE26" s="11">
        <v>1000000000000000</v>
      </c>
      <c r="AF26" s="11">
        <v>1000000000000000</v>
      </c>
      <c r="AG26" s="11">
        <v>1000000000000000</v>
      </c>
      <c r="AH26" s="11">
        <v>1000000000000000</v>
      </c>
      <c r="AI26" s="11">
        <v>1000000000000000</v>
      </c>
      <c r="AJ26" s="11">
        <v>1000000000000000</v>
      </c>
      <c r="AK26" s="11">
        <v>1000000000000000</v>
      </c>
      <c r="AL26" s="11">
        <v>1000000000000000</v>
      </c>
      <c r="AM26" s="11">
        <v>1000000000000000</v>
      </c>
      <c r="AN26" s="11">
        <v>1000000000000000</v>
      </c>
      <c r="AO26" s="11">
        <v>1000000000000000</v>
      </c>
      <c r="AP26" s="11">
        <v>1000000000000000</v>
      </c>
      <c r="AQ26" s="11">
        <v>1000000000000000</v>
      </c>
      <c r="AR26" s="11">
        <v>1000000000000000</v>
      </c>
      <c r="AS26" s="11">
        <v>1000000000000000</v>
      </c>
      <c r="AT26" s="11">
        <v>1000000000000000</v>
      </c>
      <c r="AU26" s="11">
        <v>1000000000000000</v>
      </c>
      <c r="AV26" s="47">
        <v>1000000000000000</v>
      </c>
      <c r="AX26" s="13">
        <v>0.52314958448753468</v>
      </c>
      <c r="AY26" s="11">
        <v>1000000000000000</v>
      </c>
      <c r="AZ26" s="11">
        <v>1000000000000000</v>
      </c>
      <c r="BA26" s="11">
        <v>1000000000000000</v>
      </c>
      <c r="BB26" s="11">
        <v>1000000000000000</v>
      </c>
      <c r="BC26" s="11">
        <v>1000000000000000</v>
      </c>
      <c r="BD26" s="11">
        <v>1000000000000000</v>
      </c>
      <c r="BE26" s="11">
        <v>1000000000000000</v>
      </c>
      <c r="BF26" s="11">
        <v>1000000000000000</v>
      </c>
      <c r="BG26" s="11">
        <v>1000000000000000</v>
      </c>
      <c r="BH26" s="11">
        <v>1000000000000000</v>
      </c>
      <c r="BI26" s="11">
        <v>1000000000000000</v>
      </c>
      <c r="BJ26" s="11">
        <v>1000000000000000</v>
      </c>
      <c r="BK26" s="11">
        <v>1000000000000000</v>
      </c>
      <c r="BL26" s="11">
        <v>1000000000000000</v>
      </c>
      <c r="BM26" s="11">
        <v>1000000000000000</v>
      </c>
      <c r="BN26" s="11">
        <v>1000000000000000</v>
      </c>
      <c r="BO26" s="11">
        <v>1000000000000000</v>
      </c>
      <c r="BP26" s="11">
        <v>1000000000000000</v>
      </c>
      <c r="BQ26" s="11">
        <v>1000000000000000</v>
      </c>
      <c r="BR26" s="47">
        <v>1000000000000000</v>
      </c>
    </row>
    <row r="27" spans="28:70" x14ac:dyDescent="0.25">
      <c r="AB27" s="13">
        <v>8.9578947368421069</v>
      </c>
      <c r="AC27" s="11">
        <v>1000000000000000</v>
      </c>
      <c r="AD27" s="11">
        <v>1000000000000000</v>
      </c>
      <c r="AE27" s="11">
        <v>1000000000000000</v>
      </c>
      <c r="AF27" s="11">
        <v>1000000000000000</v>
      </c>
      <c r="AG27" s="11">
        <v>1000000000000000</v>
      </c>
      <c r="AH27" s="11">
        <v>1000000000000000</v>
      </c>
      <c r="AI27" s="11">
        <v>1000000000000000</v>
      </c>
      <c r="AJ27" s="11">
        <v>1000000000000000</v>
      </c>
      <c r="AK27" s="11">
        <v>1000000000000000</v>
      </c>
      <c r="AL27" s="11">
        <v>1000000000000000</v>
      </c>
      <c r="AM27" s="11">
        <v>1000000000000000</v>
      </c>
      <c r="AN27" s="11">
        <v>1000000000000000</v>
      </c>
      <c r="AO27" s="11">
        <v>1000000000000000</v>
      </c>
      <c r="AP27" s="11">
        <v>1000000000000000</v>
      </c>
      <c r="AQ27" s="11">
        <v>1000000000000000</v>
      </c>
      <c r="AR27" s="11">
        <v>1000000000000000</v>
      </c>
      <c r="AS27" s="11">
        <v>1000000000000000</v>
      </c>
      <c r="AT27" s="11">
        <v>1000000000000000</v>
      </c>
      <c r="AU27" s="11">
        <v>1000000000000000</v>
      </c>
      <c r="AV27" s="47">
        <v>1000000000000000</v>
      </c>
      <c r="AX27" s="13">
        <v>0.55578393351800559</v>
      </c>
      <c r="AY27" s="11">
        <v>1000000000000000</v>
      </c>
      <c r="AZ27" s="11">
        <v>1000000000000000</v>
      </c>
      <c r="BA27" s="11">
        <v>1000000000000000</v>
      </c>
      <c r="BB27" s="11">
        <v>1000000000000000</v>
      </c>
      <c r="BC27" s="11">
        <v>1000000000000000</v>
      </c>
      <c r="BD27" s="11">
        <v>1000000000000000</v>
      </c>
      <c r="BE27" s="11">
        <v>1000000000000000</v>
      </c>
      <c r="BF27" s="11">
        <v>1000000000000000</v>
      </c>
      <c r="BG27" s="11">
        <v>1000000000000000</v>
      </c>
      <c r="BH27" s="11">
        <v>1000000000000000</v>
      </c>
      <c r="BI27" s="11">
        <v>1000000000000000</v>
      </c>
      <c r="BJ27" s="11">
        <v>1000000000000000</v>
      </c>
      <c r="BK27" s="11">
        <v>1000000000000000</v>
      </c>
      <c r="BL27" s="11">
        <v>1000000000000000</v>
      </c>
      <c r="BM27" s="11">
        <v>1000000000000000</v>
      </c>
      <c r="BN27" s="11">
        <v>1000000000000000</v>
      </c>
      <c r="BO27" s="11">
        <v>1000000000000000</v>
      </c>
      <c r="BP27" s="11">
        <v>1000000000000000</v>
      </c>
      <c r="BQ27" s="11">
        <v>1000000000000000</v>
      </c>
      <c r="BR27" s="47">
        <v>1000000000000000</v>
      </c>
    </row>
    <row r="28" spans="28:70" x14ac:dyDescent="0.25">
      <c r="AB28" s="13">
        <v>9.4789473684210535</v>
      </c>
      <c r="AC28" s="11">
        <v>1000000000000000</v>
      </c>
      <c r="AD28" s="11">
        <v>1000000000000000</v>
      </c>
      <c r="AE28" s="11">
        <v>1000000000000000</v>
      </c>
      <c r="AF28" s="11">
        <v>1000000000000000</v>
      </c>
      <c r="AG28" s="11">
        <v>1000000000000000</v>
      </c>
      <c r="AH28" s="11">
        <v>1000000000000000</v>
      </c>
      <c r="AI28" s="11">
        <v>1000000000000000</v>
      </c>
      <c r="AJ28" s="11">
        <v>1000000000000000</v>
      </c>
      <c r="AK28" s="11">
        <v>1000000000000000</v>
      </c>
      <c r="AL28" s="11">
        <v>1000000000000000</v>
      </c>
      <c r="AM28" s="11">
        <v>1000000000000000</v>
      </c>
      <c r="AN28" s="11">
        <v>1000000000000000</v>
      </c>
      <c r="AO28" s="11">
        <v>1000000000000000</v>
      </c>
      <c r="AP28" s="11">
        <v>1000000000000000</v>
      </c>
      <c r="AQ28" s="11">
        <v>1000000000000000</v>
      </c>
      <c r="AR28" s="11">
        <v>1000000000000000</v>
      </c>
      <c r="AS28" s="11">
        <v>1000000000000000</v>
      </c>
      <c r="AT28" s="11">
        <v>1000000000000000</v>
      </c>
      <c r="AU28" s="11">
        <v>1000000000000000</v>
      </c>
      <c r="AV28" s="47">
        <v>1000000000000000</v>
      </c>
      <c r="AX28" s="13">
        <v>0.5884182825484765</v>
      </c>
      <c r="AY28" s="11">
        <v>1000000000000000</v>
      </c>
      <c r="AZ28" s="11">
        <v>1000000000000000</v>
      </c>
      <c r="BA28" s="11">
        <v>1000000000000000</v>
      </c>
      <c r="BB28" s="11">
        <v>1000000000000000</v>
      </c>
      <c r="BC28" s="11">
        <v>1000000000000000</v>
      </c>
      <c r="BD28" s="11">
        <v>1000000000000000</v>
      </c>
      <c r="BE28" s="11">
        <v>1000000000000000</v>
      </c>
      <c r="BF28" s="11">
        <v>1000000000000000</v>
      </c>
      <c r="BG28" s="11">
        <v>1000000000000000</v>
      </c>
      <c r="BH28" s="11">
        <v>1000000000000000</v>
      </c>
      <c r="BI28" s="11">
        <v>1000000000000000</v>
      </c>
      <c r="BJ28" s="11">
        <v>1000000000000000</v>
      </c>
      <c r="BK28" s="11">
        <v>1000000000000000</v>
      </c>
      <c r="BL28" s="11">
        <v>1000000000000000</v>
      </c>
      <c r="BM28" s="11">
        <v>1000000000000000</v>
      </c>
      <c r="BN28" s="11">
        <v>1000000000000000</v>
      </c>
      <c r="BO28" s="11">
        <v>1000000000000000</v>
      </c>
      <c r="BP28" s="11">
        <v>1000000000000000</v>
      </c>
      <c r="BQ28" s="11">
        <v>1000000000000000</v>
      </c>
      <c r="BR28" s="47">
        <v>1000000000000000</v>
      </c>
    </row>
    <row r="29" spans="28:70" x14ac:dyDescent="0.25">
      <c r="AB29" s="16">
        <v>10</v>
      </c>
      <c r="AC29" s="45">
        <v>1000000000000000</v>
      </c>
      <c r="AD29" s="45">
        <v>1000000000000000</v>
      </c>
      <c r="AE29" s="45">
        <v>1000000000000000</v>
      </c>
      <c r="AF29" s="45">
        <v>1000000000000000</v>
      </c>
      <c r="AG29" s="45">
        <v>1000000000000000</v>
      </c>
      <c r="AH29" s="45">
        <v>1000000000000000</v>
      </c>
      <c r="AI29" s="45">
        <v>1000000000000000</v>
      </c>
      <c r="AJ29" s="45">
        <v>1000000000000000</v>
      </c>
      <c r="AK29" s="45">
        <v>1000000000000000</v>
      </c>
      <c r="AL29" s="45">
        <v>1000000000000000</v>
      </c>
      <c r="AM29" s="45">
        <v>1000000000000000</v>
      </c>
      <c r="AN29" s="45">
        <v>1000000000000000</v>
      </c>
      <c r="AO29" s="45">
        <v>1000000000000000</v>
      </c>
      <c r="AP29" s="45">
        <v>1000000000000000</v>
      </c>
      <c r="AQ29" s="45">
        <v>1000000000000000</v>
      </c>
      <c r="AR29" s="45">
        <v>1000000000000000</v>
      </c>
      <c r="AS29" s="45">
        <v>1000000000000000</v>
      </c>
      <c r="AT29" s="45">
        <v>1000000000000000</v>
      </c>
      <c r="AU29" s="45">
        <v>1000000000000000</v>
      </c>
      <c r="AV29" s="48">
        <v>1000000000000000</v>
      </c>
      <c r="AX29" s="16">
        <v>0.62105263157894741</v>
      </c>
      <c r="AY29" s="45">
        <v>1000000000000000</v>
      </c>
      <c r="AZ29" s="45">
        <v>1000000000000000</v>
      </c>
      <c r="BA29" s="45">
        <v>1000000000000000</v>
      </c>
      <c r="BB29" s="45">
        <v>1000000000000000</v>
      </c>
      <c r="BC29" s="45">
        <v>1000000000000000</v>
      </c>
      <c r="BD29" s="45">
        <v>1000000000000000</v>
      </c>
      <c r="BE29" s="45">
        <v>1000000000000000</v>
      </c>
      <c r="BF29" s="45">
        <v>1000000000000000</v>
      </c>
      <c r="BG29" s="45">
        <v>1000000000000000</v>
      </c>
      <c r="BH29" s="45">
        <v>1000000000000000</v>
      </c>
      <c r="BI29" s="45">
        <v>1000000000000000</v>
      </c>
      <c r="BJ29" s="45">
        <v>1000000000000000</v>
      </c>
      <c r="BK29" s="45">
        <v>1000000000000000</v>
      </c>
      <c r="BL29" s="45">
        <v>1000000000000000</v>
      </c>
      <c r="BM29" s="45">
        <v>1000000000000000</v>
      </c>
      <c r="BN29" s="45">
        <v>1000000000000000</v>
      </c>
      <c r="BO29" s="45">
        <v>1000000000000000</v>
      </c>
      <c r="BP29" s="45">
        <v>1000000000000000</v>
      </c>
      <c r="BQ29" s="45">
        <v>1000000000000000</v>
      </c>
      <c r="BR29" s="48">
        <v>1000000000000000</v>
      </c>
    </row>
  </sheetData>
  <mergeCells count="7">
    <mergeCell ref="AX3:BR3"/>
    <mergeCell ref="F1:M1"/>
    <mergeCell ref="F2:G2"/>
    <mergeCell ref="I2:J2"/>
    <mergeCell ref="L2:M2"/>
    <mergeCell ref="P2:Z2"/>
    <mergeCell ref="AB3:AV3"/>
  </mergeCells>
  <conditionalFormatting sqref="P5:Z10">
    <cfRule type="expression" dxfId="32" priority="1" stopIfTrue="1">
      <formula>$Y5=MIN($Y$5:$Y$10)</formula>
    </cfRule>
  </conditionalFormatting>
  <conditionalFormatting sqref="AC7">
    <cfRule type="expression" dxfId="31" priority="2" stopIfTrue="1">
      <formula>OR($AC$8=1,$AC$8=20)</formula>
    </cfRule>
  </conditionalFormatting>
  <conditionalFormatting sqref="AC10:AV29">
    <cfRule type="colorScale" priority="4">
      <colorScale>
        <cfvo type="min"/>
        <cfvo type="percentile" val="50"/>
        <cfvo type="max"/>
        <color rgb="FF7BBE63"/>
        <color rgb="FF84EBFF"/>
        <color rgb="FF6B69F8"/>
      </colorScale>
    </cfRule>
  </conditionalFormatting>
  <conditionalFormatting sqref="AE7">
    <cfRule type="expression" dxfId="30" priority="3" stopIfTrue="1">
      <formula>OR($AB$8=1,$AB$8=20)</formula>
    </cfRule>
  </conditionalFormatting>
  <conditionalFormatting sqref="AY7">
    <cfRule type="expression" dxfId="29" priority="5" stopIfTrue="1">
      <formula>OR($AY$8=1,$AY$8=20)</formula>
    </cfRule>
  </conditionalFormatting>
  <conditionalFormatting sqref="AY10:BR29">
    <cfRule type="colorScale" priority="7">
      <colorScale>
        <cfvo type="min"/>
        <cfvo type="percentile" val="50"/>
        <cfvo type="max"/>
        <color rgb="FF7BBE63"/>
        <color rgb="FF84EBFF"/>
        <color rgb="FF6B69F8"/>
      </colorScale>
    </cfRule>
  </conditionalFormatting>
  <conditionalFormatting sqref="BA7">
    <cfRule type="expression" dxfId="28" priority="6" stopIfTrue="1">
      <formula>OR($AX$8=1,$AX$8=20)</formula>
    </cfRule>
  </conditionalFormatting>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8</vt:i4>
      </vt:variant>
    </vt:vector>
  </HeadingPairs>
  <TitlesOfParts>
    <vt:vector size="15" baseType="lpstr">
      <vt:lpstr>LAMBDA_functions</vt:lpstr>
      <vt:lpstr>Life Expectancy Data</vt:lpstr>
      <vt:lpstr>Regression Instructions</vt:lpstr>
      <vt:lpstr>Diagnostic Guide</vt:lpstr>
      <vt:lpstr>Version History</vt:lpstr>
      <vt:lpstr>Regression</vt:lpstr>
      <vt:lpstr>Univariate</vt:lpstr>
      <vt:lpstr>Regression!All_Xs</vt:lpstr>
      <vt:lpstr>Regression!Allow_Intercept</vt:lpstr>
      <vt:lpstr>Regression!alpha</vt:lpstr>
      <vt:lpstr>Regression!Ind_Var_Include</vt:lpstr>
      <vt:lpstr>Regression!Regression_Sample_Include</vt:lpstr>
      <vt:lpstr>Univariate!UV_WB_S1</vt:lpstr>
      <vt:lpstr>Univariate!UV_WB_S2</vt:lpstr>
      <vt:lpstr>Regression!y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Stephen Colodner</dc:creator>
  <cp:lastModifiedBy>Stephen Colodner</cp:lastModifiedBy>
  <dcterms:created xsi:type="dcterms:W3CDTF">2026-06-20T00:38:37Z</dcterms:created>
  <dcterms:modified xsi:type="dcterms:W3CDTF">2026-06-20T19:16:55Z</dcterms:modified>
</cp:coreProperties>
</file>