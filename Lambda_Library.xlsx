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982A835E-10C8-4743-902A-72FD9A9BA21E}"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74" r:id="rId5"/>
    <sheet name="Regression" sheetId="7" r:id="rId6"/>
    <sheet name="Diagnostic Guide" sheetId="7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J15" i="7"/>
  <c r="O15" i="7"/>
  <c r="L15" i="7"/>
  <c r="K15" i="7"/>
  <c r="J15" i="7"/>
  <c r="O14" i="7"/>
  <c r="L14" i="7"/>
  <c r="K14" i="7"/>
  <c r="J14" i="7"/>
  <c r="O13" i="7"/>
  <c r="L13" i="7"/>
  <c r="K13" i="7"/>
  <c r="J13" i="7"/>
  <c r="AK12" i="7"/>
  <c r="AE12" i="7" a="1"/>
  <c r="O12" i="7"/>
  <c r="L12" i="7"/>
  <c r="K12" i="7"/>
  <c r="J12" i="7"/>
  <c r="AE11" i="7" a="1"/>
  <c r="O11" i="7"/>
  <c r="L11" i="7"/>
  <c r="K11" i="7"/>
  <c r="J11" i="7"/>
  <c r="AE10" i="7" a="1"/>
  <c r="BD96" i="7" s="1"/>
  <c r="O10" i="7"/>
  <c r="L10" i="7"/>
  <c r="K10" i="7"/>
  <c r="J10" i="7"/>
  <c r="O9" i="7"/>
  <c r="L9" i="7"/>
  <c r="K9" i="7"/>
  <c r="J9" i="7"/>
  <c r="AE8" i="7" a="1"/>
  <c r="AB8" i="7" a="1"/>
  <c r="BD99" i="7" s="1"/>
  <c r="O8" i="7"/>
  <c r="L8" i="7"/>
  <c r="K8" i="7"/>
  <c r="J8" i="7"/>
  <c r="AE7" i="7" a="1"/>
  <c r="AB7" i="7" a="1"/>
  <c r="O7" i="7"/>
  <c r="L7" i="7"/>
  <c r="K7" i="7"/>
  <c r="J7" i="7"/>
  <c r="AE6" i="7" a="1"/>
  <c r="BD100" i="7" s="1"/>
  <c r="O6" i="7"/>
  <c r="L6" i="7"/>
  <c r="K6" i="7"/>
  <c r="J6" i="7"/>
  <c r="BS5" i="7" a="1"/>
  <c r="AH5" i="7" a="1"/>
  <c r="O5" i="7"/>
  <c r="L5" i="7"/>
  <c r="K5" i="7"/>
  <c r="J5" i="7"/>
  <c r="BS4" i="7" a="1"/>
  <c r="AE4" i="7" a="1"/>
  <c r="BD101" i="7" s="1"/>
  <c r="O4" i="7"/>
  <c r="L4" i="7"/>
  <c r="K4" i="7"/>
  <c r="J4" i="7"/>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AB2" i="7" a="1"/>
  <c r="P2" i="7" a="1"/>
  <c r="L2" i="7" a="1"/>
  <c r="K2" i="7" a="1"/>
  <c r="J2" i="7" a="1"/>
  <c r="I2"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20" i="7" a="1"/>
  <c r="AK62" i="7" a="1"/>
  <c r="AK61" i="7" a="1"/>
  <c r="AK50" i="7" a="1"/>
  <c r="AK59" i="7" a="1"/>
  <c r="AK58" i="7" a="1"/>
  <c r="AK57" i="7" a="1"/>
  <c r="AK56" i="7" a="1"/>
  <c r="AK55" i="7" a="1"/>
  <c r="AK54" i="7" a="1"/>
  <c r="AK53" i="7" a="1"/>
  <c r="AK52" i="7" a="1"/>
  <c r="AK51" i="7" a="1"/>
  <c r="AK19" i="7" a="1"/>
  <c r="AK3" i="7" s="1"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3" i="7" a="1"/>
  <c r="AK14" i="7" a="1"/>
  <c r="AH9" i="7" a="1"/>
  <c r="AH7" i="7" a="1"/>
  <c r="AH6" i="7" a="1"/>
  <c r="AH8" i="7" a="1"/>
  <c r="AE21" i="7" a="1"/>
  <c r="AF21" i="7" a="1"/>
  <c r="AG21" i="7" a="1"/>
  <c r="AC21" i="7" a="1"/>
  <c r="AE9" i="7" a="1"/>
  <c r="AD21" i="7" a="1"/>
  <c r="AD16" i="7" a="1"/>
  <c r="AB16" i="7" a="1"/>
  <c r="AE15" i="7" a="1"/>
  <c r="AB15" i="7" a="1"/>
  <c r="AC15" i="7" a="1"/>
  <c r="AF15" i="7" a="1"/>
  <c r="AB6" i="7" a="1"/>
  <c r="BD97" i="7" s="1"/>
  <c r="AB17" i="7" a="1"/>
  <c r="AD15" i="7" a="1"/>
  <c r="AB4" i="7" a="1"/>
  <c r="AH21" i="7" a="1"/>
  <c r="BS6" i="7" a="1"/>
  <c r="AE5" i="7" a="1"/>
  <c r="AC17" i="7" a="1"/>
  <c r="AB5" i="7" a="1"/>
  <c r="BF97" i="7"/>
  <c r="BE97" i="7"/>
  <c r="BD95" i="7"/>
  <c r="AL3" i="7" l="1" a="1"/>
  <c r="AL10" i="7" a="1"/>
  <c r="AL9" i="7" a="1"/>
  <c r="AL7" i="7" a="1"/>
  <c r="AL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EF5ECCCF-7E6E-4AE7-9F8D-323017A023E7}">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71DD5C4C-600F-4948-B41D-989D8E42F8F4}">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FF5A439F-41A9-407A-AB0F-51D39F11D490}">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34CBE9C4-F210-43DE-820E-A1AD15A3560D}">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CB9D50C9-FD09-4FD7-BE6B-152FFEFF7A2D}">
      <text>
        <r>
          <rPr>
            <b/>
            <sz val="9"/>
            <color indexed="81"/>
            <rFont val="Tahoma"/>
            <family val="2"/>
          </rPr>
          <t>Shows whether the data have a longer tail on one side. Positive means a longer right tail; negative means a longer left tail.</t>
        </r>
      </text>
    </comment>
    <comment ref="W2" authorId="0" shapeId="0" xr:uid="{541E8F2C-2838-4484-89AC-B1E72E69C6FA}">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AF355174-E086-40AB-9AFA-893DEF7DBFF0}">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83889E85-3BD3-4238-96A8-4A7AFE878BB4}">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C217AF17-E5E0-431A-B0C2-EAC517FB626D}">
      <text>
        <r>
          <rPr>
            <b/>
            <sz val="9"/>
            <color indexed="81"/>
            <rFont val="Tahoma"/>
            <family val="2"/>
          </rPr>
          <t>The actual observed outcome values.</t>
        </r>
      </text>
    </comment>
    <comment ref="AP2" authorId="0" shapeId="0" xr:uid="{D57B996D-F1D7-4879-A9AC-DC3E1BD31E73}">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8B221B5F-0AFB-440F-9ABB-594A98F133CC}">
      <text>
        <r>
          <rPr>
            <b/>
            <sz val="9"/>
            <color indexed="81"/>
            <rFont val="Tahoma"/>
            <family val="2"/>
          </rPr>
          <t>Actual Y minus predicted Y. Positive means the row came in above the model's prediction; negative means below.</t>
        </r>
      </text>
    </comment>
    <comment ref="AR2" authorId="0" shapeId="0" xr:uid="{6E0566EF-9AD9-439D-8526-592335E887D6}">
      <text>
        <r>
          <rPr>
            <b/>
            <sz val="9"/>
            <color indexed="81"/>
            <rFont val="Tahoma"/>
            <family val="2"/>
          </rPr>
          <t>Leverage. It shows how unusual a row's predictor values are relative to the rest of the data.</t>
        </r>
      </text>
    </comment>
    <comment ref="AS2" authorId="0" shapeId="0" xr:uid="{315DED59-0B1C-46FC-BEAF-5C8D7DAD50FF}">
      <text>
        <r>
          <rPr>
            <b/>
            <sz val="9"/>
            <color indexed="81"/>
            <rFont val="Tahoma"/>
            <family val="2"/>
          </rPr>
          <t>Residuals scaled to account for overall error size and leverage, making outliers easier to compare fairly.</t>
        </r>
      </text>
    </comment>
    <comment ref="AT2" authorId="0" shapeId="0" xr:uid="{B59CB60E-438F-4134-A17A-9163F74C46CD}">
      <text>
        <r>
          <rPr>
            <b/>
            <sz val="9"/>
            <color indexed="81"/>
            <rFont val="Tahoma"/>
            <family val="2"/>
          </rPr>
          <t>How much a single row can pull the fitted coefficients and predictions around.</t>
        </r>
      </text>
    </comment>
    <comment ref="AU2" authorId="0" shapeId="0" xr:uid="{E8915420-F39A-4192-8562-2ACDC6D59DBB}">
      <text>
        <r>
          <rPr>
            <b/>
            <sz val="9"/>
            <color indexed="81"/>
            <rFont val="Tahoma"/>
            <family val="2"/>
          </rPr>
          <t>Expected bell-curve quantiles used for the Q-Q comparison.</t>
        </r>
      </text>
    </comment>
    <comment ref="AV2" authorId="0" shapeId="0" xr:uid="{27654E0E-76C3-4763-899A-97638ADA912B}">
      <text>
        <r>
          <rPr>
            <b/>
            <sz val="9"/>
            <color indexed="81"/>
            <rFont val="Tahoma"/>
            <family val="2"/>
          </rPr>
          <t>Studentized residuals sorted from smallest to largest for the Q-Q plot.</t>
        </r>
      </text>
    </comment>
    <comment ref="AW2" authorId="0" shapeId="0" xr:uid="{0E688C36-4A57-4D3A-918B-8E53440684C4}">
      <text>
        <r>
          <rPr>
            <b/>
            <sz val="9"/>
            <color indexed="81"/>
            <rFont val="Tahoma"/>
            <family val="2"/>
          </rPr>
          <t>The square root of the absolute studentized residual. A flat pattern suggests stable error spread.</t>
        </r>
      </text>
    </comment>
    <comment ref="AX2" authorId="0" shapeId="0" xr:uid="{7138D9AE-326B-419B-BFA2-B8260E457E77}">
      <text>
        <r>
          <rPr>
            <b/>
            <sz val="9"/>
            <color indexed="81"/>
            <rFont val="Tahoma"/>
            <family val="2"/>
          </rPr>
          <t>The prediction error for a row when that row is left out of the fitting step (the leave-one-out / LOOCV residual). Summing its squares gives PRESS.</t>
        </r>
      </text>
    </comment>
    <comment ref="AY2" authorId="0" shapeId="0" xr:uid="{9B8246FA-0F5D-4421-BD2E-C719B600F0BD}">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6917387C-FA2D-4E1F-ADC3-F3212275C5DE}">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63E2FB00-60AF-43A3-9CD5-F9F7F35BDEF0}">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EA525E97-A7A5-4A2D-8ECD-A0C32A52EA9D}">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9C610F1A-69B0-42E8-AE0C-A9F598E18111}">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CBD3BB1-4E11-458D-9B52-00C5158CED07}">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EF817CB9-D729-4EBD-A603-574D74FD45AF}">
      <text>
        <r>
          <rPr>
            <b/>
            <sz val="9"/>
            <color indexed="81"/>
            <rFont val="Tahoma"/>
            <family val="2"/>
          </rPr>
          <t>Reserved for a future release — not yet used by any formula.</t>
        </r>
      </text>
    </comment>
    <comment ref="G3" authorId="0" shapeId="0" xr:uid="{16DE5117-87FF-4A90-92C9-22E618B49A23}">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2AE3F4F4-C006-4A06-AE0C-2DB9643CE1EC}">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F7D06B01-259B-4252-8D44-5F77EC860436}">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8F8D0D7E-8904-4781-A5FF-C8A09C789481}">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EF525B0A-BA7D-4B5B-9B13-4BA7C23879F6}">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FE912B3-6E6E-41B9-B7CC-2F71796A8211}">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7055BE2F-88B6-4B88-A946-036130D4B69F}">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B7F05218-A01A-4FBD-A7BF-5B245E1491EE}">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E77A63E4-B4F5-430F-B5F0-C1D528BFFEF5}">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D3386038-A1C8-470A-8CAD-F0649A0041AD}">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DCD52FDB-FDBF-4676-A5AA-B5A99747DB04}">
      <text>
        <r>
          <rPr>
            <b/>
            <sz val="9"/>
            <color indexed="81"/>
            <rFont val="Tahoma"/>
            <family val="2"/>
          </rPr>
          <t>How closely the model's predicted Y values track the actual Y values overall.</t>
        </r>
      </text>
    </comment>
    <comment ref="AD4" authorId="0" shapeId="0" xr:uid="{9618F823-EC94-4F1A-85AE-347B7D97208A}">
      <text>
        <r>
          <rPr>
            <b/>
            <sz val="9"/>
            <color indexed="81"/>
            <rFont val="Tahoma"/>
            <family val="2"/>
          </rPr>
          <t>A leave-one-out prediction error score. Lower is better because it means the model predicts unseen rows more accurately.</t>
        </r>
      </text>
    </comment>
    <comment ref="AJ4" authorId="0" shapeId="0" xr:uid="{A49567BC-DF7F-4C4A-BAD0-79513F5A64B7}">
      <text>
        <r>
          <rPr>
            <b/>
            <sz val="9"/>
            <color indexed="81"/>
            <rFont val="Tahoma"/>
            <family val="2"/>
          </rPr>
          <t>Standard error for the MEAN of Y at the chosen X values. Builds the confidence interval — the narrower band — for where the average response sits.</t>
        </r>
      </text>
    </comment>
    <comment ref="AA5" authorId="0" shapeId="0" xr:uid="{5A958F70-C276-480F-9BCE-5EED13AD5663}">
      <text>
        <r>
          <rPr>
            <b/>
            <sz val="9"/>
            <color indexed="81"/>
            <rFont val="Tahoma"/>
            <family val="2"/>
          </rPr>
          <t>The share of the outcome's variation explained by the model.</t>
        </r>
      </text>
    </comment>
    <comment ref="AD5" authorId="0" shapeId="0" xr:uid="{2290A89B-48EA-4B7A-BB97-6A6FA3923BA2}">
      <text>
        <r>
          <rPr>
            <b/>
            <sz val="9"/>
            <color indexed="81"/>
            <rFont val="Tahoma"/>
            <family val="2"/>
          </rPr>
          <t>An out-of-sample version of R Square based on leave-one-out prediction. Negative values mean the model predicts worse than just using the average Y.</t>
        </r>
      </text>
    </comment>
    <comment ref="AJ5" authorId="0" shapeId="0" xr:uid="{40558873-FFE8-4048-A457-4905C658016E}">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D66AFADD-0FC2-4B3D-A09A-E5C726D2D3B3}">
      <text>
        <r>
          <rPr>
            <b/>
            <sz val="9"/>
            <color indexed="81"/>
            <rFont val="Tahoma"/>
            <family val="2"/>
          </rPr>
          <t>R Square with a penalty for adding predictors that do not help enough.</t>
        </r>
      </text>
    </comment>
    <comment ref="AD6" authorId="0" shapeId="0" xr:uid="{CEBE5BFC-95ED-4658-9383-DAC37FA612D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F49A6CF0-C568-405B-8C9E-377DFB309324}">
      <text>
        <r>
          <rPr>
            <b/>
            <sz val="9"/>
            <color indexed="81"/>
            <rFont val="Tahoma"/>
            <family val="2"/>
          </rPr>
          <t>The t-distribution cutoff at the chosen confidence level. Multiply by SE (Mean) to get the CI half-width and by SE (New Obs) to get the PI half-width.</t>
        </r>
      </text>
    </comment>
    <comment ref="AA7" authorId="0" shapeId="0" xr:uid="{EDA8AE57-46CE-4AD5-A44C-25479A4394A4}">
      <text>
        <r>
          <rPr>
            <b/>
            <sz val="9"/>
            <color indexed="81"/>
            <rFont val="Tahoma"/>
            <family val="2"/>
          </rPr>
          <t>The typical size of the model's prediction errors, measured in the same units as Y.</t>
        </r>
      </text>
    </comment>
    <comment ref="AD7" authorId="0" shapeId="0" xr:uid="{63A74B46-B0DE-40B5-97E1-CABC79F5594C}">
      <text>
        <r>
          <rPr>
            <b/>
            <sz val="9"/>
            <color indexed="81"/>
            <rFont val="Tahoma"/>
            <family val="2"/>
          </rPr>
          <t>A model-comparison score that balances fit against complexity. Lower is better when comparing models on the same data.</t>
        </r>
      </text>
    </comment>
    <comment ref="AJ7" authorId="0" shapeId="0" xr:uid="{152F43F0-B508-43DA-BCFE-12DCA3E275BE}">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3774B657-C295-4C92-B988-C13B57764878}">
      <text>
        <r>
          <rPr>
            <b/>
            <sz val="9"/>
            <color indexed="81"/>
            <rFont val="Tahoma"/>
            <family val="2"/>
          </rPr>
          <t>The number of rows actually used in the regression after filtering.</t>
        </r>
      </text>
    </comment>
    <comment ref="AD8" authorId="0" shapeId="0" xr:uid="{3CBB52FF-DAB0-440E-B4E4-4D88FAE33664}">
      <text>
        <r>
          <rPr>
            <b/>
            <sz val="9"/>
            <color indexed="81"/>
            <rFont val="Tahoma"/>
            <family val="2"/>
          </rPr>
          <t>Another model-comparison score like AIC, but it penalizes extra predictors more strongly.</t>
        </r>
      </text>
    </comment>
    <comment ref="AJ8" authorId="0" shapeId="0" xr:uid="{7913E55B-FEAD-4FF9-930F-B1CC4894B416}">
      <text>
        <r>
          <rPr>
            <b/>
            <sz val="9"/>
            <color indexed="81"/>
            <rFont val="Tahoma"/>
            <family val="2"/>
          </rPr>
          <t>Upper bound of the confidence interval for the MEAN response at the chosen X values.</t>
        </r>
      </text>
    </comment>
    <comment ref="AD9" authorId="0" shapeId="0" xr:uid="{2C5185CA-77DB-470D-A79A-ED12F111A186}">
      <text>
        <r>
          <rPr>
            <b/>
            <sz val="9"/>
            <color indexed="81"/>
            <rFont val="Tahoma"/>
            <family val="2"/>
          </rPr>
          <t>AIC with an extra correction for small samples.</t>
        </r>
      </text>
    </comment>
    <comment ref="AJ9" authorId="0" shapeId="0" xr:uid="{05192982-BE89-45C1-95E4-F530520780D0}">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9EB7CEF4-56F2-4BF6-81AF-6D4D8B344056}">
      <text>
        <r>
          <rPr>
            <b/>
            <sz val="9"/>
            <color indexed="81"/>
            <rFont val="Tahoma"/>
            <family val="2"/>
          </rPr>
          <t>A numeric check of how close the residuals are to a normal bell shape. Values closer to 1 are better.</t>
        </r>
      </text>
    </comment>
    <comment ref="AJ10" authorId="0" shapeId="0" xr:uid="{69A7506D-6095-42A9-8FE1-CAA9C08751DA}">
      <text>
        <r>
          <rPr>
            <b/>
            <sz val="9"/>
            <color indexed="81"/>
            <rFont val="Tahoma"/>
            <family val="2"/>
          </rPr>
          <t>Upper bound of the prediction interval for a SINGLE new observation at the chosen X values.</t>
        </r>
      </text>
    </comment>
    <comment ref="AD11" authorId="0" shapeId="0" xr:uid="{3BB95111-6FEC-457E-89CE-BAFBB3B81C82}">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F15F0997-179B-489A-899F-1BC307E33018}">
      <text>
        <r>
          <rPr>
            <b/>
            <sz val="9"/>
            <color indexed="81"/>
            <rFont val="Tahoma"/>
            <family val="2"/>
          </rPr>
          <t>The probability level associated with the interval. With alpha 0.05, this is 95%.</t>
        </r>
      </text>
    </comment>
    <comment ref="AA12" authorId="0" shapeId="0" xr:uid="{35382FC6-28DF-462D-B5EE-BBDDF333739B}">
      <text>
        <r>
          <rPr>
            <b/>
            <sz val="9"/>
            <color indexed="81"/>
            <rFont val="Tahoma"/>
            <family val="2"/>
          </rPr>
          <t>The cutoff for statistical significance. At 0.05, results with p-values below 0.05 are treated as statistically significant.</t>
        </r>
      </text>
    </comment>
    <comment ref="AD12" authorId="0" shapeId="0" xr:uid="{71CD7C4A-CBBC-449F-847B-AAC58849BEDE}">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91759EF0-8DA9-49A5-9CBA-ECEE96AF7604}">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918DA3C4-357A-4CDF-823F-D6BEDE3CCD83}">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9DAC9379-7400-42EA-83AA-6C65AD00926E}">
      <text>
        <r>
          <rPr>
            <b/>
            <sz val="9"/>
            <color indexed="81"/>
            <rFont val="Tahoma"/>
            <family val="2"/>
          </rPr>
          <t>The number of independent data points available to estimate each part of the model — total rows minus one for each estimated parameter.</t>
        </r>
      </text>
    </comment>
    <comment ref="AC14" authorId="0" shapeId="0" xr:uid="{2A139D0E-6076-43A7-AFE4-34DC07D40D18}">
      <text>
        <r>
          <rPr>
            <b/>
            <sz val="9"/>
            <color indexed="81"/>
            <rFont val="Tahoma"/>
            <family val="2"/>
          </rPr>
          <t>The total variation attributed to that source — regression, residual, or total. The raw material from which MS and F are calculated.</t>
        </r>
      </text>
    </comment>
    <comment ref="AD14" authorId="0" shapeId="0" xr:uid="{2D89C04A-D9FC-498B-8BB1-B7DFE7F8B698}">
      <text>
        <r>
          <rPr>
            <b/>
            <sz val="9"/>
            <color indexed="81"/>
            <rFont val="Tahoma"/>
            <family val="2"/>
          </rPr>
          <t>Sum of squares averaged over its degrees of freedom — a per-unit measure of variation for that source.</t>
        </r>
      </text>
    </comment>
    <comment ref="AE14" authorId="0" shapeId="0" xr:uid="{C67D7B1E-8C89-445E-AC7D-33FE5105C260}">
      <text>
        <r>
          <rPr>
            <b/>
            <sz val="9"/>
            <color indexed="81"/>
            <rFont val="Tahoma"/>
            <family val="2"/>
          </rPr>
          <t>The model-vs-noise ratio used in the overall regression significance test.</t>
        </r>
      </text>
    </comment>
    <comment ref="AF14" authorId="0" shapeId="0" xr:uid="{75EFA041-4C7D-4BA0-9016-FF17CC7A692F}">
      <text>
        <r>
          <rPr>
            <b/>
            <sz val="9"/>
            <color indexed="81"/>
            <rFont val="Tahoma"/>
            <family val="2"/>
          </rPr>
          <t>The p-value for the overall F test. Small values mean the model as a whole is unlikely to be pure noise.</t>
        </r>
      </text>
    </comment>
    <comment ref="AJ14" authorId="0" shapeId="0" xr:uid="{0C0C5358-9075-410F-A89C-8B9620AF0E04}">
      <text>
        <r>
          <rPr>
            <b/>
            <sz val="9"/>
            <color indexed="81"/>
            <rFont val="Tahoma"/>
            <family val="2"/>
          </rPr>
          <t>Number of analysis-sample observations in the selected FE group. The Tᵢ used to scale the within-group mean's standard error.</t>
        </r>
      </text>
    </comment>
    <comment ref="AA15" authorId="0" shapeId="0" xr:uid="{B12C23EE-67ED-4CB7-8E37-E2046FACBC5F}">
      <text>
        <r>
          <rPr>
            <b/>
            <sz val="9"/>
            <color indexed="81"/>
            <rFont val="Tahoma"/>
            <family val="2"/>
          </rPr>
          <t>The variation explained by the predictors taken together.</t>
        </r>
      </text>
    </comment>
    <comment ref="AA16" authorId="0" shapeId="0" xr:uid="{C54C49FA-9B2F-4781-8134-E89B66F0734B}">
      <text>
        <r>
          <rPr>
            <b/>
            <sz val="9"/>
            <color indexed="81"/>
            <rFont val="Tahoma"/>
            <family val="2"/>
          </rPr>
          <t>The variation the model does not explain.</t>
        </r>
      </text>
    </comment>
    <comment ref="AA17" authorId="0" shapeId="0" xr:uid="{4D6D8C30-92A9-4DF9-AD34-6F94D65ABE4D}">
      <text>
        <r>
          <rPr>
            <b/>
            <sz val="9"/>
            <color indexed="81"/>
            <rFont val="Tahoma"/>
            <family val="2"/>
          </rPr>
          <t>All variation in the outcome before splitting it into explained and unexplained parts.</t>
        </r>
      </text>
    </comment>
    <comment ref="AJ17" authorId="0" shapeId="0" xr:uid="{29B7AE4D-A669-44CE-A973-5FBAE1CFDF23}">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4FAC46D5-F8E8-4E4D-917F-3632B83E46A3}">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9CCFD420-47F6-4F47-B4C7-DC9DD6383741}">
      <text>
        <r>
          <rPr>
            <b/>
            <sz val="9"/>
            <color indexed="81"/>
            <rFont val="Tahoma"/>
            <family val="2"/>
          </rPr>
          <t>The fitted weights used to turn predictor values into predictions.</t>
        </r>
      </text>
    </comment>
    <comment ref="AC20" authorId="0" shapeId="0" xr:uid="{A4EEAD19-BC4E-4DF6-888E-3B55D81EFBE0}">
      <text>
        <r>
          <rPr>
            <b/>
            <sz val="9"/>
            <color indexed="81"/>
            <rFont val="Tahoma"/>
            <family val="2"/>
          </rPr>
          <t>How uncertain each coefficient estimate is.</t>
        </r>
      </text>
    </comment>
    <comment ref="AD20" authorId="0" shapeId="0" xr:uid="{235672D6-8DBE-47CA-ACD6-2A9E47A15536}">
      <text>
        <r>
          <rPr>
            <b/>
            <sz val="9"/>
            <color indexed="81"/>
            <rFont val="Tahoma"/>
            <family val="2"/>
          </rPr>
          <t>How many standard errors the coefficient is away from zero.</t>
        </r>
      </text>
    </comment>
    <comment ref="AE20" authorId="0" shapeId="0" xr:uid="{915E445D-0A7F-4465-B19B-250C93AC4604}">
      <text>
        <r>
          <rPr>
            <b/>
            <sz val="9"/>
            <color indexed="81"/>
            <rFont val="Tahoma"/>
            <family val="2"/>
          </rPr>
          <t>How surprising this coefficient would be if its true effect were zero. Smaller values mean stronger evidence of a real effect.</t>
        </r>
      </text>
    </comment>
    <comment ref="AF20" authorId="0" shapeId="0" xr:uid="{56765AE1-4B9E-451D-A78C-8FEBCBEA490F}">
      <text>
        <r>
          <rPr>
            <b/>
            <sz val="9"/>
            <color indexed="81"/>
            <rFont val="Tahoma"/>
            <family val="2"/>
          </rPr>
          <t>The lower bound of the 95% confidence interval.</t>
        </r>
      </text>
    </comment>
    <comment ref="AG20" authorId="0" shapeId="0" xr:uid="{BBCFDE73-0B7D-40C2-8BEA-7357DC80DD09}">
      <text>
        <r>
          <rPr>
            <b/>
            <sz val="9"/>
            <color indexed="81"/>
            <rFont val="Tahoma"/>
            <family val="2"/>
          </rPr>
          <t>The upper bound of the 95% confidence interval.</t>
        </r>
      </text>
    </comment>
    <comment ref="AH20" authorId="0" shapeId="0" xr:uid="{708940D5-2B91-4DE3-9630-7CA11C21CDA4}">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<sst xmlns="http://schemas.openxmlformats.org/spreadsheetml/2006/main" count="8889" uniqueCount="1939">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</sst>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AAA3-44E3-B103-763957D5F825}"/>
            </c:ext>
          </c:extLst>
        </c:ser>
        <c:dLbls>
          <c:showLegendKey val="0"/>
          <c:showVal val="0"/>
          <c:showCatName val="0"/>
          <c:showSerName val="0"/>
          <c:showPercent val="0"/>
          <c:showBubbleSize val="0"/>
        </c:dLbls>
        <c:axId val="1738537856"/>
        <c:axId val="1742941872"/>
      </c:scatterChart>
      <c:valAx>
        <c:axId val="1738537856"/>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742941872"/>
        <c:crosses val="autoZero"/>
        <c:crossBetween val="midCat"/>
      </c:valAx>
      <c:valAx>
        <c:axId val="1742941872"/>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7385378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6B1C-46D3-AA59-B947EFB2E732}"/>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6B1C-46D3-AA59-B947EFB2E732}"/>
            </c:ext>
          </c:extLst>
        </c:ser>
        <c:dLbls>
          <c:showLegendKey val="0"/>
          <c:showVal val="0"/>
          <c:showCatName val="0"/>
          <c:showSerName val="0"/>
          <c:showPercent val="0"/>
          <c:showBubbleSize val="0"/>
        </c:dLbls>
        <c:axId val="1738533216"/>
        <c:axId val="1742930352"/>
      </c:scatterChart>
      <c:valAx>
        <c:axId val="1738533216"/>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742930352"/>
        <c:crosses val="autoZero"/>
        <c:crossBetween val="midCat"/>
      </c:valAx>
      <c:valAx>
        <c:axId val="1742930352"/>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7385332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9AF9-4547-81E7-B87B1CB7BB41}"/>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9AF9-4547-81E7-B87B1CB7BB41}"/>
            </c:ext>
          </c:extLst>
        </c:ser>
        <c:dLbls>
          <c:showLegendKey val="0"/>
          <c:showVal val="0"/>
          <c:showCatName val="0"/>
          <c:showSerName val="0"/>
          <c:showPercent val="0"/>
          <c:showBubbleSize val="0"/>
        </c:dLbls>
        <c:axId val="1201145824"/>
        <c:axId val="1742937552"/>
      </c:scatterChart>
      <c:valAx>
        <c:axId val="1201145824"/>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742937552"/>
        <c:crosses val="autoZero"/>
        <c:crossBetween val="midCat"/>
      </c:valAx>
      <c:valAx>
        <c:axId val="1742937552"/>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2011458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DCE5-4AB7-BA35-B3BA6C2597E6}"/>
            </c:ext>
          </c:extLst>
        </c:ser>
        <c:dLbls>
          <c:showLegendKey val="0"/>
          <c:showVal val="0"/>
          <c:showCatName val="0"/>
          <c:showSerName val="0"/>
          <c:showPercent val="0"/>
          <c:showBubbleSize val="0"/>
        </c:dLbls>
        <c:axId val="1201145824"/>
        <c:axId val="1742943312"/>
      </c:scatterChart>
      <c:valAx>
        <c:axId val="1201145824"/>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742943312"/>
        <c:crosses val="autoZero"/>
        <c:crossBetween val="midCat"/>
      </c:valAx>
      <c:valAx>
        <c:axId val="1742943312"/>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2011458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4191-4F71-87EF-DBAD1018798B}"/>
            </c:ext>
          </c:extLst>
        </c:ser>
        <c:dLbls>
          <c:showLegendKey val="0"/>
          <c:showVal val="0"/>
          <c:showCatName val="0"/>
          <c:showSerName val="0"/>
          <c:showPercent val="0"/>
          <c:showBubbleSize val="0"/>
        </c:dLbls>
        <c:gapWidth val="150"/>
        <c:axId val="1627382768"/>
        <c:axId val="1742894352"/>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4191-4F71-87EF-DBAD1018798B}"/>
            </c:ext>
          </c:extLst>
        </c:ser>
        <c:dLbls>
          <c:showLegendKey val="0"/>
          <c:showVal val="0"/>
          <c:showCatName val="0"/>
          <c:showSerName val="0"/>
          <c:showPercent val="0"/>
          <c:showBubbleSize val="0"/>
        </c:dLbls>
        <c:marker val="1"/>
        <c:smooth val="0"/>
        <c:axId val="1627382768"/>
        <c:axId val="1742894352"/>
      </c:lineChart>
      <c:catAx>
        <c:axId val="1627382768"/>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742894352"/>
        <c:crosses val="autoZero"/>
        <c:auto val="1"/>
        <c:lblAlgn val="ctr"/>
        <c:lblOffset val="100"/>
        <c:noMultiLvlLbl val="0"/>
      </c:catAx>
      <c:valAx>
        <c:axId val="1742894352"/>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62738276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9EAE-45A0-A260-87B06E950B05}"/>
            </c:ext>
          </c:extLst>
        </c:ser>
        <c:dLbls>
          <c:showLegendKey val="0"/>
          <c:showVal val="0"/>
          <c:showCatName val="0"/>
          <c:showSerName val="0"/>
          <c:showPercent val="0"/>
          <c:showBubbleSize val="0"/>
        </c:dLbls>
        <c:axId val="1201353712"/>
        <c:axId val="1742890032"/>
      </c:scatterChart>
      <c:valAx>
        <c:axId val="1201353712"/>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742890032"/>
        <c:crosses val="autoZero"/>
        <c:crossBetween val="midCat"/>
      </c:valAx>
      <c:valAx>
        <c:axId val="1742890032"/>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2013537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41F3-4534-AB0F-1FC017546B0A}"/>
            </c:ext>
          </c:extLst>
        </c:ser>
        <c:dLbls>
          <c:showLegendKey val="0"/>
          <c:showVal val="0"/>
          <c:showCatName val="0"/>
          <c:showSerName val="0"/>
          <c:showPercent val="0"/>
          <c:showBubbleSize val="0"/>
        </c:dLbls>
        <c:gapWidth val="150"/>
        <c:axId val="1201359744"/>
        <c:axId val="1742888592"/>
      </c:barChart>
      <c:catAx>
        <c:axId val="1201359744"/>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742888592"/>
        <c:crosses val="autoZero"/>
        <c:auto val="1"/>
        <c:lblAlgn val="ctr"/>
        <c:lblOffset val="100"/>
        <c:noMultiLvlLbl val="0"/>
      </c:catAx>
      <c:valAx>
        <c:axId val="1742888592"/>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2013597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7565CC92-EF5C-0FED-28BA-4680CB7075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2BE7DF49-270B-9DBE-0D8F-00D5A4684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D08808C9-D38C-03E0-0064-54802DAD3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3C5A5DE7-C0FD-9854-4DF3-57C6A77F38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E2F9D1F8-C5BA-596E-2070-C91C7C19F9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FE38D9A1-49B9-16B1-28BB-6250A6444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2826CCEC-702B-8645-B9B7-72D767B43B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13F4696-D892-462A-8484-8BE5DAE3FB46}" name="MileageData" displayName="MileageData" ref="A1:L407" totalsRowShown="0">
  <autoFilter ref="A1:L407" xr:uid="{E13F4696-D892-462A-8484-8BE5DAE3FB46}"/>
  <tableColumns count="12">
    <tableColumn id="1" xr3:uid="{3CF1CD43-D76E-41B3-8B0D-DC7753BFB6FF}" name="MPG"/>
    <tableColumn id="2" xr3:uid="{CB03438E-3DF8-4B6B-84F7-C1F420D4B967}" name="Cylinders"/>
    <tableColumn id="3" xr3:uid="{ED21C1B7-E5DC-4A0E-B4B3-44846BF999C0}" name="Displacement"/>
    <tableColumn id="4" xr3:uid="{FFD1D3D0-1C40-4803-8030-C2F8934F61B4}" name="Horsepower"/>
    <tableColumn id="5" xr3:uid="{AB8651E3-AA2A-4F83-A299-45FF994CDC76}" name="Weight"/>
    <tableColumn id="6" xr3:uid="{67C6B7EC-53E8-4919-BF19-705BC1845EFF}" name="Acceleration"/>
    <tableColumn id="7" xr3:uid="{B0C015C9-FC80-475E-BBEC-DEE4E28CE0A1}" name="Model Year"/>
    <tableColumn id="8" xr3:uid="{A78EC93F-3C9D-4971-B58A-317F67593FFA}" name="Origin"/>
    <tableColumn id="9" xr3:uid="{2DA8C83F-9819-439F-9BC9-F615DF409C2B}" name="Car Name"/>
    <tableColumn id="10" xr3:uid="{BE796155-AF36-4034-9694-73C8A0C17A8C}" name="Make"/>
    <tableColumn id="11" xr3:uid="{766DDE15-7A15-4102-8350-D2714938480A}" name="Model?"/>
    <tableColumn id="12" xr3:uid="{BF2EC2FD-CD60-4045-A62D-F2966BEC56F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231283-8E6A-4F04-B8F0-0A0F71D41D29}" name="LifeExpectancyData" displayName="LifeExpectancyData" ref="A1:W2939" totalsRowShown="0">
  <autoFilter ref="A1:W2939" xr:uid="{B5231283-8E6A-4F04-B8F0-0A0F71D41D29}"/>
  <tableColumns count="23">
    <tableColumn id="1" xr3:uid="{2C9F43E9-E57B-4D4B-A1D4-C38F72D39E4D}" name="Country"/>
    <tableColumn id="2" xr3:uid="{6A829136-F545-49DD-AC04-D7E13B91BF1D}" name="Year"/>
    <tableColumn id="3" xr3:uid="{AC0D6F73-F37F-469F-9B6F-DD87AC2DFE81}" name="Status"/>
    <tableColumn id="4" xr3:uid="{C7211469-9032-4E57-9D28-45966C3011B0}" name="Life expectancy"/>
    <tableColumn id="5" xr3:uid="{0B4B2FA6-5C78-475E-A9D0-02DBD218B829}" name="Adult Mortality"/>
    <tableColumn id="6" xr3:uid="{8084727F-4E2A-4C64-8BE5-A3BE384B01EF}" name="infant deaths"/>
    <tableColumn id="7" xr3:uid="{D7047442-9A52-4D85-A369-FB4AC204B26A}" name="Alcohol"/>
    <tableColumn id="8" xr3:uid="{2891280C-ACC6-4697-AB90-2A1D30AF850A}" name="percentage expenditure"/>
    <tableColumn id="9" xr3:uid="{FCA0D329-9CCE-4B7D-B505-62804F60F184}" name="Hepatitis B"/>
    <tableColumn id="10" xr3:uid="{BF7DB2B9-A97A-4506-B442-F9E99A8C0EB4}" name="Measles"/>
    <tableColumn id="11" xr3:uid="{7D5E7EBF-DB5F-4C9B-AE55-DFDA175A444C}" name="BMI"/>
    <tableColumn id="12" xr3:uid="{B028ACBC-9417-4ADB-A004-11103130DB88}" name="under-five deaths"/>
    <tableColumn id="13" xr3:uid="{E842837F-7462-4C00-9BAE-A1D627244A4F}" name="Polio"/>
    <tableColumn id="14" xr3:uid="{814FD1D5-C2AC-44E8-93A5-6A32CF536037}" name="Total expenditure"/>
    <tableColumn id="15" xr3:uid="{8E171BE8-76B8-480D-B8FE-F0E25966E2F3}" name="Diphtheria"/>
    <tableColumn id="16" xr3:uid="{83E20513-C8B6-469D-BF46-5AB72D66CFCB}" name="HIV/AIDS"/>
    <tableColumn id="17" xr3:uid="{02CA9ECA-7599-4531-A28D-07EE3E38D552}" name="GDP"/>
    <tableColumn id="18" xr3:uid="{A2435C96-9641-48E1-94F2-7E9529F11A88}" name="Population"/>
    <tableColumn id="19" xr3:uid="{28906A02-8229-4648-9D88-0AF407AEBB78}" name="thinness 1-19 years"/>
    <tableColumn id="20" xr3:uid="{1683BD4D-EEC9-4F3E-9D67-E9DE22F255D4}" name="thinness 5-9 years"/>
    <tableColumn id="21" xr3:uid="{9014546A-506A-4BA4-B0F0-AC68202E28D6}" name="Income composition of resources"/>
    <tableColumn id="22" xr3:uid="{F99A66E4-1141-45B2-8211-8725EF878355}" name="Schooling"/>
    <tableColumn id="23" xr3:uid="{5FC7F86E-9269-4526-879A-329105E17A3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C5E40C9-6943-4949-8881-9793766648F2}" name="ProductionLotsData" displayName="ProductionLotsData" ref="A1:K52" totalsRowShown="0">
  <autoFilter ref="A1:K52" xr:uid="{BC5E40C9-6943-4949-8881-9793766648F2}"/>
  <tableColumns count="11">
    <tableColumn id="1" xr3:uid="{1B5FA150-10E1-4148-8AA8-A32A92E855A6}" name="Lot_ID"/>
    <tableColumn id="2" xr3:uid="{0F3F1C03-682C-47BB-979D-1157FABA2BE8}" name="Facility"/>
    <tableColumn id="3" xr3:uid="{C7EB2B4D-12C1-4A1F-8661-8870372EC5FC}" name="Fiscal_Year"/>
    <tableColumn id="4" xr3:uid="{A63822BE-A578-4233-A565-16D8D63B3363}" name="Lot_Quantity"/>
    <tableColumn id="5" xr3:uid="{B030BC8E-9104-4DDD-85B4-0F341AF7AD73}" name="Cumulative_Units"/>
    <tableColumn id="6" xr3:uid="{EAA154DC-7BE4-4DF5-AD6D-7FA843EBE33B}" name="Experience_Stock"/>
    <tableColumn id="7" xr3:uid="{B5FC8298-98BA-41CA-B479-0CFACA015582}" name="Unit_Cost_BY"/>
    <tableColumn id="8" xr3:uid="{E4EE37DF-DCF5-460C-B10F-A07F19E56BC6}" name="log Cum Units"/>
    <tableColumn id="9" xr3:uid="{20C17665-C8E3-45CE-B99C-B975B0D3C835}" name="log experience"/>
    <tableColumn id="10" xr3:uid="{E6230B8A-3071-4D4C-8FE5-B19171480D4C}" name="log Unit Cost"/>
    <tableColumn id="11" xr3:uid="{51103ABA-D161-4471-BF08-3315EA6F7360}"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BBBB1C6-5523-4428-AB42-68F3D82F8E0E}" name="SpecTable" displayName="SpecTable" ref="B3:O15" totalsRowShown="0" headerRowDxfId="60">
  <autoFilter ref="B3:O15" xr:uid="{4BBBB1C6-5523-4428-AB42-68F3D82F8E0E}"/>
  <tableColumns count="14">
    <tableColumn id="1" xr3:uid="{80571216-8144-4804-AC2E-BBA9DB527F6D}" name="Role"/>
    <tableColumn id="2" xr3:uid="{9A38C3B2-9936-4942-AB51-181A07BC0BFE}" name="Include"/>
    <tableColumn id="3" xr3:uid="{28F244A4-30FA-4C99-8B1B-1BE674C91E1C}" name="Type"/>
    <tableColumn id="4" xr3:uid="{D34A8D1C-6124-4A84-A5AE-67E84677E033}" name="Reference Level"/>
    <tableColumn id="5" xr3:uid="{2960D7D5-F0FB-4B14-85A8-6BCBDB0299CA}" name="Order"/>
    <tableColumn id="6" xr3:uid="{C6F6EE9C-CED1-461D-88B4-F5562C9D5E72}" name="Transform"/>
    <tableColumn id="7" xr3:uid="{AFD26970-0A47-4038-9DE2-992A5657FA52}" name="Sequence"/>
    <tableColumn id="8" xr3:uid="{284B4772-0856-47A6-B91F-4DFAB9709DFE}" name="Sequence Period"/>
    <tableColumn id="9" xr3:uid="{036A67B6-3431-4837-88EC-EE4EE8DDAFA6}" name="Period In Use" dataDxfId="59">
      <calculatedColumnFormula>IF(SpecTable[[#This Row],[Sequence]]&lt;&gt;TRUE,"",IF(N(SpecTable[[#This Row],[Sequence Period]])&lt;&gt;0,SpecTable[[#This Row],[Sequence Period]],IFERROR(Base_Period_Delta_Candidate(),"")))</calculatedColumnFormula>
    </tableColumn>
    <tableColumn id="10" xr3:uid="{10A9A445-C0A4-4F35-B711-DB56869DF70C}"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20993EDE-E3AA-4396-AC26-72060BFAB9E3}"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EF199BD2-65F0-426A-8082-511BD26231F7}" name="Interaction Term"/>
    <tableColumn id="13" xr3:uid="{5D53B977-8420-414F-8702-9CDF9BF0D9A4}" name="Interaction Operation"/>
    <tableColumn id="14" xr3:uid="{05DCE491-845E-4AB4-8105-105624AD3610}"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CDACA2-A175-4C89-B073-6BC2948633BC}" name="LAMBDAFunctionsCatalog" displayName="LAMBDAFunctionsCatalog" ref="A1:G140" totalsRowShown="0" headerRowDxfId="55" dataDxfId="54">
  <autoFilter ref="A1:G140" xr:uid="{83CDACA2-A175-4C89-B073-6BC2948633BC}"/>
  <tableColumns count="7">
    <tableColumn id="1" xr3:uid="{91BC4376-36B7-4BB7-B656-A7DD4971C82A}" name="Function Name" dataDxfId="53"/>
    <tableColumn id="2" xr3:uid="{19863D93-A1EC-42A9-A955-68BA0A51FE8E}" name="Scope" dataDxfId="52"/>
    <tableColumn id="3" xr3:uid="{1281532D-3FD0-476F-8850-6D6F613FEBF8}" name="Definition" dataDxfId="51"/>
    <tableColumn id="4" xr3:uid="{426A5E7E-DA3F-4BC6-9424-3E592A5D9E73}" name="Arguments" dataDxfId="50"/>
    <tableColumn id="5" xr3:uid="{964963DB-1497-4ECA-AAA6-289F03082B38}" name="Yields" dataDxfId="49"/>
    <tableColumn id="6" xr3:uid="{CDEC5123-0E15-4007-9614-9887404D5A9C}" name="Plain-Language Summary" dataDxfId="48"/>
    <tableColumn id="7" xr3:uid="{E1A4251B-4F4B-4620-9652-7BFC63E52D99}"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2"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1869</v>
      </c>
      <c r="B7" s="18">
        <v>46236</v>
      </c>
      <c r="C7" t="s">
        <v>812</v>
      </c>
      <c r="D7" s="2" t="s">
        <v>1870</v>
      </c>
    </row>
    <row r="8" spans="1:4" ht="150" x14ac:dyDescent="0.25">
      <c r="A8" t="s">
        <v>1871</v>
      </c>
      <c r="B8" s="18">
        <v>46236</v>
      </c>
      <c r="C8" t="s">
        <v>812</v>
      </c>
      <c r="D8" s="2" t="s">
        <v>1872</v>
      </c>
    </row>
    <row r="9" spans="1:4" ht="300" x14ac:dyDescent="0.25">
      <c r="A9" t="s">
        <v>1847</v>
      </c>
      <c r="B9" s="18">
        <v>46236</v>
      </c>
      <c r="C9" t="s">
        <v>815</v>
      </c>
      <c r="D9" s="2" t="s">
        <v>1855</v>
      </c>
    </row>
    <row r="10" spans="1:4" ht="225" x14ac:dyDescent="0.25">
      <c r="A10" t="s">
        <v>1873</v>
      </c>
      <c r="B10" s="18">
        <v>46237</v>
      </c>
      <c r="C10" t="s">
        <v>812</v>
      </c>
      <c r="D10" s="2" t="s">
        <v>1874</v>
      </c>
    </row>
    <row r="11" spans="1:4" ht="405" x14ac:dyDescent="0.25">
      <c r="A11" t="s">
        <v>1906</v>
      </c>
      <c r="B11" s="18">
        <v>46237</v>
      </c>
      <c r="C11" t="s">
        <v>812</v>
      </c>
      <c r="D11" s="2" t="s">
        <v>1938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7A9C-E564-442E-817A-3EE7247C28AB}">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1853</v>
      </c>
    </row>
    <row r="9" spans="1:1" ht="180" x14ac:dyDescent="0.25">
      <c r="A9" s="2" t="s">
        <v>1696</v>
      </c>
    </row>
    <row r="10" spans="1:1" ht="90" x14ac:dyDescent="0.25">
      <c r="A10" s="2" t="s">
        <v>805</v>
      </c>
    </row>
    <row r="11" spans="1:1" ht="360" x14ac:dyDescent="0.25">
      <c r="A11" s="2" t="s">
        <v>1905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0.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1851</v>
      </c>
      <c r="O1" s="3">
        <f>SUM(_xlfn.TAKE(Spec_Design_Columns,COLUMNS(Source_Data)))+N(Allow_Intercept)</f>
        <v>17</v>
      </c>
      <c r="P1" s="3" t="s">
        <v>878</v>
      </c>
      <c r="Q1" s="3" t="s">
        <v>879</v>
      </c>
      <c r="S1" s="4" t="s">
        <v>607</v>
      </c>
      <c r="AA1" s="4" t="s">
        <v>610</v>
      </c>
      <c r="AJ1" s="36" t="s">
        <v>634</v>
      </c>
      <c r="AK1" s="37"/>
      <c r="AL1" s="44"/>
      <c r="AN1" s="4" t="s">
        <v>643</v>
      </c>
      <c r="BR1" s="36" t="s">
        <v>1856</v>
      </c>
      <c r="BS1" s="45"/>
      <c r="BU1" s="4" t="s">
        <v>1845</v>
      </c>
      <c r="BW1" s="4" t="s">
        <v>1852</v>
      </c>
    </row>
    <row r="2" spans="1:91" ht="25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6" t="s">
        <v>1907</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1915</v>
      </c>
      <c r="AL2" s="35" t="s">
        <v>1916</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1917</v>
      </c>
      <c r="BA2" s="28" t="s">
        <v>1918</v>
      </c>
      <c r="BR2" s="8" t="s">
        <v>1857</v>
      </c>
      <c r="BS2" s="24" t="b">
        <f>Allow_Intercept</f>
        <v>1</v>
      </c>
      <c r="BU2" s="3" t="s">
        <v>1919</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876</v>
      </c>
      <c r="J3" s="34" t="s">
        <v>877</v>
      </c>
      <c r="K3" s="34" t="s">
        <v>780</v>
      </c>
      <c r="L3" s="34" t="s">
        <v>799</v>
      </c>
      <c r="M3" s="34" t="s">
        <v>1848</v>
      </c>
      <c r="N3" s="34" t="s">
        <v>1849</v>
      </c>
      <c r="O3" s="34" t="s">
        <v>1850</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1908</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1858</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1909</v>
      </c>
      <c r="AH4" s="33" t="s">
        <v>1937</v>
      </c>
      <c r="AJ4" s="8" t="s">
        <v>1609</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1859</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1910</v>
      </c>
      <c r="AH5" s="11" cm="1">
        <f t="array" ref="AH5">Smearing_Factor(Design_Columns(),Design_Response(),Sample_Include(),Fit_Context())</f>
        <v>1</v>
      </c>
      <c r="AJ5" s="8" t="s">
        <v>1610</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1860</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1911</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1861</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1912</v>
      </c>
      <c r="AH7" s="11" cm="1">
        <f t="array" ref="AH7">Unit_Space_Adjusted_R_Squared(Design_Columns(),Design_Response(),Response_Column(),Sample_Include(),Fit_Context(),$AH$4)</f>
        <v>0.84556143954924157</v>
      </c>
      <c r="AJ7" s="8" t="s">
        <v>1611</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1913</v>
      </c>
      <c r="AH8" s="11" cm="1">
        <f t="array" ref="AH8">Unit_Space_RMSE(Design_Columns(),Design_Response(),Response_Column(),Sample_Include(),Fit_Context(),$AH$4)</f>
        <v>3.0672642753818775</v>
      </c>
      <c r="AJ8" s="8" t="s">
        <v>1612</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1914</v>
      </c>
      <c r="AH9" s="25" t="str" cm="1">
        <f t="array" ref="AH9">IF(Context_Response_Transform(Fit_Context())="Log","Original units (back-transformed)","Same as fit space")</f>
        <v>Same as fit space</v>
      </c>
      <c r="AJ9" s="8" t="s">
        <v>1613</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1616</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9308E1F0-F2BB-4192-904F-CDA036CDAF81}">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3C0B3-7E05-4B45-A65D-641BB589EB5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0"/>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1862</v>
      </c>
      <c r="D115" s="2"/>
      <c r="E115" s="2" t="s">
        <v>1863</v>
      </c>
      <c r="F115" s="2" t="s">
        <v>1690</v>
      </c>
      <c r="G115" s="2" t="s">
        <v>1864</v>
      </c>
    </row>
    <row r="116" spans="1:7" ht="375" x14ac:dyDescent="0.25">
      <c r="A116" s="2" t="s">
        <v>794</v>
      </c>
      <c r="B116" s="2" t="s">
        <v>624</v>
      </c>
      <c r="C116" s="1" t="s">
        <v>1865</v>
      </c>
      <c r="D116" s="2"/>
      <c r="E116" s="2" t="s">
        <v>1866</v>
      </c>
      <c r="F116" s="2" t="s">
        <v>1691</v>
      </c>
      <c r="G116" s="2" t="s">
        <v>1765</v>
      </c>
    </row>
    <row r="117" spans="1:7" ht="409.5" x14ac:dyDescent="0.25">
      <c r="A117" s="2" t="s">
        <v>1692</v>
      </c>
      <c r="B117" s="2" t="s">
        <v>624</v>
      </c>
      <c r="C117" s="1" t="s">
        <v>1867</v>
      </c>
      <c r="D117" s="2"/>
      <c r="E117" s="2" t="s">
        <v>1868</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1846</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row r="133" spans="1:7" ht="315" x14ac:dyDescent="0.25">
      <c r="A133" s="2" t="s">
        <v>1875</v>
      </c>
      <c r="B133" s="2" t="s">
        <v>785</v>
      </c>
      <c r="C133" s="1" t="s">
        <v>1876</v>
      </c>
      <c r="D133" s="2" t="s">
        <v>1877</v>
      </c>
      <c r="E133" s="2" t="s">
        <v>1878</v>
      </c>
      <c r="F133" s="2" t="s">
        <v>1879</v>
      </c>
      <c r="G133" s="2" t="s">
        <v>1880</v>
      </c>
    </row>
    <row r="134" spans="1:7" ht="360" x14ac:dyDescent="0.25">
      <c r="A134" s="2" t="s">
        <v>1881</v>
      </c>
      <c r="B134" s="2" t="s">
        <v>785</v>
      </c>
      <c r="C134" s="1" t="s">
        <v>1882</v>
      </c>
      <c r="D134" s="2" t="s">
        <v>1883</v>
      </c>
      <c r="E134" s="2" t="s">
        <v>1884</v>
      </c>
      <c r="F134" s="2" t="s">
        <v>1885</v>
      </c>
      <c r="G134" s="2" t="s">
        <v>1886</v>
      </c>
    </row>
    <row r="135" spans="1:7" ht="409.5" x14ac:dyDescent="0.25">
      <c r="A135" s="2" t="s">
        <v>1887</v>
      </c>
      <c r="B135" s="2" t="s">
        <v>785</v>
      </c>
      <c r="C135" s="1" t="s">
        <v>1920</v>
      </c>
      <c r="D135" s="2" t="s">
        <v>1888</v>
      </c>
      <c r="E135" s="2" t="s">
        <v>1889</v>
      </c>
      <c r="F135" s="2" t="s">
        <v>1890</v>
      </c>
      <c r="G135" s="2" t="s">
        <v>1921</v>
      </c>
    </row>
    <row r="136" spans="1:7" ht="300" x14ac:dyDescent="0.25">
      <c r="A136" s="2" t="s">
        <v>1922</v>
      </c>
      <c r="B136" s="2" t="s">
        <v>785</v>
      </c>
      <c r="C136" s="1" t="s">
        <v>1923</v>
      </c>
      <c r="D136" s="2" t="s">
        <v>1924</v>
      </c>
      <c r="E136" s="2" t="s">
        <v>1925</v>
      </c>
      <c r="F136" s="2" t="s">
        <v>1926</v>
      </c>
      <c r="G136" s="2" t="s">
        <v>1927</v>
      </c>
    </row>
    <row r="137" spans="1:7" ht="375" x14ac:dyDescent="0.25">
      <c r="A137" s="2" t="s">
        <v>1891</v>
      </c>
      <c r="B137" s="2" t="s">
        <v>785</v>
      </c>
      <c r="C137" s="1" t="s">
        <v>1928</v>
      </c>
      <c r="D137" s="2" t="s">
        <v>1929</v>
      </c>
      <c r="E137" s="2" t="s">
        <v>1892</v>
      </c>
      <c r="F137" s="2" t="s">
        <v>1893</v>
      </c>
      <c r="G137" s="2" t="s">
        <v>1930</v>
      </c>
    </row>
    <row r="138" spans="1:7" ht="409.5" x14ac:dyDescent="0.25">
      <c r="A138" s="2" t="s">
        <v>1894</v>
      </c>
      <c r="B138" s="2" t="s">
        <v>785</v>
      </c>
      <c r="C138" s="1" t="s">
        <v>1931</v>
      </c>
      <c r="D138" s="2" t="s">
        <v>1932</v>
      </c>
      <c r="E138" s="2" t="s">
        <v>1895</v>
      </c>
      <c r="F138" s="2" t="s">
        <v>1896</v>
      </c>
      <c r="G138" s="2" t="s">
        <v>1933</v>
      </c>
    </row>
    <row r="139" spans="1:7" ht="375" x14ac:dyDescent="0.25">
      <c r="A139" s="2" t="s">
        <v>1897</v>
      </c>
      <c r="B139" s="2" t="s">
        <v>785</v>
      </c>
      <c r="C139" s="1" t="s">
        <v>1898</v>
      </c>
      <c r="D139" s="2" t="s">
        <v>1934</v>
      </c>
      <c r="E139" s="2" t="s">
        <v>1899</v>
      </c>
      <c r="F139" s="2" t="s">
        <v>1900</v>
      </c>
      <c r="G139" s="2" t="s">
        <v>1901</v>
      </c>
    </row>
    <row r="140" spans="1:7" ht="375" x14ac:dyDescent="0.25">
      <c r="A140" s="2" t="s">
        <v>1902</v>
      </c>
      <c r="B140" s="2" t="s">
        <v>785</v>
      </c>
      <c r="C140" s="1" t="s">
        <v>1935</v>
      </c>
      <c r="D140" s="2" t="s">
        <v>1929</v>
      </c>
      <c r="E140" s="2" t="s">
        <v>1903</v>
      </c>
      <c r="F140" s="2" t="s">
        <v>1904</v>
      </c>
      <c r="G140" s="2" t="s">
        <v>1936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2026-08-04T11:40:42Z</dcterms:modified>
</cp:coreProperties>
</file>