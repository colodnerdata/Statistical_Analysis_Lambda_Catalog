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CF92E03E-CB14-4F58-B46D-94891F3D5F79}" xr6:coauthVersionLast="47" xr6:coauthVersionMax="47" xr10:uidLastSave="{00000000-0000-0000-0000-000000000000}"/>
  <bookViews>
    <workbookView xWindow="-120" yWindow="-120" windowWidth="29040" windowHeight="15720" activeTab="5" xr2:uid="{BF09D3DE-494A-45DC-83B4-96E8ED1E31D5}"/>
  </bookViews>
  <sheets>
    <sheet name="LAMBDA_functions" sheetId="1" r:id="rId1"/>
    <sheet name="Life Expectancy Data" sheetId="2" r:id="rId2"/>
    <sheet name="Regression" sheetId="3" r:id="rId3"/>
    <sheet name="MLR_Scalar_Test" sheetId="4" r:id="rId4"/>
    <sheet name="MLR_Vector_Outputs_Test" sheetId="5" r:id="rId5"/>
    <sheet name="MLR_Observation_Test" sheetId="6" r:id="rId6"/>
  </sheets>
  <definedNames>
    <definedName name="All_Xs" localSheetId="2">LifeExpectancyData[[Adult Mortality]:[Schooling]]</definedName>
    <definedName name="Allow_Intercept" localSheetId="2">Regression!$B$2</definedName>
    <definedName name="alpha" localSheetId="2">Regression!$M$12</definedName>
    <definedName name="Coefficient_Name_Col" localSheetId="2">_xlfn.LAMBDA(_xlpm.All_Xs,_xlop.Filter,_xlfn.LET(_xlpm.n,COLUMNS(_xlpm.All_Xs),_xlpm.headers,TRANSPOSE(OFFSET(_xlpm.All_Xs,-1,0,1,_xlpm.n)),IF(_xlfn.ISOMITTED(_xlpm.Filter),_xlpm.headers,IFERROR(_xlfn._xlws.FILTER(_xlpm.headers,_xlfn.TAKE(_xlpm.Filter,_xlpm.n)),_xlfn.TAKE(_xlpm.headers,1)))))</definedName>
    <definedName name="fil" localSheetId="5">LifeExpectancyData[Full_Data]</definedName>
    <definedName name="fil" localSheetId="3">LifeExpectancyData[Full_Data]</definedName>
    <definedName name="fil" localSheetId="4">LifeExpectancyData[Full_Data]</definedName>
    <definedName name="fil" localSheetId="2">LifeExpectancyData[Full_Data]</definedName>
    <definedName name="Ind_Var_Filter" localSheetId="2">Regression!$B$3:$B$16000</definedName>
    <definedName name="pred_input" localSheetId="2">Regression!$U$12:INDEX(Regression!$U:$U,12+COLUMNS(Regression!x_s))</definedName>
    <definedName name="x_s" localSheetId="2">_xlfn.LET(_xlpm.n,COLUMNS(Regression!All_Xs),_xlpm.sel,IFERROR(_xlfn._xlws.FILTER(_xlfn.SEQUENCE(_xlpm.n),_xlfn.TAKE(Ind_Var_Filter,_xlpm.n)),1),_xlfn.CHOOSECOLS(Regression!All_Xs,_xlpm.sel))</definedName>
    <definedName name="y" localSheetId="5">LifeExpectancyData[Life expectancy]</definedName>
    <definedName name="y" localSheetId="3">LifeExpectancyData[Life expectancy]</definedName>
    <definedName name="y" localSheetId="4">LifeExpectancyData[Life expectancy]</definedName>
    <definedName name="y" localSheetId="2">LifeExpectancyData[Life expectancy]</definedName>
    <definedName name="Observations">_xlfn.LAMBDA(_xlpm.Y,_xlop.Filter,_xlfn.LET(_xlpm.filt_arg,IF(_xlfn.ISOMITTED(_xlpm.Filter),TRUE,_xlpm.Filter),ROWS(_xlfn._xlws.FILTER(_xlpm.Y,_xlpm.filt_arg))))</definedName>
    <definedName name="DF_Regression">_xlfn.LAMBDA(_xlpm.X_s,COLUMNS(_xlpm.X_s))</definedName>
    <definedName name="DF_Total">_xlfn.LAMBDA(_xlpm.Y,_xlop.Allow_Intercept,_xlop.Filter,_xlfn.LET(_xlpm.allow_arg,IF(_xlfn.ISOMITTED(_xlpm.Allow_Intercept),TRUE,_xlpm.Allow_Intercept),_xlpm.filt_arg,IF(_xlfn.ISOMITTED(_xlpm.Filter),TRUE,_xlpm.Filter),_xlpm.n,Observations(_xlpm.Y,_xlpm.filt_arg),IF(_xlpm.allow_arg,_xlpm.n-1,_xlpm.n)))</definedName>
    <definedName name="R_squared">_xlfn.LAMBDA(_xlpm.X_s,_xlpm.Y,_xlop.Allow_Intercept,_xlop.Filter,_xlfn.LET(_xlpm.allow_arg,IF(_xlfn.ISOMITTED(_xlpm.Allow_Intercept),TRUE,_xlpm.Allow_Intercept),_xlpm.filt_arg,IF(_xlfn.ISOMITTED(_xlpm.Filter),TRUE,_xlpm.Filter),INDEX(LINEST(_xlfn._xlws.FILTER(_xlpm.Y,_xlpm.filt_arg),_xlfn._xlws.FILTER(_xlpm.X_s,_xlpm.filt_arg),_xlpm.allow_arg,TRUE),3,1)))</definedName>
    <definedName name="DF_Residual">_xlfn.LAMBDA(_xlpm.X_s,_xlpm.Y,_xlop.Allow_Intercept,_xlop.Filter,_xlfn.LET(_xlpm.allow_arg,IF(_xlfn.ISOMITTED(_xlpm.Allow_Intercept),TRUE,_xlpm.Allow_Intercept),_xlpm.filt_arg,IF(_xlfn.ISOMITTED(_xlpm.Filter),TRUE,_xlpm.Filter),DF_Total(_xlpm.Y,_xlpm.allow_arg,_xlpm.filt_arg)-DF_Regression(_xlpm.X_s)))</definedName>
    <definedName name="Multiple_R">_xlfn.LAMBDA(_xlpm.X_s,_xlpm.Y,_xlop.Allow_Intercept,_xlop.Filter,_xlfn.LET(_xlpm.allow_arg,IF(_xlfn.ISOMITTED(_xlpm.Allow_Intercept),TRUE,_xlpm.Allow_Intercept),_xlpm.filt_arg,IF(_xlfn.ISOMITTED(_xlpm.Filter),TRUE,_xlpm.Filter),SQRT(R_squared(_xlpm.X_s,_xlpm.Y,_xlpm.allow_arg,_xlpm.filt_arg))))</definedName>
    <definedName name="Adjusted_R2">_xlfn.LAMBDA(_xlpm.X_s,_xlpm.Y,_xlop.Allow_Intercept,_xlop.Filter,_xlfn.LET(_xlpm.allow_arg,IF(_xlfn.ISOMITTED(_xlpm.Allow_Intercept),TRUE,_xlpm.Allow_Intercept),_xlpm.filt_arg,IF(_xlfn.ISOMITTED(_xlpm.Filter),TRUE,_xlpm.Filter),1-(1-R_squared(_xlpm.X_s,_xlpm.Y,_xlpm.allow_arg,_xlpm.filt_arg))*DF_Total(_xlpm.Y,_xlpm.allow_arg,_xlpm.filt_arg)/DF_Residual(_xlpm.X_s,_xlpm.Y,_xlpm.allow_arg,_xlpm.filt_arg)))</definedName>
    <definedName name="SS_Total">_xlfn.LAMBDA(_xlpm.Y,_xlop.Allow_Intercept,_xlop.Filter,_xlfn.LET(_xlpm.allow_arg,IF(_xlfn.ISOMITTED(_xlpm.Allow_Intercept),TRUE,_xlpm.Allow_Intercept),_xlpm.filt_arg,IF(_xlfn.ISOMITTED(_xlpm.Filter),TRUE,_xlpm.Filter),_xlpm.y_filt,_xlfn._xlws.FILTER(_xlpm.Y,_xlpm.filt_arg),IF(_xlpm.allow_arg,DEVSQ(_xlpm.y_filt),SUMSQ(_xlpm.y_filt))))</definedName>
    <definedName name="SS_Residual">_xlfn.LAMBDA(_xlpm.X_s,_xlpm.Y,_xlop.Allow_Intercept,_xlop.Filter,_xlfn.LET(_xlpm.allow_arg,IF(_xlfn.ISOMITTED(_xlpm.Allow_Intercept),TRUE,_xlpm.Allow_Intercept),_xlpm.filt_arg,IF(_xlfn.ISOMITTED(_xlpm.Filter),TRUE,_xlpm.Filter),SS_Total(_xlpm.Y,_xlpm.allow_arg,_xlpm.filt_arg)*(1-R_squared(_xlpm.X_s,_xlpm.Y,_xlpm.allow_arg,_xlpm.filt_arg))))</definedName>
    <definedName name="SS_Regression">_xlfn.LAMBDA(_xlpm.X_s,_xlpm.Y,_xlop.Allow_Intercept,_xlop.Filter,_xlfn.LET(_xlpm.allow_arg,IF(_xlfn.ISOMITTED(_xlpm.Allow_Intercept),TRUE,_xlpm.Allow_Intercept),_xlpm.filt_arg,IF(_xlfn.ISOMITTED(_xlpm.Filter),TRUE,_xlpm.Filter),SS_Total(_xlpm.Y,_xlpm.allow_arg,_xlpm.filt_arg)*R_squared(_xlpm.X_s,_xlpm.Y,_xlpm.allow_arg,_xlpm.filt_arg)))</definedName>
    <definedName name="MS_Regression">_xlfn.LAMBDA(_xlpm.X_s,_xlpm.Y,_xlop.Allow_Intercept,_xlop.Filter,_xlfn.LET(_xlpm.allow_arg,IF(_xlfn.ISOMITTED(_xlpm.Allow_Intercept),TRUE,_xlpm.Allow_Intercept),_xlpm.filt_arg,IF(_xlfn.ISOMITTED(_xlpm.Filter),TRUE,_xlpm.Filter),SS_Regression(_xlpm.X_s,_xlpm.Y,_xlpm.allow_arg,_xlpm.filt_arg)/DF_Regression(_xlpm.X_s)))</definedName>
    <definedName name="MS_Residual">_xlfn.LAMBDA(_xlpm.X_s,_xlpm.Y,_xlop.Allow_Intercept,_xlop.Filter,_xlfn.LET(_xlpm.allow_arg,IF(_xlfn.ISOMITTED(_xlpm.Allow_Intercept),TRUE,_xlpm.Allow_Intercept),_xlpm.filt_arg,IF(_xlfn.ISOMITTED(_xlpm.Filter),TRUE,_xlpm.Filter),SS_Residual(_xlpm.X_s,_xlpm.Y,_xlpm.allow_arg,_xlpm.filt_arg)/DF_Residual(_xlpm.X_s,_xlpm.Y,_xlpm.allow_arg,_xlpm.filt_arg)))</definedName>
    <definedName name="SE_Regression">_xlfn.LAMBDA(_xlpm.X_s,_xlpm.Y,_xlop.Allow_Intercept,_xlop.Filter,_xlfn.LET(_xlpm.allow_arg,IF(_xlfn.ISOMITTED(_xlpm.Allow_Intercept),TRUE,_xlpm.Allow_Intercept),_xlpm.filt_arg,IF(_xlfn.ISOMITTED(_xlpm.Filter),TRUE,_xlpm.Filter),SQRT(SS_Residual(_xlpm.X_s,_xlpm.Y,_xlpm.allow_arg,_xlpm.filt_arg)/DF_Residual(_xlpm.X_s,_xlpm.Y,_xlpm.allow_arg,_xlpm.filt_arg))))</definedName>
    <definedName name="PRESS">_xlfn.LAMBDA(_xlpm.X_s,_xlpm.Y,_xlop.Allow_Intercept,_xlop.Filter,_xlfn.LET(_xlpm.allow_arg,IF(_xlfn.ISOMITTED(_xlpm.Allow_Intercept),TRUE,_xlpm.Allow_Intercept),_xlpm.filt_arg,IF(_xlfn.ISOMITTED(_xlpm.Filter),TRUE,_xlpm.Filter),_xlpm.e,Residuals(_xlpm.X_s,_xlpm.Y,_xlpm.allow_arg,_xlpm.filt_arg),_xlpm.h,Hat_diagonal(_xlpm.X_s,_xlpm.allow_arg,_xlpm.filt_arg),SUMSQ(_xlpm.e/(1-_xlpm.h))))</definedName>
    <definedName name="A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+2*_xlpm.p))</definedName>
    <definedName name="B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_xlpm.p*LN(_xlpm.n)))</definedName>
    <definedName name="AIC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aic,_xlpm.n*LN(_xlpm.ssr/_xlpm.n)+2*_xlpm.p,_xlpm.aic+2*_xlpm.p*(_xlpm.p+1)/(_xlpm.n-_xlpm.p-1)))</definedName>
    <definedName name="Durbin_Watson">_xlfn.LAMBDA(_xlpm.X_s,_xlpm.Y,_xlop.Allow_Intercept,_xlop.Filter,_xlfn.LET(_xlpm.allow_arg,IF(_xlfn.ISOMITTED(_xlpm.Allow_Intercept),TRUE,_xlpm.Allow_Intercept),_xlpm.filt_arg,IF(_xlfn.ISOMITTED(_xlpm.Filter),TRUE,_xlpm.Filter),_xlpm.e,Residuals(_xlpm.X_s,_xlpm.Y,_xlpm.allow_arg,_xlpm.filt_arg),SUM((_xlfn.DROP(_xlpm.e,1)-_xlfn.DROP(_xlpm.e,-1))^2)/SUM(_xlpm.e^2)))</definedName>
    <definedName name="QQ_Correlation">_xlfn.LAMBDA(_xlpm.X_s,_xlpm.Y,_xlop.Allow_Intercept,_xlop.Filter,_xlfn.LET(_xlpm.allow_arg,IF(_xlfn.ISOMITTED(_xlpm.Allow_Intercept),TRUE,_xlpm.Allow_Intercept),_xlpm.filt_arg,IF(_xlfn.ISOMITTED(_xlpm.Filter),TRUE,_xlpm.Filter),_xlpm.sr,Scaled_Residuals_Ranked(_xlpm.X_s,_xlpm.Y,_xlpm.allow_arg,_xlpm.filt_arg),_xlpm.n,ROWS(_xlpm.sr),_xlpm.ns,_xlfn.NORM.S.INV((_xlfn.SEQUENCE(_xlpm.n)-0.5)/_xlpm.n),CORREL(_xlpm.sr,_xlpm.ns)))</definedName>
    <definedName name="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SE_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T_Stats">_xlfn.LAMBDA(_xlpm.X_s,_xlpm.Y,_xlop.Allow_Intercept,_xlop.Filter,_xlfn.LET(_xlpm.allow_arg,IF(_xlfn.ISOMITTED(_xlpm.Allow_Intercept),TRUE,_xlpm.Allow_Intercept),_xlpm.filt_arg,IF(_xlfn.ISOMITTED(_xlpm.Filter),TRUE,_xlpm.Filter),Coefficients(_xlpm.X_s,_xlpm.Y,_xlpm.allow_arg,_xlpm.filt_arg)/SE_Coefficients(_xlpm.X_s,_xlpm.Y,_xlpm.allow_arg,_xlpm.filt_arg)))</definedName>
    <definedName name="P_Values">_xlfn.LAMBDA(_xlpm.X_s,_xlpm.Y,_xlop.Allow_Intercept,_xlop.Filter,_xlfn.LET(_xlpm.allow_arg,IF(_xlfn.ISOMITTED(_xlpm.Allow_Intercept),TRUE,_xlpm.Allow_Intercept),_xlpm.filt_arg,IF(_xlfn.ISOMITTED(_xlpm.Filter),TRUE,_xlpm.Filter),_xlfn.T.DIST.2T(ABS(T_Stats(_xlpm.X_s,_xlpm.Y,_xlpm.allow_arg,_xlpm.filt_arg)),DF_Residual(_xlpm.X_s,_xlpm.Y,_xlpm.allow_arg,_xlpm.filt_arg))))</definedName>
    <definedName name="CI_Low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Partial_R2">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2/(_xlpm.t^2+_xlpm.df)))</definedName>
    <definedName name="Partial_Correlation">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SQRT(_xlpm.t^2+_xlpm.df)))</definedName>
    <definedName name="VIF">_xlfn.LAMBDA(_xlpm.X_s,_xlop.Allow_Intercept,_xlop.Filter,_xlfn.LET(_xlpm.filt_arg,IF(_xlfn.ISOMITTED(_xlpm.Filter),TRUE,_xlpm.Filter),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Tolerance">_xlfn.LAMBDA(_xlpm.X_s,_xlop.Allow_Intercept,_xlop.Filter,1/VIF(_xlpm.X_s,_xlpm.Allow_Intercept,_xlpm.Filter))</definedName>
    <definedName name="Prediction_Interval">_xlfn.LAMBDA(_xlpm.X_s,_xlpm.Y,_xlpm.X_new,_xlop.Allow_Intercept,_xlop.Filter,_xlop.alpha,_xlfn.LET(_xlpm.allow_arg,IF(_xlfn.ISOMITTED(_xlpm.Allow_Intercept),TRUE,_xlpm.Allow_Intercept),_xlpm.filt_arg,IF(_xlfn.ISOMITTED(_xlpm.Filter),TRUE,_xlpm.Filter),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Observation_Num">_xlfn.LAMBDA(_xlpm.Y,_xlop.Filter,_xlfn.SEQUENCE(ROWS(_xlfn._xlws.FILTER(_xlpm.Y,IF(_xlfn.ISOMITTED(_xlpm.Filter),TRUE,_xlpm.Filter)))))</definedName>
    <definedName name="Rank_Fraction">_xlfn.LAMBDA(_xlpm.Y,_xlop.Filter,_xlfn.LET(_xlpm.filtered,_xlfn._xlws.FILTER(_xlpm.Y,IF(_xlfn.ISOMITTED(_xlpm.Filter),TRUE,_xlpm.Filter)),_xlpm.n,ROWS(_xlpm.filtered),_xlfn.BYROW(_xlpm.filtered,_xlfn.LAMBDA(_xlpm.v,SUMPRODUCT((_xlpm.filtered&lt;=_xlpm.v)*1)))/_xlpm.n))</definedName>
    <definedName name="Y_Ranked">_xlfn.LAMBDA(_xlpm.Y,_xlop.Filter,_xlfn._xlws.SORT(_xlfn._xlws.FILTER(_xlpm.Y,IF(_xlfn.ISOMITTED(_xlpm.Filter),TRUE,_xlpm.Filter))))</definedName>
    <definedName name="Dependent_Var">_xlfn.LAMBDA(_xlpm.Y,_xlop.Filter,IF(_xlfn.ISOMITTED(_xlpm.Filter),_xlpm.Y,_xlfn._xlws.FILTER(_xlpm.Y,_xlpm.Filter)))</definedName>
    <definedName name="Normal_Scores">_xlfn.LAMBDA(_xlpm.Y,_xlop.Filter,_xlfn.LET(_xlpm.filtered,_xlfn._xlws.FILTER(_xlpm.Y,IF(_xlfn.ISOMITTED(_xlpm.Filter),TRUE,_xlpm.Filter)),_xlpm.n,ROWS(_xlpm.filtered),_xlfn.NORM.S.INV((_xlfn.BYROW(_xlpm.filtered,_xlfn.LAMBDA(_xlpm.v,SUMPRODUCT((_xlpm.filtered&lt;_xlpm.v)*1)))+0.5)/_xlpm.n)))</definedName>
    <definedName name="Design_Matrix">_xlfn.LAMBDA(_xlpm.X_s,_xlop.Allow_Intercept,_xlop.Filter,_xlfn.LET(_xlpm.allow_arg,IF(_xlfn.ISOMITTED(_xlpm.Allow_Intercept),TRUE,_xlpm.Allow_Intercept),_xlpm.filt_arg,IF(_xlfn.ISOMITTED(_xlpm.Filter),TRUE,_xlpm.Filter),_xlpm.x_filt,_xlfn._xlws.FILTER(_xlpm.X_s,_xlpm.filt_arg),IF(_xlpm.allow_arg,_xlfn.HSTACK(_xlfn.SEQUENCE(ROWS(_xlpm.x_filt),,1,0),_xlpm.x_filt),_xlpm.x_filt)))</definedName>
    <definedName name="Gram_Inverse">_xlfn.LAMBDA(_xlpm.X,MINVERSE(MMULT(TRANSPOSE(_xlpm.X),_xlpm.X)))</definedName>
    <definedName name="Predictions">_xlfn.LAMBDA(_xlpm.X_s,_xlpm.Y,_xlop.Allow_Intercept,_xlop.Filter,_xlfn.LET(_xlpm.allow_arg,IF(_xlfn.ISOMITTED(_xlpm.Allow_Intercept),TRUE,_xlpm.Allow_Intercept),_xlpm.filt_arg,IF(_xlfn.ISOMITTED(_xlpm.Filter),TRUE,_xlpm.Filter),MMULT(Design_Matrix(_xlpm.X_s,_xlpm.allow_arg,_xlpm.filt_arg),Coefficients(_xlpm.X_s,_xlpm.Y,_xlpm.allow_arg,_xlpm.filt_arg))))</definedName>
    <definedName name="Residuals">_xlfn.LAMBDA(_xlpm.X_s,_xlpm.Y,_xlop.Allow_Intercept,_xlop.Filter,_xlfn.LET(_xlpm.allow_arg,IF(_xlfn.ISOMITTED(_xlpm.Allow_Intercept),TRUE,_xlpm.Allow_Intercept),_xlpm.filt_arg,IF(_xlfn.ISOMITTED(_xlpm.Filter),TRUE,_xlpm.Filter),_xlfn._xlws.FILTER(_xlpm.Y,_xlpm.filt_arg)-Predictions(_xlpm.X_s,_xlpm.Y,_xlpm.allow_arg,_xlpm.filt_arg)))</definedName>
    <definedName name="Scaled_Residuals">_xlfn.LAMBDA(_xlpm.X_s,_xlpm.Y,_xlop.Allow_Intercept,_xlop.Filter,_xlfn.LET(_xlpm.allow_arg,IF(_xlfn.ISOMITTED(_xlpm.Allow_Intercept),TRUE,_xlpm.Allow_Intercept),_xlpm.filt_arg,IF(_xlfn.ISOMITTED(_xlpm.Filter),TRUE,_xlpm.Filter),Residuals(_xlpm.X_s,_xlpm.Y,_xlpm.allow_arg,_xlpm.filt_arg)/SE_Regression(_xlpm.X_s,_xlpm.Y,_xlpm.allow_arg,_xlpm.filt_arg)))</definedName>
    <definedName name="This_row">_xlfn.LAMBDA(_xlpm.array,_xlfn.SEQUENCE(ROWS(_xlpm.array)))</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LOO_prediction">_xlfn.LAMBDA(_xlpm.X_s,_xlpm.Y,_xlpm.n,_xlop.Allow_Intercept,_xlop.Filter,_xlfn.LET(_xlpm.allow_arg,IF(_xlfn.ISOMITTED(_xlpm.Allow_Intercept),TRUE,_xlpm.Allow_Intercept),_xlpm.filt_arg,IF(_xlfn.ISOMITTED(_xlpm.Filter),TRUE,_xlpm.Filter),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Filter,_xlfn.LET(_xlpm.allow_arg,IF(_xlfn.ISOMITTED(_xlpm.Allow_Intercept),TRUE,_xlpm.Allow_Intercept),_xlpm.filt_arg,IF(_xlfn.ISOMITTED(_xlpm.Filter),TRUE,_xlpm.Filter),_xlpm.yhat,Predictions(_xlpm.X_s,_xlpm.Y,_xlpm.allow_arg,_xlpm.filt_arg),_xlpm.e,_xlfn._xlws.FILTER(_xlpm.Y,_xlpm.filt_arg)-_xlpm.yhat,_xlpm.h,Hat_diagonal(_xlpm.X_s,_xlpm.allow_arg,_xlpm.filt_arg),_xlpm.yhat-_xlpm.h*_xlpm.e/(1-_xlpm.h)))</definedName>
    <definedName name="Hat_diagonal">_xlfn.LAMBDA(_xlpm.X_s,_xlop.Allow_Intercept,_xlop.Filter,_xlfn.LET(_xlpm.allow_arg,IF(_xlfn.ISOMITTED(_xlpm.Allow_Intercept),TRUE,_xlpm.Allow_Intercept),_xlpm.filt_arg,IF(_xlfn.ISOMITTED(_xlpm.Filter),TRUE,_xlpm.Filter),_xlpm.X_design,Design_Matrix(_xlpm.X_s,_xlpm.allow_arg,_xlpm.filt_arg),_xlpm.p,COLUMNS(_xlpm.X_design),_xlpm.XtX_inv,Gram_Inverse(_xlpm.X_design),_xlpm.Z,MMULT(_xlpm.X_design,_xlpm.XtX_inv),MMULT(_xlpm.Z*_xlpm.X_design,_xlfn.SEQUENCE(_xlpm.p,1,1,0))))</definedName>
    <definedName name="Studentized_Residuals">_xlfn.LAMBDA(_xlpm.X_s,_xlpm.Y,_xlop.Allow_Intercept,_xlop.Filter,_xlfn.LET(_xlpm.allow_arg,IF(_xlfn.ISOMITTED(_xlpm.Allow_Intercept),TRUE,_xlpm.Allow_Intercept),_xlpm.filt_arg,IF(_xlfn.ISOMITTED(_xlpm.Filter),TRUE,_xlpm.Filter),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Filter,_xlfn.LET(_xlpm.allow_arg,IF(_xlfn.ISOMITTED(_xlpm.Allow_Intercept),TRUE,_xlpm.Allow_Intercept),_xlpm.filt_arg,IF(_xlfn.ISOMITTED(_xlpm.Filter),TRUE,_xlpm.Filter),_xlfn._xlws.SORT(Studentized_Residuals(_xlpm.X_s,_xlpm.Y,_xlpm.allow_arg,_xlpm.filt_arg))))</definedName>
    <definedName name="Cooks_Distance">_xlfn.LAMBDA(_xlpm.X_s,_xlpm.Y,_xlop.Allow_Intercept,_xlop.Filter,_xlfn.LET(_xlpm.allow_arg,IF(_xlfn.ISOMITTED(_xlpm.Allow_Intercept),TRUE,_xlpm.Allow_Intercept),_xlpm.filt_arg,IF(_xlfn.ISOMITTED(_xlpm.Filter),TRUE,_xlpm.Filter),_xlpm.r,Studentized_Residuals(_xlpm.X_s,_xlpm.Y,_xlpm.allow_arg,_xlpm.filt_arg),_xlpm.h,Hat_diagonal(_xlpm.X_s,_xlpm.allow_arg,_xlpm.filt_arg),_xlpm.p,COLUMNS(Design_Matrix(_xlpm.X_s,_xlpm.allow_arg,_xlpm.filt_arg)),_xlpm.r^2*_xlpm.h/((1-_xlpm.h)*_xlpm.p)))</definedName>
    <definedName name="Scaled_Residuals_Ranked">_xlfn.LAMBDA(_xlpm.X_s,_xlpm.Y,_xlop.Allow_Intercept,_xlop.Filter,_xlfn.LET(_xlpm.allow_arg,IF(_xlfn.ISOMITTED(_xlpm.Allow_Intercept),TRUE,_xlpm.Allow_Intercept),_xlpm.filt_arg,IF(_xlfn.ISOMITTED(_xlpm.Filter),TRUE,_xlpm.Filter),_xlfn._xlws.SORT(Scaled_Residuals(_xlpm.X_s,_xlpm.Y,_xlpm.allow_arg,_xlpm.filt_arg))))</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Pearson_R">_xlfn.LAMBDA(_xlpm.X_s,_xlpm.Y,_xlop.Filter,_xlfn.LET(_xlpm.filt_arg,IF(_xlfn.ISOMITTED(_xlpm.Filter),TRUE,_xlpm.Filter),_xlpm.xf,_xlfn._xlws.FILTER(_xlpm.X_s,_xlpm.filt_arg),_xlpm.yf,_xlfn._xlws.FILTER(_xlpm.Y,_xlpm.filt_arg),_xlfn.MAKEARRAY(COLUMNS(_xlpm.X_s),1,_xlfn.LAMBDA(_xlpm.r,_xlpm.c,CORREL(_xlfn.CHOOSECOLS(_xlpm.xf,_xlpm.r),_xlpm.yf)))))</definedName>
    <definedName name="Spearman_R">_xlfn.LAMBDA(_xlpm.xf,_xlpm.yf,_xlop.Filter,_xlfn.LET(_xlpm.baseFilter,IF(_xlfn.ISOMITTED(_xlpm.Filter),TRUE,_xlpm.Filter),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kewness">_xlfn.LAMBDA(_xlpm.X_s,_xlop.Filter,_xlfn.LET(_xlpm.filt_arg,IF(_xlfn.ISOMITTED(_xlpm.Filter),TRUE,_xlpm.Filter),_xlpm.xf,_xlfn._xlws.FILTER(_xlpm.X_s,_xlpm.filt_arg),_xlfn.MAKEARRAY(COLUMNS(_xlpm.X_s),1,_xlfn.LAMBDA(_xlpm.r,_xlpm.c,SKEW(_xlfn.CHOOSECOLS(_xlpm.xf,_xlpm.r))))))</definedName>
    <definedName name="Kurtosis">_xlfn.LAMBDA(_xlpm.X_s,_xlop.Filter,_xlfn.LET(_xlpm.filt_arg,IF(_xlfn.ISOMITTED(_xlpm.Filter),TRUE,_xlpm.Filter),_xlpm.xf,_xlfn._xlws.FILTER(_xlpm.X_s,_xlpm.filt_arg),_xlfn.MAKEARRAY(COLUMNS(_xlpm.X_s),1,_xlfn.LAMBDA(_xlpm.r,_xlpm.c,KURT(_xlfn.CHOOSECOLS(_xlpm.xf,_xlpm.r))))))</definedName>
    <definedName name="F_Stat">_xlfn.LAMBDA(_xlpm.X_s,_xlpm.Y,_xlop.Allow_Intercept,_xlop.Filter,_xlfn.LET(_xlpm.allow_arg,IF(_xlfn.ISOMITTED(_xlpm.Allow_Intercept),TRUE,_xlpm.Allow_Intercept),_xlpm.filt_arg,IF(_xlfn.ISOMITTED(_xlpm.Filter),TRUE,_xlpm.Filter),SS_Regression(_xlpm.X_s,_xlpm.Y,_xlpm.allow_arg,_xlpm.filt_arg)/DF_Regression(_xlpm.X_s)/(SS_Residual(_xlpm.X_s,_xlpm.Y,_xlpm.allow_arg,_xlpm.filt_arg)/DF_Residual(_xlpm.X_s,_xlpm.Y,_xlpm.allow_arg,_xlpm.filt_arg))))</definedName>
    <definedName name="P_Value_F">_xlfn.LAMBDA(_xlpm.X_s,_xlpm.Y,_xlop.Allow_Intercept,_xlop.Filter,_xlfn.LET(_xlpm.allow_arg,IF(_xlfn.ISOMITTED(_xlpm.Allow_Intercept),TRUE,_xlpm.Allow_Intercept),_xlpm.filt_arg,IF(_xlfn.ISOMITTED(_xlpm.Filter),TRUE,_xlpm.Filter),_xlfn.F.DIST.RT(F_Stat(_xlpm.X_s,_xlpm.Y,_xlpm.allow_arg,_xlpm.filt_arg),DF_Regression(_xlpm.X_s),DF_Residual(_xlpm.X_s,_xlpm.Y,_xlpm.allow_arg,_xlpm.filt_arg))))</definedName>
    <definedName name="Correlation_Matrix">_xlfn.LAMBDA(_xlpm.X_s,_xlop.Filter,_xlfn.LET(_xlpm.filt_arg,IF(_xlfn.ISOMITTED(_xlpm.Filter),TRUE,_xlpm.Filter),_xlpm.xf,_xlfn._xlws.FILTER(_xlpm.X_s,_xlpm.filt_arg),_xlpm.k,COLUMNS(_xlpm.X_s),_xlfn.MAKEARRAY(_xlpm.k,_xlpm.k,_xlfn.LAMBDA(_xlpm.r,_xlpm.c,CORREL(_xlfn.CHOOSECOLS(_xlpm.xf,_xlpm.r),_xlfn.CHOOSECOLS(_xlpm.xf,_xlpm.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<sst xmlns="http://schemas.openxmlformats.org/spreadsheetml/2006/main" count="6387" uniqueCount="545">
  <si>
    <t>Function Name</t>
  </si>
  <si>
    <t>Definition</t>
  </si>
  <si>
    <t>Arguments</t>
  </si>
  <si>
    <t>Yields</t>
  </si>
  <si>
    <t>Description</t>
  </si>
  <si>
    <t>Observations</t>
  </si>
  <si>
    <t>=LAMBDA(Y, [Filter],
  LET(
    filt_arg, IF(ISOMITTED(Filter), TRUE, Filter),
    ROWS(FILTER(Y, filt_arg))
  ))</t>
  </si>
  <si>
    <t>Y: single-column outcome range
[Filter]: boolean array — TRUE includes the row, FALSE excludes it</t>
  </si>
  <si>
    <t>n — count of rows used in the regression as a scalar integer</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</si>
  <si>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</si>
  <si>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</si>
  <si>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</si>
  <si>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</si>
  <si>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</si>
  <si>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df_regression is the number of degrees of freedom attributable to the regression model — equal to k, the number of predictor columns. The intercept term (if any) is not counted here; it is accounted for implicitly in df_total.
Returns COLUMNS(X_s). Filter and Allow_Intercept do not affect this value.</t>
  </si>
  <si>
    <t>DF_Total</t>
  </si>
  <si>
    <t>=LAMBDA(Y, [Allow_Intercept], [Filter],
  LET(
    allow_arg, IF(ISOMITTED(Allow_Intercept), TRUE, Allow_Intercept),
    filt_arg,  IF(ISOMITTED(Filter),          TRUE, Filter),
    n,         Observations(Y, filt_arg),
    IF(allow_arg, n - 1, n)
  ))</t>
  </si>
  <si>
    <t>Y: single-column outcome range
[Allow_Intercept]: TRUE/FALSE — fit intercept? Default TRUE
[Filter]: boolean array — TRUE includes the row, FALSE excludes it</t>
  </si>
  <si>
    <t>df_total (n-1 with intercept, n without) as a scalar integer</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</si>
  <si>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</si>
  <si>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</si>
  <si>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[Filter],
  LET(
    allow_arg, IF(ISOMITTED(Allow_Intercept), TRUE, Allow_Intercept),
    filt_arg,  IF(ISOMITTED(Filter),          TRUE, Filter),
    INDEX(LINEST(FILTER(Y, filt_arg), FILTER(X_s, filt_arg), allow_arg, TRUE), 3, 1)
  ))</t>
  </si>
  <si>
    <t>X_s: column range of predictors (single or multi-column)
Y: single-column outcome range
[Allow_Intercept]: TRUE/FALSE — fit intercept? Default TRUE
[Filter]: boolean array — TRUE includes the row, FALSE excludes it</t>
  </si>
  <si>
    <t>R² (coefficient of determination) as a scalar in [0, 1]</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</si>
  <si>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</si>
  <si>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</si>
  <si>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[Filter],
  LET(
    allow_arg, IF(ISOMITTED(Allow_Intercept), TRUE, Allow_Intercept),
    filt_arg,  IF(ISOMITTED(Filter),          TRUE, Filter),
    DF_Total(Y, allow_arg, filt_arg) - DF_Regression(X_s)
  ))</t>
  </si>
  <si>
    <t>df_residual (n-k-1 with intercept, n-k without) as a scalar integer</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</si>
  <si>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</si>
  <si>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</si>
  <si>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[Filter],
  LET(
    allow_arg, IF(ISOMITTED(Allow_Intercept), TRUE, Allow_Intercept),
    filt_arg,  IF(ISOMITTED(Filter),          TRUE, Filter),
    SQRT(R_squared(X_s, Y, allow_arg, filt_arg))
  ))</t>
  </si>
  <si>
    <t>Multiple R (correlation coefficient) as a scalar in [0, 1]</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</si>
  <si>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</si>
  <si>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</si>
  <si>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[Filter],
  LET(
    allow_arg, IF(ISOMITTED(Allow_Intercept), TRUE, Allow_Intercept),
    filt_arg,  IF(ISOMITTED(Filter),          TRUE, Filter),
    1 - (1 - R_squared(X_s, Y, allow_arg, filt_arg))
      * DF_Total(Y, allow_arg, filt_arg)
      / DF_Residual(X_s, Y, allow_arg, filt_arg)
  ))</t>
  </si>
  <si>
    <t>Adjusted R² as a scalar, typically in [0, 1] but can be negative</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</si>
  <si>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</si>
  <si>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</si>
  <si>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[Filter],
  LET(
    allow_arg, IF(ISOMITTED(Allow_Intercept), TRUE, Allow_Intercept),
    filt_arg,  IF(ISOMITTED(Filter),          TRUE, Filter),
    y_filt, FILTER(Y, filt_arg),
    IF(allow_arg, DEVSQ(y_filt), SUMSQ(y_filt))
  ))</t>
  </si>
  <si>
    <t>SS_total (total sum of squares) as a scalar</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</si>
  <si>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</si>
  <si>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</si>
  <si>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[Filter],
  LET(
    allow_arg, IF(ISOMITTED(Allow_Intercept), TRUE, Allow_Intercept),
    filt_arg,  IF(ISOMITTED(Filter),          TRUE, Filter),
    SS_Total(Y, allow_arg, filt_arg) * (1 - R_squared(X_s, Y, allow_arg, filt_arg))
  ))</t>
  </si>
  <si>
    <t>SS_residual (residual/error sum of squares) as a scalar</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</si>
  <si>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</si>
  <si>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</si>
  <si>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[Filter],
  LET(
    allow_arg, IF(ISOMITTED(Allow_Intercept), TRUE, Allow_Intercept),
    filt_arg,  IF(ISOMITTED(Filter),          TRUE, Filter),
    SS_Total(Y, allow_arg, filt_arg) * R_squared(X_s, Y, allow_arg, filt_arg)
  ))</t>
  </si>
  <si>
    <t>SS_regression (explained/model sum of squares) as a scalar</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</si>
  <si>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</si>
  <si>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</si>
  <si>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[Filter],
  LET(
    allow_arg, IF(ISOMITTED(Allow_Intercept), TRUE, Allow_Intercept),
    filt_arg,  IF(ISOMITTED(Filter),          TRUE, Filter),
    SS_Regression(X_s, Y, allow_arg, filt_arg) / DF_Regression(X_s)
  ))</t>
  </si>
  <si>
    <t>mean square for regression (MS_regression = SS_regression / df_regression) as a scalar</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</si>
  <si>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</si>
  <si>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</si>
  <si>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[Filter],
  LET(
    allow_arg, IF(ISOMITTED(Allow_Intercept), TRUE, Allow_Intercept),
    filt_arg,  IF(ISOMITTED(Filter),          TRUE, Filter),
    SS_Residual(X_s, Y, allow_arg, filt_arg) / DF_Residual(X_s, Y, allow_arg, filt_arg)
  ))</t>
  </si>
  <si>
    <t>mean square for residual error (MS_residual = SS_residual / df_residual) as a scalar</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</si>
  <si>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</si>
  <si>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</si>
  <si>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[Filter],
  LET(
    allow_arg, IF(ISOMITTED(Allow_Intercept), TRUE, Allow_Intercept),
    filt_arg,  IF(ISOMITTED(Filter),          TRUE, Filter),
    SQRT(SS_Residual(X_s, Y, allow_arg, filt_arg) / DF_Residual(X_s, Y, allow_arg, filt_arg))
  ))</t>
  </si>
  <si>
    <t>SE_regression (standard error of the regression) as a scalar</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</si>
  <si>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</si>
  <si>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</si>
  <si>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[Filter],
  LET(
    allow_arg, IF(ISOMITTED(Allow_Intercept), TRUE, Allow_Intercept),
    filt_arg,  IF(ISOMITTED(Filter),          TRUE, Filter),
    e,         Residuals(X_s, Y, allow_arg, filt_arg),
    h,         Hat_diagonal(X_s, allow_arg, filt_arg),
    SUMSQ(e / (1 - h))
  ))</t>
  </si>
  <si>
    <t>PRESS (Prediction Residual Error Sum of Squares) as a scalar</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</si>
  <si>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</si>
  <si>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</si>
  <si>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[Filter],
  LET(
    allow_arg, IF(ISOMITTED(Allow_Intercept), TRUE, Allow_Intercept),
    filt_arg,  IF(ISOMITTED(Filter), TRUE, Filter),
    n,   Observations(Y, filt_arg),
    ssr, SS_Residual(X_s, Y, allow_arg, filt_arg),
    p,   DF_Regression(X_s) + IF(allow_arg, 1, 0),
    n * LN(ssr / n) + 2 * p
  ))</t>
  </si>
  <si>
    <t>Akaike Information Criterion (AIC) scalar</t>
  </si>
  <si>
    <t>AIC = n·ln(SSR/n) + 2p, where p = number of regression parameters (predictors + intercept when Allow_Intercept is TRUE). Smaller values indicate better-fitting models; compare across models on the same dataset.</t>
  </si>
  <si>
    <t>BIC</t>
  </si>
  <si>
    <t>=LAMBDA(X_s, Y, [Allow_Intercept], [Filter],
  LET(
    allow_arg, IF(ISOMITTED(Allow_Intercept), TRUE, Allow_Intercept),
    filt_arg,  IF(ISOMITTED(Filter), TRUE, Filter),
    n,   Observations(Y, filt_arg),
    ssr, SS_Residual(X_s, Y, allow_arg, filt_arg),
    p,   DF_Regression(X_s) + IF(allow_arg, 1, 0),
    n * LN(ssr / n) + p * LN(n)
  ))</t>
  </si>
  <si>
    <t>Bayesian Information Criterion (BIC) scalar</t>
  </si>
  <si>
    <t>BIC = n·ln(SSR/n) + p·ln(n), where p = number of regression parameters. Applies a heavier penalty than AIC for additional parameters, favouring sparser models in large samples.</t>
  </si>
  <si>
    <t>AICc</t>
  </si>
  <si>
    <t>=LAMBDA(X_s, Y, [Allow_Intercept], [Filter],
  LET(
    allow_arg, IF(ISOMITTED(Allow_Intercept), TRUE, Allow_Intercept),
    filt_arg,  IF(ISOMITTED(Filter), TRUE, Filter),
    n,   Observations(Y, filt_arg),
    ssr, SS_Residual(X_s, Y, allow_arg, filt_arg),
    p,   DF_Regression(X_s) + IF(allow_arg, 1, 0),
    aic, n * LN(ssr / n) + 2 * p,
    aic + 2 * p * (p + 1) / (n - p - 1)
  ))</t>
  </si>
  <si>
    <t>Corrected Akaike Information Criterion (AICc) scalar</t>
  </si>
  <si>
    <t>AICc = AIC + 2p(p+1)/(n−p−1). The small-sample correction reduces upward bias in AIC when n/p &lt; 40. Converges to AIC as n → ∞.</t>
  </si>
  <si>
    <t>Durbin_Watson</t>
  </si>
  <si>
    <t>=LAMBDA(X_s, Y, [Allow_Intercept], [Filter],
  LET(
    allow_arg, IF(ISOMITTED(Allow_Intercept), TRUE, Allow_Intercept),
    filt_arg,  IF(ISOMITTED(Filter),          TRUE, Filter),
    e,         Residuals(X_s, Y, allow_arg, filt_arg),
    SUM((DROP(e, 1) - DROP(e, -1))^2) / SUM(e^2)
  ))</t>
  </si>
  <si>
    <t>Durbin-Watson statistic as a scalar</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</si>
  <si>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</si>
  <si>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</si>
  <si>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[Filter],
  LET(
    allow_arg, IF(ISOMITTED(Allow_Intercept), TRUE, Allow_Intercept),
    filt_arg,  IF(ISOMITTED(Filter), TRUE, Filter),
    sr,        Scaled_Residuals_Ranked(X_s, Y, allow_arg, filt_arg),
    n,         ROWS(sr),
    ns,        NORM.S.INV((SEQUENCE(n) - 0.5) / n),
    CORREL(sr, ns)
  ))</t>
  </si>
  <si>
    <t>Filliben Q-Q correlation coefficient (normality statistic) scalar</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</si>
  <si>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</si>
  <si>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</si>
  <si>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[Filter],
  LET(
    allow_arg, IF(ISOMITTED(Allow_Intercept), TRUE, Allow_Intercept),
    filt_arg,  IF(ISOMITTED(Filter),          TRUE, Filter),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</si>
  <si>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</si>
  <si>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</si>
  <si>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</si>
  <si>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[Filter],
  LET(
    allow_arg, IF(ISOMITTED(Allow_Intercept), TRUE, Allow_Intercept),
    filt_arg,  IF(ISOMITTED(Filter),          TRUE, Filter),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</si>
  <si>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</si>
  <si>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</si>
  <si>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</si>
  <si>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[Filter],
  LET(
    allow_arg, IF(ISOMITTED(Allow_Intercept), TRUE, Allow_Intercept),
    filt_arg,  IF(ISOMITTED(Filter),          TRUE, Filter),
    Coefficients(X_s, Y, allow_arg, filt_arg) / SE_Coefficients(X_s, Y, allow_arg, filt_arg)
  ))</t>
  </si>
  <si>
    <t>vertical array of t-statistics for each coefficient (coefficient / standard error)</t>
  </si>
  <si>
    <t>Returns a vertical spill array of t-statistics for each OLS coefficient. Each element equals the corresponding Coefficients value divided by its SE_Coefficients value.
Computed as Coefficients(...) / SE_Coefficients(...).</t>
  </si>
  <si>
    <t>P_Values</t>
  </si>
  <si>
    <t>=LAMBDA(X_s, Y, [Allow_Intercept], [Filter],
  LET(
    allow_arg, IF(ISOMITTED(Allow_Intercept), TRUE, Allow_Intercept),
    filt_arg,  IF(ISOMITTED(Filter),          TRUE, Filter),
    T.DIST.2T(ABS(T_Stats(X_s, Y, allow_arg, filt_arg)), DF_Residual(X_s, Y, allow_arg, filt_arg))
  ))</t>
  </si>
  <si>
    <t>vertical array of two-tailed p-values for each coefficient</t>
  </si>
  <si>
    <t>Returns a vertical spill array of two-tailed p-values for each OLS coefficient, testing the null hypothesis that the true coefficient equals zero.
Computed as T.DIST.2T(ABS(T_Stats(...)), DF_Residual(...)).</t>
  </si>
  <si>
    <t>CI_Lower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</si>
  <si>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</si>
  <si>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[Filter]: boolean array — TRUE includes the row, FALSE excludes it
[Alpha]: significance level (0–1); default 0.05 yields 95% CIs.</t>
  </si>
  <si>
    <t>vertical array of lower confidence interval bounds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</si>
  <si>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</si>
  <si>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</si>
  <si>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</si>
  <si>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vertical array of upper confidence interval bounds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</si>
  <si>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</si>
  <si>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</si>
  <si>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[Filter],
  LET(
    allow_arg, IF(ISOMITTED(Allow_Intercept), TRUE, Allow_Intercept),
    filt_arg,  IF(ISOMITTED(Filter),          TRUE, Filter),
    t,         T_Stats(X_s, Y, allow_arg, filt_arg),
    df,        DF_Residual(X_s, Y, allow_arg, filt_arg),
    t^2 / (t^2 + df)
  ))</t>
  </si>
  <si>
    <t>vertical array of partial R² values — same order as Coefficients (intercept first when included)</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</si>
  <si>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</si>
  <si>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</si>
  <si>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[Filter],
  LET(
    allow_arg, IF(ISOMITTED(Allow_Intercept), TRUE, Allow_Intercept),
    filt_arg,  IF(ISOMITTED(Filter),          TRUE, Filter),
    t,         T_Stats(X_s, Y, allow_arg, filt_arg),
    df,        DF_Residual(X_s, Y, allow_arg, filt_arg),
    t / SQRT(t^2 + df)
  ))</t>
  </si>
  <si>
    <t>vertical array of partial correlation coefficients — same order as Coefficients (intercept first when included)</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</si>
  <si>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</si>
  <si>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VIF</t>
  </si>
  <si>
    <t>=LAMBDA(X_s, [Allow_Intercept], [Filter],
  LET(
    filt_arg, IF(ISOMITTED(Filter), TRUE, Filter),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</si>
  <si>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[Filter]: boolean array — TRUE includes the row, FALSE excludes it</t>
  </si>
  <si>
    <t>k×1 column vector of VIF values, one per predictor (does not include an intercept row)</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</si>
  <si>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</si>
  <si>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</si>
  <si>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[Filter],
  1 / VIF(X_s, Allow_Intercept, Filter)
)</t>
  </si>
  <si>
    <t>X_s: column range of predictors (single or multi-column)
[Allow_Intercept]: TRUE/FALSE — passed through to VIF; included for interface consistency
[Filter]: boolean array — TRUE includes the row, FALSE excludes it</t>
  </si>
  <si>
    <t>k×1 column vector of Tolerance values (= 1/VIF), one per predictor</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</si>
  <si>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</si>
  <si>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</si>
  <si>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[Filter], [alpha],
  LET(
    allow_arg,     IF(ISOMITTED(Allow_Intercept), TRUE, Allow_Intercept),
    filt_arg,      IF(ISOMITTED(Filter),          TRUE, Filter),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</si>
  <si>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[Filter]: boolean array — TRUE includes the row, FALSE excludes it
[alpha]: significance level (0–1); default 0.05 yields 95% prediction intervals</t>
  </si>
  <si>
    <t>6-element vertical array: [Point Estimate, SE Prediction, t Critical, Lower bound, Upper bound, Confidence Level]</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</si>
  <si>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</si>
  <si>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</si>
  <si>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[Filter],
  SEQUENCE(ROWS(FILTER(Y, IF(ISOMITTED(Filter), TRUE, Filter))))
)</t>
  </si>
  <si>
    <t>1..n observation index as a spilled vector</t>
  </si>
  <si>
    <t>Spills 1..n, where n is the number of filtered observations.</t>
  </si>
  <si>
    <t>Rank_Fraction</t>
  </si>
  <si>
    <t>=LAMBDA(Y, [Filter],
  LET(
    filtered, FILTER(Y, IF(ISOMITTED(Filter), TRUE, Filter)),
    n,        ROWS(filtered),
    BYROW(filtered, LAMBDA(v, SUMPRODUCT((filtered &lt;= v) * 1))) / n
  ))</t>
  </si>
  <si>
    <t>empirical-CDF fractions as a spilled vector, in original data order</t>
  </si>
  <si>
    <t>Empirical CDF: fraction of filtered observations with value &lt;= each observation. Equivalent to SUMPRODUCT((filtered&lt;=v)*1)/n for each v. Output is in original data order.</t>
  </si>
  <si>
    <t>Y_Ranked</t>
  </si>
  <si>
    <t>=LAMBDA(Y, [Filter],
  SORT(FILTER(Y, IF(ISOMITTED(Filter), TRUE, Filter)))
)</t>
  </si>
  <si>
    <t>sorted filtered Y values as a spilled vector</t>
  </si>
  <si>
    <t>Useful for empirical distribution/probability plots of the response variable.</t>
  </si>
  <si>
    <t>Dependent_Var</t>
  </si>
  <si>
    <t>=LAMBDA(Y, [Filter],
  IF(ISOMITTED(Filter), Y, FILTER(Y, Filter))
)</t>
  </si>
  <si>
    <t>filtered dependent variable vector (or raw Y when Filter is omitted)</t>
  </si>
  <si>
    <t>Returns the dependent-variable vector used by residual and diagnostic outputs.</t>
  </si>
  <si>
    <t>Normal_Scores</t>
  </si>
  <si>
    <t>=LAMBDA(Y, [Filter],
  LET(
    filtered, FILTER(Y, IF(ISOMITTED(Filter), TRUE, Filter)),
    n,        ROWS(filtered),
    NORM.S.INV(
      (BYROW(filtered, LAMBDA(v, SUMPRODUCT((filtered &lt; v) * 1))) + 0.5) / n
    )
  ))</t>
  </si>
  <si>
    <t>theoretical standard-normal scores as a spilled vector</t>
  </si>
  <si>
    <t>Intended for normal probability plot x-values.</t>
  </si>
  <si>
    <t>Design_Matrix</t>
  </si>
  <si>
    <t>=LAMBDA(X_s, [Allow_Intercept], [Filter],
  LET(
    allow_arg, IF(ISOMITTED(Allow_Intercept), TRUE, Allow_Intercept),
    filt_arg,  IF(ISOMITTED(Filter), TRUE, Filter),
    x_filt,    FILTER(X_s, filt_arg),
    IF(
      allow_arg,
      HSTACK(SEQUENCE(ROWS(x_filt), , 1, 0), x_filt),
      x_filt
    )
  ))</t>
  </si>
  <si>
    <t>X_s: column range of predictors (single or multi-column)
[Allow_Intercept]: TRUE/FALSE — fit intercept? Default TRUE
[Filter]: boolean array — TRUE includes the row, FALSE excludes it</t>
  </si>
  <si>
    <t>filtered numeric design matrix as spilled array</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</si>
  <si>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</si>
  <si>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</si>
  <si>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</si>
  <si>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</si>
  <si>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</si>
  <si>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</si>
  <si>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</si>
  <si>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[Filter],
  LET(
    allow_arg, IF(ISOMITTED(Allow_Intercept), TRUE, Allow_Intercept),
    filt_arg,  IF(ISOMITTED(Filter), TRUE, Filter),
    MMULT(
      Design_Matrix(X_s, allow_arg, filt_arg),
      Coefficients(X_s, Y, allow_arg, filt_arg)
    )
  ))</t>
  </si>
  <si>
    <t>fitted Y values as a spilled vector</t>
  </si>
  <si>
    <t>Computes X_design * beta using MMULT.</t>
  </si>
  <si>
    <t>Residuals</t>
  </si>
  <si>
    <t>=LAMBDA(X_s, Y, [Allow_Intercept], [Filter],
  LET(
    allow_arg, IF(ISOMITTED(Allow_Intercept), TRUE, Allow_Intercept),
    filt_arg,  IF(ISOMITTED(Filter), TRUE, Filter),
    FILTER(Y, filt_arg) - Predictions(X_s, Y, allow_arg, filt_arg)
  ))</t>
  </si>
  <si>
    <t>raw residuals as a spilled vector</t>
  </si>
  <si>
    <t>Residuals are Y - fitted Y.</t>
  </si>
  <si>
    <t>Scaled_Residuals</t>
  </si>
  <si>
    <t>=LAMBDA(X_s, Y, [Allow_Intercept], [Filter],
  LET(
    allow_arg, IF(ISOMITTED(Allow_Intercept), TRUE, Allow_Intercept),
    filt_arg,  IF(ISOMITTED(Filter), TRUE, Filter),
    Residuals(X_s, Y, allow_arg, filt_arg)
      / SE_Regression(X_s, Y, allow_arg, filt_arg)
  ))</t>
  </si>
  <si>
    <t>residual divided by SE_Regression as a spilled vector</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</si>
  <si>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</si>
  <si>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</si>
  <si>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</si>
  <si>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</si>
  <si>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</si>
  <si>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</si>
  <si>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</si>
  <si>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</si>
  <si>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</si>
  <si>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</si>
  <si>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</si>
  <si>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</si>
  <si>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[Filter],
  LET(
    allow_arg, IF(ISOMITTED(Allow_Intercept), TRUE, Allow_Intercept),
    filt_arg,  IF(ISOMITTED(Filter),          TRUE, Filter),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</si>
  <si>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[Filter]: boolean array — TRUE includes the row, FALSE excludes it</t>
  </si>
  <si>
    <t>scalar LOO prediction for observation n — the fitted value from a model trained on all rows except n, evaluated at row n of X_s</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</si>
  <si>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</si>
  <si>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</si>
  <si>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[Filter],
  LET(
    allow_arg, IF(ISOMITTED(Allow_Intercept), TRUE, Allow_Intercept),
    filt_arg,  IF(ISOMITTED(Filter),          TRUE, Filter),
    yhat,      Predictions(X_s, Y, allow_arg, filt_arg),
    e,         FILTER(Y, filt_arg) - yhat,
    h,         Hat_diagonal(X_s, allow_arg, filt_arg),
    yhat - h * e / (1 - h)
  )
)</t>
  </si>
  <si>
    <t>n-element spill vector of LOO predictions for every filtered observation</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</si>
  <si>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</si>
  <si>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</si>
  <si>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[Filter],
  LET(
    allow_arg, IF(ISOMITTED(Allow_Intercept), TRUE, Allow_Intercept),
    filt_arg,  IF(ISOMITTED(Filter), TRUE, Filter),
    X_design,  Design_Matrix(X_s, allow_arg, filt_arg),
    p,         COLUMNS(X_design),
    XtX_inv,   Gram_Inverse(X_design),
    Z,         MMULT(X_design, XtX_inv),
    MMULT(Z * X_design, SEQUENCE(p, 1, 1, 0))
  ))</t>
  </si>
  <si>
    <t>n-element hat-matrix diagonal (leverage values) as spilled vector</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</si>
  <si>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</si>
  <si>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</si>
  <si>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[Filter],
  LET(
    allow_arg, IF(ISOMITTED(Allow_Intercept), TRUE, Allow_Intercept),
    filt_arg,  IF(ISOMITTED(Filter), TRUE, Filter),
    e,         Residuals(X_s, Y, allow_arg, filt_arg),
    se,        SE_Regression(X_s, Y, allow_arg, filt_arg),
    h,         Hat_diagonal(X_s, allow_arg, filt_arg),
    e / (se * SQRT(1 - h))
  ))</t>
  </si>
  <si>
    <t>n-element vector of internally studentized residuals</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</si>
  <si>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</si>
  <si>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</si>
  <si>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[Filter],
  LET(
    allow_arg, IF(ISOMITTED(Allow_Intercept), TRUE, Allow_Intercept),
    filt_arg,  IF(ISOMITTED(Filter), TRUE, Filter),
    SORT(Studentized_Residuals(X_s, Y, allow_arg, filt_arg))
  ))</t>
  </si>
  <si>
    <t>sorted studentized residuals as spilled vector</t>
  </si>
  <si>
    <t>Ascending sort of Studentized_Residuals. Paired with Normal_Scores gives a leverage-corrected Q-Q plot; paired with Percentile gives a cumulative distribution plot.</t>
  </si>
  <si>
    <t>Cooks_Distance</t>
  </si>
  <si>
    <t>=LAMBDA(X_s, Y, [Allow_Intercept], [Filter],
  LET(
    allow_arg, IF(ISOMITTED(Allow_Intercept), TRUE, Allow_Intercept),
    filt_arg,  IF(ISOMITTED(Filter), TRUE, Filter),
    r,         Studentized_Residuals(X_s, Y, allow_arg, filt_arg),
    h,         Hat_diagonal(X_s, allow_arg, filt_arg),
    p,         COLUMNS(Design_Matrix(X_s, allow_arg, filt_arg)),
    r ^ 2 * h / ((1 - h) * p)
  ))</t>
  </si>
  <si>
    <t>n-element vector of Cook’s distances</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</si>
  <si>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</si>
  <si>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</si>
  <si>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[Filter],
  LET(
    allow_arg, IF(ISOMITTED(Allow_Intercept), TRUE, Allow_Intercept),
    filt_arg,  IF(ISOMITTED(Filter), TRUE, Filter),
    SORT(Scaled_Residuals(X_s, Y, allow_arg, filt_arg))
  ))</t>
  </si>
  <si>
    <t>sorted scaled residuals as spilled vector</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</si>
  <si>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</si>
  <si>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</si>
  <si>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</si>
  <si>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</si>
  <si>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</si>
  <si>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</si>
  <si>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</si>
  <si>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</si>
  <si>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</si>
  <si>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</si>
  <si>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Produces a ready-made Filter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</si>
  <si>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Pearson_R</t>
  </si>
  <si>
    <t>=LAMBDA(X_s, Y, [Filter],
  LET(
    filt_arg, IF(ISOMITTED(Filter), TRUE, Filter),
    xf, FILTER(X_s, filt_arg),
    yf, FILTER(Y,   filt_arg),
    MAKEARRAY(COLUMNS(X_s), 1, LAMBDA(r, c, CORREL(CHOOSECOLS(xf, r), yf)))
  ))</t>
  </si>
  <si>
    <t>X_s: predictor column range (single or multi-column); returns one correlation per column
Y: single-column outcome range
[Filter]: boolean array — TRUE includes the row, FALSE excludes it</t>
  </si>
  <si>
    <t>k×1 column vector of Pearson correlations between each predictor and Y</t>
  </si>
  <si>
    <t>Pearson_R computes the linear (Pearson product-moment) correlation between each column of X_s and Y, after applying the optional filter.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</si>
  <si>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</si>
  <si>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[Filter],
  LET(
    baseFilter, IF(ISOMITTED(Filter), TRUE, Filter),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</si>
  <si>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[Filter]: boolean array — TRUE includes the row, FALSE excludes it</t>
  </si>
  <si>
    <t>k×1 column vector of Spearman rank correlations between each predictor and Y</t>
  </si>
  <si>
    <t>Spearman_R computes the rank (Spearman) correlation between each column of xf and yf. For each predictor column, rows are kept where both that column and yf are numeric (and pass the optional Filter).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</si>
  <si>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</si>
  <si>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[Filter],
  LET(
    filt_arg, IF(ISOMITTED(Filter), TRUE, Filter),
    xf, FILTER(X_s, filt_arg),
    MAKEARRAY(COLUMNS(X_s), 1, LAMBDA(r, c, SKEW(CHOOSECOLS(xf, r))))
  ))</t>
  </si>
  <si>
    <t>X_s: column range to summarize (single or multi-column); returns one value per column
[Filter]: boolean array — TRUE includes the row, FALSE excludes it</t>
  </si>
  <si>
    <t>k×1 column vector of sample skewness values (one per column of X_s)</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</si>
  <si>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</si>
  <si>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</si>
  <si>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[Filter],
  LET(
    filt_arg, IF(ISOMITTED(Filter), TRUE, Filter),
    xf, FILTER(X_s, filt_arg),
    MAKEARRAY(COLUMNS(X_s), 1, LAMBDA(r, c, KURT(CHOOSECOLS(xf, r))))
  ))</t>
  </si>
  <si>
    <t>k×1 column vector of excess kurtosis values (one per column of X_s)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</si>
  <si>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</si>
  <si>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</si>
  <si>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[Filter],
  LET(
    allow_arg, IF(ISOMITTED(Allow_Intercept), TRUE, Allow_Intercept),
    filt_arg,  IF(ISOMITTED(Filter),          TRUE, Filter),
    SS_Regression(X_s, Y, allow_arg, filt_arg) / DF_Regression(X_s) /
    (SS_Residual(X_s, Y, allow_arg, filt_arg) / DF_Residual(X_s, Y, allow_arg, filt_arg))
  ))</t>
  </si>
  <si>
    <t>F-statistic for the overall regression model as a scalar</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</si>
  <si>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</si>
  <si>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</si>
  <si>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[Filter],
  LET(
    allow_arg, IF(ISOMITTED(Allow_Intercept), TRUE, Allow_Intercept),
    filt_arg,  IF(ISOMITTED(Filter),          TRUE, Filter),
    F.DIST.RT(
      F_Stat(X_s, Y, allow_arg, filt_arg),
      DF_Regression(X_s),
      DF_Residual(X_s, Y, allow_arg, filt_arg)
    )
  ))</t>
  </si>
  <si>
    <t>p-value for the overall F-test (right-tail probability of the F distribution)</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</si>
  <si>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</si>
  <si>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</si>
  <si>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[Filter],
  LET(
    filt_arg, IF(ISOMITTED(Filter), TRUE, Filter),
    xf, FILTER(X_s, filt_arg),
    k,  COLUMNS(X_s),
    MAKEARRAY(k, k, LAMBDA(r, c, CORREL(CHOOSECOLS(xf, r), CHOOSECOLS(xf, c))))
  ))</t>
  </si>
  <si>
    <t>X_s: column range of variables (single or multi-column); returns a k×k symmetric matrix
[Filter]: boolean array — TRUE includes the row, FALSE excludes it</t>
  </si>
  <si>
    <t>k×k symmetric matrix of pairwise Pearson correlations (diagonal = 1)</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</si>
  <si>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</si>
  <si>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</si>
  <si>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</si>
  <si>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</si>
  <si>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</si>
  <si>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</si>
  <si>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</si>
  <si>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</si>
  <si>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</si>
  <si>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</si>
  <si>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</si>
  <si>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</si>
  <si>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</si>
  <si>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</si>
  <si>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</si>
  <si>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</si>
  <si>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</si>
  <si>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</si>
  <si>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</si>
  <si>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</si>
  <si>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</si>
  <si>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</si>
  <si>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</si>
  <si>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</si>
  <si>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</si>
  <si>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</si>
  <si>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</si>
  <si>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</si>
  <si>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</si>
  <si>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</si>
  <si>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</si>
  <si>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</si>
  <si>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</si>
  <si>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</si>
  <si>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</si>
  <si>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</si>
  <si>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</si>
  <si>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</si>
  <si>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</si>
  <si>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</si>
  <si>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</si>
  <si>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</si>
  <si>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</si>
  <si>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</si>
  <si>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</si>
  <si>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</si>
  <si>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</si>
  <si>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</si>
  <si>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</si>
  <si>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</si>
  <si>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</si>
  <si>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</si>
  <si>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</si>
  <si>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</si>
  <si>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</si>
  <si>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</si>
  <si>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</si>
  <si>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</si>
  <si>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</si>
  <si>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</si>
  <si>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</si>
  <si>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</si>
  <si>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</si>
  <si>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</si>
  <si>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</si>
  <si>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</si>
  <si>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</si>
  <si>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</si>
  <si>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</si>
  <si>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</si>
  <si>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</si>
  <si>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</si>
  <si>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</si>
  <si>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</si>
  <si>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</si>
  <si>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</si>
  <si>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</si>
  <si>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</si>
  <si>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</si>
  <si>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</si>
  <si>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</si>
  <si>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</si>
  <si>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</si>
  <si>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</si>
  <si>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</si>
  <si>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</si>
  <si>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</si>
  <si>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</si>
  <si>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</si>
  <si>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</si>
  <si>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</si>
  <si>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</si>
  <si>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</si>
  <si>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</si>
  <si>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</si>
  <si>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</si>
  <si>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</si>
  <si>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</si>
  <si>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</si>
  <si>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</si>
  <si>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</si>
  <si>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</si>
  <si>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</si>
  <si>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</si>
  <si>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</si>
  <si>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</si>
  <si>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</si>
  <si>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</si>
  <si>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</si>
  <si>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</si>
  <si>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</si>
  <si>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</si>
  <si>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</si>
  <si>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</si>
  <si>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</si>
  <si>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</si>
  <si>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</si>
  <si>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</si>
  <si>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</si>
  <si>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</si>
  <si>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</si>
  <si>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</si>
  <si>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</si>
  <si>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</si>
  <si>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</si>
  <si>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</si>
  <si>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</si>
  <si>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</si>
  <si>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</si>
  <si>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</si>
  <si>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</si>
  <si>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</si>
  <si>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</si>
  <si>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</si>
  <si>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</si>
  <si>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</si>
  <si>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</si>
  <si>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</si>
  <si>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</si>
  <si>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</si>
  <si>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</si>
  <si>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</si>
  <si>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</si>
  <si>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</si>
  <si>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</si>
  <si>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</si>
  <si>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</si>
  <si>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</si>
  <si>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</si>
  <si>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</si>
  <si>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</si>
  <si>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</si>
  <si>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</si>
  <si>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</si>
  <si>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</si>
  <si>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</si>
  <si>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</si>
  <si>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</si>
  <si>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</si>
  <si>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</si>
  <si>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</si>
  <si>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</si>
  <si>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</si>
  <si>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</si>
  <si>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</si>
  <si>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</si>
  <si>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</si>
  <si>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</si>
  <si>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</si>
  <si>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</si>
  <si>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</si>
  <si>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</si>
  <si>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</si>
  <si>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</si>
  <si>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</si>
  <si>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</si>
  <si>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</si>
  <si>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</si>
  <si>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</si>
  <si>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</si>
  <si>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</si>
  <si>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</si>
  <si>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</si>
  <si>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</si>
  <si>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</si>
  <si>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</si>
  <si>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</si>
  <si>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</si>
  <si>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</si>
  <si>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</si>
  <si>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</si>
  <si>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</si>
  <si>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</si>
  <si>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</si>
  <si>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</si>
  <si>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</si>
  <si>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</si>
  <si>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</si>
  <si>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</si>
  <si>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</si>
  <si>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</si>
  <si>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</si>
  <si>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</si>
  <si>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</si>
  <si>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</si>
  <si>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</si>
  <si>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</si>
  <si>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</si>
  <si>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</si>
  <si>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</si>
  <si>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</si>
  <si>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</si>
  <si>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</si>
  <si>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</si>
  <si>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</si>
  <si>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</si>
  <si>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</si>
  <si>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</si>
  <si>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</si>
  <si>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PREDICTION INPUTS</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</si>
  <si>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</si>
  <si>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</si>
  <si>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</si>
  <si>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</si>
  <si>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</si>
  <si>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</si>
  <si>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</si>
  <si>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</si>
  <si>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</si>
  <si>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</si>
  <si>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</si>
  <si>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</si>
  <si>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PRESS R²</t>
  </si>
  <si>
    <t>Mean Leverage</t>
  </si>
  <si>
    <t>QQ Correlation</t>
  </si>
  <si>
    <t>Alpha</t>
  </si>
  <si>
    <t>ANOVA TABLE</t>
  </si>
  <si>
    <t>df</t>
  </si>
  <si>
    <t>SS</t>
  </si>
  <si>
    <t>MS</t>
  </si>
  <si>
    <t>F</t>
  </si>
  <si>
    <t>Significance F</t>
  </si>
  <si>
    <t>Regression</t>
  </si>
  <si>
    <t>Residual</t>
  </si>
  <si>
    <t>Total</t>
  </si>
  <si>
    <t>COEFFICIENTS</t>
  </si>
  <si>
    <t>Std Error</t>
  </si>
  <si>
    <t>t Stat</t>
  </si>
  <si>
    <t>P-value</t>
  </si>
  <si>
    <t>Lower 95%</t>
  </si>
  <si>
    <t>Upper 95%</t>
  </si>
  <si>
    <t>PREDICTION OUTPUTS</t>
  </si>
  <si>
    <t>PREDICTION INTERVAL</t>
  </si>
  <si>
    <t>Point Estimate</t>
  </si>
  <si>
    <t>SE Prediction</t>
  </si>
  <si>
    <t>t Critical</t>
  </si>
  <si>
    <t>Confidence Level</t>
  </si>
  <si>
    <t>Predictor</t>
  </si>
  <si>
    <t>Prediction Value</t>
  </si>
  <si>
    <t>Intercept</t>
  </si>
  <si>
    <t>RESIDUAL OUTPUT</t>
  </si>
  <si>
    <t>Y</t>
  </si>
  <si>
    <t>Predicted Y</t>
  </si>
  <si>
    <t>LOOCV Residual</t>
  </si>
  <si>
    <t>Hat Diagonal</t>
  </si>
  <si>
    <t>Studentized Residuals</t>
  </si>
  <si>
    <t>Cook's Distance</t>
  </si>
  <si>
    <t>Normal Scores Ranked</t>
  </si>
  <si>
    <t>Studentized Residuals Ranked</t>
  </si>
  <si>
    <t>X_Variables</t>
  </si>
  <si>
    <t>ind_vars</t>
  </si>
  <si>
    <t>Allow_Intercept</t>
  </si>
  <si>
    <t>Term</t>
  </si>
  <si>
    <t>Partial_Corr</t>
  </si>
  <si>
    <t>k=1 | Intercept=TRUE</t>
  </si>
  <si>
    <t>k=1 | Intercept=FALSE</t>
  </si>
  <si>
    <t>k=5 | Intercept=TRUE</t>
  </si>
  <si>
    <t>k=5 | Intercept=FALSE</t>
  </si>
  <si>
    <t>k=10 | Intercept=TRUE</t>
  </si>
  <si>
    <t>k=10 | Intercept=FALSE</t>
  </si>
  <si>
    <t>k=18 | Intercept=TRUE</t>
  </si>
  <si>
    <t>k=18 | Intercept=FALSE</t>
  </si>
  <si>
    <t>k=1, Allow_Intercept=TRUE | Adult Mortality</t>
  </si>
  <si>
    <t>k=1, Allow_Intercept=FALSE | Adult Mortality</t>
  </si>
  <si>
    <t>k=5, Allow_Intercept=TRUE | Adult Mortality, infant deaths, Alcohol, percentage expenditure, Hepatitis B</t>
  </si>
  <si>
    <t>k=5, Allow_Intercept=FALSE | Adult Mortality, infant deaths, Alcohol, percentage expenditure, Hepatitis B</t>
  </si>
  <si>
    <t>k=10, Allow_Intercept=TRUE | Adult Mortality, infant deaths, Alcohol, percentage expenditure, Hepatitis B, Measles, BMI, under-five deaths, Polio, Total expenditure</t>
  </si>
  <si>
    <t>k=10, Allow_Intercept=FALSE | Adult Mortality, infant deaths, Alcohol, percentage expenditure, Hepatitis B, Measles, BMI, under-five deaths, Polio, Total expenditure</t>
  </si>
  <si>
    <t>k=18, Allow_Intercept=TRUE | Adult Mortality, infant deaths, Alcohol, percentage expenditure, Hepatitis B, Measles, BMI, under-five deaths, Polio, Total expenditure, Diphtheria, HIV/AIDS, GDP, Population, thinness 1-19 years, thinness 5-9 years, Income composition of resources, Schooling</t>
  </si>
  <si>
    <t>k=18, Allow_Intercept=FALSE | Adult Mortality, infant deaths, Alcohol, percentage expenditure, Hepatitis B, Measles, BMI, under-five deaths, Polio, Total expenditure, Diphtheria, HIV/AIDS, GDP, Population, thinness 1-19 years, thinness 5-9 years, Income composition of resources, Schooling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</si>
</sst>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9">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1" fillId="2" borderId="0" xfId="0" applyFont="1" applyFill="1"/>
    <xf numFmtId="0" fontId="0" fillId="3" borderId="0" xfId="0" applyFill="1"/>
    <xf numFmtId="164" fontId="0" fillId="0" borderId="0" xfId="0" applyNumberFormat="1"/>
    <xf numFmtId="2" fontId="0" fillId="0" borderId="0" xfId="0" applyNumberFormat="1"/>
    <xf numFmtId="0" fontId="0" fillId="0" borderId="0" xfId="0" applyBorder="1"/>
    <xf numFmtId="0" fontId="0" fillId="0" borderId="1" xfId="0"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1" xfId="0" applyFont="1" applyBorder="1"/>
    <xf numFmtId="0" fontId="1" fillId="0" borderId="0" xfId="0" applyFont="1" applyBorder="1"/>
    <xf numFmtId="0" fontId="1" fillId="0" borderId="7" xfId="0" applyFont="1" applyBorder="1"/>
    <xf numFmtId="0" fontId="0" fillId="0" borderId="0" xfId="0" applyNumberFormat="1"/>
    <xf numFmtId="1" fontId="0" fillId="0" borderId="0" xfId="0" applyNumberFormat="1"/>
    <xf numFmtId="165" fontId="0" fillId="0" borderId="0" xfId="0" applyNumberFormat="1"/>
    <xf numFmtId="0" fontId="0" fillId="0" borderId="0" xfId="0" applyNumberFormat="1" applyAlignment="1">
      <alignment wrapText="1"/>
    </xf>
    <xf numFmtId="166" fontId="0" fillId="0" borderId="0" xfId="0" applyNumberFormat="1"/>
  </cellXfs>
  <cellStyles count="1">
    <cellStyle name="Normal" xfId="0" builtinId="0"/>
  </cellStyles>
  <dxfs count="28">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65" formatCode="0.0000"/>
    </dxf>
    <dxf>
      <numFmt numFmtId="164" formatCode="0.000"/>
    </dxf>
    <dxf>
      <numFmt numFmtId="165" formatCode="0.0000"/>
    </dxf>
    <dxf>
      <numFmt numFmtId="164" formatCode="0.000"/>
    </dxf>
    <dxf>
      <numFmt numFmtId="2" formatCode="0.00"/>
    </dxf>
    <dxf>
      <numFmt numFmtId="2" formatCode="0.00"/>
    </dxf>
    <dxf>
      <numFmt numFmtId="2" formatCode="0.00"/>
    </dxf>
    <dxf>
      <numFmt numFmtId="2" formatCode="0.00"/>
    </dxf>
    <dxf>
      <numFmt numFmtId="164" formatCode="0.000"/>
    </dxf>
    <dxf>
      <numFmt numFmtId="2" formatCode="0.00"/>
    </dxf>
    <dxf>
      <numFmt numFmtId="2" formatCode="0.00"/>
    </dxf>
    <dxf>
      <numFmt numFmtId="2" formatCode="0.00"/>
    </dxf>
    <dxf>
      <numFmt numFmtId="164" formatCode="0.000"/>
    </dxf>
    <dxf>
      <numFmt numFmtId="164" formatCode="0.000"/>
    </dxf>
    <dxf>
      <numFmt numFmtId="1" formatCode="0"/>
    </dxf>
    <dxf>
      <numFmt numFmtId="164" formatCode="0.000"/>
    </dxf>
    <dxf>
      <numFmt numFmtId="1" formatCode="0"/>
    </dxf>
    <dxf>
      <numFmt numFmtId="1" formatCode="0"/>
    </dxf>
    <dxf>
      <numFmt numFmtId="1"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08925F-FC92-434E-900F-E643BF35DC02}" name="LAMBDAFunctionsCatalog" displayName="LAMBDAFunctionsCatalog" ref="A1:E59" totalsRowShown="0" headerRowDxfId="22" dataDxfId="21">
  <autoFilter ref="A1:E59" xr:uid="{5108925F-FC92-434E-900F-E643BF35DC02}"/>
  <tableColumns count="5">
    <tableColumn id="1" xr3:uid="{506C0A51-867F-41CF-90D3-5AB08B0EFEDD}" name="Function Name" dataDxfId="27"/>
    <tableColumn id="2" xr3:uid="{C4692FCB-FC13-4991-ABC8-5AA84840F190}" name="Definition" dataDxfId="26"/>
    <tableColumn id="3" xr3:uid="{CE400F52-88B4-4FEA-831B-06F84B2E9D8E}" name="Arguments" dataDxfId="25"/>
    <tableColumn id="4" xr3:uid="{9543BABA-E737-4A1F-8114-0AEC5C910FBC}" name="Yields" dataDxfId="24"/>
    <tableColumn id="5" xr3:uid="{CADF8627-8918-417E-B34E-699B7D73E887}" name="Description"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0639A3-BB0F-4770-B396-61A9CB6406B9}" name="LifeExpectancyData" displayName="LifeExpectancyData" ref="A1:W2939" totalsRowShown="0">
  <autoFilter ref="A1:W2939" xr:uid="{EA0639A3-BB0F-4770-B396-61A9CB6406B9}"/>
  <tableColumns count="23">
    <tableColumn id="1" xr3:uid="{60D2B9FB-527C-4C96-A143-9C616931EB10}" name="Country"/>
    <tableColumn id="2" xr3:uid="{AE3F3AD6-A504-429B-942B-98C7653989CD}" name="Year"/>
    <tableColumn id="3" xr3:uid="{6DDC596E-5E4F-456C-98F5-17D00BADECCB}" name="Status"/>
    <tableColumn id="4" xr3:uid="{5C18DA7A-C61E-4804-A01A-1E6616853041}" name="Life expectancy"/>
    <tableColumn id="5" xr3:uid="{504C1C7D-4199-4862-BF88-1B9EBC0A5F51}" name="Adult Mortality"/>
    <tableColumn id="6" xr3:uid="{08762DA5-E72E-407E-A66F-E9865E5ED0D4}" name="infant deaths"/>
    <tableColumn id="7" xr3:uid="{415BE305-8DCA-4D4A-A576-280E32DD55E5}" name="Alcohol"/>
    <tableColumn id="8" xr3:uid="{14BE211A-05AF-406B-8C87-05857C9B355D}" name="percentage expenditure"/>
    <tableColumn id="9" xr3:uid="{6240AECE-72E6-48C5-A50B-2E626EF49A38}" name="Hepatitis B"/>
    <tableColumn id="10" xr3:uid="{0CBCA4EB-6504-48D0-BBC9-5FA1536E5C6B}" name="Measles"/>
    <tableColumn id="11" xr3:uid="{5DDEAFF3-9924-4613-A8BD-DD62891B1337}" name="BMI"/>
    <tableColumn id="12" xr3:uid="{B1D883EB-4A6D-4403-9D08-C6DA36E41192}" name="under-five deaths"/>
    <tableColumn id="13" xr3:uid="{756B0C68-8B39-45AC-B3E9-D116AA1E15BA}" name="Polio"/>
    <tableColumn id="14" xr3:uid="{8C3676FD-99D4-478E-B98B-3CB37C057C6B}" name="Total expenditure"/>
    <tableColumn id="15" xr3:uid="{76AA83C8-6BD1-4D56-8507-D2A86174BCE6}" name="Diphtheria"/>
    <tableColumn id="16" xr3:uid="{0BC2BB8D-1554-4C9D-B0C4-400F3199CE9D}" name="HIV/AIDS"/>
    <tableColumn id="17" xr3:uid="{68FAF46E-558A-442C-9A6E-A0918084166D}" name="GDP"/>
    <tableColumn id="18" xr3:uid="{03C2DCC3-7B17-4DB6-BEE7-94DF93553AB0}" name="Population"/>
    <tableColumn id="19" xr3:uid="{655AAD66-89E5-4168-9FBF-5E53B4622929}" name="thinness 1-19 years"/>
    <tableColumn id="20" xr3:uid="{8DE39E8B-B02B-44C7-A9DE-3DA6C5D39C31}" name="thinness 5-9 years"/>
    <tableColumn id="21" xr3:uid="{BAA71E8D-7853-41B7-B6A4-61ED5BA5EB9C}" name="Income composition of resources"/>
    <tableColumn id="22" xr3:uid="{43251532-5C44-447F-AFF5-999F4856475B}" name="Schooling"/>
    <tableColumn id="23" xr3:uid="{B8E97941-B210-4B14-9992-6AC82EB30AB3}" name="Full_Data">
      <calculatedColumnFormula>COUNT(LifeExpectancyData[[#This Row],[Life expectancy]:[Schooling]])=19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AE589F-4428-4947-84C8-C28272507826}" name="MLR_Scalar_Test" displayName="MLR_Scalar_Test" ref="A1:V9" totalsRowShown="0" headerRowDxfId="0">
  <autoFilter ref="A1:V9" xr:uid="{A0AE589F-4428-4947-84C8-C28272507826}"/>
  <tableColumns count="22">
    <tableColumn id="1" xr3:uid="{EABF0383-F10D-4437-B750-1FC611DBBE2D}" name="X_Variables" dataDxfId="1">
      <calculatedColumnFormula>_xlfn.TEXTJOIN(", ",TRUE,OFFSET(y,-1,1,1,MLR_Scalar_Test[[#This Row],[ind_vars]]))</calculatedColumnFormula>
    </tableColumn>
    <tableColumn id="2" xr3:uid="{60086C82-322E-4DAE-B032-3FCC8BC56FC5}" name="ind_vars"/>
    <tableColumn id="3" xr3:uid="{41DB72FA-6680-45A6-A4C5-CC7C33D6A11D}" name="Allow_Intercept"/>
    <tableColumn id="4" xr3:uid="{DEC6E709-617B-4860-AF97-3889EA7E6ABA}" name="Observations" dataDxfId="20">
      <calculatedColumnFormula>Observations(y, fil)</calculatedColumnFormula>
    </tableColumn>
    <tableColumn id="5" xr3:uid="{C452AE69-B3B6-40D9-9CE0-DB768CC603D9}" name="DF_Regression" dataDxfId="19">
      <calculatedColumnFormula>_xlfn.LET(_xlpm.x_s, OFFSET(y,0,1,ROWS(y),MLR_Scalar_Test[[#This Row],[ind_vars]]), DF_Regression(_xlpm.x_s))</calculatedColumnFormula>
    </tableColumn>
    <tableColumn id="6" xr3:uid="{7F562C89-82FA-4D1A-A4B6-A964D5201D4F}" name="DF_Total" dataDxfId="18">
      <calculatedColumnFormula>DF_Total(y, MLR_Scalar_Test[[#This Row],[Allow_Intercept]], fil)</calculatedColumnFormula>
    </tableColumn>
    <tableColumn id="7" xr3:uid="{F315A9B2-E943-4AA2-9EDB-679E7E14D99B}" name="R_squared" dataDxfId="17">
      <calculatedColumnFormula>_xlfn.LET(_xlpm.x_s, OFFSET(y,0,1,ROWS(y),MLR_Scalar_Test[[#This Row],[ind_vars]]), R_squared(_xlpm.x_s, y, MLR_Scalar_Test[[#This Row],[Allow_Intercept]], fil))</calculatedColumnFormula>
    </tableColumn>
    <tableColumn id="8" xr3:uid="{4506210C-3106-466D-A6F7-6B7CB5717A6A}" name="DF_Residual" dataDxfId="16">
      <calculatedColumnFormula>_xlfn.LET(_xlpm.x_s, OFFSET(y,0,1,ROWS(y),MLR_Scalar_Test[[#This Row],[ind_vars]]), DF_Residual(_xlpm.x_s, y, MLR_Scalar_Test[[#This Row],[Allow_Intercept]], fil))</calculatedColumnFormula>
    </tableColumn>
    <tableColumn id="9" xr3:uid="{A8EF88FA-5C62-4777-BF9A-4A1036C18C03}" name="Multiple_R" dataDxfId="15">
      <calculatedColumnFormula>_xlfn.LET(_xlpm.x_s, OFFSET(y,0,1,ROWS(y),MLR_Scalar_Test[[#This Row],[ind_vars]]), Multiple_R(_xlpm.x_s, y, MLR_Scalar_Test[[#This Row],[Allow_Intercept]], fil))</calculatedColumnFormula>
    </tableColumn>
    <tableColumn id="10" xr3:uid="{3968A2CF-302E-4712-AE47-502DD03BC1E2}" name="Adjusted_R2" dataDxfId="14">
      <calculatedColumnFormula>_xlfn.LET(_xlpm.x_s, OFFSET(y,0,1,ROWS(y),MLR_Scalar_Test[[#This Row],[ind_vars]]), Adjusted_R2(_xlpm.x_s, y, MLR_Scalar_Test[[#This Row],[Allow_Intercept]], fil))</calculatedColumnFormula>
    </tableColumn>
    <tableColumn id="11" xr3:uid="{55842CC4-C24A-400F-8B9E-D372A0F85FBB}" name="SS_Total" dataDxfId="13">
      <calculatedColumnFormula>SS_Total(y, MLR_Scalar_Test[[#This Row],[Allow_Intercept]], fil)</calculatedColumnFormula>
    </tableColumn>
    <tableColumn id="12" xr3:uid="{B3A08CAF-72EA-4DAF-AA92-7BECC8196BB7}" name="SS_Residual" dataDxfId="12">
      <calculatedColumnFormula>_xlfn.LET(_xlpm.x_s, OFFSET(y,0,1,ROWS(y),MLR_Scalar_Test[[#This Row],[ind_vars]]), SS_Residual(_xlpm.x_s, y, MLR_Scalar_Test[[#This Row],[Allow_Intercept]], fil))</calculatedColumnFormula>
    </tableColumn>
    <tableColumn id="13" xr3:uid="{4D0C907A-1DB4-4D9C-9DEA-ED2ACC2AE7E9}" name="SS_Regression" dataDxfId="11">
      <calculatedColumnFormula>_xlfn.LET(_xlpm.x_s, OFFSET(y,0,1,ROWS(y),MLR_Scalar_Test[[#This Row],[ind_vars]]), SS_Regression(_xlpm.x_s, y, MLR_Scalar_Test[[#This Row],[Allow_Intercept]], fil))</calculatedColumnFormula>
    </tableColumn>
    <tableColumn id="14" xr3:uid="{8625EB09-27CB-4645-9EB7-18754A469C31}" name="SE_Regression" dataDxfId="10">
      <calculatedColumnFormula>_xlfn.LET(_xlpm.x_s, OFFSET(y,0,1,ROWS(y),MLR_Scalar_Test[[#This Row],[ind_vars]]), SE_Regression(_xlpm.x_s, y, MLR_Scalar_Test[[#This Row],[Allow_Intercept]], fil))</calculatedColumnFormula>
    </tableColumn>
    <tableColumn id="15" xr3:uid="{5884008F-DAA8-4D79-BF7F-F828F312A418}" name="PRESS" dataDxfId="9">
      <calculatedColumnFormula>_xlfn.LET(_xlpm.x_s, OFFSET(y,0,1,ROWS(y),MLR_Scalar_Test[[#This Row],[ind_vars]]), PRESS(_xlpm.x_s, y, MLR_Scalar_Test[[#This Row],[Allow_Intercept]], fil))</calculatedColumnFormula>
    </tableColumn>
    <tableColumn id="16" xr3:uid="{1B6D767A-327C-45D6-ADD8-4638219A585F}" name="AIC" dataDxfId="8">
      <calculatedColumnFormula>_xlfn.LET(_xlpm.x_s, OFFSET(y,0,1,ROWS(y),MLR_Scalar_Test[[#This Row],[ind_vars]]), AIC(_xlpm.x_s, y, MLR_Scalar_Test[[#This Row],[Allow_Intercept]], fil))</calculatedColumnFormula>
    </tableColumn>
    <tableColumn id="17" xr3:uid="{5F83D60F-A221-4443-BBB1-B9917684496F}" name="BIC" dataDxfId="7">
      <calculatedColumnFormula>_xlfn.LET(_xlpm.x_s, OFFSET(y,0,1,ROWS(y),MLR_Scalar_Test[[#This Row],[ind_vars]]), BIC(_xlpm.x_s, y, MLR_Scalar_Test[[#This Row],[Allow_Intercept]], fil))</calculatedColumnFormula>
    </tableColumn>
    <tableColumn id="18" xr3:uid="{C540C370-CDF4-421D-B1E0-3CED37AA103B}" name="AICc" dataDxfId="6">
      <calculatedColumnFormula>_xlfn.LET(_xlpm.x_s, OFFSET(y,0,1,ROWS(y),MLR_Scalar_Test[[#This Row],[ind_vars]]), AICc(_xlpm.x_s, y, MLR_Scalar_Test[[#This Row],[Allow_Intercept]], fil))</calculatedColumnFormula>
    </tableColumn>
    <tableColumn id="19" xr3:uid="{7310637A-5146-4A36-B394-5044936413F3}" name="Durbin_Watson" dataDxfId="5">
      <calculatedColumnFormula>_xlfn.LET(_xlpm.x_s, OFFSET(y,0,1,ROWS(y),MLR_Scalar_Test[[#This Row],[ind_vars]]), Durbin_Watson(_xlpm.x_s, y, MLR_Scalar_Test[[#This Row],[Allow_Intercept]], fil))</calculatedColumnFormula>
    </tableColumn>
    <tableColumn id="20" xr3:uid="{64D11D85-DC6E-4107-8C9E-44AA5F0C929F}" name="QQ_Correlation" dataDxfId="4">
      <calculatedColumnFormula>_xlfn.LET(_xlpm.x_s, OFFSET(y,0,1,ROWS(y),MLR_Scalar_Test[[#This Row],[ind_vars]]), QQ_Correlation(_xlpm.x_s, y, MLR_Scalar_Test[[#This Row],[Allow_Intercept]], fil))</calculatedColumnFormula>
    </tableColumn>
    <tableColumn id="21" xr3:uid="{1EACD266-DFF5-401D-9C84-7D867B111171}" name="F_Stat" dataDxfId="3">
      <calculatedColumnFormula>_xlfn.LET(_xlpm.x_s, OFFSET(y,0,1,ROWS(y),MLR_Scalar_Test[[#This Row],[ind_vars]]), F_Stat(_xlpm.x_s, y, MLR_Scalar_Test[[#This Row],[Allow_Intercept]], fil))</calculatedColumnFormula>
    </tableColumn>
    <tableColumn id="22" xr3:uid="{2FCEE271-E6D3-48FA-8035-0566623C8D04}" name="P_Value_F" dataDxfId="2">
      <calculatedColumnFormula>_xlfn.LET(_xlpm.x_s, OFFSET(y,0,1,ROWS(y),MLR_Scalar_Test[[#This Row],[ind_vars]]), P_Value_F(_xlpm.x_s, y, MLR_Scalar_Test[[#This Row],[Allow_Intercept]], fil))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39CA-7546-486D-80D1-5C220B1406DF}">
  <dimension ref="A1:E59"/>
  <sheetViews>
    <sheetView workbookViewId="0">
      <pane ySplit="1" topLeftCell="A2" activePane="bottomLeft" state="frozenSplit"/>
      <selection pane="bottomLeft"/>
    </sheetView>
  </sheetViews>
  <sheetFormatPr defaultRowHeight="15" x14ac:dyDescent="0.25"/>
  <cols>
    <col min="1" max="1" width="18.7109375" customWidth="1"/>
    <col min="2" max="2" width="72.7109375" customWidth="1"/>
    <col min="3" max="3" width="30.7109375" customWidth="1"/>
    <col min="4" max="4" width="15.7109375" customWidth="1"/>
    <col min="5" max="5" width="66.7109375" customWidth="1"/>
  </cols>
  <sheetData>
    <row r="1" spans="1:5" x14ac:dyDescent="0.25">
      <c r="A1" s="2" t="s">
        <v>0</v>
      </c>
      <c r="B1" s="2" t="s">
        <v>1</v>
      </c>
      <c r="C1" s="2" t="s">
        <v>2</v>
      </c>
      <c r="D1" s="2" t="s">
        <v>3</v>
      </c>
      <c r="E1" s="2" t="s">
        <v>4</v>
      </c>
    </row>
    <row r="2" spans="1:5" ht="90" x14ac:dyDescent="0.25">
      <c r="A2" s="2" t="s">
        <v>5</v>
      </c>
      <c r="B2" s="1" t="s">
        <v>6</v>
      </c>
      <c r="C2" s="2" t="s">
        <v>7</v>
      </c>
      <c r="D2" s="2" t="s">
        <v>8</v>
      </c>
      <c r="E2" s="2" t="s">
        <v>9</v>
      </c>
    </row>
    <row r="3" spans="1:5" ht="105" x14ac:dyDescent="0.25">
      <c r="A3" s="2" t="s">
        <v>10</v>
      </c>
      <c r="B3" s="1" t="s">
        <v>11</v>
      </c>
      <c r="C3" s="2" t="s">
        <v>12</v>
      </c>
      <c r="D3" s="2" t="s">
        <v>13</v>
      </c>
      <c r="E3" s="2" t="s">
        <v>14</v>
      </c>
    </row>
    <row r="4" spans="1:5" ht="105" x14ac:dyDescent="0.25">
      <c r="A4" s="2" t="s">
        <v>15</v>
      </c>
      <c r="B4" s="1" t="s">
        <v>16</v>
      </c>
      <c r="C4" s="2" t="s">
        <v>17</v>
      </c>
      <c r="D4" s="2" t="s">
        <v>18</v>
      </c>
      <c r="E4" s="2" t="s">
        <v>19</v>
      </c>
    </row>
    <row r="5" spans="1:5" ht="120" x14ac:dyDescent="0.25">
      <c r="A5" s="2" t="s">
        <v>20</v>
      </c>
      <c r="B5" s="1" t="s">
        <v>21</v>
      </c>
      <c r="C5" s="2" t="s">
        <v>22</v>
      </c>
      <c r="D5" s="2" t="s">
        <v>23</v>
      </c>
      <c r="E5" s="2" t="s">
        <v>24</v>
      </c>
    </row>
    <row r="6" spans="1:5" ht="120" x14ac:dyDescent="0.25">
      <c r="A6" s="2" t="s">
        <v>25</v>
      </c>
      <c r="B6" s="1" t="s">
        <v>26</v>
      </c>
      <c r="C6" s="2" t="s">
        <v>22</v>
      </c>
      <c r="D6" s="2" t="s">
        <v>27</v>
      </c>
      <c r="E6" s="2" t="s">
        <v>28</v>
      </c>
    </row>
    <row r="7" spans="1:5" ht="120" x14ac:dyDescent="0.25">
      <c r="A7" s="2" t="s">
        <v>29</v>
      </c>
      <c r="B7" s="1" t="s">
        <v>30</v>
      </c>
      <c r="C7" s="2" t="s">
        <v>22</v>
      </c>
      <c r="D7" s="2" t="s">
        <v>31</v>
      </c>
      <c r="E7" s="2" t="s">
        <v>32</v>
      </c>
    </row>
    <row r="8" spans="1:5" ht="150" x14ac:dyDescent="0.25">
      <c r="A8" s="2" t="s">
        <v>33</v>
      </c>
      <c r="B8" s="1" t="s">
        <v>34</v>
      </c>
      <c r="C8" s="2" t="s">
        <v>22</v>
      </c>
      <c r="D8" s="2" t="s">
        <v>35</v>
      </c>
      <c r="E8" s="2" t="s">
        <v>36</v>
      </c>
    </row>
    <row r="9" spans="1:5" ht="120" x14ac:dyDescent="0.25">
      <c r="A9" s="2" t="s">
        <v>37</v>
      </c>
      <c r="B9" s="1" t="s">
        <v>38</v>
      </c>
      <c r="C9" s="2" t="s">
        <v>17</v>
      </c>
      <c r="D9" s="2" t="s">
        <v>39</v>
      </c>
      <c r="E9" s="2" t="s">
        <v>40</v>
      </c>
    </row>
    <row r="10" spans="1:5" ht="120" x14ac:dyDescent="0.25">
      <c r="A10" s="2" t="s">
        <v>41</v>
      </c>
      <c r="B10" s="1" t="s">
        <v>42</v>
      </c>
      <c r="C10" s="2" t="s">
        <v>22</v>
      </c>
      <c r="D10" s="2" t="s">
        <v>43</v>
      </c>
      <c r="E10" s="2" t="s">
        <v>44</v>
      </c>
    </row>
    <row r="11" spans="1:5" ht="120" x14ac:dyDescent="0.25">
      <c r="A11" s="2" t="s">
        <v>45</v>
      </c>
      <c r="B11" s="1" t="s">
        <v>46</v>
      </c>
      <c r="C11" s="2" t="s">
        <v>22</v>
      </c>
      <c r="D11" s="2" t="s">
        <v>47</v>
      </c>
      <c r="E11" s="2" t="s">
        <v>48</v>
      </c>
    </row>
    <row r="12" spans="1:5" ht="120" x14ac:dyDescent="0.25">
      <c r="A12" s="2" t="s">
        <v>49</v>
      </c>
      <c r="B12" s="1" t="s">
        <v>50</v>
      </c>
      <c r="C12" s="2" t="s">
        <v>22</v>
      </c>
      <c r="D12" s="2" t="s">
        <v>51</v>
      </c>
      <c r="E12" s="2" t="s">
        <v>52</v>
      </c>
    </row>
    <row r="13" spans="1:5" ht="120" x14ac:dyDescent="0.25">
      <c r="A13" s="2" t="s">
        <v>53</v>
      </c>
      <c r="B13" s="1" t="s">
        <v>54</v>
      </c>
      <c r="C13" s="2" t="s">
        <v>22</v>
      </c>
      <c r="D13" s="2" t="s">
        <v>55</v>
      </c>
      <c r="E13" s="2" t="s">
        <v>56</v>
      </c>
    </row>
    <row r="14" spans="1:5" ht="120" x14ac:dyDescent="0.25">
      <c r="A14" s="2" t="s">
        <v>57</v>
      </c>
      <c r="B14" s="1" t="s">
        <v>58</v>
      </c>
      <c r="C14" s="2" t="s">
        <v>22</v>
      </c>
      <c r="D14" s="2" t="s">
        <v>59</v>
      </c>
      <c r="E14" s="2" t="s">
        <v>60</v>
      </c>
    </row>
    <row r="15" spans="1:5" ht="135" x14ac:dyDescent="0.25">
      <c r="A15" s="2" t="s">
        <v>61</v>
      </c>
      <c r="B15" s="1" t="s">
        <v>62</v>
      </c>
      <c r="C15" s="2" t="s">
        <v>22</v>
      </c>
      <c r="D15" s="2" t="s">
        <v>63</v>
      </c>
      <c r="E15" s="2" t="s">
        <v>64</v>
      </c>
    </row>
    <row r="16" spans="1:5" ht="135" x14ac:dyDescent="0.25">
      <c r="A16" s="2" t="s">
        <v>65</v>
      </c>
      <c r="B16" s="1" t="s">
        <v>66</v>
      </c>
      <c r="C16" s="2" t="s">
        <v>22</v>
      </c>
      <c r="D16" s="2" t="s">
        <v>67</v>
      </c>
      <c r="E16" s="2" t="s">
        <v>68</v>
      </c>
    </row>
    <row r="17" spans="1:5" ht="135" x14ac:dyDescent="0.25">
      <c r="A17" s="2" t="s">
        <v>69</v>
      </c>
      <c r="B17" s="1" t="s">
        <v>70</v>
      </c>
      <c r="C17" s="2" t="s">
        <v>22</v>
      </c>
      <c r="D17" s="2" t="s">
        <v>71</v>
      </c>
      <c r="E17" s="2" t="s">
        <v>72</v>
      </c>
    </row>
    <row r="18" spans="1:5" ht="150" x14ac:dyDescent="0.25">
      <c r="A18" s="2" t="s">
        <v>73</v>
      </c>
      <c r="B18" s="1" t="s">
        <v>74</v>
      </c>
      <c r="C18" s="2" t="s">
        <v>22</v>
      </c>
      <c r="D18" s="2" t="s">
        <v>75</v>
      </c>
      <c r="E18" s="2" t="s">
        <v>76</v>
      </c>
    </row>
    <row r="19" spans="1:5" ht="135" x14ac:dyDescent="0.25">
      <c r="A19" s="2" t="s">
        <v>77</v>
      </c>
      <c r="B19" s="1" t="s">
        <v>78</v>
      </c>
      <c r="C19" s="2" t="s">
        <v>22</v>
      </c>
      <c r="D19" s="2" t="s">
        <v>79</v>
      </c>
      <c r="E19" s="2" t="s">
        <v>80</v>
      </c>
    </row>
    <row r="20" spans="1:5" ht="135" x14ac:dyDescent="0.25">
      <c r="A20" s="2" t="s">
        <v>81</v>
      </c>
      <c r="B20" s="1" t="s">
        <v>82</v>
      </c>
      <c r="C20" s="2" t="s">
        <v>22</v>
      </c>
      <c r="D20" s="2" t="s">
        <v>83</v>
      </c>
      <c r="E20" s="2" t="s">
        <v>84</v>
      </c>
    </row>
    <row r="21" spans="1:5" ht="165" x14ac:dyDescent="0.25">
      <c r="A21" s="2" t="s">
        <v>85</v>
      </c>
      <c r="B21" s="1" t="s">
        <v>86</v>
      </c>
      <c r="C21" s="2" t="s">
        <v>22</v>
      </c>
      <c r="D21" s="2" t="s">
        <v>87</v>
      </c>
      <c r="E21" s="2" t="s">
        <v>88</v>
      </c>
    </row>
    <row r="22" spans="1:5" ht="180" x14ac:dyDescent="0.25">
      <c r="A22" s="2" t="s">
        <v>89</v>
      </c>
      <c r="B22" s="1" t="s">
        <v>90</v>
      </c>
      <c r="C22" s="2" t="s">
        <v>22</v>
      </c>
      <c r="D22" s="2" t="s">
        <v>91</v>
      </c>
      <c r="E22" s="2" t="s">
        <v>92</v>
      </c>
    </row>
    <row r="23" spans="1:5" ht="120" x14ac:dyDescent="0.25">
      <c r="A23" s="2" t="s">
        <v>93</v>
      </c>
      <c r="B23" s="1" t="s">
        <v>94</v>
      </c>
      <c r="C23" s="2" t="s">
        <v>22</v>
      </c>
      <c r="D23" s="2" t="s">
        <v>95</v>
      </c>
      <c r="E23" s="2" t="s">
        <v>96</v>
      </c>
    </row>
    <row r="24" spans="1:5" ht="120" x14ac:dyDescent="0.25">
      <c r="A24" s="2" t="s">
        <v>97</v>
      </c>
      <c r="B24" s="1" t="s">
        <v>98</v>
      </c>
      <c r="C24" s="2" t="s">
        <v>22</v>
      </c>
      <c r="D24" s="2" t="s">
        <v>99</v>
      </c>
      <c r="E24" s="2" t="s">
        <v>100</v>
      </c>
    </row>
    <row r="25" spans="1:5" ht="150" x14ac:dyDescent="0.25">
      <c r="A25" s="2" t="s">
        <v>101</v>
      </c>
      <c r="B25" s="1" t="s">
        <v>102</v>
      </c>
      <c r="C25" s="2" t="s">
        <v>103</v>
      </c>
      <c r="D25" s="2" t="s">
        <v>104</v>
      </c>
      <c r="E25" s="2" t="s">
        <v>105</v>
      </c>
    </row>
    <row r="26" spans="1:5" ht="150" x14ac:dyDescent="0.25">
      <c r="A26" s="2" t="s">
        <v>106</v>
      </c>
      <c r="B26" s="1" t="s">
        <v>107</v>
      </c>
      <c r="C26" s="2" t="s">
        <v>103</v>
      </c>
      <c r="D26" s="2" t="s">
        <v>108</v>
      </c>
      <c r="E26" s="2" t="s">
        <v>109</v>
      </c>
    </row>
    <row r="27" spans="1:5" ht="120" x14ac:dyDescent="0.25">
      <c r="A27" s="2" t="s">
        <v>110</v>
      </c>
      <c r="B27" s="1" t="s">
        <v>111</v>
      </c>
      <c r="C27" s="2" t="s">
        <v>22</v>
      </c>
      <c r="D27" s="2" t="s">
        <v>112</v>
      </c>
      <c r="E27" s="2" t="s">
        <v>113</v>
      </c>
    </row>
    <row r="28" spans="1:5" ht="120" x14ac:dyDescent="0.25">
      <c r="A28" s="2" t="s">
        <v>114</v>
      </c>
      <c r="B28" s="1" t="s">
        <v>115</v>
      </c>
      <c r="C28" s="2" t="s">
        <v>22</v>
      </c>
      <c r="D28" s="2" t="s">
        <v>116</v>
      </c>
      <c r="E28" s="2" t="s">
        <v>117</v>
      </c>
    </row>
    <row r="29" spans="1:5" ht="300" x14ac:dyDescent="0.25">
      <c r="A29" s="2" t="s">
        <v>118</v>
      </c>
      <c r="B29" s="1" t="s">
        <v>119</v>
      </c>
      <c r="C29" s="2" t="s">
        <v>120</v>
      </c>
      <c r="D29" s="2" t="s">
        <v>121</v>
      </c>
      <c r="E29" s="2" t="s">
        <v>122</v>
      </c>
    </row>
    <row r="30" spans="1:5" ht="120" x14ac:dyDescent="0.25">
      <c r="A30" s="2" t="s">
        <v>123</v>
      </c>
      <c r="B30" s="1" t="s">
        <v>124</v>
      </c>
      <c r="C30" s="2" t="s">
        <v>125</v>
      </c>
      <c r="D30" s="2" t="s">
        <v>126</v>
      </c>
      <c r="E30" s="2" t="s">
        <v>127</v>
      </c>
    </row>
    <row r="31" spans="1:5" ht="405" x14ac:dyDescent="0.25">
      <c r="A31" s="2" t="s">
        <v>128</v>
      </c>
      <c r="B31" s="1" t="s">
        <v>129</v>
      </c>
      <c r="C31" s="2" t="s">
        <v>130</v>
      </c>
      <c r="D31" s="2" t="s">
        <v>131</v>
      </c>
      <c r="E31" s="2" t="s">
        <v>132</v>
      </c>
    </row>
    <row r="32" spans="1:5" ht="60" x14ac:dyDescent="0.25">
      <c r="A32" s="2" t="s">
        <v>133</v>
      </c>
      <c r="B32" s="1" t="s">
        <v>134</v>
      </c>
      <c r="C32" s="2" t="s">
        <v>7</v>
      </c>
      <c r="D32" s="2" t="s">
        <v>135</v>
      </c>
      <c r="E32" s="2" t="s">
        <v>136</v>
      </c>
    </row>
    <row r="33" spans="1:5" ht="90" x14ac:dyDescent="0.25">
      <c r="A33" s="2" t="s">
        <v>137</v>
      </c>
      <c r="B33" s="1" t="s">
        <v>138</v>
      </c>
      <c r="C33" s="2" t="s">
        <v>7</v>
      </c>
      <c r="D33" s="2" t="s">
        <v>139</v>
      </c>
      <c r="E33" s="2" t="s">
        <v>140</v>
      </c>
    </row>
    <row r="34" spans="1:5" ht="60" x14ac:dyDescent="0.25">
      <c r="A34" s="2" t="s">
        <v>141</v>
      </c>
      <c r="B34" s="1" t="s">
        <v>142</v>
      </c>
      <c r="C34" s="2" t="s">
        <v>7</v>
      </c>
      <c r="D34" s="2" t="s">
        <v>143</v>
      </c>
      <c r="E34" s="2" t="s">
        <v>144</v>
      </c>
    </row>
    <row r="35" spans="1:5" ht="75" x14ac:dyDescent="0.25">
      <c r="A35" s="2" t="s">
        <v>145</v>
      </c>
      <c r="B35" s="1" t="s">
        <v>146</v>
      </c>
      <c r="C35" s="2" t="s">
        <v>7</v>
      </c>
      <c r="D35" s="2" t="s">
        <v>147</v>
      </c>
      <c r="E35" s="2" t="s">
        <v>148</v>
      </c>
    </row>
    <row r="36" spans="1:5" ht="120" x14ac:dyDescent="0.25">
      <c r="A36" s="2" t="s">
        <v>149</v>
      </c>
      <c r="B36" s="1" t="s">
        <v>150</v>
      </c>
      <c r="C36" s="2" t="s">
        <v>7</v>
      </c>
      <c r="D36" s="2" t="s">
        <v>151</v>
      </c>
      <c r="E36" s="2" t="s">
        <v>152</v>
      </c>
    </row>
    <row r="37" spans="1:5" ht="165" x14ac:dyDescent="0.25">
      <c r="A37" s="2" t="s">
        <v>153</v>
      </c>
      <c r="B37" s="1" t="s">
        <v>154</v>
      </c>
      <c r="C37" s="2" t="s">
        <v>155</v>
      </c>
      <c r="D37" s="2" t="s">
        <v>156</v>
      </c>
      <c r="E37" s="2" t="s">
        <v>157</v>
      </c>
    </row>
    <row r="38" spans="1:5" ht="105" x14ac:dyDescent="0.25">
      <c r="A38" s="2" t="s">
        <v>158</v>
      </c>
      <c r="B38" s="1" t="s">
        <v>159</v>
      </c>
      <c r="C38" s="2" t="s">
        <v>160</v>
      </c>
      <c r="D38" s="2" t="s">
        <v>161</v>
      </c>
      <c r="E38" s="2" t="s">
        <v>162</v>
      </c>
    </row>
    <row r="39" spans="1:5" ht="135" x14ac:dyDescent="0.25">
      <c r="A39" s="2" t="s">
        <v>163</v>
      </c>
      <c r="B39" s="1" t="s">
        <v>164</v>
      </c>
      <c r="C39" s="2" t="s">
        <v>22</v>
      </c>
      <c r="D39" s="2" t="s">
        <v>165</v>
      </c>
      <c r="E39" s="2" t="s">
        <v>166</v>
      </c>
    </row>
    <row r="40" spans="1:5" ht="120" x14ac:dyDescent="0.25">
      <c r="A40" s="2" t="s">
        <v>167</v>
      </c>
      <c r="B40" s="1" t="s">
        <v>168</v>
      </c>
      <c r="C40" s="2" t="s">
        <v>22</v>
      </c>
      <c r="D40" s="2" t="s">
        <v>169</v>
      </c>
      <c r="E40" s="2" t="s">
        <v>170</v>
      </c>
    </row>
    <row r="41" spans="1:5" ht="120" x14ac:dyDescent="0.25">
      <c r="A41" s="2" t="s">
        <v>171</v>
      </c>
      <c r="B41" s="1" t="s">
        <v>172</v>
      </c>
      <c r="C41" s="2" t="s">
        <v>22</v>
      </c>
      <c r="D41" s="2" t="s">
        <v>173</v>
      </c>
      <c r="E41" s="2" t="s">
        <v>174</v>
      </c>
    </row>
    <row r="42" spans="1:5" ht="105" x14ac:dyDescent="0.25">
      <c r="A42" s="2" t="s">
        <v>175</v>
      </c>
      <c r="B42" s="1" t="s">
        <v>176</v>
      </c>
      <c r="C42" s="2" t="s">
        <v>177</v>
      </c>
      <c r="D42" s="2" t="s">
        <v>178</v>
      </c>
      <c r="E42" s="2" t="s">
        <v>179</v>
      </c>
    </row>
    <row r="43" spans="1:5" ht="210" x14ac:dyDescent="0.25">
      <c r="A43" s="2" t="s">
        <v>180</v>
      </c>
      <c r="B43" s="1" t="s">
        <v>181</v>
      </c>
      <c r="C43" s="2" t="s">
        <v>182</v>
      </c>
      <c r="D43" s="2" t="s">
        <v>183</v>
      </c>
      <c r="E43" s="2" t="s">
        <v>184</v>
      </c>
    </row>
    <row r="44" spans="1:5" ht="195" x14ac:dyDescent="0.25">
      <c r="A44" s="2" t="s">
        <v>185</v>
      </c>
      <c r="B44" s="1" t="s">
        <v>186</v>
      </c>
      <c r="C44" s="2" t="s">
        <v>187</v>
      </c>
      <c r="D44" s="2" t="s">
        <v>188</v>
      </c>
      <c r="E44" s="2" t="s">
        <v>189</v>
      </c>
    </row>
    <row r="45" spans="1:5" ht="150" x14ac:dyDescent="0.25">
      <c r="A45" s="2" t="s">
        <v>190</v>
      </c>
      <c r="B45" s="1" t="s">
        <v>191</v>
      </c>
      <c r="C45" s="2" t="s">
        <v>22</v>
      </c>
      <c r="D45" s="2" t="s">
        <v>192</v>
      </c>
      <c r="E45" s="2" t="s">
        <v>193</v>
      </c>
    </row>
    <row r="46" spans="1:5" ht="150" x14ac:dyDescent="0.25">
      <c r="A46" s="2" t="s">
        <v>194</v>
      </c>
      <c r="B46" s="1" t="s">
        <v>195</v>
      </c>
      <c r="C46" s="2" t="s">
        <v>155</v>
      </c>
      <c r="D46" s="2" t="s">
        <v>196</v>
      </c>
      <c r="E46" s="2" t="s">
        <v>197</v>
      </c>
    </row>
    <row r="47" spans="1:5" ht="135" x14ac:dyDescent="0.25">
      <c r="A47" s="2" t="s">
        <v>198</v>
      </c>
      <c r="B47" s="1" t="s">
        <v>199</v>
      </c>
      <c r="C47" s="2" t="s">
        <v>22</v>
      </c>
      <c r="D47" s="2" t="s">
        <v>200</v>
      </c>
      <c r="E47" s="2" t="s">
        <v>201</v>
      </c>
    </row>
    <row r="48" spans="1:5" ht="120" x14ac:dyDescent="0.25">
      <c r="A48" s="2" t="s">
        <v>202</v>
      </c>
      <c r="B48" s="1" t="s">
        <v>203</v>
      </c>
      <c r="C48" s="2" t="s">
        <v>22</v>
      </c>
      <c r="D48" s="2" t="s">
        <v>204</v>
      </c>
      <c r="E48" s="2" t="s">
        <v>205</v>
      </c>
    </row>
    <row r="49" spans="1:5" ht="135" x14ac:dyDescent="0.25">
      <c r="A49" s="2" t="s">
        <v>206</v>
      </c>
      <c r="B49" s="1" t="s">
        <v>207</v>
      </c>
      <c r="C49" s="2" t="s">
        <v>22</v>
      </c>
      <c r="D49" s="2" t="s">
        <v>208</v>
      </c>
      <c r="E49" s="2" t="s">
        <v>209</v>
      </c>
    </row>
    <row r="50" spans="1:5" ht="120" x14ac:dyDescent="0.25">
      <c r="A50" s="2" t="s">
        <v>210</v>
      </c>
      <c r="B50" s="1" t="s">
        <v>211</v>
      </c>
      <c r="C50" s="2" t="s">
        <v>22</v>
      </c>
      <c r="D50" s="2" t="s">
        <v>212</v>
      </c>
      <c r="E50" s="2" t="s">
        <v>213</v>
      </c>
    </row>
    <row r="51" spans="1:5" ht="135" x14ac:dyDescent="0.25">
      <c r="A51" s="2" t="s">
        <v>214</v>
      </c>
      <c r="B51" s="1" t="s">
        <v>215</v>
      </c>
      <c r="C51" s="2" t="s">
        <v>216</v>
      </c>
      <c r="D51" s="2" t="s">
        <v>217</v>
      </c>
      <c r="E51" s="2" t="s">
        <v>218</v>
      </c>
    </row>
    <row r="52" spans="1:5" ht="150" x14ac:dyDescent="0.25">
      <c r="A52" s="2" t="s">
        <v>219</v>
      </c>
      <c r="B52" s="1" t="s">
        <v>220</v>
      </c>
      <c r="C52" s="2" t="s">
        <v>221</v>
      </c>
      <c r="D52" s="2" t="s">
        <v>222</v>
      </c>
      <c r="E52" s="2" t="s">
        <v>223</v>
      </c>
    </row>
    <row r="53" spans="1:5" ht="150" x14ac:dyDescent="0.25">
      <c r="A53" s="2" t="s">
        <v>224</v>
      </c>
      <c r="B53" s="1" t="s">
        <v>225</v>
      </c>
      <c r="C53" s="2" t="s">
        <v>226</v>
      </c>
      <c r="D53" s="2" t="s">
        <v>227</v>
      </c>
      <c r="E53" s="2" t="s">
        <v>228</v>
      </c>
    </row>
    <row r="54" spans="1:5" ht="315" x14ac:dyDescent="0.25">
      <c r="A54" s="2" t="s">
        <v>229</v>
      </c>
      <c r="B54" s="1" t="s">
        <v>230</v>
      </c>
      <c r="C54" s="2" t="s">
        <v>231</v>
      </c>
      <c r="D54" s="2" t="s">
        <v>232</v>
      </c>
      <c r="E54" s="2" t="s">
        <v>233</v>
      </c>
    </row>
    <row r="55" spans="1:5" ht="135" x14ac:dyDescent="0.25">
      <c r="A55" s="2" t="s">
        <v>234</v>
      </c>
      <c r="B55" s="1" t="s">
        <v>235</v>
      </c>
      <c r="C55" s="2" t="s">
        <v>236</v>
      </c>
      <c r="D55" s="2" t="s">
        <v>237</v>
      </c>
      <c r="E55" s="2" t="s">
        <v>238</v>
      </c>
    </row>
    <row r="56" spans="1:5" ht="150" x14ac:dyDescent="0.25">
      <c r="A56" s="2" t="s">
        <v>239</v>
      </c>
      <c r="B56" s="1" t="s">
        <v>240</v>
      </c>
      <c r="C56" s="2" t="s">
        <v>236</v>
      </c>
      <c r="D56" s="2" t="s">
        <v>241</v>
      </c>
      <c r="E56" s="2" t="s">
        <v>242</v>
      </c>
    </row>
    <row r="57" spans="1:5" ht="165" x14ac:dyDescent="0.25">
      <c r="A57" s="2" t="s">
        <v>243</v>
      </c>
      <c r="B57" s="1" t="s">
        <v>244</v>
      </c>
      <c r="C57" s="2" t="s">
        <v>22</v>
      </c>
      <c r="D57" s="2" t="s">
        <v>245</v>
      </c>
      <c r="E57" s="2" t="s">
        <v>246</v>
      </c>
    </row>
    <row r="58" spans="1:5" ht="150" x14ac:dyDescent="0.25">
      <c r="A58" s="2" t="s">
        <v>247</v>
      </c>
      <c r="B58" s="1" t="s">
        <v>248</v>
      </c>
      <c r="C58" s="2" t="s">
        <v>22</v>
      </c>
      <c r="D58" s="2" t="s">
        <v>249</v>
      </c>
      <c r="E58" s="2" t="s">
        <v>250</v>
      </c>
    </row>
    <row r="59" spans="1:5" ht="150" x14ac:dyDescent="0.25">
      <c r="A59" s="2" t="s">
        <v>251</v>
      </c>
      <c r="B59" s="1" t="s">
        <v>252</v>
      </c>
      <c r="C59" s="2" t="s">
        <v>253</v>
      </c>
      <c r="D59" s="2" t="s">
        <v>254</v>
      </c>
      <c r="E59" s="2" t="s">
        <v>255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EA03B-A14B-4C4C-AB14-133FE3D8B58F}">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256</v>
      </c>
      <c r="B1" t="s">
        <v>257</v>
      </c>
      <c r="C1" t="s">
        <v>258</v>
      </c>
      <c r="D1" t="s">
        <v>259</v>
      </c>
      <c r="E1" t="s">
        <v>260</v>
      </c>
      <c r="F1" t="s">
        <v>261</v>
      </c>
      <c r="G1" t="s">
        <v>262</v>
      </c>
      <c r="H1" t="s">
        <v>263</v>
      </c>
      <c r="I1" t="s">
        <v>264</v>
      </c>
      <c r="J1" t="s">
        <v>265</v>
      </c>
      <c r="K1" t="s">
        <v>266</v>
      </c>
      <c r="L1" t="s">
        <v>267</v>
      </c>
      <c r="M1" t="s">
        <v>268</v>
      </c>
      <c r="N1" t="s">
        <v>269</v>
      </c>
      <c r="O1" t="s">
        <v>270</v>
      </c>
      <c r="P1" t="s">
        <v>271</v>
      </c>
      <c r="Q1" t="s">
        <v>272</v>
      </c>
      <c r="R1" t="s">
        <v>273</v>
      </c>
      <c r="S1" t="s">
        <v>274</v>
      </c>
      <c r="T1" t="s">
        <v>275</v>
      </c>
      <c r="U1" t="s">
        <v>276</v>
      </c>
      <c r="V1" t="s">
        <v>277</v>
      </c>
      <c r="W1" t="s">
        <v>278</v>
      </c>
    </row>
    <row r="2" spans="1:23" x14ac:dyDescent="0.25">
      <c r="A2" t="s">
        <v>279</v>
      </c>
      <c r="B2">
        <v>2015</v>
      </c>
      <c r="C2" t="s">
        <v>280</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COUNT(LifeExpectancyData[[#This Row],[Life expectancy]:[Schooling]])=19</f>
        <v>1</v>
      </c>
    </row>
    <row r="3" spans="1:23" x14ac:dyDescent="0.25">
      <c r="A3" t="s">
        <v>279</v>
      </c>
      <c r="B3">
        <v>2014</v>
      </c>
      <c r="C3" t="s">
        <v>280</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COUNT(LifeExpectancyData[[#This Row],[Life expectancy]:[Schooling]])=19</f>
        <v>1</v>
      </c>
    </row>
    <row r="4" spans="1:23" x14ac:dyDescent="0.25">
      <c r="A4" t="s">
        <v>279</v>
      </c>
      <c r="B4">
        <v>2013</v>
      </c>
      <c r="C4" t="s">
        <v>280</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COUNT(LifeExpectancyData[[#This Row],[Life expectancy]:[Schooling]])=19</f>
        <v>1</v>
      </c>
    </row>
    <row r="5" spans="1:23" x14ac:dyDescent="0.25">
      <c r="A5" t="s">
        <v>279</v>
      </c>
      <c r="B5">
        <v>2012</v>
      </c>
      <c r="C5" t="s">
        <v>280</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COUNT(LifeExpectancyData[[#This Row],[Life expectancy]:[Schooling]])=19</f>
        <v>1</v>
      </c>
    </row>
    <row r="6" spans="1:23" x14ac:dyDescent="0.25">
      <c r="A6" t="s">
        <v>279</v>
      </c>
      <c r="B6">
        <v>2011</v>
      </c>
      <c r="C6" t="s">
        <v>280</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COUNT(LifeExpectancyData[[#This Row],[Life expectancy]:[Schooling]])=19</f>
        <v>1</v>
      </c>
    </row>
    <row r="7" spans="1:23" x14ac:dyDescent="0.25">
      <c r="A7" t="s">
        <v>279</v>
      </c>
      <c r="B7">
        <v>2010</v>
      </c>
      <c r="C7" t="s">
        <v>280</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COUNT(LifeExpectancyData[[#This Row],[Life expectancy]:[Schooling]])=19</f>
        <v>1</v>
      </c>
    </row>
    <row r="8" spans="1:23" x14ac:dyDescent="0.25">
      <c r="A8" t="s">
        <v>279</v>
      </c>
      <c r="B8">
        <v>2009</v>
      </c>
      <c r="C8" t="s">
        <v>280</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COUNT(LifeExpectancyData[[#This Row],[Life expectancy]:[Schooling]])=19</f>
        <v>1</v>
      </c>
    </row>
    <row r="9" spans="1:23" x14ac:dyDescent="0.25">
      <c r="A9" t="s">
        <v>279</v>
      </c>
      <c r="B9">
        <v>2008</v>
      </c>
      <c r="C9" t="s">
        <v>280</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COUNT(LifeExpectancyData[[#This Row],[Life expectancy]:[Schooling]])=19</f>
        <v>1</v>
      </c>
    </row>
    <row r="10" spans="1:23" x14ac:dyDescent="0.25">
      <c r="A10" t="s">
        <v>279</v>
      </c>
      <c r="B10">
        <v>2007</v>
      </c>
      <c r="C10" t="s">
        <v>280</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COUNT(LifeExpectancyData[[#This Row],[Life expectancy]:[Schooling]])=19</f>
        <v>1</v>
      </c>
    </row>
    <row r="11" spans="1:23" x14ac:dyDescent="0.25">
      <c r="A11" t="s">
        <v>279</v>
      </c>
      <c r="B11">
        <v>2006</v>
      </c>
      <c r="C11" t="s">
        <v>280</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COUNT(LifeExpectancyData[[#This Row],[Life expectancy]:[Schooling]])=19</f>
        <v>1</v>
      </c>
    </row>
    <row r="12" spans="1:23" x14ac:dyDescent="0.25">
      <c r="A12" t="s">
        <v>279</v>
      </c>
      <c r="B12">
        <v>2005</v>
      </c>
      <c r="C12" t="s">
        <v>280</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COUNT(LifeExpectancyData[[#This Row],[Life expectancy]:[Schooling]])=19</f>
        <v>1</v>
      </c>
    </row>
    <row r="13" spans="1:23" x14ac:dyDescent="0.25">
      <c r="A13" t="s">
        <v>279</v>
      </c>
      <c r="B13">
        <v>2004</v>
      </c>
      <c r="C13" t="s">
        <v>280</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COUNT(LifeExpectancyData[[#This Row],[Life expectancy]:[Schooling]])=19</f>
        <v>1</v>
      </c>
    </row>
    <row r="14" spans="1:23" x14ac:dyDescent="0.25">
      <c r="A14" t="s">
        <v>279</v>
      </c>
      <c r="B14">
        <v>2003</v>
      </c>
      <c r="C14" t="s">
        <v>280</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COUNT(LifeExpectancyData[[#This Row],[Life expectancy]:[Schooling]])=19</f>
        <v>1</v>
      </c>
    </row>
    <row r="15" spans="1:23" x14ac:dyDescent="0.25">
      <c r="A15" t="s">
        <v>279</v>
      </c>
      <c r="B15">
        <v>2002</v>
      </c>
      <c r="C15" t="s">
        <v>280</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COUNT(LifeExpectancyData[[#This Row],[Life expectancy]:[Schooling]])=19</f>
        <v>1</v>
      </c>
    </row>
    <row r="16" spans="1:23" x14ac:dyDescent="0.25">
      <c r="A16" t="s">
        <v>279</v>
      </c>
      <c r="B16">
        <v>2001</v>
      </c>
      <c r="C16" t="s">
        <v>280</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COUNT(LifeExpectancyData[[#This Row],[Life expectancy]:[Schooling]])=19</f>
        <v>1</v>
      </c>
    </row>
    <row r="17" spans="1:23" x14ac:dyDescent="0.25">
      <c r="A17" t="s">
        <v>279</v>
      </c>
      <c r="B17">
        <v>2000</v>
      </c>
      <c r="C17" t="s">
        <v>280</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COUNT(LifeExpectancyData[[#This Row],[Life expectancy]:[Schooling]])=19</f>
        <v>1</v>
      </c>
    </row>
    <row r="18" spans="1:23" x14ac:dyDescent="0.25">
      <c r="A18" t="s">
        <v>281</v>
      </c>
      <c r="B18">
        <v>2015</v>
      </c>
      <c r="C18" t="s">
        <v>280</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COUNT(LifeExpectancyData[[#This Row],[Life expectancy]:[Schooling]])=19</f>
        <v>1</v>
      </c>
    </row>
    <row r="19" spans="1:23" x14ac:dyDescent="0.25">
      <c r="A19" t="s">
        <v>281</v>
      </c>
      <c r="B19">
        <v>2014</v>
      </c>
      <c r="C19" t="s">
        <v>280</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COUNT(LifeExpectancyData[[#This Row],[Life expectancy]:[Schooling]])=19</f>
        <v>1</v>
      </c>
    </row>
    <row r="20" spans="1:23" x14ac:dyDescent="0.25">
      <c r="A20" t="s">
        <v>281</v>
      </c>
      <c r="B20">
        <v>2013</v>
      </c>
      <c r="C20" t="s">
        <v>280</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COUNT(LifeExpectancyData[[#This Row],[Life expectancy]:[Schooling]])=19</f>
        <v>1</v>
      </c>
    </row>
    <row r="21" spans="1:23" x14ac:dyDescent="0.25">
      <c r="A21" t="s">
        <v>281</v>
      </c>
      <c r="B21">
        <v>2012</v>
      </c>
      <c r="C21" t="s">
        <v>280</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COUNT(LifeExpectancyData[[#This Row],[Life expectancy]:[Schooling]])=19</f>
        <v>1</v>
      </c>
    </row>
    <row r="22" spans="1:23" x14ac:dyDescent="0.25">
      <c r="A22" t="s">
        <v>281</v>
      </c>
      <c r="B22">
        <v>2011</v>
      </c>
      <c r="C22" t="s">
        <v>280</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COUNT(LifeExpectancyData[[#This Row],[Life expectancy]:[Schooling]])=19</f>
        <v>1</v>
      </c>
    </row>
    <row r="23" spans="1:23" x14ac:dyDescent="0.25">
      <c r="A23" t="s">
        <v>281</v>
      </c>
      <c r="B23">
        <v>2010</v>
      </c>
      <c r="C23" t="s">
        <v>280</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COUNT(LifeExpectancyData[[#This Row],[Life expectancy]:[Schooling]])=19</f>
        <v>1</v>
      </c>
    </row>
    <row r="24" spans="1:23" x14ac:dyDescent="0.25">
      <c r="A24" t="s">
        <v>281</v>
      </c>
      <c r="B24">
        <v>2009</v>
      </c>
      <c r="C24" t="s">
        <v>280</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COUNT(LifeExpectancyData[[#This Row],[Life expectancy]:[Schooling]])=19</f>
        <v>1</v>
      </c>
    </row>
    <row r="25" spans="1:23" x14ac:dyDescent="0.25">
      <c r="A25" t="s">
        <v>281</v>
      </c>
      <c r="B25">
        <v>2008</v>
      </c>
      <c r="C25" t="s">
        <v>280</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COUNT(LifeExpectancyData[[#This Row],[Life expectancy]:[Schooling]])=19</f>
        <v>1</v>
      </c>
    </row>
    <row r="26" spans="1:23" x14ac:dyDescent="0.25">
      <c r="A26" t="s">
        <v>281</v>
      </c>
      <c r="B26">
        <v>2007</v>
      </c>
      <c r="C26" t="s">
        <v>280</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COUNT(LifeExpectancyData[[#This Row],[Life expectancy]:[Schooling]])=19</f>
        <v>1</v>
      </c>
    </row>
    <row r="27" spans="1:23" x14ac:dyDescent="0.25">
      <c r="A27" t="s">
        <v>281</v>
      </c>
      <c r="B27">
        <v>2006</v>
      </c>
      <c r="C27" t="s">
        <v>280</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COUNT(LifeExpectancyData[[#This Row],[Life expectancy]:[Schooling]])=19</f>
        <v>1</v>
      </c>
    </row>
    <row r="28" spans="1:23" x14ac:dyDescent="0.25">
      <c r="A28" t="s">
        <v>281</v>
      </c>
      <c r="B28">
        <v>2005</v>
      </c>
      <c r="C28" t="s">
        <v>280</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COUNT(LifeExpectancyData[[#This Row],[Life expectancy]:[Schooling]])=19</f>
        <v>1</v>
      </c>
    </row>
    <row r="29" spans="1:23" x14ac:dyDescent="0.25">
      <c r="A29" t="s">
        <v>281</v>
      </c>
      <c r="B29">
        <v>2004</v>
      </c>
      <c r="C29" t="s">
        <v>280</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COUNT(LifeExpectancyData[[#This Row],[Life expectancy]:[Schooling]])=19</f>
        <v>1</v>
      </c>
    </row>
    <row r="30" spans="1:23" x14ac:dyDescent="0.25">
      <c r="A30" t="s">
        <v>281</v>
      </c>
      <c r="B30">
        <v>2003</v>
      </c>
      <c r="C30" t="s">
        <v>280</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COUNT(LifeExpectancyData[[#This Row],[Life expectancy]:[Schooling]])=19</f>
        <v>1</v>
      </c>
    </row>
    <row r="31" spans="1:23" x14ac:dyDescent="0.25">
      <c r="A31" t="s">
        <v>281</v>
      </c>
      <c r="B31">
        <v>2002</v>
      </c>
      <c r="C31" t="s">
        <v>280</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COUNT(LifeExpectancyData[[#This Row],[Life expectancy]:[Schooling]])=19</f>
        <v>1</v>
      </c>
    </row>
    <row r="32" spans="1:23" x14ac:dyDescent="0.25">
      <c r="A32" t="s">
        <v>281</v>
      </c>
      <c r="B32">
        <v>2001</v>
      </c>
      <c r="C32" t="s">
        <v>280</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COUNT(LifeExpectancyData[[#This Row],[Life expectancy]:[Schooling]])=19</f>
        <v>1</v>
      </c>
    </row>
    <row r="33" spans="1:23" x14ac:dyDescent="0.25">
      <c r="A33" t="s">
        <v>281</v>
      </c>
      <c r="B33">
        <v>2000</v>
      </c>
      <c r="C33" t="s">
        <v>280</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COUNT(LifeExpectancyData[[#This Row],[Life expectancy]:[Schooling]])=19</f>
        <v>1</v>
      </c>
    </row>
    <row r="34" spans="1:23" x14ac:dyDescent="0.25">
      <c r="A34" t="s">
        <v>282</v>
      </c>
      <c r="B34">
        <v>2015</v>
      </c>
      <c r="C34" t="s">
        <v>280</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COUNT(LifeExpectancyData[[#This Row],[Life expectancy]:[Schooling]])=19</f>
        <v>0</v>
      </c>
    </row>
    <row r="35" spans="1:23" x14ac:dyDescent="0.25">
      <c r="A35" t="s">
        <v>282</v>
      </c>
      <c r="B35">
        <v>2014</v>
      </c>
      <c r="C35" t="s">
        <v>280</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COUNT(LifeExpectancyData[[#This Row],[Life expectancy]:[Schooling]])=19</f>
        <v>1</v>
      </c>
    </row>
    <row r="36" spans="1:23" x14ac:dyDescent="0.25">
      <c r="A36" t="s">
        <v>282</v>
      </c>
      <c r="B36">
        <v>2013</v>
      </c>
      <c r="C36" t="s">
        <v>280</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COUNT(LifeExpectancyData[[#This Row],[Life expectancy]:[Schooling]])=19</f>
        <v>1</v>
      </c>
    </row>
    <row r="37" spans="1:23" x14ac:dyDescent="0.25">
      <c r="A37" t="s">
        <v>282</v>
      </c>
      <c r="B37">
        <v>2012</v>
      </c>
      <c r="C37" t="s">
        <v>280</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COUNT(LifeExpectancyData[[#This Row],[Life expectancy]:[Schooling]])=19</f>
        <v>1</v>
      </c>
    </row>
    <row r="38" spans="1:23" x14ac:dyDescent="0.25">
      <c r="A38" t="s">
        <v>282</v>
      </c>
      <c r="B38">
        <v>2011</v>
      </c>
      <c r="C38" t="s">
        <v>280</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COUNT(LifeExpectancyData[[#This Row],[Life expectancy]:[Schooling]])=19</f>
        <v>1</v>
      </c>
    </row>
    <row r="39" spans="1:23" x14ac:dyDescent="0.25">
      <c r="A39" t="s">
        <v>282</v>
      </c>
      <c r="B39">
        <v>2010</v>
      </c>
      <c r="C39" t="s">
        <v>280</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COUNT(LifeExpectancyData[[#This Row],[Life expectancy]:[Schooling]])=19</f>
        <v>1</v>
      </c>
    </row>
    <row r="40" spans="1:23" x14ac:dyDescent="0.25">
      <c r="A40" t="s">
        <v>282</v>
      </c>
      <c r="B40">
        <v>2009</v>
      </c>
      <c r="C40" t="s">
        <v>280</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COUNT(LifeExpectancyData[[#This Row],[Life expectancy]:[Schooling]])=19</f>
        <v>1</v>
      </c>
    </row>
    <row r="41" spans="1:23" x14ac:dyDescent="0.25">
      <c r="A41" t="s">
        <v>282</v>
      </c>
      <c r="B41">
        <v>2008</v>
      </c>
      <c r="C41" t="s">
        <v>280</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COUNT(LifeExpectancyData[[#This Row],[Life expectancy]:[Schooling]])=19</f>
        <v>1</v>
      </c>
    </row>
    <row r="42" spans="1:23" x14ac:dyDescent="0.25">
      <c r="A42" t="s">
        <v>282</v>
      </c>
      <c r="B42">
        <v>2007</v>
      </c>
      <c r="C42" t="s">
        <v>280</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COUNT(LifeExpectancyData[[#This Row],[Life expectancy]:[Schooling]])=19</f>
        <v>1</v>
      </c>
    </row>
    <row r="43" spans="1:23" x14ac:dyDescent="0.25">
      <c r="A43" t="s">
        <v>282</v>
      </c>
      <c r="B43">
        <v>2006</v>
      </c>
      <c r="C43" t="s">
        <v>280</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COUNT(LifeExpectancyData[[#This Row],[Life expectancy]:[Schooling]])=19</f>
        <v>1</v>
      </c>
    </row>
    <row r="44" spans="1:23" x14ac:dyDescent="0.25">
      <c r="A44" t="s">
        <v>282</v>
      </c>
      <c r="B44">
        <v>2005</v>
      </c>
      <c r="C44" t="s">
        <v>280</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COUNT(LifeExpectancyData[[#This Row],[Life expectancy]:[Schooling]])=19</f>
        <v>1</v>
      </c>
    </row>
    <row r="45" spans="1:23" x14ac:dyDescent="0.25">
      <c r="A45" t="s">
        <v>282</v>
      </c>
      <c r="B45">
        <v>2004</v>
      </c>
      <c r="C45" t="s">
        <v>280</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COUNT(LifeExpectancyData[[#This Row],[Life expectancy]:[Schooling]])=19</f>
        <v>1</v>
      </c>
    </row>
    <row r="46" spans="1:23" x14ac:dyDescent="0.25">
      <c r="A46" t="s">
        <v>282</v>
      </c>
      <c r="B46">
        <v>2003</v>
      </c>
      <c r="C46" t="s">
        <v>280</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COUNT(LifeExpectancyData[[#This Row],[Life expectancy]:[Schooling]])=19</f>
        <v>0</v>
      </c>
    </row>
    <row r="47" spans="1:23" x14ac:dyDescent="0.25">
      <c r="A47" t="s">
        <v>282</v>
      </c>
      <c r="B47">
        <v>2002</v>
      </c>
      <c r="C47" t="s">
        <v>280</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COUNT(LifeExpectancyData[[#This Row],[Life expectancy]:[Schooling]])=19</f>
        <v>0</v>
      </c>
    </row>
    <row r="48" spans="1:23" x14ac:dyDescent="0.25">
      <c r="A48" t="s">
        <v>282</v>
      </c>
      <c r="B48">
        <v>2001</v>
      </c>
      <c r="C48" t="s">
        <v>280</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COUNT(LifeExpectancyData[[#This Row],[Life expectancy]:[Schooling]])=19</f>
        <v>0</v>
      </c>
    </row>
    <row r="49" spans="1:23" x14ac:dyDescent="0.25">
      <c r="A49" t="s">
        <v>282</v>
      </c>
      <c r="B49">
        <v>2000</v>
      </c>
      <c r="C49" t="s">
        <v>280</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COUNT(LifeExpectancyData[[#This Row],[Life expectancy]:[Schooling]])=19</f>
        <v>0</v>
      </c>
    </row>
    <row r="50" spans="1:23" x14ac:dyDescent="0.25">
      <c r="A50" t="s">
        <v>283</v>
      </c>
      <c r="B50">
        <v>2015</v>
      </c>
      <c r="C50" t="s">
        <v>280</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COUNT(LifeExpectancyData[[#This Row],[Life expectancy]:[Schooling]])=19</f>
        <v>0</v>
      </c>
    </row>
    <row r="51" spans="1:23" x14ac:dyDescent="0.25">
      <c r="A51" t="s">
        <v>283</v>
      </c>
      <c r="B51">
        <v>2014</v>
      </c>
      <c r="C51" t="s">
        <v>280</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COUNT(LifeExpectancyData[[#This Row],[Life expectancy]:[Schooling]])=19</f>
        <v>1</v>
      </c>
    </row>
    <row r="52" spans="1:23" x14ac:dyDescent="0.25">
      <c r="A52" t="s">
        <v>283</v>
      </c>
      <c r="B52">
        <v>2013</v>
      </c>
      <c r="C52" t="s">
        <v>280</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COUNT(LifeExpectancyData[[#This Row],[Life expectancy]:[Schooling]])=19</f>
        <v>1</v>
      </c>
    </row>
    <row r="53" spans="1:23" x14ac:dyDescent="0.25">
      <c r="A53" t="s">
        <v>283</v>
      </c>
      <c r="B53">
        <v>2012</v>
      </c>
      <c r="C53" t="s">
        <v>280</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COUNT(LifeExpectancyData[[#This Row],[Life expectancy]:[Schooling]])=19</f>
        <v>1</v>
      </c>
    </row>
    <row r="54" spans="1:23" x14ac:dyDescent="0.25">
      <c r="A54" t="s">
        <v>283</v>
      </c>
      <c r="B54">
        <v>2011</v>
      </c>
      <c r="C54" t="s">
        <v>280</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COUNT(LifeExpectancyData[[#This Row],[Life expectancy]:[Schooling]])=19</f>
        <v>1</v>
      </c>
    </row>
    <row r="55" spans="1:23" x14ac:dyDescent="0.25">
      <c r="A55" t="s">
        <v>283</v>
      </c>
      <c r="B55">
        <v>2010</v>
      </c>
      <c r="C55" t="s">
        <v>280</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COUNT(LifeExpectancyData[[#This Row],[Life expectancy]:[Schooling]])=19</f>
        <v>1</v>
      </c>
    </row>
    <row r="56" spans="1:23" x14ac:dyDescent="0.25">
      <c r="A56" t="s">
        <v>283</v>
      </c>
      <c r="B56">
        <v>2009</v>
      </c>
      <c r="C56" t="s">
        <v>280</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COUNT(LifeExpectancyData[[#This Row],[Life expectancy]:[Schooling]])=19</f>
        <v>1</v>
      </c>
    </row>
    <row r="57" spans="1:23" x14ac:dyDescent="0.25">
      <c r="A57" t="s">
        <v>283</v>
      </c>
      <c r="B57">
        <v>2008</v>
      </c>
      <c r="C57" t="s">
        <v>280</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COUNT(LifeExpectancyData[[#This Row],[Life expectancy]:[Schooling]])=19</f>
        <v>1</v>
      </c>
    </row>
    <row r="58" spans="1:23" x14ac:dyDescent="0.25">
      <c r="A58" t="s">
        <v>283</v>
      </c>
      <c r="B58">
        <v>2007</v>
      </c>
      <c r="C58" t="s">
        <v>280</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COUNT(LifeExpectancyData[[#This Row],[Life expectancy]:[Schooling]])=19</f>
        <v>1</v>
      </c>
    </row>
    <row r="59" spans="1:23" x14ac:dyDescent="0.25">
      <c r="A59" t="s">
        <v>283</v>
      </c>
      <c r="B59">
        <v>2006</v>
      </c>
      <c r="C59" t="s">
        <v>280</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COUNT(LifeExpectancyData[[#This Row],[Life expectancy]:[Schooling]])=19</f>
        <v>0</v>
      </c>
    </row>
    <row r="60" spans="1:23" x14ac:dyDescent="0.25">
      <c r="A60" t="s">
        <v>283</v>
      </c>
      <c r="B60">
        <v>2005</v>
      </c>
      <c r="C60" t="s">
        <v>280</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COUNT(LifeExpectancyData[[#This Row],[Life expectancy]:[Schooling]])=19</f>
        <v>0</v>
      </c>
    </row>
    <row r="61" spans="1:23" x14ac:dyDescent="0.25">
      <c r="A61" t="s">
        <v>283</v>
      </c>
      <c r="B61">
        <v>2004</v>
      </c>
      <c r="C61" t="s">
        <v>280</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COUNT(LifeExpectancyData[[#This Row],[Life expectancy]:[Schooling]])=19</f>
        <v>0</v>
      </c>
    </row>
    <row r="62" spans="1:23" x14ac:dyDescent="0.25">
      <c r="A62" t="s">
        <v>283</v>
      </c>
      <c r="B62">
        <v>2003</v>
      </c>
      <c r="C62" t="s">
        <v>280</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COUNT(LifeExpectancyData[[#This Row],[Life expectancy]:[Schooling]])=19</f>
        <v>0</v>
      </c>
    </row>
    <row r="63" spans="1:23" x14ac:dyDescent="0.25">
      <c r="A63" t="s">
        <v>283</v>
      </c>
      <c r="B63">
        <v>2002</v>
      </c>
      <c r="C63" t="s">
        <v>280</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COUNT(LifeExpectancyData[[#This Row],[Life expectancy]:[Schooling]])=19</f>
        <v>0</v>
      </c>
    </row>
    <row r="64" spans="1:23" x14ac:dyDescent="0.25">
      <c r="A64" t="s">
        <v>283</v>
      </c>
      <c r="B64">
        <v>2001</v>
      </c>
      <c r="C64" t="s">
        <v>280</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COUNT(LifeExpectancyData[[#This Row],[Life expectancy]:[Schooling]])=19</f>
        <v>0</v>
      </c>
    </row>
    <row r="65" spans="1:23" x14ac:dyDescent="0.25">
      <c r="A65" t="s">
        <v>283</v>
      </c>
      <c r="B65">
        <v>2000</v>
      </c>
      <c r="C65" t="s">
        <v>280</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COUNT(LifeExpectancyData[[#This Row],[Life expectancy]:[Schooling]])=19</f>
        <v>0</v>
      </c>
    </row>
    <row r="66" spans="1:23" x14ac:dyDescent="0.25">
      <c r="A66" t="s">
        <v>284</v>
      </c>
      <c r="B66">
        <v>2015</v>
      </c>
      <c r="C66" t="s">
        <v>280</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COUNT(LifeExpectancyData[[#This Row],[Life expectancy]:[Schooling]])=19</f>
        <v>0</v>
      </c>
    </row>
    <row r="67" spans="1:23" x14ac:dyDescent="0.25">
      <c r="A67" t="s">
        <v>284</v>
      </c>
      <c r="B67">
        <v>2014</v>
      </c>
      <c r="C67" t="s">
        <v>280</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COUNT(LifeExpectancyData[[#This Row],[Life expectancy]:[Schooling]])=19</f>
        <v>0</v>
      </c>
    </row>
    <row r="68" spans="1:23" x14ac:dyDescent="0.25">
      <c r="A68" t="s">
        <v>284</v>
      </c>
      <c r="B68">
        <v>2013</v>
      </c>
      <c r="C68" t="s">
        <v>280</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COUNT(LifeExpectancyData[[#This Row],[Life expectancy]:[Schooling]])=19</f>
        <v>0</v>
      </c>
    </row>
    <row r="69" spans="1:23" x14ac:dyDescent="0.25">
      <c r="A69" t="s">
        <v>284</v>
      </c>
      <c r="B69">
        <v>2012</v>
      </c>
      <c r="C69" t="s">
        <v>280</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COUNT(LifeExpectancyData[[#This Row],[Life expectancy]:[Schooling]])=19</f>
        <v>0</v>
      </c>
    </row>
    <row r="70" spans="1:23" x14ac:dyDescent="0.25">
      <c r="A70" t="s">
        <v>284</v>
      </c>
      <c r="B70">
        <v>2011</v>
      </c>
      <c r="C70" t="s">
        <v>280</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COUNT(LifeExpectancyData[[#This Row],[Life expectancy]:[Schooling]])=19</f>
        <v>0</v>
      </c>
    </row>
    <row r="71" spans="1:23" x14ac:dyDescent="0.25">
      <c r="A71" t="s">
        <v>284</v>
      </c>
      <c r="B71">
        <v>2010</v>
      </c>
      <c r="C71" t="s">
        <v>280</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COUNT(LifeExpectancyData[[#This Row],[Life expectancy]:[Schooling]])=19</f>
        <v>0</v>
      </c>
    </row>
    <row r="72" spans="1:23" x14ac:dyDescent="0.25">
      <c r="A72" t="s">
        <v>284</v>
      </c>
      <c r="B72">
        <v>2009</v>
      </c>
      <c r="C72" t="s">
        <v>280</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COUNT(LifeExpectancyData[[#This Row],[Life expectancy]:[Schooling]])=19</f>
        <v>0</v>
      </c>
    </row>
    <row r="73" spans="1:23" x14ac:dyDescent="0.25">
      <c r="A73" t="s">
        <v>284</v>
      </c>
      <c r="B73">
        <v>2008</v>
      </c>
      <c r="C73" t="s">
        <v>280</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COUNT(LifeExpectancyData[[#This Row],[Life expectancy]:[Schooling]])=19</f>
        <v>0</v>
      </c>
    </row>
    <row r="74" spans="1:23" x14ac:dyDescent="0.25">
      <c r="A74" t="s">
        <v>284</v>
      </c>
      <c r="B74">
        <v>2007</v>
      </c>
      <c r="C74" t="s">
        <v>280</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COUNT(LifeExpectancyData[[#This Row],[Life expectancy]:[Schooling]])=19</f>
        <v>0</v>
      </c>
    </row>
    <row r="75" spans="1:23" x14ac:dyDescent="0.25">
      <c r="A75" t="s">
        <v>284</v>
      </c>
      <c r="B75">
        <v>2006</v>
      </c>
      <c r="C75" t="s">
        <v>280</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COUNT(LifeExpectancyData[[#This Row],[Life expectancy]:[Schooling]])=19</f>
        <v>0</v>
      </c>
    </row>
    <row r="76" spans="1:23" x14ac:dyDescent="0.25">
      <c r="A76" t="s">
        <v>284</v>
      </c>
      <c r="B76">
        <v>2005</v>
      </c>
      <c r="C76" t="s">
        <v>280</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COUNT(LifeExpectancyData[[#This Row],[Life expectancy]:[Schooling]])=19</f>
        <v>0</v>
      </c>
    </row>
    <row r="77" spans="1:23" x14ac:dyDescent="0.25">
      <c r="A77" t="s">
        <v>284</v>
      </c>
      <c r="B77">
        <v>2004</v>
      </c>
      <c r="C77" t="s">
        <v>280</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COUNT(LifeExpectancyData[[#This Row],[Life expectancy]:[Schooling]])=19</f>
        <v>0</v>
      </c>
    </row>
    <row r="78" spans="1:23" x14ac:dyDescent="0.25">
      <c r="A78" t="s">
        <v>284</v>
      </c>
      <c r="B78">
        <v>2003</v>
      </c>
      <c r="C78" t="s">
        <v>280</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COUNT(LifeExpectancyData[[#This Row],[Life expectancy]:[Schooling]])=19</f>
        <v>0</v>
      </c>
    </row>
    <row r="79" spans="1:23" x14ac:dyDescent="0.25">
      <c r="A79" t="s">
        <v>284</v>
      </c>
      <c r="B79">
        <v>2002</v>
      </c>
      <c r="C79" t="s">
        <v>280</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COUNT(LifeExpectancyData[[#This Row],[Life expectancy]:[Schooling]])=19</f>
        <v>0</v>
      </c>
    </row>
    <row r="80" spans="1:23" x14ac:dyDescent="0.25">
      <c r="A80" t="s">
        <v>284</v>
      </c>
      <c r="B80">
        <v>2001</v>
      </c>
      <c r="C80" t="s">
        <v>280</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COUNT(LifeExpectancyData[[#This Row],[Life expectancy]:[Schooling]])=19</f>
        <v>0</v>
      </c>
    </row>
    <row r="81" spans="1:23" x14ac:dyDescent="0.25">
      <c r="A81" t="s">
        <v>284</v>
      </c>
      <c r="B81">
        <v>2000</v>
      </c>
      <c r="C81" t="s">
        <v>280</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COUNT(LifeExpectancyData[[#This Row],[Life expectancy]:[Schooling]])=19</f>
        <v>0</v>
      </c>
    </row>
    <row r="82" spans="1:23" x14ac:dyDescent="0.25">
      <c r="A82" t="s">
        <v>285</v>
      </c>
      <c r="B82">
        <v>2015</v>
      </c>
      <c r="C82" t="s">
        <v>280</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COUNT(LifeExpectancyData[[#This Row],[Life expectancy]:[Schooling]])=19</f>
        <v>0</v>
      </c>
    </row>
    <row r="83" spans="1:23" x14ac:dyDescent="0.25">
      <c r="A83" t="s">
        <v>285</v>
      </c>
      <c r="B83">
        <v>2014</v>
      </c>
      <c r="C83" t="s">
        <v>280</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COUNT(LifeExpectancyData[[#This Row],[Life expectancy]:[Schooling]])=19</f>
        <v>1</v>
      </c>
    </row>
    <row r="84" spans="1:23" x14ac:dyDescent="0.25">
      <c r="A84" t="s">
        <v>285</v>
      </c>
      <c r="B84">
        <v>2013</v>
      </c>
      <c r="C84" t="s">
        <v>280</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COUNT(LifeExpectancyData[[#This Row],[Life expectancy]:[Schooling]])=19</f>
        <v>1</v>
      </c>
    </row>
    <row r="85" spans="1:23" x14ac:dyDescent="0.25">
      <c r="A85" t="s">
        <v>285</v>
      </c>
      <c r="B85">
        <v>2012</v>
      </c>
      <c r="C85" t="s">
        <v>280</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COUNT(LifeExpectancyData[[#This Row],[Life expectancy]:[Schooling]])=19</f>
        <v>1</v>
      </c>
    </row>
    <row r="86" spans="1:23" x14ac:dyDescent="0.25">
      <c r="A86" t="s">
        <v>285</v>
      </c>
      <c r="B86">
        <v>2011</v>
      </c>
      <c r="C86" t="s">
        <v>280</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COUNT(LifeExpectancyData[[#This Row],[Life expectancy]:[Schooling]])=19</f>
        <v>1</v>
      </c>
    </row>
    <row r="87" spans="1:23" x14ac:dyDescent="0.25">
      <c r="A87" t="s">
        <v>285</v>
      </c>
      <c r="B87">
        <v>2010</v>
      </c>
      <c r="C87" t="s">
        <v>280</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COUNT(LifeExpectancyData[[#This Row],[Life expectancy]:[Schooling]])=19</f>
        <v>1</v>
      </c>
    </row>
    <row r="88" spans="1:23" x14ac:dyDescent="0.25">
      <c r="A88" t="s">
        <v>285</v>
      </c>
      <c r="B88">
        <v>2009</v>
      </c>
      <c r="C88" t="s">
        <v>280</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COUNT(LifeExpectancyData[[#This Row],[Life expectancy]:[Schooling]])=19</f>
        <v>1</v>
      </c>
    </row>
    <row r="89" spans="1:23" x14ac:dyDescent="0.25">
      <c r="A89" t="s">
        <v>285</v>
      </c>
      <c r="B89">
        <v>2008</v>
      </c>
      <c r="C89" t="s">
        <v>280</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COUNT(LifeExpectancyData[[#This Row],[Life expectancy]:[Schooling]])=19</f>
        <v>1</v>
      </c>
    </row>
    <row r="90" spans="1:23" x14ac:dyDescent="0.25">
      <c r="A90" t="s">
        <v>285</v>
      </c>
      <c r="B90">
        <v>2007</v>
      </c>
      <c r="C90" t="s">
        <v>280</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COUNT(LifeExpectancyData[[#This Row],[Life expectancy]:[Schooling]])=19</f>
        <v>1</v>
      </c>
    </row>
    <row r="91" spans="1:23" x14ac:dyDescent="0.25">
      <c r="A91" t="s">
        <v>285</v>
      </c>
      <c r="B91">
        <v>2006</v>
      </c>
      <c r="C91" t="s">
        <v>280</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COUNT(LifeExpectancyData[[#This Row],[Life expectancy]:[Schooling]])=19</f>
        <v>1</v>
      </c>
    </row>
    <row r="92" spans="1:23" x14ac:dyDescent="0.25">
      <c r="A92" t="s">
        <v>285</v>
      </c>
      <c r="B92">
        <v>2005</v>
      </c>
      <c r="C92" t="s">
        <v>280</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COUNT(LifeExpectancyData[[#This Row],[Life expectancy]:[Schooling]])=19</f>
        <v>1</v>
      </c>
    </row>
    <row r="93" spans="1:23" x14ac:dyDescent="0.25">
      <c r="A93" t="s">
        <v>285</v>
      </c>
      <c r="B93">
        <v>2004</v>
      </c>
      <c r="C93" t="s">
        <v>280</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COUNT(LifeExpectancyData[[#This Row],[Life expectancy]:[Schooling]])=19</f>
        <v>1</v>
      </c>
    </row>
    <row r="94" spans="1:23" x14ac:dyDescent="0.25">
      <c r="A94" t="s">
        <v>285</v>
      </c>
      <c r="B94">
        <v>2003</v>
      </c>
      <c r="C94" t="s">
        <v>280</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COUNT(LifeExpectancyData[[#This Row],[Life expectancy]:[Schooling]])=19</f>
        <v>1</v>
      </c>
    </row>
    <row r="95" spans="1:23" x14ac:dyDescent="0.25">
      <c r="A95" t="s">
        <v>285</v>
      </c>
      <c r="B95">
        <v>2002</v>
      </c>
      <c r="C95" t="s">
        <v>280</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COUNT(LifeExpectancyData[[#This Row],[Life expectancy]:[Schooling]])=19</f>
        <v>1</v>
      </c>
    </row>
    <row r="96" spans="1:23" x14ac:dyDescent="0.25">
      <c r="A96" t="s">
        <v>285</v>
      </c>
      <c r="B96">
        <v>2001</v>
      </c>
      <c r="C96" t="s">
        <v>280</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COUNT(LifeExpectancyData[[#This Row],[Life expectancy]:[Schooling]])=19</f>
        <v>0</v>
      </c>
    </row>
    <row r="97" spans="1:23" x14ac:dyDescent="0.25">
      <c r="A97" t="s">
        <v>285</v>
      </c>
      <c r="B97">
        <v>2000</v>
      </c>
      <c r="C97" t="s">
        <v>280</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COUNT(LifeExpectancyData[[#This Row],[Life expectancy]:[Schooling]])=19</f>
        <v>0</v>
      </c>
    </row>
    <row r="98" spans="1:23" x14ac:dyDescent="0.25">
      <c r="A98" t="s">
        <v>286</v>
      </c>
      <c r="B98">
        <v>2015</v>
      </c>
      <c r="C98" t="s">
        <v>280</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COUNT(LifeExpectancyData[[#This Row],[Life expectancy]:[Schooling]])=19</f>
        <v>0</v>
      </c>
    </row>
    <row r="99" spans="1:23" x14ac:dyDescent="0.25">
      <c r="A99" t="s">
        <v>286</v>
      </c>
      <c r="B99">
        <v>2014</v>
      </c>
      <c r="C99" t="s">
        <v>280</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COUNT(LifeExpectancyData[[#This Row],[Life expectancy]:[Schooling]])=19</f>
        <v>1</v>
      </c>
    </row>
    <row r="100" spans="1:23" x14ac:dyDescent="0.25">
      <c r="A100" t="s">
        <v>286</v>
      </c>
      <c r="B100">
        <v>2013</v>
      </c>
      <c r="C100" t="s">
        <v>280</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COUNT(LifeExpectancyData[[#This Row],[Life expectancy]:[Schooling]])=19</f>
        <v>1</v>
      </c>
    </row>
    <row r="101" spans="1:23" x14ac:dyDescent="0.25">
      <c r="A101" t="s">
        <v>286</v>
      </c>
      <c r="B101">
        <v>2012</v>
      </c>
      <c r="C101" t="s">
        <v>280</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COUNT(LifeExpectancyData[[#This Row],[Life expectancy]:[Schooling]])=19</f>
        <v>1</v>
      </c>
    </row>
    <row r="102" spans="1:23" x14ac:dyDescent="0.25">
      <c r="A102" t="s">
        <v>286</v>
      </c>
      <c r="B102">
        <v>2011</v>
      </c>
      <c r="C102" t="s">
        <v>280</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COUNT(LifeExpectancyData[[#This Row],[Life expectancy]:[Schooling]])=19</f>
        <v>1</v>
      </c>
    </row>
    <row r="103" spans="1:23" x14ac:dyDescent="0.25">
      <c r="A103" t="s">
        <v>286</v>
      </c>
      <c r="B103">
        <v>2010</v>
      </c>
      <c r="C103" t="s">
        <v>280</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COUNT(LifeExpectancyData[[#This Row],[Life expectancy]:[Schooling]])=19</f>
        <v>1</v>
      </c>
    </row>
    <row r="104" spans="1:23" x14ac:dyDescent="0.25">
      <c r="A104" t="s">
        <v>286</v>
      </c>
      <c r="B104">
        <v>2009</v>
      </c>
      <c r="C104" t="s">
        <v>280</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COUNT(LifeExpectancyData[[#This Row],[Life expectancy]:[Schooling]])=19</f>
        <v>1</v>
      </c>
    </row>
    <row r="105" spans="1:23" x14ac:dyDescent="0.25">
      <c r="A105" t="s">
        <v>286</v>
      </c>
      <c r="B105">
        <v>2008</v>
      </c>
      <c r="C105" t="s">
        <v>280</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COUNT(LifeExpectancyData[[#This Row],[Life expectancy]:[Schooling]])=19</f>
        <v>1</v>
      </c>
    </row>
    <row r="106" spans="1:23" x14ac:dyDescent="0.25">
      <c r="A106" t="s">
        <v>286</v>
      </c>
      <c r="B106">
        <v>2007</v>
      </c>
      <c r="C106" t="s">
        <v>280</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COUNT(LifeExpectancyData[[#This Row],[Life expectancy]:[Schooling]])=19</f>
        <v>1</v>
      </c>
    </row>
    <row r="107" spans="1:23" x14ac:dyDescent="0.25">
      <c r="A107" t="s">
        <v>286</v>
      </c>
      <c r="B107">
        <v>2006</v>
      </c>
      <c r="C107" t="s">
        <v>280</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COUNT(LifeExpectancyData[[#This Row],[Life expectancy]:[Schooling]])=19</f>
        <v>1</v>
      </c>
    </row>
    <row r="108" spans="1:23" x14ac:dyDescent="0.25">
      <c r="A108" t="s">
        <v>286</v>
      </c>
      <c r="B108">
        <v>2005</v>
      </c>
      <c r="C108" t="s">
        <v>280</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COUNT(LifeExpectancyData[[#This Row],[Life expectancy]:[Schooling]])=19</f>
        <v>1</v>
      </c>
    </row>
    <row r="109" spans="1:23" x14ac:dyDescent="0.25">
      <c r="A109" t="s">
        <v>286</v>
      </c>
      <c r="B109">
        <v>2004</v>
      </c>
      <c r="C109" t="s">
        <v>280</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COUNT(LifeExpectancyData[[#This Row],[Life expectancy]:[Schooling]])=19</f>
        <v>1</v>
      </c>
    </row>
    <row r="110" spans="1:23" x14ac:dyDescent="0.25">
      <c r="A110" t="s">
        <v>286</v>
      </c>
      <c r="B110">
        <v>2003</v>
      </c>
      <c r="C110" t="s">
        <v>280</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COUNT(LifeExpectancyData[[#This Row],[Life expectancy]:[Schooling]])=19</f>
        <v>1</v>
      </c>
    </row>
    <row r="111" spans="1:23" x14ac:dyDescent="0.25">
      <c r="A111" t="s">
        <v>286</v>
      </c>
      <c r="B111">
        <v>2002</v>
      </c>
      <c r="C111" t="s">
        <v>280</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COUNT(LifeExpectancyData[[#This Row],[Life expectancy]:[Schooling]])=19</f>
        <v>1</v>
      </c>
    </row>
    <row r="112" spans="1:23" x14ac:dyDescent="0.25">
      <c r="A112" t="s">
        <v>286</v>
      </c>
      <c r="B112">
        <v>2001</v>
      </c>
      <c r="C112" t="s">
        <v>280</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COUNT(LifeExpectancyData[[#This Row],[Life expectancy]:[Schooling]])=19</f>
        <v>1</v>
      </c>
    </row>
    <row r="113" spans="1:23" x14ac:dyDescent="0.25">
      <c r="A113" t="s">
        <v>286</v>
      </c>
      <c r="B113">
        <v>2000</v>
      </c>
      <c r="C113" t="s">
        <v>280</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COUNT(LifeExpectancyData[[#This Row],[Life expectancy]:[Schooling]])=19</f>
        <v>1</v>
      </c>
    </row>
    <row r="114" spans="1:23" x14ac:dyDescent="0.25">
      <c r="A114" t="s">
        <v>287</v>
      </c>
      <c r="B114">
        <v>2015</v>
      </c>
      <c r="C114" t="s">
        <v>288</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COUNT(LifeExpectancyData[[#This Row],[Life expectancy]:[Schooling]])=19</f>
        <v>0</v>
      </c>
    </row>
    <row r="115" spans="1:23" x14ac:dyDescent="0.25">
      <c r="A115" t="s">
        <v>287</v>
      </c>
      <c r="B115">
        <v>2014</v>
      </c>
      <c r="C115" t="s">
        <v>288</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COUNT(LifeExpectancyData[[#This Row],[Life expectancy]:[Schooling]])=19</f>
        <v>1</v>
      </c>
    </row>
    <row r="116" spans="1:23" x14ac:dyDescent="0.25">
      <c r="A116" t="s">
        <v>287</v>
      </c>
      <c r="B116">
        <v>2013</v>
      </c>
      <c r="C116" t="s">
        <v>288</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COUNT(LifeExpectancyData[[#This Row],[Life expectancy]:[Schooling]])=19</f>
        <v>1</v>
      </c>
    </row>
    <row r="117" spans="1:23" x14ac:dyDescent="0.25">
      <c r="A117" t="s">
        <v>287</v>
      </c>
      <c r="B117">
        <v>2012</v>
      </c>
      <c r="C117" t="s">
        <v>288</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COUNT(LifeExpectancyData[[#This Row],[Life expectancy]:[Schooling]])=19</f>
        <v>1</v>
      </c>
    </row>
    <row r="118" spans="1:23" x14ac:dyDescent="0.25">
      <c r="A118" t="s">
        <v>287</v>
      </c>
      <c r="B118">
        <v>2011</v>
      </c>
      <c r="C118" t="s">
        <v>288</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COUNT(LifeExpectancyData[[#This Row],[Life expectancy]:[Schooling]])=19</f>
        <v>1</v>
      </c>
    </row>
    <row r="119" spans="1:23" x14ac:dyDescent="0.25">
      <c r="A119" t="s">
        <v>287</v>
      </c>
      <c r="B119">
        <v>2010</v>
      </c>
      <c r="C119" t="s">
        <v>288</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COUNT(LifeExpectancyData[[#This Row],[Life expectancy]:[Schooling]])=19</f>
        <v>1</v>
      </c>
    </row>
    <row r="120" spans="1:23" x14ac:dyDescent="0.25">
      <c r="A120" t="s">
        <v>287</v>
      </c>
      <c r="B120">
        <v>2009</v>
      </c>
      <c r="C120" t="s">
        <v>288</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COUNT(LifeExpectancyData[[#This Row],[Life expectancy]:[Schooling]])=19</f>
        <v>1</v>
      </c>
    </row>
    <row r="121" spans="1:23" x14ac:dyDescent="0.25">
      <c r="A121" t="s">
        <v>287</v>
      </c>
      <c r="B121">
        <v>2008</v>
      </c>
      <c r="C121" t="s">
        <v>288</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COUNT(LifeExpectancyData[[#This Row],[Life expectancy]:[Schooling]])=19</f>
        <v>1</v>
      </c>
    </row>
    <row r="122" spans="1:23" x14ac:dyDescent="0.25">
      <c r="A122" t="s">
        <v>287</v>
      </c>
      <c r="B122">
        <v>2007</v>
      </c>
      <c r="C122" t="s">
        <v>288</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COUNT(LifeExpectancyData[[#This Row],[Life expectancy]:[Schooling]])=19</f>
        <v>1</v>
      </c>
    </row>
    <row r="123" spans="1:23" x14ac:dyDescent="0.25">
      <c r="A123" t="s">
        <v>287</v>
      </c>
      <c r="B123">
        <v>2006</v>
      </c>
      <c r="C123" t="s">
        <v>288</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COUNT(LifeExpectancyData[[#This Row],[Life expectancy]:[Schooling]])=19</f>
        <v>1</v>
      </c>
    </row>
    <row r="124" spans="1:23" x14ac:dyDescent="0.25">
      <c r="A124" t="s">
        <v>287</v>
      </c>
      <c r="B124">
        <v>2005</v>
      </c>
      <c r="C124" t="s">
        <v>288</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COUNT(LifeExpectancyData[[#This Row],[Life expectancy]:[Schooling]])=19</f>
        <v>1</v>
      </c>
    </row>
    <row r="125" spans="1:23" x14ac:dyDescent="0.25">
      <c r="A125" t="s">
        <v>287</v>
      </c>
      <c r="B125">
        <v>2004</v>
      </c>
      <c r="C125" t="s">
        <v>288</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COUNT(LifeExpectancyData[[#This Row],[Life expectancy]:[Schooling]])=19</f>
        <v>1</v>
      </c>
    </row>
    <row r="126" spans="1:23" x14ac:dyDescent="0.25">
      <c r="A126" t="s">
        <v>287</v>
      </c>
      <c r="B126">
        <v>2003</v>
      </c>
      <c r="C126" t="s">
        <v>288</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COUNT(LifeExpectancyData[[#This Row],[Life expectancy]:[Schooling]])=19</f>
        <v>1</v>
      </c>
    </row>
    <row r="127" spans="1:23" x14ac:dyDescent="0.25">
      <c r="A127" t="s">
        <v>287</v>
      </c>
      <c r="B127">
        <v>2002</v>
      </c>
      <c r="C127" t="s">
        <v>288</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COUNT(LifeExpectancyData[[#This Row],[Life expectancy]:[Schooling]])=19</f>
        <v>1</v>
      </c>
    </row>
    <row r="128" spans="1:23" x14ac:dyDescent="0.25">
      <c r="A128" t="s">
        <v>287</v>
      </c>
      <c r="B128">
        <v>2001</v>
      </c>
      <c r="C128" t="s">
        <v>288</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COUNT(LifeExpectancyData[[#This Row],[Life expectancy]:[Schooling]])=19</f>
        <v>1</v>
      </c>
    </row>
    <row r="129" spans="1:23" x14ac:dyDescent="0.25">
      <c r="A129" t="s">
        <v>287</v>
      </c>
      <c r="B129">
        <v>2000</v>
      </c>
      <c r="C129" t="s">
        <v>288</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COUNT(LifeExpectancyData[[#This Row],[Life expectancy]:[Schooling]])=19</f>
        <v>0</v>
      </c>
    </row>
    <row r="130" spans="1:23" x14ac:dyDescent="0.25">
      <c r="A130" t="s">
        <v>289</v>
      </c>
      <c r="B130">
        <v>2015</v>
      </c>
      <c r="C130" t="s">
        <v>288</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COUNT(LifeExpectancyData[[#This Row],[Life expectancy]:[Schooling]])=19</f>
        <v>0</v>
      </c>
    </row>
    <row r="131" spans="1:23" x14ac:dyDescent="0.25">
      <c r="A131" t="s">
        <v>289</v>
      </c>
      <c r="B131">
        <v>2014</v>
      </c>
      <c r="C131" t="s">
        <v>288</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COUNT(LifeExpectancyData[[#This Row],[Life expectancy]:[Schooling]])=19</f>
        <v>1</v>
      </c>
    </row>
    <row r="132" spans="1:23" x14ac:dyDescent="0.25">
      <c r="A132" t="s">
        <v>289</v>
      </c>
      <c r="B132">
        <v>2013</v>
      </c>
      <c r="C132" t="s">
        <v>288</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COUNT(LifeExpectancyData[[#This Row],[Life expectancy]:[Schooling]])=19</f>
        <v>1</v>
      </c>
    </row>
    <row r="133" spans="1:23" x14ac:dyDescent="0.25">
      <c r="A133" t="s">
        <v>289</v>
      </c>
      <c r="B133">
        <v>2012</v>
      </c>
      <c r="C133" t="s">
        <v>288</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COUNT(LifeExpectancyData[[#This Row],[Life expectancy]:[Schooling]])=19</f>
        <v>1</v>
      </c>
    </row>
    <row r="134" spans="1:23" x14ac:dyDescent="0.25">
      <c r="A134" t="s">
        <v>289</v>
      </c>
      <c r="B134">
        <v>2011</v>
      </c>
      <c r="C134" t="s">
        <v>288</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COUNT(LifeExpectancyData[[#This Row],[Life expectancy]:[Schooling]])=19</f>
        <v>1</v>
      </c>
    </row>
    <row r="135" spans="1:23" x14ac:dyDescent="0.25">
      <c r="A135" t="s">
        <v>289</v>
      </c>
      <c r="B135">
        <v>2010</v>
      </c>
      <c r="C135" t="s">
        <v>288</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COUNT(LifeExpectancyData[[#This Row],[Life expectancy]:[Schooling]])=19</f>
        <v>1</v>
      </c>
    </row>
    <row r="136" spans="1:23" x14ac:dyDescent="0.25">
      <c r="A136" t="s">
        <v>289</v>
      </c>
      <c r="B136">
        <v>2009</v>
      </c>
      <c r="C136" t="s">
        <v>288</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COUNT(LifeExpectancyData[[#This Row],[Life expectancy]:[Schooling]])=19</f>
        <v>1</v>
      </c>
    </row>
    <row r="137" spans="1:23" x14ac:dyDescent="0.25">
      <c r="A137" t="s">
        <v>289</v>
      </c>
      <c r="B137">
        <v>2008</v>
      </c>
      <c r="C137" t="s">
        <v>288</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COUNT(LifeExpectancyData[[#This Row],[Life expectancy]:[Schooling]])=19</f>
        <v>1</v>
      </c>
    </row>
    <row r="138" spans="1:23" x14ac:dyDescent="0.25">
      <c r="A138" t="s">
        <v>289</v>
      </c>
      <c r="B138">
        <v>2007</v>
      </c>
      <c r="C138" t="s">
        <v>288</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COUNT(LifeExpectancyData[[#This Row],[Life expectancy]:[Schooling]])=19</f>
        <v>1</v>
      </c>
    </row>
    <row r="139" spans="1:23" x14ac:dyDescent="0.25">
      <c r="A139" t="s">
        <v>289</v>
      </c>
      <c r="B139">
        <v>2006</v>
      </c>
      <c r="C139" t="s">
        <v>288</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COUNT(LifeExpectancyData[[#This Row],[Life expectancy]:[Schooling]])=19</f>
        <v>1</v>
      </c>
    </row>
    <row r="140" spans="1:23" x14ac:dyDescent="0.25">
      <c r="A140" t="s">
        <v>289</v>
      </c>
      <c r="B140">
        <v>2005</v>
      </c>
      <c r="C140" t="s">
        <v>288</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COUNT(LifeExpectancyData[[#This Row],[Life expectancy]:[Schooling]])=19</f>
        <v>1</v>
      </c>
    </row>
    <row r="141" spans="1:23" x14ac:dyDescent="0.25">
      <c r="A141" t="s">
        <v>289</v>
      </c>
      <c r="B141">
        <v>2004</v>
      </c>
      <c r="C141" t="s">
        <v>288</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COUNT(LifeExpectancyData[[#This Row],[Life expectancy]:[Schooling]])=19</f>
        <v>1</v>
      </c>
    </row>
    <row r="142" spans="1:23" x14ac:dyDescent="0.25">
      <c r="A142" t="s">
        <v>289</v>
      </c>
      <c r="B142">
        <v>2003</v>
      </c>
      <c r="C142" t="s">
        <v>288</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COUNT(LifeExpectancyData[[#This Row],[Life expectancy]:[Schooling]])=19</f>
        <v>1</v>
      </c>
    </row>
    <row r="143" spans="1:23" x14ac:dyDescent="0.25">
      <c r="A143" t="s">
        <v>289</v>
      </c>
      <c r="B143">
        <v>2002</v>
      </c>
      <c r="C143" t="s">
        <v>288</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COUNT(LifeExpectancyData[[#This Row],[Life expectancy]:[Schooling]])=19</f>
        <v>1</v>
      </c>
    </row>
    <row r="144" spans="1:23" x14ac:dyDescent="0.25">
      <c r="A144" t="s">
        <v>289</v>
      </c>
      <c r="B144">
        <v>2001</v>
      </c>
      <c r="C144" t="s">
        <v>288</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COUNT(LifeExpectancyData[[#This Row],[Life expectancy]:[Schooling]])=19</f>
        <v>1</v>
      </c>
    </row>
    <row r="145" spans="1:23" x14ac:dyDescent="0.25">
      <c r="A145" t="s">
        <v>289</v>
      </c>
      <c r="B145">
        <v>2000</v>
      </c>
      <c r="C145" t="s">
        <v>288</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COUNT(LifeExpectancyData[[#This Row],[Life expectancy]:[Schooling]])=19</f>
        <v>1</v>
      </c>
    </row>
    <row r="146" spans="1:23" x14ac:dyDescent="0.25">
      <c r="A146" t="s">
        <v>290</v>
      </c>
      <c r="B146">
        <v>2015</v>
      </c>
      <c r="C146" t="s">
        <v>280</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COUNT(LifeExpectancyData[[#This Row],[Life expectancy]:[Schooling]])=19</f>
        <v>0</v>
      </c>
    </row>
    <row r="147" spans="1:23" x14ac:dyDescent="0.25">
      <c r="A147" t="s">
        <v>290</v>
      </c>
      <c r="B147">
        <v>2014</v>
      </c>
      <c r="C147" t="s">
        <v>280</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COUNT(LifeExpectancyData[[#This Row],[Life expectancy]:[Schooling]])=19</f>
        <v>1</v>
      </c>
    </row>
    <row r="148" spans="1:23" x14ac:dyDescent="0.25">
      <c r="A148" t="s">
        <v>290</v>
      </c>
      <c r="B148">
        <v>2013</v>
      </c>
      <c r="C148" t="s">
        <v>280</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COUNT(LifeExpectancyData[[#This Row],[Life expectancy]:[Schooling]])=19</f>
        <v>1</v>
      </c>
    </row>
    <row r="149" spans="1:23" x14ac:dyDescent="0.25">
      <c r="A149" t="s">
        <v>290</v>
      </c>
      <c r="B149">
        <v>2012</v>
      </c>
      <c r="C149" t="s">
        <v>280</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COUNT(LifeExpectancyData[[#This Row],[Life expectancy]:[Schooling]])=19</f>
        <v>1</v>
      </c>
    </row>
    <row r="150" spans="1:23" x14ac:dyDescent="0.25">
      <c r="A150" t="s">
        <v>290</v>
      </c>
      <c r="B150">
        <v>2011</v>
      </c>
      <c r="C150" t="s">
        <v>280</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COUNT(LifeExpectancyData[[#This Row],[Life expectancy]:[Schooling]])=19</f>
        <v>1</v>
      </c>
    </row>
    <row r="151" spans="1:23" x14ac:dyDescent="0.25">
      <c r="A151" t="s">
        <v>290</v>
      </c>
      <c r="B151">
        <v>2010</v>
      </c>
      <c r="C151" t="s">
        <v>280</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COUNT(LifeExpectancyData[[#This Row],[Life expectancy]:[Schooling]])=19</f>
        <v>1</v>
      </c>
    </row>
    <row r="152" spans="1:23" x14ac:dyDescent="0.25">
      <c r="A152" t="s">
        <v>290</v>
      </c>
      <c r="B152">
        <v>2009</v>
      </c>
      <c r="C152" t="s">
        <v>280</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COUNT(LifeExpectancyData[[#This Row],[Life expectancy]:[Schooling]])=19</f>
        <v>1</v>
      </c>
    </row>
    <row r="153" spans="1:23" x14ac:dyDescent="0.25">
      <c r="A153" t="s">
        <v>290</v>
      </c>
      <c r="B153">
        <v>2008</v>
      </c>
      <c r="C153" t="s">
        <v>280</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COUNT(LifeExpectancyData[[#This Row],[Life expectancy]:[Schooling]])=19</f>
        <v>1</v>
      </c>
    </row>
    <row r="154" spans="1:23" x14ac:dyDescent="0.25">
      <c r="A154" t="s">
        <v>290</v>
      </c>
      <c r="B154">
        <v>2007</v>
      </c>
      <c r="C154" t="s">
        <v>280</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COUNT(LifeExpectancyData[[#This Row],[Life expectancy]:[Schooling]])=19</f>
        <v>1</v>
      </c>
    </row>
    <row r="155" spans="1:23" x14ac:dyDescent="0.25">
      <c r="A155" t="s">
        <v>290</v>
      </c>
      <c r="B155">
        <v>2006</v>
      </c>
      <c r="C155" t="s">
        <v>280</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COUNT(LifeExpectancyData[[#This Row],[Life expectancy]:[Schooling]])=19</f>
        <v>1</v>
      </c>
    </row>
    <row r="156" spans="1:23" x14ac:dyDescent="0.25">
      <c r="A156" t="s">
        <v>290</v>
      </c>
      <c r="B156">
        <v>2005</v>
      </c>
      <c r="C156" t="s">
        <v>280</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COUNT(LifeExpectancyData[[#This Row],[Life expectancy]:[Schooling]])=19</f>
        <v>1</v>
      </c>
    </row>
    <row r="157" spans="1:23" x14ac:dyDescent="0.25">
      <c r="A157" t="s">
        <v>290</v>
      </c>
      <c r="B157">
        <v>2004</v>
      </c>
      <c r="C157" t="s">
        <v>280</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COUNT(LifeExpectancyData[[#This Row],[Life expectancy]:[Schooling]])=19</f>
        <v>1</v>
      </c>
    </row>
    <row r="158" spans="1:23" x14ac:dyDescent="0.25">
      <c r="A158" t="s">
        <v>290</v>
      </c>
      <c r="B158">
        <v>2003</v>
      </c>
      <c r="C158" t="s">
        <v>280</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COUNT(LifeExpectancyData[[#This Row],[Life expectancy]:[Schooling]])=19</f>
        <v>1</v>
      </c>
    </row>
    <row r="159" spans="1:23" x14ac:dyDescent="0.25">
      <c r="A159" t="s">
        <v>290</v>
      </c>
      <c r="B159">
        <v>2002</v>
      </c>
      <c r="C159" t="s">
        <v>280</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COUNT(LifeExpectancyData[[#This Row],[Life expectancy]:[Schooling]])=19</f>
        <v>1</v>
      </c>
    </row>
    <row r="160" spans="1:23" x14ac:dyDescent="0.25">
      <c r="A160" t="s">
        <v>290</v>
      </c>
      <c r="B160">
        <v>2001</v>
      </c>
      <c r="C160" t="s">
        <v>280</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COUNT(LifeExpectancyData[[#This Row],[Life expectancy]:[Schooling]])=19</f>
        <v>0</v>
      </c>
    </row>
    <row r="161" spans="1:23" x14ac:dyDescent="0.25">
      <c r="A161" t="s">
        <v>290</v>
      </c>
      <c r="B161">
        <v>2000</v>
      </c>
      <c r="C161" t="s">
        <v>280</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COUNT(LifeExpectancyData[[#This Row],[Life expectancy]:[Schooling]])=19</f>
        <v>0</v>
      </c>
    </row>
    <row r="162" spans="1:23" x14ac:dyDescent="0.25">
      <c r="A162" t="s">
        <v>291</v>
      </c>
      <c r="B162">
        <v>2015</v>
      </c>
      <c r="C162" t="s">
        <v>280</v>
      </c>
      <c r="D162">
        <v>76.099999999999994</v>
      </c>
      <c r="E162">
        <v>147</v>
      </c>
      <c r="F162">
        <v>0</v>
      </c>
      <c r="H162">
        <v>0</v>
      </c>
      <c r="I162">
        <v>95</v>
      </c>
      <c r="J162">
        <v>0</v>
      </c>
      <c r="K162">
        <v>64.5</v>
      </c>
      <c r="L162">
        <v>0</v>
      </c>
      <c r="M162">
        <v>95</v>
      </c>
      <c r="O162">
        <v>95</v>
      </c>
      <c r="P162">
        <v>0.1</v>
      </c>
      <c r="S162">
        <v>2.5</v>
      </c>
      <c r="T162">
        <v>2.5</v>
      </c>
      <c r="U162">
        <v>0.79</v>
      </c>
      <c r="V162">
        <v>12.6</v>
      </c>
      <c r="W162" t="b">
        <f>COUNT(LifeExpectancyData[[#This Row],[Life expectancy]:[Schooling]])=19</f>
        <v>0</v>
      </c>
    </row>
    <row r="163" spans="1:23" x14ac:dyDescent="0.25">
      <c r="A163" t="s">
        <v>291</v>
      </c>
      <c r="B163">
        <v>2014</v>
      </c>
      <c r="C163" t="s">
        <v>280</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COUNT(LifeExpectancyData[[#This Row],[Life expectancy]:[Schooling]])=19</f>
        <v>0</v>
      </c>
    </row>
    <row r="164" spans="1:23" x14ac:dyDescent="0.25">
      <c r="A164" t="s">
        <v>291</v>
      </c>
      <c r="B164">
        <v>2013</v>
      </c>
      <c r="C164" t="s">
        <v>280</v>
      </c>
      <c r="D164">
        <v>74.8</v>
      </c>
      <c r="E164">
        <v>172</v>
      </c>
      <c r="F164">
        <v>0</v>
      </c>
      <c r="G164">
        <v>9.42</v>
      </c>
      <c r="H164">
        <v>0</v>
      </c>
      <c r="I164">
        <v>97</v>
      </c>
      <c r="J164">
        <v>0</v>
      </c>
      <c r="K164">
        <v>63.2</v>
      </c>
      <c r="L164">
        <v>0</v>
      </c>
      <c r="M164">
        <v>97</v>
      </c>
      <c r="N164">
        <v>7.5</v>
      </c>
      <c r="O164">
        <v>97</v>
      </c>
      <c r="P164">
        <v>0.1</v>
      </c>
      <c r="S164">
        <v>2.5</v>
      </c>
      <c r="T164">
        <v>2.5</v>
      </c>
      <c r="U164">
        <v>0.79</v>
      </c>
      <c r="V164">
        <v>12.6</v>
      </c>
      <c r="W164" t="b">
        <f>COUNT(LifeExpectancyData[[#This Row],[Life expectancy]:[Schooling]])=19</f>
        <v>0</v>
      </c>
    </row>
    <row r="165" spans="1:23" x14ac:dyDescent="0.25">
      <c r="A165" t="s">
        <v>291</v>
      </c>
      <c r="B165">
        <v>2012</v>
      </c>
      <c r="C165" t="s">
        <v>280</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COUNT(LifeExpectancyData[[#This Row],[Life expectancy]:[Schooling]])=19</f>
        <v>0</v>
      </c>
    </row>
    <row r="166" spans="1:23" x14ac:dyDescent="0.25">
      <c r="A166" t="s">
        <v>291</v>
      </c>
      <c r="B166">
        <v>2011</v>
      </c>
      <c r="C166" t="s">
        <v>280</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COUNT(LifeExpectancyData[[#This Row],[Life expectancy]:[Schooling]])=19</f>
        <v>0</v>
      </c>
    </row>
    <row r="167" spans="1:23" x14ac:dyDescent="0.25">
      <c r="A167" t="s">
        <v>291</v>
      </c>
      <c r="B167">
        <v>2010</v>
      </c>
      <c r="C167" t="s">
        <v>280</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COUNT(LifeExpectancyData[[#This Row],[Life expectancy]:[Schooling]])=19</f>
        <v>0</v>
      </c>
    </row>
    <row r="168" spans="1:23" x14ac:dyDescent="0.25">
      <c r="A168" t="s">
        <v>291</v>
      </c>
      <c r="B168">
        <v>2009</v>
      </c>
      <c r="C168" t="s">
        <v>280</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COUNT(LifeExpectancyData[[#This Row],[Life expectancy]:[Schooling]])=19</f>
        <v>0</v>
      </c>
    </row>
    <row r="169" spans="1:23" x14ac:dyDescent="0.25">
      <c r="A169" t="s">
        <v>291</v>
      </c>
      <c r="B169">
        <v>2008</v>
      </c>
      <c r="C169" t="s">
        <v>280</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COUNT(LifeExpectancyData[[#This Row],[Life expectancy]:[Schooling]])=19</f>
        <v>0</v>
      </c>
    </row>
    <row r="170" spans="1:23" x14ac:dyDescent="0.25">
      <c r="A170" t="s">
        <v>291</v>
      </c>
      <c r="B170">
        <v>2007</v>
      </c>
      <c r="C170" t="s">
        <v>280</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COUNT(LifeExpectancyData[[#This Row],[Life expectancy]:[Schooling]])=19</f>
        <v>0</v>
      </c>
    </row>
    <row r="171" spans="1:23" x14ac:dyDescent="0.25">
      <c r="A171" t="s">
        <v>291</v>
      </c>
      <c r="B171">
        <v>2006</v>
      </c>
      <c r="C171" t="s">
        <v>280</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COUNT(LifeExpectancyData[[#This Row],[Life expectancy]:[Schooling]])=19</f>
        <v>0</v>
      </c>
    </row>
    <row r="172" spans="1:23" x14ac:dyDescent="0.25">
      <c r="A172" t="s">
        <v>291</v>
      </c>
      <c r="B172">
        <v>2005</v>
      </c>
      <c r="C172" t="s">
        <v>280</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COUNT(LifeExpectancyData[[#This Row],[Life expectancy]:[Schooling]])=19</f>
        <v>0</v>
      </c>
    </row>
    <row r="173" spans="1:23" x14ac:dyDescent="0.25">
      <c r="A173" t="s">
        <v>291</v>
      </c>
      <c r="B173">
        <v>2004</v>
      </c>
      <c r="C173" t="s">
        <v>280</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COUNT(LifeExpectancyData[[#This Row],[Life expectancy]:[Schooling]])=19</f>
        <v>0</v>
      </c>
    </row>
    <row r="174" spans="1:23" x14ac:dyDescent="0.25">
      <c r="A174" t="s">
        <v>291</v>
      </c>
      <c r="B174">
        <v>2003</v>
      </c>
      <c r="C174" t="s">
        <v>280</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COUNT(LifeExpectancyData[[#This Row],[Life expectancy]:[Schooling]])=19</f>
        <v>0</v>
      </c>
    </row>
    <row r="175" spans="1:23" x14ac:dyDescent="0.25">
      <c r="A175" t="s">
        <v>291</v>
      </c>
      <c r="B175">
        <v>2002</v>
      </c>
      <c r="C175" t="s">
        <v>280</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COUNT(LifeExpectancyData[[#This Row],[Life expectancy]:[Schooling]])=19</f>
        <v>0</v>
      </c>
    </row>
    <row r="176" spans="1:23" x14ac:dyDescent="0.25">
      <c r="A176" t="s">
        <v>291</v>
      </c>
      <c r="B176">
        <v>2001</v>
      </c>
      <c r="C176" t="s">
        <v>280</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COUNT(LifeExpectancyData[[#This Row],[Life expectancy]:[Schooling]])=19</f>
        <v>0</v>
      </c>
    </row>
    <row r="177" spans="1:23" x14ac:dyDescent="0.25">
      <c r="A177" t="s">
        <v>291</v>
      </c>
      <c r="B177">
        <v>2000</v>
      </c>
      <c r="C177" t="s">
        <v>280</v>
      </c>
      <c r="D177">
        <v>72.599999999999994</v>
      </c>
      <c r="E177">
        <v>192</v>
      </c>
      <c r="F177">
        <v>0</v>
      </c>
      <c r="G177">
        <v>12.15</v>
      </c>
      <c r="H177">
        <v>0</v>
      </c>
      <c r="J177">
        <v>0</v>
      </c>
      <c r="K177">
        <v>54.4</v>
      </c>
      <c r="L177">
        <v>0</v>
      </c>
      <c r="M177">
        <v>91</v>
      </c>
      <c r="N177">
        <v>5.21</v>
      </c>
      <c r="O177">
        <v>99</v>
      </c>
      <c r="P177">
        <v>0.1</v>
      </c>
      <c r="S177">
        <v>2.7</v>
      </c>
      <c r="T177">
        <v>2.6</v>
      </c>
      <c r="U177">
        <v>0</v>
      </c>
      <c r="V177">
        <v>12</v>
      </c>
      <c r="W177" t="b">
        <f>COUNT(LifeExpectancyData[[#This Row],[Life expectancy]:[Schooling]])=19</f>
        <v>0</v>
      </c>
    </row>
    <row r="178" spans="1:23" x14ac:dyDescent="0.25">
      <c r="A178" t="s">
        <v>292</v>
      </c>
      <c r="B178">
        <v>2015</v>
      </c>
      <c r="C178" t="s">
        <v>280</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COUNT(LifeExpectancyData[[#This Row],[Life expectancy]:[Schooling]])=19</f>
        <v>0</v>
      </c>
    </row>
    <row r="179" spans="1:23" x14ac:dyDescent="0.25">
      <c r="A179" t="s">
        <v>292</v>
      </c>
      <c r="B179">
        <v>2014</v>
      </c>
      <c r="C179" t="s">
        <v>280</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COUNT(LifeExpectancyData[[#This Row],[Life expectancy]:[Schooling]])=19</f>
        <v>0</v>
      </c>
    </row>
    <row r="180" spans="1:23" x14ac:dyDescent="0.25">
      <c r="A180" t="s">
        <v>292</v>
      </c>
      <c r="B180">
        <v>2013</v>
      </c>
      <c r="C180" t="s">
        <v>280</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COUNT(LifeExpectancyData[[#This Row],[Life expectancy]:[Schooling]])=19</f>
        <v>0</v>
      </c>
    </row>
    <row r="181" spans="1:23" x14ac:dyDescent="0.25">
      <c r="A181" t="s">
        <v>292</v>
      </c>
      <c r="B181">
        <v>2012</v>
      </c>
      <c r="C181" t="s">
        <v>280</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COUNT(LifeExpectancyData[[#This Row],[Life expectancy]:[Schooling]])=19</f>
        <v>0</v>
      </c>
    </row>
    <row r="182" spans="1:23" x14ac:dyDescent="0.25">
      <c r="A182" t="s">
        <v>292</v>
      </c>
      <c r="B182">
        <v>2011</v>
      </c>
      <c r="C182" t="s">
        <v>280</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COUNT(LifeExpectancyData[[#This Row],[Life expectancy]:[Schooling]])=19</f>
        <v>0</v>
      </c>
    </row>
    <row r="183" spans="1:23" x14ac:dyDescent="0.25">
      <c r="A183" t="s">
        <v>292</v>
      </c>
      <c r="B183">
        <v>2010</v>
      </c>
      <c r="C183" t="s">
        <v>280</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COUNT(LifeExpectancyData[[#This Row],[Life expectancy]:[Schooling]])=19</f>
        <v>0</v>
      </c>
    </row>
    <row r="184" spans="1:23" x14ac:dyDescent="0.25">
      <c r="A184" t="s">
        <v>292</v>
      </c>
      <c r="B184">
        <v>2009</v>
      </c>
      <c r="C184" t="s">
        <v>280</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COUNT(LifeExpectancyData[[#This Row],[Life expectancy]:[Schooling]])=19</f>
        <v>0</v>
      </c>
    </row>
    <row r="185" spans="1:23" x14ac:dyDescent="0.25">
      <c r="A185" t="s">
        <v>292</v>
      </c>
      <c r="B185">
        <v>2008</v>
      </c>
      <c r="C185" t="s">
        <v>280</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COUNT(LifeExpectancyData[[#This Row],[Life expectancy]:[Schooling]])=19</f>
        <v>0</v>
      </c>
    </row>
    <row r="186" spans="1:23" x14ac:dyDescent="0.25">
      <c r="A186" t="s">
        <v>292</v>
      </c>
      <c r="B186">
        <v>2007</v>
      </c>
      <c r="C186" t="s">
        <v>280</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COUNT(LifeExpectancyData[[#This Row],[Life expectancy]:[Schooling]])=19</f>
        <v>0</v>
      </c>
    </row>
    <row r="187" spans="1:23" x14ac:dyDescent="0.25">
      <c r="A187" t="s">
        <v>292</v>
      </c>
      <c r="B187">
        <v>2006</v>
      </c>
      <c r="C187" t="s">
        <v>280</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COUNT(LifeExpectancyData[[#This Row],[Life expectancy]:[Schooling]])=19</f>
        <v>0</v>
      </c>
    </row>
    <row r="188" spans="1:23" x14ac:dyDescent="0.25">
      <c r="A188" t="s">
        <v>292</v>
      </c>
      <c r="B188">
        <v>2005</v>
      </c>
      <c r="C188" t="s">
        <v>280</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COUNT(LifeExpectancyData[[#This Row],[Life expectancy]:[Schooling]])=19</f>
        <v>0</v>
      </c>
    </row>
    <row r="189" spans="1:23" x14ac:dyDescent="0.25">
      <c r="A189" t="s">
        <v>292</v>
      </c>
      <c r="B189">
        <v>2004</v>
      </c>
      <c r="C189" t="s">
        <v>280</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COUNT(LifeExpectancyData[[#This Row],[Life expectancy]:[Schooling]])=19</f>
        <v>0</v>
      </c>
    </row>
    <row r="190" spans="1:23" x14ac:dyDescent="0.25">
      <c r="A190" t="s">
        <v>292</v>
      </c>
      <c r="B190">
        <v>2003</v>
      </c>
      <c r="C190" t="s">
        <v>280</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COUNT(LifeExpectancyData[[#This Row],[Life expectancy]:[Schooling]])=19</f>
        <v>0</v>
      </c>
    </row>
    <row r="191" spans="1:23" x14ac:dyDescent="0.25">
      <c r="A191" t="s">
        <v>292</v>
      </c>
      <c r="B191">
        <v>2002</v>
      </c>
      <c r="C191" t="s">
        <v>280</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COUNT(LifeExpectancyData[[#This Row],[Life expectancy]:[Schooling]])=19</f>
        <v>0</v>
      </c>
    </row>
    <row r="192" spans="1:23" x14ac:dyDescent="0.25">
      <c r="A192" t="s">
        <v>292</v>
      </c>
      <c r="B192">
        <v>2001</v>
      </c>
      <c r="C192" t="s">
        <v>280</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COUNT(LifeExpectancyData[[#This Row],[Life expectancy]:[Schooling]])=19</f>
        <v>0</v>
      </c>
    </row>
    <row r="193" spans="1:23" x14ac:dyDescent="0.25">
      <c r="A193" t="s">
        <v>292</v>
      </c>
      <c r="B193">
        <v>2000</v>
      </c>
      <c r="C193" t="s">
        <v>280</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COUNT(LifeExpectancyData[[#This Row],[Life expectancy]:[Schooling]])=19</f>
        <v>0</v>
      </c>
    </row>
    <row r="194" spans="1:23" x14ac:dyDescent="0.25">
      <c r="A194" t="s">
        <v>293</v>
      </c>
      <c r="B194">
        <v>2015</v>
      </c>
      <c r="C194" t="s">
        <v>280</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COUNT(LifeExpectancyData[[#This Row],[Life expectancy]:[Schooling]])=19</f>
        <v>0</v>
      </c>
    </row>
    <row r="195" spans="1:23" x14ac:dyDescent="0.25">
      <c r="A195" t="s">
        <v>293</v>
      </c>
      <c r="B195">
        <v>2014</v>
      </c>
      <c r="C195" t="s">
        <v>280</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COUNT(LifeExpectancyData[[#This Row],[Life expectancy]:[Schooling]])=19</f>
        <v>1</v>
      </c>
    </row>
    <row r="196" spans="1:23" x14ac:dyDescent="0.25">
      <c r="A196" t="s">
        <v>293</v>
      </c>
      <c r="B196">
        <v>2013</v>
      </c>
      <c r="C196" t="s">
        <v>280</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COUNT(LifeExpectancyData[[#This Row],[Life expectancy]:[Schooling]])=19</f>
        <v>1</v>
      </c>
    </row>
    <row r="197" spans="1:23" x14ac:dyDescent="0.25">
      <c r="A197" t="s">
        <v>293</v>
      </c>
      <c r="B197">
        <v>2012</v>
      </c>
      <c r="C197" t="s">
        <v>280</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COUNT(LifeExpectancyData[[#This Row],[Life expectancy]:[Schooling]])=19</f>
        <v>1</v>
      </c>
    </row>
    <row r="198" spans="1:23" x14ac:dyDescent="0.25">
      <c r="A198" t="s">
        <v>293</v>
      </c>
      <c r="B198">
        <v>2011</v>
      </c>
      <c r="C198" t="s">
        <v>280</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COUNT(LifeExpectancyData[[#This Row],[Life expectancy]:[Schooling]])=19</f>
        <v>1</v>
      </c>
    </row>
    <row r="199" spans="1:23" x14ac:dyDescent="0.25">
      <c r="A199" t="s">
        <v>293</v>
      </c>
      <c r="B199">
        <v>2010</v>
      </c>
      <c r="C199" t="s">
        <v>280</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COUNT(LifeExpectancyData[[#This Row],[Life expectancy]:[Schooling]])=19</f>
        <v>1</v>
      </c>
    </row>
    <row r="200" spans="1:23" x14ac:dyDescent="0.25">
      <c r="A200" t="s">
        <v>293</v>
      </c>
      <c r="B200">
        <v>2009</v>
      </c>
      <c r="C200" t="s">
        <v>280</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COUNT(LifeExpectancyData[[#This Row],[Life expectancy]:[Schooling]])=19</f>
        <v>1</v>
      </c>
    </row>
    <row r="201" spans="1:23" x14ac:dyDescent="0.25">
      <c r="A201" t="s">
        <v>293</v>
      </c>
      <c r="B201">
        <v>2008</v>
      </c>
      <c r="C201" t="s">
        <v>280</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COUNT(LifeExpectancyData[[#This Row],[Life expectancy]:[Schooling]])=19</f>
        <v>1</v>
      </c>
    </row>
    <row r="202" spans="1:23" x14ac:dyDescent="0.25">
      <c r="A202" t="s">
        <v>293</v>
      </c>
      <c r="B202">
        <v>2007</v>
      </c>
      <c r="C202" t="s">
        <v>280</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COUNT(LifeExpectancyData[[#This Row],[Life expectancy]:[Schooling]])=19</f>
        <v>1</v>
      </c>
    </row>
    <row r="203" spans="1:23" x14ac:dyDescent="0.25">
      <c r="A203" t="s">
        <v>293</v>
      </c>
      <c r="B203">
        <v>2006</v>
      </c>
      <c r="C203" t="s">
        <v>280</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COUNT(LifeExpectancyData[[#This Row],[Life expectancy]:[Schooling]])=19</f>
        <v>1</v>
      </c>
    </row>
    <row r="204" spans="1:23" x14ac:dyDescent="0.25">
      <c r="A204" t="s">
        <v>293</v>
      </c>
      <c r="B204">
        <v>2005</v>
      </c>
      <c r="C204" t="s">
        <v>280</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COUNT(LifeExpectancyData[[#This Row],[Life expectancy]:[Schooling]])=19</f>
        <v>1</v>
      </c>
    </row>
    <row r="205" spans="1:23" x14ac:dyDescent="0.25">
      <c r="A205" t="s">
        <v>293</v>
      </c>
      <c r="B205">
        <v>2004</v>
      </c>
      <c r="C205" t="s">
        <v>280</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COUNT(LifeExpectancyData[[#This Row],[Life expectancy]:[Schooling]])=19</f>
        <v>1</v>
      </c>
    </row>
    <row r="206" spans="1:23" x14ac:dyDescent="0.25">
      <c r="A206" t="s">
        <v>293</v>
      </c>
      <c r="B206">
        <v>2003</v>
      </c>
      <c r="C206" t="s">
        <v>280</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COUNT(LifeExpectancyData[[#This Row],[Life expectancy]:[Schooling]])=19</f>
        <v>1</v>
      </c>
    </row>
    <row r="207" spans="1:23" x14ac:dyDescent="0.25">
      <c r="A207" t="s">
        <v>293</v>
      </c>
      <c r="B207">
        <v>2002</v>
      </c>
      <c r="C207" t="s">
        <v>280</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COUNT(LifeExpectancyData[[#This Row],[Life expectancy]:[Schooling]])=19</f>
        <v>0</v>
      </c>
    </row>
    <row r="208" spans="1:23" x14ac:dyDescent="0.25">
      <c r="A208" t="s">
        <v>293</v>
      </c>
      <c r="B208">
        <v>2001</v>
      </c>
      <c r="C208" t="s">
        <v>280</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COUNT(LifeExpectancyData[[#This Row],[Life expectancy]:[Schooling]])=19</f>
        <v>0</v>
      </c>
    </row>
    <row r="209" spans="1:23" x14ac:dyDescent="0.25">
      <c r="A209" t="s">
        <v>293</v>
      </c>
      <c r="B209">
        <v>2000</v>
      </c>
      <c r="C209" t="s">
        <v>280</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COUNT(LifeExpectancyData[[#This Row],[Life expectancy]:[Schooling]])=19</f>
        <v>0</v>
      </c>
    </row>
    <row r="210" spans="1:23" x14ac:dyDescent="0.25">
      <c r="A210" t="s">
        <v>294</v>
      </c>
      <c r="B210">
        <v>2015</v>
      </c>
      <c r="C210" t="s">
        <v>280</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COUNT(LifeExpectancyData[[#This Row],[Life expectancy]:[Schooling]])=19</f>
        <v>0</v>
      </c>
    </row>
    <row r="211" spans="1:23" x14ac:dyDescent="0.25">
      <c r="A211" t="s">
        <v>294</v>
      </c>
      <c r="B211">
        <v>2014</v>
      </c>
      <c r="C211" t="s">
        <v>280</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COUNT(LifeExpectancyData[[#This Row],[Life expectancy]:[Schooling]])=19</f>
        <v>0</v>
      </c>
    </row>
    <row r="212" spans="1:23" x14ac:dyDescent="0.25">
      <c r="A212" t="s">
        <v>294</v>
      </c>
      <c r="B212">
        <v>2013</v>
      </c>
      <c r="C212" t="s">
        <v>280</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COUNT(LifeExpectancyData[[#This Row],[Life expectancy]:[Schooling]])=19</f>
        <v>0</v>
      </c>
    </row>
    <row r="213" spans="1:23" x14ac:dyDescent="0.25">
      <c r="A213" t="s">
        <v>294</v>
      </c>
      <c r="B213">
        <v>2012</v>
      </c>
      <c r="C213" t="s">
        <v>280</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COUNT(LifeExpectancyData[[#This Row],[Life expectancy]:[Schooling]])=19</f>
        <v>0</v>
      </c>
    </row>
    <row r="214" spans="1:23" x14ac:dyDescent="0.25">
      <c r="A214" t="s">
        <v>294</v>
      </c>
      <c r="B214">
        <v>2011</v>
      </c>
      <c r="C214" t="s">
        <v>280</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COUNT(LifeExpectancyData[[#This Row],[Life expectancy]:[Schooling]])=19</f>
        <v>0</v>
      </c>
    </row>
    <row r="215" spans="1:23" x14ac:dyDescent="0.25">
      <c r="A215" t="s">
        <v>294</v>
      </c>
      <c r="B215">
        <v>2010</v>
      </c>
      <c r="C215" t="s">
        <v>280</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COUNT(LifeExpectancyData[[#This Row],[Life expectancy]:[Schooling]])=19</f>
        <v>0</v>
      </c>
    </row>
    <row r="216" spans="1:23" x14ac:dyDescent="0.25">
      <c r="A216" t="s">
        <v>294</v>
      </c>
      <c r="B216">
        <v>2009</v>
      </c>
      <c r="C216" t="s">
        <v>280</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COUNT(LifeExpectancyData[[#This Row],[Life expectancy]:[Schooling]])=19</f>
        <v>0</v>
      </c>
    </row>
    <row r="217" spans="1:23" x14ac:dyDescent="0.25">
      <c r="A217" t="s">
        <v>294</v>
      </c>
      <c r="B217">
        <v>2008</v>
      </c>
      <c r="C217" t="s">
        <v>280</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COUNT(LifeExpectancyData[[#This Row],[Life expectancy]:[Schooling]])=19</f>
        <v>0</v>
      </c>
    </row>
    <row r="218" spans="1:23" x14ac:dyDescent="0.25">
      <c r="A218" t="s">
        <v>294</v>
      </c>
      <c r="B218">
        <v>2007</v>
      </c>
      <c r="C218" t="s">
        <v>280</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COUNT(LifeExpectancyData[[#This Row],[Life expectancy]:[Schooling]])=19</f>
        <v>0</v>
      </c>
    </row>
    <row r="219" spans="1:23" x14ac:dyDescent="0.25">
      <c r="A219" t="s">
        <v>294</v>
      </c>
      <c r="B219">
        <v>2006</v>
      </c>
      <c r="C219" t="s">
        <v>280</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COUNT(LifeExpectancyData[[#This Row],[Life expectancy]:[Schooling]])=19</f>
        <v>0</v>
      </c>
    </row>
    <row r="220" spans="1:23" x14ac:dyDescent="0.25">
      <c r="A220" t="s">
        <v>294</v>
      </c>
      <c r="B220">
        <v>2005</v>
      </c>
      <c r="C220" t="s">
        <v>280</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COUNT(LifeExpectancyData[[#This Row],[Life expectancy]:[Schooling]])=19</f>
        <v>0</v>
      </c>
    </row>
    <row r="221" spans="1:23" x14ac:dyDescent="0.25">
      <c r="A221" t="s">
        <v>294</v>
      </c>
      <c r="B221">
        <v>2004</v>
      </c>
      <c r="C221" t="s">
        <v>280</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COUNT(LifeExpectancyData[[#This Row],[Life expectancy]:[Schooling]])=19</f>
        <v>0</v>
      </c>
    </row>
    <row r="222" spans="1:23" x14ac:dyDescent="0.25">
      <c r="A222" t="s">
        <v>294</v>
      </c>
      <c r="B222">
        <v>2003</v>
      </c>
      <c r="C222" t="s">
        <v>280</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COUNT(LifeExpectancyData[[#This Row],[Life expectancy]:[Schooling]])=19</f>
        <v>0</v>
      </c>
    </row>
    <row r="223" spans="1:23" x14ac:dyDescent="0.25">
      <c r="A223" t="s">
        <v>294</v>
      </c>
      <c r="B223">
        <v>2002</v>
      </c>
      <c r="C223" t="s">
        <v>280</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COUNT(LifeExpectancyData[[#This Row],[Life expectancy]:[Schooling]])=19</f>
        <v>0</v>
      </c>
    </row>
    <row r="224" spans="1:23" x14ac:dyDescent="0.25">
      <c r="A224" t="s">
        <v>294</v>
      </c>
      <c r="B224">
        <v>2001</v>
      </c>
      <c r="C224" t="s">
        <v>280</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COUNT(LifeExpectancyData[[#This Row],[Life expectancy]:[Schooling]])=19</f>
        <v>0</v>
      </c>
    </row>
    <row r="225" spans="1:23" x14ac:dyDescent="0.25">
      <c r="A225" t="s">
        <v>294</v>
      </c>
      <c r="B225">
        <v>2000</v>
      </c>
      <c r="C225" t="s">
        <v>280</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COUNT(LifeExpectancyData[[#This Row],[Life expectancy]:[Schooling]])=19</f>
        <v>0</v>
      </c>
    </row>
    <row r="226" spans="1:23" x14ac:dyDescent="0.25">
      <c r="A226" t="s">
        <v>295</v>
      </c>
      <c r="B226">
        <v>2015</v>
      </c>
      <c r="C226" t="s">
        <v>280</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COUNT(LifeExpectancyData[[#This Row],[Life expectancy]:[Schooling]])=19</f>
        <v>0</v>
      </c>
    </row>
    <row r="227" spans="1:23" x14ac:dyDescent="0.25">
      <c r="A227" t="s">
        <v>295</v>
      </c>
      <c r="B227">
        <v>2014</v>
      </c>
      <c r="C227" t="s">
        <v>280</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COUNT(LifeExpectancyData[[#This Row],[Life expectancy]:[Schooling]])=19</f>
        <v>1</v>
      </c>
    </row>
    <row r="228" spans="1:23" x14ac:dyDescent="0.25">
      <c r="A228" t="s">
        <v>295</v>
      </c>
      <c r="B228">
        <v>2013</v>
      </c>
      <c r="C228" t="s">
        <v>280</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COUNT(LifeExpectancyData[[#This Row],[Life expectancy]:[Schooling]])=19</f>
        <v>1</v>
      </c>
    </row>
    <row r="229" spans="1:23" x14ac:dyDescent="0.25">
      <c r="A229" t="s">
        <v>295</v>
      </c>
      <c r="B229">
        <v>2012</v>
      </c>
      <c r="C229" t="s">
        <v>280</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COUNT(LifeExpectancyData[[#This Row],[Life expectancy]:[Schooling]])=19</f>
        <v>1</v>
      </c>
    </row>
    <row r="230" spans="1:23" x14ac:dyDescent="0.25">
      <c r="A230" t="s">
        <v>295</v>
      </c>
      <c r="B230">
        <v>2011</v>
      </c>
      <c r="C230" t="s">
        <v>280</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COUNT(LifeExpectancyData[[#This Row],[Life expectancy]:[Schooling]])=19</f>
        <v>1</v>
      </c>
    </row>
    <row r="231" spans="1:23" x14ac:dyDescent="0.25">
      <c r="A231" t="s">
        <v>295</v>
      </c>
      <c r="B231">
        <v>2010</v>
      </c>
      <c r="C231" t="s">
        <v>280</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COUNT(LifeExpectancyData[[#This Row],[Life expectancy]:[Schooling]])=19</f>
        <v>1</v>
      </c>
    </row>
    <row r="232" spans="1:23" x14ac:dyDescent="0.25">
      <c r="A232" t="s">
        <v>295</v>
      </c>
      <c r="B232">
        <v>2009</v>
      </c>
      <c r="C232" t="s">
        <v>280</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COUNT(LifeExpectancyData[[#This Row],[Life expectancy]:[Schooling]])=19</f>
        <v>1</v>
      </c>
    </row>
    <row r="233" spans="1:23" x14ac:dyDescent="0.25">
      <c r="A233" t="s">
        <v>295</v>
      </c>
      <c r="B233">
        <v>2008</v>
      </c>
      <c r="C233" t="s">
        <v>280</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COUNT(LifeExpectancyData[[#This Row],[Life expectancy]:[Schooling]])=19</f>
        <v>1</v>
      </c>
    </row>
    <row r="234" spans="1:23" x14ac:dyDescent="0.25">
      <c r="A234" t="s">
        <v>295</v>
      </c>
      <c r="B234">
        <v>2007</v>
      </c>
      <c r="C234" t="s">
        <v>280</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COUNT(LifeExpectancyData[[#This Row],[Life expectancy]:[Schooling]])=19</f>
        <v>1</v>
      </c>
    </row>
    <row r="235" spans="1:23" x14ac:dyDescent="0.25">
      <c r="A235" t="s">
        <v>295</v>
      </c>
      <c r="B235">
        <v>2006</v>
      </c>
      <c r="C235" t="s">
        <v>280</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COUNT(LifeExpectancyData[[#This Row],[Life expectancy]:[Schooling]])=19</f>
        <v>1</v>
      </c>
    </row>
    <row r="236" spans="1:23" x14ac:dyDescent="0.25">
      <c r="A236" t="s">
        <v>295</v>
      </c>
      <c r="B236">
        <v>2005</v>
      </c>
      <c r="C236" t="s">
        <v>280</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COUNT(LifeExpectancyData[[#This Row],[Life expectancy]:[Schooling]])=19</f>
        <v>1</v>
      </c>
    </row>
    <row r="237" spans="1:23" x14ac:dyDescent="0.25">
      <c r="A237" t="s">
        <v>295</v>
      </c>
      <c r="B237">
        <v>2004</v>
      </c>
      <c r="C237" t="s">
        <v>280</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COUNT(LifeExpectancyData[[#This Row],[Life expectancy]:[Schooling]])=19</f>
        <v>1</v>
      </c>
    </row>
    <row r="238" spans="1:23" x14ac:dyDescent="0.25">
      <c r="A238" t="s">
        <v>295</v>
      </c>
      <c r="B238">
        <v>2003</v>
      </c>
      <c r="C238" t="s">
        <v>280</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COUNT(LifeExpectancyData[[#This Row],[Life expectancy]:[Schooling]])=19</f>
        <v>1</v>
      </c>
    </row>
    <row r="239" spans="1:23" x14ac:dyDescent="0.25">
      <c r="A239" t="s">
        <v>295</v>
      </c>
      <c r="B239">
        <v>2002</v>
      </c>
      <c r="C239" t="s">
        <v>280</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COUNT(LifeExpectancyData[[#This Row],[Life expectancy]:[Schooling]])=19</f>
        <v>1</v>
      </c>
    </row>
    <row r="240" spans="1:23" x14ac:dyDescent="0.25">
      <c r="A240" t="s">
        <v>295</v>
      </c>
      <c r="B240">
        <v>2001</v>
      </c>
      <c r="C240" t="s">
        <v>280</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COUNT(LifeExpectancyData[[#This Row],[Life expectancy]:[Schooling]])=19</f>
        <v>1</v>
      </c>
    </row>
    <row r="241" spans="1:23" x14ac:dyDescent="0.25">
      <c r="A241" t="s">
        <v>295</v>
      </c>
      <c r="B241">
        <v>2000</v>
      </c>
      <c r="C241" t="s">
        <v>280</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COUNT(LifeExpectancyData[[#This Row],[Life expectancy]:[Schooling]])=19</f>
        <v>1</v>
      </c>
    </row>
    <row r="242" spans="1:23" x14ac:dyDescent="0.25">
      <c r="A242" t="s">
        <v>296</v>
      </c>
      <c r="B242">
        <v>2015</v>
      </c>
      <c r="C242" t="s">
        <v>288</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COUNT(LifeExpectancyData[[#This Row],[Life expectancy]:[Schooling]])=19</f>
        <v>0</v>
      </c>
    </row>
    <row r="243" spans="1:23" x14ac:dyDescent="0.25">
      <c r="A243" t="s">
        <v>296</v>
      </c>
      <c r="B243">
        <v>2014</v>
      </c>
      <c r="C243" t="s">
        <v>288</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COUNT(LifeExpectancyData[[#This Row],[Life expectancy]:[Schooling]])=19</f>
        <v>1</v>
      </c>
    </row>
    <row r="244" spans="1:23" x14ac:dyDescent="0.25">
      <c r="A244" t="s">
        <v>296</v>
      </c>
      <c r="B244">
        <v>2013</v>
      </c>
      <c r="C244" t="s">
        <v>288</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COUNT(LifeExpectancyData[[#This Row],[Life expectancy]:[Schooling]])=19</f>
        <v>1</v>
      </c>
    </row>
    <row r="245" spans="1:23" x14ac:dyDescent="0.25">
      <c r="A245" t="s">
        <v>296</v>
      </c>
      <c r="B245">
        <v>2012</v>
      </c>
      <c r="C245" t="s">
        <v>288</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COUNT(LifeExpectancyData[[#This Row],[Life expectancy]:[Schooling]])=19</f>
        <v>1</v>
      </c>
    </row>
    <row r="246" spans="1:23" x14ac:dyDescent="0.25">
      <c r="A246" t="s">
        <v>296</v>
      </c>
      <c r="B246">
        <v>2011</v>
      </c>
      <c r="C246" t="s">
        <v>288</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COUNT(LifeExpectancyData[[#This Row],[Life expectancy]:[Schooling]])=19</f>
        <v>1</v>
      </c>
    </row>
    <row r="247" spans="1:23" x14ac:dyDescent="0.25">
      <c r="A247" t="s">
        <v>296</v>
      </c>
      <c r="B247">
        <v>2010</v>
      </c>
      <c r="C247" t="s">
        <v>288</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COUNT(LifeExpectancyData[[#This Row],[Life expectancy]:[Schooling]])=19</f>
        <v>1</v>
      </c>
    </row>
    <row r="248" spans="1:23" x14ac:dyDescent="0.25">
      <c r="A248" t="s">
        <v>296</v>
      </c>
      <c r="B248">
        <v>2009</v>
      </c>
      <c r="C248" t="s">
        <v>288</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COUNT(LifeExpectancyData[[#This Row],[Life expectancy]:[Schooling]])=19</f>
        <v>1</v>
      </c>
    </row>
    <row r="249" spans="1:23" x14ac:dyDescent="0.25">
      <c r="A249" t="s">
        <v>296</v>
      </c>
      <c r="B249">
        <v>2008</v>
      </c>
      <c r="C249" t="s">
        <v>288</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COUNT(LifeExpectancyData[[#This Row],[Life expectancy]:[Schooling]])=19</f>
        <v>1</v>
      </c>
    </row>
    <row r="250" spans="1:23" x14ac:dyDescent="0.25">
      <c r="A250" t="s">
        <v>296</v>
      </c>
      <c r="B250">
        <v>2007</v>
      </c>
      <c r="C250" t="s">
        <v>288</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COUNT(LifeExpectancyData[[#This Row],[Life expectancy]:[Schooling]])=19</f>
        <v>1</v>
      </c>
    </row>
    <row r="251" spans="1:23" x14ac:dyDescent="0.25">
      <c r="A251" t="s">
        <v>296</v>
      </c>
      <c r="B251">
        <v>2006</v>
      </c>
      <c r="C251" t="s">
        <v>288</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COUNT(LifeExpectancyData[[#This Row],[Life expectancy]:[Schooling]])=19</f>
        <v>1</v>
      </c>
    </row>
    <row r="252" spans="1:23" x14ac:dyDescent="0.25">
      <c r="A252" t="s">
        <v>296</v>
      </c>
      <c r="B252">
        <v>2005</v>
      </c>
      <c r="C252" t="s">
        <v>288</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COUNT(LifeExpectancyData[[#This Row],[Life expectancy]:[Schooling]])=19</f>
        <v>1</v>
      </c>
    </row>
    <row r="253" spans="1:23" x14ac:dyDescent="0.25">
      <c r="A253" t="s">
        <v>296</v>
      </c>
      <c r="B253">
        <v>2004</v>
      </c>
      <c r="C253" t="s">
        <v>288</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COUNT(LifeExpectancyData[[#This Row],[Life expectancy]:[Schooling]])=19</f>
        <v>1</v>
      </c>
    </row>
    <row r="254" spans="1:23" x14ac:dyDescent="0.25">
      <c r="A254" t="s">
        <v>296</v>
      </c>
      <c r="B254">
        <v>2003</v>
      </c>
      <c r="C254" t="s">
        <v>288</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COUNT(LifeExpectancyData[[#This Row],[Life expectancy]:[Schooling]])=19</f>
        <v>1</v>
      </c>
    </row>
    <row r="255" spans="1:23" x14ac:dyDescent="0.25">
      <c r="A255" t="s">
        <v>296</v>
      </c>
      <c r="B255">
        <v>2002</v>
      </c>
      <c r="C255" t="s">
        <v>288</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COUNT(LifeExpectancyData[[#This Row],[Life expectancy]:[Schooling]])=19</f>
        <v>1</v>
      </c>
    </row>
    <row r="256" spans="1:23" x14ac:dyDescent="0.25">
      <c r="A256" t="s">
        <v>296</v>
      </c>
      <c r="B256">
        <v>2001</v>
      </c>
      <c r="C256" t="s">
        <v>288</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COUNT(LifeExpectancyData[[#This Row],[Life expectancy]:[Schooling]])=19</f>
        <v>1</v>
      </c>
    </row>
    <row r="257" spans="1:23" x14ac:dyDescent="0.25">
      <c r="A257" t="s">
        <v>296</v>
      </c>
      <c r="B257">
        <v>2000</v>
      </c>
      <c r="C257" t="s">
        <v>288</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COUNT(LifeExpectancyData[[#This Row],[Life expectancy]:[Schooling]])=19</f>
        <v>1</v>
      </c>
    </row>
    <row r="258" spans="1:23" x14ac:dyDescent="0.25">
      <c r="A258" t="s">
        <v>297</v>
      </c>
      <c r="B258">
        <v>2015</v>
      </c>
      <c r="C258" t="s">
        <v>280</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COUNT(LifeExpectancyData[[#This Row],[Life expectancy]:[Schooling]])=19</f>
        <v>0</v>
      </c>
    </row>
    <row r="259" spans="1:23" x14ac:dyDescent="0.25">
      <c r="A259" t="s">
        <v>297</v>
      </c>
      <c r="B259">
        <v>2014</v>
      </c>
      <c r="C259" t="s">
        <v>280</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COUNT(LifeExpectancyData[[#This Row],[Life expectancy]:[Schooling]])=19</f>
        <v>1</v>
      </c>
    </row>
    <row r="260" spans="1:23" x14ac:dyDescent="0.25">
      <c r="A260" t="s">
        <v>297</v>
      </c>
      <c r="B260">
        <v>2013</v>
      </c>
      <c r="C260" t="s">
        <v>280</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COUNT(LifeExpectancyData[[#This Row],[Life expectancy]:[Schooling]])=19</f>
        <v>1</v>
      </c>
    </row>
    <row r="261" spans="1:23" x14ac:dyDescent="0.25">
      <c r="A261" t="s">
        <v>297</v>
      </c>
      <c r="B261">
        <v>2012</v>
      </c>
      <c r="C261" t="s">
        <v>280</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COUNT(LifeExpectancyData[[#This Row],[Life expectancy]:[Schooling]])=19</f>
        <v>1</v>
      </c>
    </row>
    <row r="262" spans="1:23" x14ac:dyDescent="0.25">
      <c r="A262" t="s">
        <v>297</v>
      </c>
      <c r="B262">
        <v>2011</v>
      </c>
      <c r="C262" t="s">
        <v>280</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COUNT(LifeExpectancyData[[#This Row],[Life expectancy]:[Schooling]])=19</f>
        <v>1</v>
      </c>
    </row>
    <row r="263" spans="1:23" x14ac:dyDescent="0.25">
      <c r="A263" t="s">
        <v>297</v>
      </c>
      <c r="B263">
        <v>2010</v>
      </c>
      <c r="C263" t="s">
        <v>280</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COUNT(LifeExpectancyData[[#This Row],[Life expectancy]:[Schooling]])=19</f>
        <v>1</v>
      </c>
    </row>
    <row r="264" spans="1:23" x14ac:dyDescent="0.25">
      <c r="A264" t="s">
        <v>297</v>
      </c>
      <c r="B264">
        <v>2009</v>
      </c>
      <c r="C264" t="s">
        <v>280</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COUNT(LifeExpectancyData[[#This Row],[Life expectancy]:[Schooling]])=19</f>
        <v>1</v>
      </c>
    </row>
    <row r="265" spans="1:23" x14ac:dyDescent="0.25">
      <c r="A265" t="s">
        <v>297</v>
      </c>
      <c r="B265">
        <v>2008</v>
      </c>
      <c r="C265" t="s">
        <v>280</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COUNT(LifeExpectancyData[[#This Row],[Life expectancy]:[Schooling]])=19</f>
        <v>1</v>
      </c>
    </row>
    <row r="266" spans="1:23" x14ac:dyDescent="0.25">
      <c r="A266" t="s">
        <v>297</v>
      </c>
      <c r="B266">
        <v>2007</v>
      </c>
      <c r="C266" t="s">
        <v>280</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COUNT(LifeExpectancyData[[#This Row],[Life expectancy]:[Schooling]])=19</f>
        <v>1</v>
      </c>
    </row>
    <row r="267" spans="1:23" x14ac:dyDescent="0.25">
      <c r="A267" t="s">
        <v>297</v>
      </c>
      <c r="B267">
        <v>2006</v>
      </c>
      <c r="C267" t="s">
        <v>280</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COUNT(LifeExpectancyData[[#This Row],[Life expectancy]:[Schooling]])=19</f>
        <v>1</v>
      </c>
    </row>
    <row r="268" spans="1:23" x14ac:dyDescent="0.25">
      <c r="A268" t="s">
        <v>297</v>
      </c>
      <c r="B268">
        <v>2005</v>
      </c>
      <c r="C268" t="s">
        <v>280</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COUNT(LifeExpectancyData[[#This Row],[Life expectancy]:[Schooling]])=19</f>
        <v>1</v>
      </c>
    </row>
    <row r="269" spans="1:23" x14ac:dyDescent="0.25">
      <c r="A269" t="s">
        <v>297</v>
      </c>
      <c r="B269">
        <v>2004</v>
      </c>
      <c r="C269" t="s">
        <v>280</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COUNT(LifeExpectancyData[[#This Row],[Life expectancy]:[Schooling]])=19</f>
        <v>1</v>
      </c>
    </row>
    <row r="270" spans="1:23" x14ac:dyDescent="0.25">
      <c r="A270" t="s">
        <v>297</v>
      </c>
      <c r="B270">
        <v>2003</v>
      </c>
      <c r="C270" t="s">
        <v>280</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COUNT(LifeExpectancyData[[#This Row],[Life expectancy]:[Schooling]])=19</f>
        <v>1</v>
      </c>
    </row>
    <row r="271" spans="1:23" x14ac:dyDescent="0.25">
      <c r="A271" t="s">
        <v>297</v>
      </c>
      <c r="B271">
        <v>2002</v>
      </c>
      <c r="C271" t="s">
        <v>280</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COUNT(LifeExpectancyData[[#This Row],[Life expectancy]:[Schooling]])=19</f>
        <v>1</v>
      </c>
    </row>
    <row r="272" spans="1:23" x14ac:dyDescent="0.25">
      <c r="A272" t="s">
        <v>297</v>
      </c>
      <c r="B272">
        <v>2001</v>
      </c>
      <c r="C272" t="s">
        <v>280</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COUNT(LifeExpectancyData[[#This Row],[Life expectancy]:[Schooling]])=19</f>
        <v>1</v>
      </c>
    </row>
    <row r="273" spans="1:23" x14ac:dyDescent="0.25">
      <c r="A273" t="s">
        <v>297</v>
      </c>
      <c r="B273">
        <v>2000</v>
      </c>
      <c r="C273" t="s">
        <v>280</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COUNT(LifeExpectancyData[[#This Row],[Life expectancy]:[Schooling]])=19</f>
        <v>1</v>
      </c>
    </row>
    <row r="274" spans="1:23" x14ac:dyDescent="0.25">
      <c r="A274" t="s">
        <v>298</v>
      </c>
      <c r="B274">
        <v>2015</v>
      </c>
      <c r="C274" t="s">
        <v>280</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COUNT(LifeExpectancyData[[#This Row],[Life expectancy]:[Schooling]])=19</f>
        <v>0</v>
      </c>
    </row>
    <row r="275" spans="1:23" x14ac:dyDescent="0.25">
      <c r="A275" t="s">
        <v>298</v>
      </c>
      <c r="B275">
        <v>2014</v>
      </c>
      <c r="C275" t="s">
        <v>280</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COUNT(LifeExpectancyData[[#This Row],[Life expectancy]:[Schooling]])=19</f>
        <v>1</v>
      </c>
    </row>
    <row r="276" spans="1:23" x14ac:dyDescent="0.25">
      <c r="A276" t="s">
        <v>298</v>
      </c>
      <c r="B276">
        <v>2013</v>
      </c>
      <c r="C276" t="s">
        <v>280</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COUNT(LifeExpectancyData[[#This Row],[Life expectancy]:[Schooling]])=19</f>
        <v>1</v>
      </c>
    </row>
    <row r="277" spans="1:23" x14ac:dyDescent="0.25">
      <c r="A277" t="s">
        <v>298</v>
      </c>
      <c r="B277">
        <v>2012</v>
      </c>
      <c r="C277" t="s">
        <v>280</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COUNT(LifeExpectancyData[[#This Row],[Life expectancy]:[Schooling]])=19</f>
        <v>1</v>
      </c>
    </row>
    <row r="278" spans="1:23" x14ac:dyDescent="0.25">
      <c r="A278" t="s">
        <v>298</v>
      </c>
      <c r="B278">
        <v>2011</v>
      </c>
      <c r="C278" t="s">
        <v>280</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COUNT(LifeExpectancyData[[#This Row],[Life expectancy]:[Schooling]])=19</f>
        <v>1</v>
      </c>
    </row>
    <row r="279" spans="1:23" x14ac:dyDescent="0.25">
      <c r="A279" t="s">
        <v>298</v>
      </c>
      <c r="B279">
        <v>2010</v>
      </c>
      <c r="C279" t="s">
        <v>280</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COUNT(LifeExpectancyData[[#This Row],[Life expectancy]:[Schooling]])=19</f>
        <v>1</v>
      </c>
    </row>
    <row r="280" spans="1:23" x14ac:dyDescent="0.25">
      <c r="A280" t="s">
        <v>298</v>
      </c>
      <c r="B280">
        <v>2009</v>
      </c>
      <c r="C280" t="s">
        <v>280</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COUNT(LifeExpectancyData[[#This Row],[Life expectancy]:[Schooling]])=19</f>
        <v>1</v>
      </c>
    </row>
    <row r="281" spans="1:23" x14ac:dyDescent="0.25">
      <c r="A281" t="s">
        <v>298</v>
      </c>
      <c r="B281">
        <v>2008</v>
      </c>
      <c r="C281" t="s">
        <v>280</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COUNT(LifeExpectancyData[[#This Row],[Life expectancy]:[Schooling]])=19</f>
        <v>1</v>
      </c>
    </row>
    <row r="282" spans="1:23" x14ac:dyDescent="0.25">
      <c r="A282" t="s">
        <v>298</v>
      </c>
      <c r="B282">
        <v>2007</v>
      </c>
      <c r="C282" t="s">
        <v>280</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COUNT(LifeExpectancyData[[#This Row],[Life expectancy]:[Schooling]])=19</f>
        <v>1</v>
      </c>
    </row>
    <row r="283" spans="1:23" x14ac:dyDescent="0.25">
      <c r="A283" t="s">
        <v>298</v>
      </c>
      <c r="B283">
        <v>2006</v>
      </c>
      <c r="C283" t="s">
        <v>280</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COUNT(LifeExpectancyData[[#This Row],[Life expectancy]:[Schooling]])=19</f>
        <v>1</v>
      </c>
    </row>
    <row r="284" spans="1:23" x14ac:dyDescent="0.25">
      <c r="A284" t="s">
        <v>298</v>
      </c>
      <c r="B284">
        <v>2005</v>
      </c>
      <c r="C284" t="s">
        <v>280</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COUNT(LifeExpectancyData[[#This Row],[Life expectancy]:[Schooling]])=19</f>
        <v>1</v>
      </c>
    </row>
    <row r="285" spans="1:23" x14ac:dyDescent="0.25">
      <c r="A285" t="s">
        <v>298</v>
      </c>
      <c r="B285">
        <v>2004</v>
      </c>
      <c r="C285" t="s">
        <v>280</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COUNT(LifeExpectancyData[[#This Row],[Life expectancy]:[Schooling]])=19</f>
        <v>1</v>
      </c>
    </row>
    <row r="286" spans="1:23" x14ac:dyDescent="0.25">
      <c r="A286" t="s">
        <v>298</v>
      </c>
      <c r="B286">
        <v>2003</v>
      </c>
      <c r="C286" t="s">
        <v>280</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COUNT(LifeExpectancyData[[#This Row],[Life expectancy]:[Schooling]])=19</f>
        <v>1</v>
      </c>
    </row>
    <row r="287" spans="1:23" x14ac:dyDescent="0.25">
      <c r="A287" t="s">
        <v>298</v>
      </c>
      <c r="B287">
        <v>2002</v>
      </c>
      <c r="C287" t="s">
        <v>280</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COUNT(LifeExpectancyData[[#This Row],[Life expectancy]:[Schooling]])=19</f>
        <v>1</v>
      </c>
    </row>
    <row r="288" spans="1:23" x14ac:dyDescent="0.25">
      <c r="A288" t="s">
        <v>298</v>
      </c>
      <c r="B288">
        <v>2001</v>
      </c>
      <c r="C288" t="s">
        <v>280</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COUNT(LifeExpectancyData[[#This Row],[Life expectancy]:[Schooling]])=19</f>
        <v>0</v>
      </c>
    </row>
    <row r="289" spans="1:23" x14ac:dyDescent="0.25">
      <c r="A289" t="s">
        <v>298</v>
      </c>
      <c r="B289">
        <v>2000</v>
      </c>
      <c r="C289" t="s">
        <v>280</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COUNT(LifeExpectancyData[[#This Row],[Life expectancy]:[Schooling]])=19</f>
        <v>0</v>
      </c>
    </row>
    <row r="290" spans="1:23" x14ac:dyDescent="0.25">
      <c r="A290" t="s">
        <v>299</v>
      </c>
      <c r="B290">
        <v>2015</v>
      </c>
      <c r="C290" t="s">
        <v>280</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COUNT(LifeExpectancyData[[#This Row],[Life expectancy]:[Schooling]])=19</f>
        <v>0</v>
      </c>
    </row>
    <row r="291" spans="1:23" x14ac:dyDescent="0.25">
      <c r="A291" t="s">
        <v>299</v>
      </c>
      <c r="B291">
        <v>2014</v>
      </c>
      <c r="C291" t="s">
        <v>280</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COUNT(LifeExpectancyData[[#This Row],[Life expectancy]:[Schooling]])=19</f>
        <v>1</v>
      </c>
    </row>
    <row r="292" spans="1:23" x14ac:dyDescent="0.25">
      <c r="A292" t="s">
        <v>299</v>
      </c>
      <c r="B292">
        <v>2013</v>
      </c>
      <c r="C292" t="s">
        <v>280</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COUNT(LifeExpectancyData[[#This Row],[Life expectancy]:[Schooling]])=19</f>
        <v>1</v>
      </c>
    </row>
    <row r="293" spans="1:23" x14ac:dyDescent="0.25">
      <c r="A293" t="s">
        <v>299</v>
      </c>
      <c r="B293">
        <v>2012</v>
      </c>
      <c r="C293" t="s">
        <v>280</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COUNT(LifeExpectancyData[[#This Row],[Life expectancy]:[Schooling]])=19</f>
        <v>1</v>
      </c>
    </row>
    <row r="294" spans="1:23" x14ac:dyDescent="0.25">
      <c r="A294" t="s">
        <v>299</v>
      </c>
      <c r="B294">
        <v>2011</v>
      </c>
      <c r="C294" t="s">
        <v>280</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COUNT(LifeExpectancyData[[#This Row],[Life expectancy]:[Schooling]])=19</f>
        <v>1</v>
      </c>
    </row>
    <row r="295" spans="1:23" x14ac:dyDescent="0.25">
      <c r="A295" t="s">
        <v>299</v>
      </c>
      <c r="B295">
        <v>2010</v>
      </c>
      <c r="C295" t="s">
        <v>280</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COUNT(LifeExpectancyData[[#This Row],[Life expectancy]:[Schooling]])=19</f>
        <v>1</v>
      </c>
    </row>
    <row r="296" spans="1:23" x14ac:dyDescent="0.25">
      <c r="A296" t="s">
        <v>299</v>
      </c>
      <c r="B296">
        <v>2009</v>
      </c>
      <c r="C296" t="s">
        <v>280</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COUNT(LifeExpectancyData[[#This Row],[Life expectancy]:[Schooling]])=19</f>
        <v>1</v>
      </c>
    </row>
    <row r="297" spans="1:23" x14ac:dyDescent="0.25">
      <c r="A297" t="s">
        <v>299</v>
      </c>
      <c r="B297">
        <v>2008</v>
      </c>
      <c r="C297" t="s">
        <v>280</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COUNT(LifeExpectancyData[[#This Row],[Life expectancy]:[Schooling]])=19</f>
        <v>1</v>
      </c>
    </row>
    <row r="298" spans="1:23" x14ac:dyDescent="0.25">
      <c r="A298" t="s">
        <v>299</v>
      </c>
      <c r="B298">
        <v>2007</v>
      </c>
      <c r="C298" t="s">
        <v>280</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COUNT(LifeExpectancyData[[#This Row],[Life expectancy]:[Schooling]])=19</f>
        <v>1</v>
      </c>
    </row>
    <row r="299" spans="1:23" x14ac:dyDescent="0.25">
      <c r="A299" t="s">
        <v>299</v>
      </c>
      <c r="B299">
        <v>2006</v>
      </c>
      <c r="C299" t="s">
        <v>280</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COUNT(LifeExpectancyData[[#This Row],[Life expectancy]:[Schooling]])=19</f>
        <v>1</v>
      </c>
    </row>
    <row r="300" spans="1:23" x14ac:dyDescent="0.25">
      <c r="A300" t="s">
        <v>299</v>
      </c>
      <c r="B300">
        <v>2005</v>
      </c>
      <c r="C300" t="s">
        <v>280</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COUNT(LifeExpectancyData[[#This Row],[Life expectancy]:[Schooling]])=19</f>
        <v>1</v>
      </c>
    </row>
    <row r="301" spans="1:23" x14ac:dyDescent="0.25">
      <c r="A301" t="s">
        <v>299</v>
      </c>
      <c r="B301">
        <v>2004</v>
      </c>
      <c r="C301" t="s">
        <v>280</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COUNT(LifeExpectancyData[[#This Row],[Life expectancy]:[Schooling]])=19</f>
        <v>1</v>
      </c>
    </row>
    <row r="302" spans="1:23" x14ac:dyDescent="0.25">
      <c r="A302" t="s">
        <v>299</v>
      </c>
      <c r="B302">
        <v>2003</v>
      </c>
      <c r="C302" t="s">
        <v>280</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COUNT(LifeExpectancyData[[#This Row],[Life expectancy]:[Schooling]])=19</f>
        <v>1</v>
      </c>
    </row>
    <row r="303" spans="1:23" x14ac:dyDescent="0.25">
      <c r="A303" t="s">
        <v>299</v>
      </c>
      <c r="B303">
        <v>2002</v>
      </c>
      <c r="C303" t="s">
        <v>280</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COUNT(LifeExpectancyData[[#This Row],[Life expectancy]:[Schooling]])=19</f>
        <v>1</v>
      </c>
    </row>
    <row r="304" spans="1:23" x14ac:dyDescent="0.25">
      <c r="A304" t="s">
        <v>299</v>
      </c>
      <c r="B304">
        <v>2001</v>
      </c>
      <c r="C304" t="s">
        <v>280</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COUNT(LifeExpectancyData[[#This Row],[Life expectancy]:[Schooling]])=19</f>
        <v>1</v>
      </c>
    </row>
    <row r="305" spans="1:23" x14ac:dyDescent="0.25">
      <c r="A305" t="s">
        <v>299</v>
      </c>
      <c r="B305">
        <v>2000</v>
      </c>
      <c r="C305" t="s">
        <v>280</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COUNT(LifeExpectancyData[[#This Row],[Life expectancy]:[Schooling]])=19</f>
        <v>1</v>
      </c>
    </row>
    <row r="306" spans="1:23" x14ac:dyDescent="0.25">
      <c r="A306" t="s">
        <v>300</v>
      </c>
      <c r="B306">
        <v>2015</v>
      </c>
      <c r="C306" t="s">
        <v>280</v>
      </c>
      <c r="D306">
        <v>77</v>
      </c>
      <c r="E306">
        <v>186</v>
      </c>
      <c r="F306">
        <v>8</v>
      </c>
      <c r="H306">
        <v>0</v>
      </c>
      <c r="I306">
        <v>99</v>
      </c>
      <c r="J306">
        <v>0</v>
      </c>
      <c r="K306">
        <v>52.6</v>
      </c>
      <c r="L306">
        <v>10</v>
      </c>
      <c r="M306">
        <v>99</v>
      </c>
      <c r="O306">
        <v>99</v>
      </c>
      <c r="P306">
        <v>0.1</v>
      </c>
      <c r="S306">
        <v>1.2</v>
      </c>
      <c r="T306">
        <v>1.1000000000000001</v>
      </c>
      <c r="U306">
        <v>0.67100000000000004</v>
      </c>
      <c r="V306">
        <v>13.8</v>
      </c>
      <c r="W306" t="b">
        <f>COUNT(LifeExpectancyData[[#This Row],[Life expectancy]:[Schooling]])=19</f>
        <v>0</v>
      </c>
    </row>
    <row r="307" spans="1:23" x14ac:dyDescent="0.25">
      <c r="A307" t="s">
        <v>300</v>
      </c>
      <c r="B307">
        <v>2014</v>
      </c>
      <c r="C307" t="s">
        <v>280</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COUNT(LifeExpectancyData[[#This Row],[Life expectancy]:[Schooling]])=19</f>
        <v>0</v>
      </c>
    </row>
    <row r="308" spans="1:23" x14ac:dyDescent="0.25">
      <c r="A308" t="s">
        <v>300</v>
      </c>
      <c r="B308">
        <v>2013</v>
      </c>
      <c r="C308" t="s">
        <v>280</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COUNT(LifeExpectancyData[[#This Row],[Life expectancy]:[Schooling]])=19</f>
        <v>0</v>
      </c>
    </row>
    <row r="309" spans="1:23" x14ac:dyDescent="0.25">
      <c r="A309" t="s">
        <v>300</v>
      </c>
      <c r="B309">
        <v>2012</v>
      </c>
      <c r="C309" t="s">
        <v>280</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COUNT(LifeExpectancyData[[#This Row],[Life expectancy]:[Schooling]])=19</f>
        <v>0</v>
      </c>
    </row>
    <row r="310" spans="1:23" x14ac:dyDescent="0.25">
      <c r="A310" t="s">
        <v>300</v>
      </c>
      <c r="B310">
        <v>2011</v>
      </c>
      <c r="C310" t="s">
        <v>280</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COUNT(LifeExpectancyData[[#This Row],[Life expectancy]:[Schooling]])=19</f>
        <v>0</v>
      </c>
    </row>
    <row r="311" spans="1:23" x14ac:dyDescent="0.25">
      <c r="A311" t="s">
        <v>300</v>
      </c>
      <c r="B311">
        <v>2010</v>
      </c>
      <c r="C311" t="s">
        <v>280</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COUNT(LifeExpectancyData[[#This Row],[Life expectancy]:[Schooling]])=19</f>
        <v>0</v>
      </c>
    </row>
    <row r="312" spans="1:23" x14ac:dyDescent="0.25">
      <c r="A312" t="s">
        <v>300</v>
      </c>
      <c r="B312">
        <v>2009</v>
      </c>
      <c r="C312" t="s">
        <v>280</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COUNT(LifeExpectancyData[[#This Row],[Life expectancy]:[Schooling]])=19</f>
        <v>0</v>
      </c>
    </row>
    <row r="313" spans="1:23" x14ac:dyDescent="0.25">
      <c r="A313" t="s">
        <v>300</v>
      </c>
      <c r="B313">
        <v>2008</v>
      </c>
      <c r="C313" t="s">
        <v>280</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COUNT(LifeExpectancyData[[#This Row],[Life expectancy]:[Schooling]])=19</f>
        <v>0</v>
      </c>
    </row>
    <row r="314" spans="1:23" x14ac:dyDescent="0.25">
      <c r="A314" t="s">
        <v>300</v>
      </c>
      <c r="B314">
        <v>2007</v>
      </c>
      <c r="C314" t="s">
        <v>280</v>
      </c>
      <c r="D314">
        <v>66.8</v>
      </c>
      <c r="E314">
        <v>216</v>
      </c>
      <c r="F314">
        <v>11</v>
      </c>
      <c r="G314">
        <v>3.47</v>
      </c>
      <c r="H314">
        <v>0</v>
      </c>
      <c r="I314">
        <v>84</v>
      </c>
      <c r="J314">
        <v>0</v>
      </c>
      <c r="K314">
        <v>47.3</v>
      </c>
      <c r="L314">
        <v>14</v>
      </c>
      <c r="M314">
        <v>85</v>
      </c>
      <c r="N314">
        <v>4.96</v>
      </c>
      <c r="O314">
        <v>84</v>
      </c>
      <c r="P314">
        <v>0.2</v>
      </c>
      <c r="S314">
        <v>1.3</v>
      </c>
      <c r="T314">
        <v>1.2</v>
      </c>
      <c r="U314">
        <v>0.626</v>
      </c>
      <c r="V314">
        <v>14.1</v>
      </c>
      <c r="W314" t="b">
        <f>COUNT(LifeExpectancyData[[#This Row],[Life expectancy]:[Schooling]])=19</f>
        <v>0</v>
      </c>
    </row>
    <row r="315" spans="1:23" x14ac:dyDescent="0.25">
      <c r="A315" t="s">
        <v>300</v>
      </c>
      <c r="B315">
        <v>2006</v>
      </c>
      <c r="C315" t="s">
        <v>280</v>
      </c>
      <c r="D315">
        <v>66.2</v>
      </c>
      <c r="E315">
        <v>219</v>
      </c>
      <c r="F315">
        <v>11</v>
      </c>
      <c r="G315">
        <v>3.23</v>
      </c>
      <c r="H315">
        <v>0</v>
      </c>
      <c r="I315">
        <v>83</v>
      </c>
      <c r="J315">
        <v>0</v>
      </c>
      <c r="K315">
        <v>46.7</v>
      </c>
      <c r="L315">
        <v>15</v>
      </c>
      <c r="M315">
        <v>82</v>
      </c>
      <c r="N315">
        <v>5.19</v>
      </c>
      <c r="O315">
        <v>83</v>
      </c>
      <c r="P315">
        <v>0.2</v>
      </c>
      <c r="S315">
        <v>1.3</v>
      </c>
      <c r="T315">
        <v>1.2</v>
      </c>
      <c r="U315">
        <v>0.625</v>
      </c>
      <c r="V315">
        <v>14.3</v>
      </c>
      <c r="W315" t="b">
        <f>COUNT(LifeExpectancyData[[#This Row],[Life expectancy]:[Schooling]])=19</f>
        <v>0</v>
      </c>
    </row>
    <row r="316" spans="1:23" x14ac:dyDescent="0.25">
      <c r="A316" t="s">
        <v>300</v>
      </c>
      <c r="B316">
        <v>2005</v>
      </c>
      <c r="C316" t="s">
        <v>280</v>
      </c>
      <c r="D316">
        <v>65.7</v>
      </c>
      <c r="E316">
        <v>222</v>
      </c>
      <c r="F316">
        <v>12</v>
      </c>
      <c r="G316">
        <v>2.86</v>
      </c>
      <c r="H316">
        <v>0</v>
      </c>
      <c r="I316">
        <v>85</v>
      </c>
      <c r="J316">
        <v>0</v>
      </c>
      <c r="K316">
        <v>46</v>
      </c>
      <c r="L316">
        <v>16</v>
      </c>
      <c r="M316">
        <v>84</v>
      </c>
      <c r="N316">
        <v>5.67</v>
      </c>
      <c r="O316">
        <v>85</v>
      </c>
      <c r="P316">
        <v>0.2</v>
      </c>
      <c r="S316">
        <v>1.3</v>
      </c>
      <c r="T316">
        <v>1.2</v>
      </c>
      <c r="U316">
        <v>0.622</v>
      </c>
      <c r="V316">
        <v>14.4</v>
      </c>
      <c r="W316" t="b">
        <f>COUNT(LifeExpectancyData[[#This Row],[Life expectancy]:[Schooling]])=19</f>
        <v>0</v>
      </c>
    </row>
    <row r="317" spans="1:23" x14ac:dyDescent="0.25">
      <c r="A317" t="s">
        <v>300</v>
      </c>
      <c r="B317">
        <v>2004</v>
      </c>
      <c r="C317" t="s">
        <v>280</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COUNT(LifeExpectancyData[[#This Row],[Life expectancy]:[Schooling]])=19</f>
        <v>0</v>
      </c>
    </row>
    <row r="318" spans="1:23" x14ac:dyDescent="0.25">
      <c r="A318" t="s">
        <v>300</v>
      </c>
      <c r="B318">
        <v>2003</v>
      </c>
      <c r="C318" t="s">
        <v>280</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COUNT(LifeExpectancyData[[#This Row],[Life expectancy]:[Schooling]])=19</f>
        <v>0</v>
      </c>
    </row>
    <row r="319" spans="1:23" x14ac:dyDescent="0.25">
      <c r="A319" t="s">
        <v>300</v>
      </c>
      <c r="B319">
        <v>2002</v>
      </c>
      <c r="C319" t="s">
        <v>280</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COUNT(LifeExpectancyData[[#This Row],[Life expectancy]:[Schooling]])=19</f>
        <v>0</v>
      </c>
    </row>
    <row r="320" spans="1:23" x14ac:dyDescent="0.25">
      <c r="A320" t="s">
        <v>300</v>
      </c>
      <c r="B320">
        <v>2001</v>
      </c>
      <c r="C320" t="s">
        <v>280</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COUNT(LifeExpectancyData[[#This Row],[Life expectancy]:[Schooling]])=19</f>
        <v>0</v>
      </c>
    </row>
    <row r="321" spans="1:23" x14ac:dyDescent="0.25">
      <c r="A321" t="s">
        <v>300</v>
      </c>
      <c r="B321">
        <v>2000</v>
      </c>
      <c r="C321" t="s">
        <v>280</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COUNT(LifeExpectancyData[[#This Row],[Life expectancy]:[Schooling]])=19</f>
        <v>0</v>
      </c>
    </row>
    <row r="322" spans="1:23" x14ac:dyDescent="0.25">
      <c r="A322" t="s">
        <v>301</v>
      </c>
      <c r="B322">
        <v>2015</v>
      </c>
      <c r="C322" t="s">
        <v>280</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COUNT(LifeExpectancyData[[#This Row],[Life expectancy]:[Schooling]])=19</f>
        <v>0</v>
      </c>
    </row>
    <row r="323" spans="1:23" x14ac:dyDescent="0.25">
      <c r="A323" t="s">
        <v>301</v>
      </c>
      <c r="B323">
        <v>2014</v>
      </c>
      <c r="C323" t="s">
        <v>280</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COUNT(LifeExpectancyData[[#This Row],[Life expectancy]:[Schooling]])=19</f>
        <v>1</v>
      </c>
    </row>
    <row r="324" spans="1:23" x14ac:dyDescent="0.25">
      <c r="A324" t="s">
        <v>301</v>
      </c>
      <c r="B324">
        <v>2013</v>
      </c>
      <c r="C324" t="s">
        <v>280</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COUNT(LifeExpectancyData[[#This Row],[Life expectancy]:[Schooling]])=19</f>
        <v>1</v>
      </c>
    </row>
    <row r="325" spans="1:23" x14ac:dyDescent="0.25">
      <c r="A325" t="s">
        <v>301</v>
      </c>
      <c r="B325">
        <v>2012</v>
      </c>
      <c r="C325" t="s">
        <v>280</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COUNT(LifeExpectancyData[[#This Row],[Life expectancy]:[Schooling]])=19</f>
        <v>1</v>
      </c>
    </row>
    <row r="326" spans="1:23" x14ac:dyDescent="0.25">
      <c r="A326" t="s">
        <v>301</v>
      </c>
      <c r="B326">
        <v>2011</v>
      </c>
      <c r="C326" t="s">
        <v>280</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COUNT(LifeExpectancyData[[#This Row],[Life expectancy]:[Schooling]])=19</f>
        <v>1</v>
      </c>
    </row>
    <row r="327" spans="1:23" x14ac:dyDescent="0.25">
      <c r="A327" t="s">
        <v>301</v>
      </c>
      <c r="B327">
        <v>2010</v>
      </c>
      <c r="C327" t="s">
        <v>280</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COUNT(LifeExpectancyData[[#This Row],[Life expectancy]:[Schooling]])=19</f>
        <v>1</v>
      </c>
    </row>
    <row r="328" spans="1:23" x14ac:dyDescent="0.25">
      <c r="A328" t="s">
        <v>301</v>
      </c>
      <c r="B328">
        <v>2009</v>
      </c>
      <c r="C328" t="s">
        <v>280</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COUNT(LifeExpectancyData[[#This Row],[Life expectancy]:[Schooling]])=19</f>
        <v>1</v>
      </c>
    </row>
    <row r="329" spans="1:23" x14ac:dyDescent="0.25">
      <c r="A329" t="s">
        <v>301</v>
      </c>
      <c r="B329">
        <v>2008</v>
      </c>
      <c r="C329" t="s">
        <v>280</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COUNT(LifeExpectancyData[[#This Row],[Life expectancy]:[Schooling]])=19</f>
        <v>1</v>
      </c>
    </row>
    <row r="330" spans="1:23" x14ac:dyDescent="0.25">
      <c r="A330" t="s">
        <v>301</v>
      </c>
      <c r="B330">
        <v>2007</v>
      </c>
      <c r="C330" t="s">
        <v>280</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COUNT(LifeExpectancyData[[#This Row],[Life expectancy]:[Schooling]])=19</f>
        <v>1</v>
      </c>
    </row>
    <row r="331" spans="1:23" x14ac:dyDescent="0.25">
      <c r="A331" t="s">
        <v>301</v>
      </c>
      <c r="B331">
        <v>2006</v>
      </c>
      <c r="C331" t="s">
        <v>280</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COUNT(LifeExpectancyData[[#This Row],[Life expectancy]:[Schooling]])=19</f>
        <v>1</v>
      </c>
    </row>
    <row r="332" spans="1:23" x14ac:dyDescent="0.25">
      <c r="A332" t="s">
        <v>301</v>
      </c>
      <c r="B332">
        <v>2005</v>
      </c>
      <c r="C332" t="s">
        <v>280</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COUNT(LifeExpectancyData[[#This Row],[Life expectancy]:[Schooling]])=19</f>
        <v>1</v>
      </c>
    </row>
    <row r="333" spans="1:23" x14ac:dyDescent="0.25">
      <c r="A333" t="s">
        <v>301</v>
      </c>
      <c r="B333">
        <v>2004</v>
      </c>
      <c r="C333" t="s">
        <v>280</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COUNT(LifeExpectancyData[[#This Row],[Life expectancy]:[Schooling]])=19</f>
        <v>1</v>
      </c>
    </row>
    <row r="334" spans="1:23" x14ac:dyDescent="0.25">
      <c r="A334" t="s">
        <v>301</v>
      </c>
      <c r="B334">
        <v>2003</v>
      </c>
      <c r="C334" t="s">
        <v>280</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COUNT(LifeExpectancyData[[#This Row],[Life expectancy]:[Schooling]])=19</f>
        <v>0</v>
      </c>
    </row>
    <row r="335" spans="1:23" x14ac:dyDescent="0.25">
      <c r="A335" t="s">
        <v>301</v>
      </c>
      <c r="B335">
        <v>2002</v>
      </c>
      <c r="C335" t="s">
        <v>280</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COUNT(LifeExpectancyData[[#This Row],[Life expectancy]:[Schooling]])=19</f>
        <v>0</v>
      </c>
    </row>
    <row r="336" spans="1:23" x14ac:dyDescent="0.25">
      <c r="A336" t="s">
        <v>301</v>
      </c>
      <c r="B336">
        <v>2001</v>
      </c>
      <c r="C336" t="s">
        <v>280</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COUNT(LifeExpectancyData[[#This Row],[Life expectancy]:[Schooling]])=19</f>
        <v>0</v>
      </c>
    </row>
    <row r="337" spans="1:23" x14ac:dyDescent="0.25">
      <c r="A337" t="s">
        <v>301</v>
      </c>
      <c r="B337">
        <v>2000</v>
      </c>
      <c r="C337" t="s">
        <v>280</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COUNT(LifeExpectancyData[[#This Row],[Life expectancy]:[Schooling]])=19</f>
        <v>0</v>
      </c>
    </row>
    <row r="338" spans="1:23" x14ac:dyDescent="0.25">
      <c r="A338" t="s">
        <v>302</v>
      </c>
      <c r="B338">
        <v>2015</v>
      </c>
      <c r="C338" t="s">
        <v>280</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COUNT(LifeExpectancyData[[#This Row],[Life expectancy]:[Schooling]])=19</f>
        <v>0</v>
      </c>
    </row>
    <row r="339" spans="1:23" x14ac:dyDescent="0.25">
      <c r="A339" t="s">
        <v>302</v>
      </c>
      <c r="B339">
        <v>2014</v>
      </c>
      <c r="C339" t="s">
        <v>280</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COUNT(LifeExpectancyData[[#This Row],[Life expectancy]:[Schooling]])=19</f>
        <v>1</v>
      </c>
    </row>
    <row r="340" spans="1:23" x14ac:dyDescent="0.25">
      <c r="A340" t="s">
        <v>302</v>
      </c>
      <c r="B340">
        <v>2013</v>
      </c>
      <c r="C340" t="s">
        <v>280</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COUNT(LifeExpectancyData[[#This Row],[Life expectancy]:[Schooling]])=19</f>
        <v>1</v>
      </c>
    </row>
    <row r="341" spans="1:23" x14ac:dyDescent="0.25">
      <c r="A341" t="s">
        <v>302</v>
      </c>
      <c r="B341">
        <v>2012</v>
      </c>
      <c r="C341" t="s">
        <v>280</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COUNT(LifeExpectancyData[[#This Row],[Life expectancy]:[Schooling]])=19</f>
        <v>1</v>
      </c>
    </row>
    <row r="342" spans="1:23" x14ac:dyDescent="0.25">
      <c r="A342" t="s">
        <v>302</v>
      </c>
      <c r="B342">
        <v>2011</v>
      </c>
      <c r="C342" t="s">
        <v>280</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COUNT(LifeExpectancyData[[#This Row],[Life expectancy]:[Schooling]])=19</f>
        <v>1</v>
      </c>
    </row>
    <row r="343" spans="1:23" x14ac:dyDescent="0.25">
      <c r="A343" t="s">
        <v>302</v>
      </c>
      <c r="B343">
        <v>2010</v>
      </c>
      <c r="C343" t="s">
        <v>280</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COUNT(LifeExpectancyData[[#This Row],[Life expectancy]:[Schooling]])=19</f>
        <v>1</v>
      </c>
    </row>
    <row r="344" spans="1:23" x14ac:dyDescent="0.25">
      <c r="A344" t="s">
        <v>302</v>
      </c>
      <c r="B344">
        <v>2009</v>
      </c>
      <c r="C344" t="s">
        <v>280</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COUNT(LifeExpectancyData[[#This Row],[Life expectancy]:[Schooling]])=19</f>
        <v>1</v>
      </c>
    </row>
    <row r="345" spans="1:23" x14ac:dyDescent="0.25">
      <c r="A345" t="s">
        <v>302</v>
      </c>
      <c r="B345">
        <v>2008</v>
      </c>
      <c r="C345" t="s">
        <v>280</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COUNT(LifeExpectancyData[[#This Row],[Life expectancy]:[Schooling]])=19</f>
        <v>1</v>
      </c>
    </row>
    <row r="346" spans="1:23" x14ac:dyDescent="0.25">
      <c r="A346" t="s">
        <v>302</v>
      </c>
      <c r="B346">
        <v>2007</v>
      </c>
      <c r="C346" t="s">
        <v>280</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COUNT(LifeExpectancyData[[#This Row],[Life expectancy]:[Schooling]])=19</f>
        <v>1</v>
      </c>
    </row>
    <row r="347" spans="1:23" x14ac:dyDescent="0.25">
      <c r="A347" t="s">
        <v>302</v>
      </c>
      <c r="B347">
        <v>2006</v>
      </c>
      <c r="C347" t="s">
        <v>280</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COUNT(LifeExpectancyData[[#This Row],[Life expectancy]:[Schooling]])=19</f>
        <v>1</v>
      </c>
    </row>
    <row r="348" spans="1:23" x14ac:dyDescent="0.25">
      <c r="A348" t="s">
        <v>302</v>
      </c>
      <c r="B348">
        <v>2005</v>
      </c>
      <c r="C348" t="s">
        <v>280</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COUNT(LifeExpectancyData[[#This Row],[Life expectancy]:[Schooling]])=19</f>
        <v>1</v>
      </c>
    </row>
    <row r="349" spans="1:23" x14ac:dyDescent="0.25">
      <c r="A349" t="s">
        <v>302</v>
      </c>
      <c r="B349">
        <v>2004</v>
      </c>
      <c r="C349" t="s">
        <v>280</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COUNT(LifeExpectancyData[[#This Row],[Life expectancy]:[Schooling]])=19</f>
        <v>1</v>
      </c>
    </row>
    <row r="350" spans="1:23" x14ac:dyDescent="0.25">
      <c r="A350" t="s">
        <v>302</v>
      </c>
      <c r="B350">
        <v>2003</v>
      </c>
      <c r="C350" t="s">
        <v>280</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COUNT(LifeExpectancyData[[#This Row],[Life expectancy]:[Schooling]])=19</f>
        <v>1</v>
      </c>
    </row>
    <row r="351" spans="1:23" x14ac:dyDescent="0.25">
      <c r="A351" t="s">
        <v>302</v>
      </c>
      <c r="B351">
        <v>2002</v>
      </c>
      <c r="C351" t="s">
        <v>280</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COUNT(LifeExpectancyData[[#This Row],[Life expectancy]:[Schooling]])=19</f>
        <v>1</v>
      </c>
    </row>
    <row r="352" spans="1:23" x14ac:dyDescent="0.25">
      <c r="A352" t="s">
        <v>302</v>
      </c>
      <c r="B352">
        <v>2001</v>
      </c>
      <c r="C352" t="s">
        <v>280</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COUNT(LifeExpectancyData[[#This Row],[Life expectancy]:[Schooling]])=19</f>
        <v>1</v>
      </c>
    </row>
    <row r="353" spans="1:23" x14ac:dyDescent="0.25">
      <c r="A353" t="s">
        <v>302</v>
      </c>
      <c r="B353">
        <v>2000</v>
      </c>
      <c r="C353" t="s">
        <v>280</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COUNT(LifeExpectancyData[[#This Row],[Life expectancy]:[Schooling]])=19</f>
        <v>1</v>
      </c>
    </row>
    <row r="354" spans="1:23" x14ac:dyDescent="0.25">
      <c r="A354" t="s">
        <v>303</v>
      </c>
      <c r="B354">
        <v>2015</v>
      </c>
      <c r="C354" t="s">
        <v>280</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COUNT(LifeExpectancyData[[#This Row],[Life expectancy]:[Schooling]])=19</f>
        <v>0</v>
      </c>
    </row>
    <row r="355" spans="1:23" x14ac:dyDescent="0.25">
      <c r="A355" t="s">
        <v>303</v>
      </c>
      <c r="B355">
        <v>2014</v>
      </c>
      <c r="C355" t="s">
        <v>280</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COUNT(LifeExpectancyData[[#This Row],[Life expectancy]:[Schooling]])=19</f>
        <v>1</v>
      </c>
    </row>
    <row r="356" spans="1:23" x14ac:dyDescent="0.25">
      <c r="A356" t="s">
        <v>303</v>
      </c>
      <c r="B356">
        <v>2013</v>
      </c>
      <c r="C356" t="s">
        <v>280</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COUNT(LifeExpectancyData[[#This Row],[Life expectancy]:[Schooling]])=19</f>
        <v>1</v>
      </c>
    </row>
    <row r="357" spans="1:23" x14ac:dyDescent="0.25">
      <c r="A357" t="s">
        <v>303</v>
      </c>
      <c r="B357">
        <v>2012</v>
      </c>
      <c r="C357" t="s">
        <v>280</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COUNT(LifeExpectancyData[[#This Row],[Life expectancy]:[Schooling]])=19</f>
        <v>1</v>
      </c>
    </row>
    <row r="358" spans="1:23" x14ac:dyDescent="0.25">
      <c r="A358" t="s">
        <v>303</v>
      </c>
      <c r="B358">
        <v>2011</v>
      </c>
      <c r="C358" t="s">
        <v>280</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COUNT(LifeExpectancyData[[#This Row],[Life expectancy]:[Schooling]])=19</f>
        <v>1</v>
      </c>
    </row>
    <row r="359" spans="1:23" x14ac:dyDescent="0.25">
      <c r="A359" t="s">
        <v>303</v>
      </c>
      <c r="B359">
        <v>2010</v>
      </c>
      <c r="C359" t="s">
        <v>280</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COUNT(LifeExpectancyData[[#This Row],[Life expectancy]:[Schooling]])=19</f>
        <v>1</v>
      </c>
    </row>
    <row r="360" spans="1:23" x14ac:dyDescent="0.25">
      <c r="A360" t="s">
        <v>303</v>
      </c>
      <c r="B360">
        <v>2009</v>
      </c>
      <c r="C360" t="s">
        <v>280</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COUNT(LifeExpectancyData[[#This Row],[Life expectancy]:[Schooling]])=19</f>
        <v>1</v>
      </c>
    </row>
    <row r="361" spans="1:23" x14ac:dyDescent="0.25">
      <c r="A361" t="s">
        <v>303</v>
      </c>
      <c r="B361">
        <v>2008</v>
      </c>
      <c r="C361" t="s">
        <v>280</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COUNT(LifeExpectancyData[[#This Row],[Life expectancy]:[Schooling]])=19</f>
        <v>1</v>
      </c>
    </row>
    <row r="362" spans="1:23" x14ac:dyDescent="0.25">
      <c r="A362" t="s">
        <v>303</v>
      </c>
      <c r="B362">
        <v>2007</v>
      </c>
      <c r="C362" t="s">
        <v>280</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COUNT(LifeExpectancyData[[#This Row],[Life expectancy]:[Schooling]])=19</f>
        <v>1</v>
      </c>
    </row>
    <row r="363" spans="1:23" x14ac:dyDescent="0.25">
      <c r="A363" t="s">
        <v>303</v>
      </c>
      <c r="B363">
        <v>2006</v>
      </c>
      <c r="C363" t="s">
        <v>280</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COUNT(LifeExpectancyData[[#This Row],[Life expectancy]:[Schooling]])=19</f>
        <v>1</v>
      </c>
    </row>
    <row r="364" spans="1:23" x14ac:dyDescent="0.25">
      <c r="A364" t="s">
        <v>303</v>
      </c>
      <c r="B364">
        <v>2005</v>
      </c>
      <c r="C364" t="s">
        <v>280</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COUNT(LifeExpectancyData[[#This Row],[Life expectancy]:[Schooling]])=19</f>
        <v>1</v>
      </c>
    </row>
    <row r="365" spans="1:23" x14ac:dyDescent="0.25">
      <c r="A365" t="s">
        <v>303</v>
      </c>
      <c r="B365">
        <v>2004</v>
      </c>
      <c r="C365" t="s">
        <v>280</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COUNT(LifeExpectancyData[[#This Row],[Life expectancy]:[Schooling]])=19</f>
        <v>1</v>
      </c>
    </row>
    <row r="366" spans="1:23" x14ac:dyDescent="0.25">
      <c r="A366" t="s">
        <v>303</v>
      </c>
      <c r="B366">
        <v>2003</v>
      </c>
      <c r="C366" t="s">
        <v>280</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COUNT(LifeExpectancyData[[#This Row],[Life expectancy]:[Schooling]])=19</f>
        <v>1</v>
      </c>
    </row>
    <row r="367" spans="1:23" x14ac:dyDescent="0.25">
      <c r="A367" t="s">
        <v>303</v>
      </c>
      <c r="B367">
        <v>2002</v>
      </c>
      <c r="C367" t="s">
        <v>280</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COUNT(LifeExpectancyData[[#This Row],[Life expectancy]:[Schooling]])=19</f>
        <v>1</v>
      </c>
    </row>
    <row r="368" spans="1:23" x14ac:dyDescent="0.25">
      <c r="A368" t="s">
        <v>303</v>
      </c>
      <c r="B368">
        <v>2001</v>
      </c>
      <c r="C368" t="s">
        <v>280</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COUNT(LifeExpectancyData[[#This Row],[Life expectancy]:[Schooling]])=19</f>
        <v>1</v>
      </c>
    </row>
    <row r="369" spans="1:23" x14ac:dyDescent="0.25">
      <c r="A369" t="s">
        <v>303</v>
      </c>
      <c r="B369">
        <v>2000</v>
      </c>
      <c r="C369" t="s">
        <v>280</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COUNT(LifeExpectancyData[[#This Row],[Life expectancy]:[Schooling]])=19</f>
        <v>1</v>
      </c>
    </row>
    <row r="370" spans="1:23" x14ac:dyDescent="0.25">
      <c r="A370" t="s">
        <v>304</v>
      </c>
      <c r="B370">
        <v>2015</v>
      </c>
      <c r="C370" t="s">
        <v>280</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COUNT(LifeExpectancyData[[#This Row],[Life expectancy]:[Schooling]])=19</f>
        <v>0</v>
      </c>
    </row>
    <row r="371" spans="1:23" x14ac:dyDescent="0.25">
      <c r="A371" t="s">
        <v>304</v>
      </c>
      <c r="B371">
        <v>2014</v>
      </c>
      <c r="C371" t="s">
        <v>280</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COUNT(LifeExpectancyData[[#This Row],[Life expectancy]:[Schooling]])=19</f>
        <v>0</v>
      </c>
    </row>
    <row r="372" spans="1:23" x14ac:dyDescent="0.25">
      <c r="A372" t="s">
        <v>304</v>
      </c>
      <c r="B372">
        <v>2013</v>
      </c>
      <c r="C372" t="s">
        <v>280</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COUNT(LifeExpectancyData[[#This Row],[Life expectancy]:[Schooling]])=19</f>
        <v>0</v>
      </c>
    </row>
    <row r="373" spans="1:23" x14ac:dyDescent="0.25">
      <c r="A373" t="s">
        <v>304</v>
      </c>
      <c r="B373">
        <v>2012</v>
      </c>
      <c r="C373" t="s">
        <v>280</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COUNT(LifeExpectancyData[[#This Row],[Life expectancy]:[Schooling]])=19</f>
        <v>0</v>
      </c>
    </row>
    <row r="374" spans="1:23" x14ac:dyDescent="0.25">
      <c r="A374" t="s">
        <v>304</v>
      </c>
      <c r="B374">
        <v>2011</v>
      </c>
      <c r="C374" t="s">
        <v>280</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COUNT(LifeExpectancyData[[#This Row],[Life expectancy]:[Schooling]])=19</f>
        <v>0</v>
      </c>
    </row>
    <row r="375" spans="1:23" x14ac:dyDescent="0.25">
      <c r="A375" t="s">
        <v>304</v>
      </c>
      <c r="B375">
        <v>2010</v>
      </c>
      <c r="C375" t="s">
        <v>280</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COUNT(LifeExpectancyData[[#This Row],[Life expectancy]:[Schooling]])=19</f>
        <v>0</v>
      </c>
    </row>
    <row r="376" spans="1:23" x14ac:dyDescent="0.25">
      <c r="A376" t="s">
        <v>304</v>
      </c>
      <c r="B376">
        <v>2009</v>
      </c>
      <c r="C376" t="s">
        <v>280</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COUNT(LifeExpectancyData[[#This Row],[Life expectancy]:[Schooling]])=19</f>
        <v>0</v>
      </c>
    </row>
    <row r="377" spans="1:23" x14ac:dyDescent="0.25">
      <c r="A377" t="s">
        <v>304</v>
      </c>
      <c r="B377">
        <v>2008</v>
      </c>
      <c r="C377" t="s">
        <v>280</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COUNT(LifeExpectancyData[[#This Row],[Life expectancy]:[Schooling]])=19</f>
        <v>0</v>
      </c>
    </row>
    <row r="378" spans="1:23" x14ac:dyDescent="0.25">
      <c r="A378" t="s">
        <v>304</v>
      </c>
      <c r="B378">
        <v>2007</v>
      </c>
      <c r="C378" t="s">
        <v>280</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COUNT(LifeExpectancyData[[#This Row],[Life expectancy]:[Schooling]])=19</f>
        <v>0</v>
      </c>
    </row>
    <row r="379" spans="1:23" x14ac:dyDescent="0.25">
      <c r="A379" t="s">
        <v>304</v>
      </c>
      <c r="B379">
        <v>2006</v>
      </c>
      <c r="C379" t="s">
        <v>280</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COUNT(LifeExpectancyData[[#This Row],[Life expectancy]:[Schooling]])=19</f>
        <v>0</v>
      </c>
    </row>
    <row r="380" spans="1:23" x14ac:dyDescent="0.25">
      <c r="A380" t="s">
        <v>304</v>
      </c>
      <c r="B380">
        <v>2005</v>
      </c>
      <c r="C380" t="s">
        <v>280</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COUNT(LifeExpectancyData[[#This Row],[Life expectancy]:[Schooling]])=19</f>
        <v>0</v>
      </c>
    </row>
    <row r="381" spans="1:23" x14ac:dyDescent="0.25">
      <c r="A381" t="s">
        <v>304</v>
      </c>
      <c r="B381">
        <v>2004</v>
      </c>
      <c r="C381" t="s">
        <v>280</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COUNT(LifeExpectancyData[[#This Row],[Life expectancy]:[Schooling]])=19</f>
        <v>0</v>
      </c>
    </row>
    <row r="382" spans="1:23" x14ac:dyDescent="0.25">
      <c r="A382" t="s">
        <v>304</v>
      </c>
      <c r="B382">
        <v>2003</v>
      </c>
      <c r="C382" t="s">
        <v>280</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COUNT(LifeExpectancyData[[#This Row],[Life expectancy]:[Schooling]])=19</f>
        <v>0</v>
      </c>
    </row>
    <row r="383" spans="1:23" x14ac:dyDescent="0.25">
      <c r="A383" t="s">
        <v>304</v>
      </c>
      <c r="B383">
        <v>2002</v>
      </c>
      <c r="C383" t="s">
        <v>280</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COUNT(LifeExpectancyData[[#This Row],[Life expectancy]:[Schooling]])=19</f>
        <v>0</v>
      </c>
    </row>
    <row r="384" spans="1:23" x14ac:dyDescent="0.25">
      <c r="A384" t="s">
        <v>304</v>
      </c>
      <c r="B384">
        <v>2001</v>
      </c>
      <c r="C384" t="s">
        <v>280</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COUNT(LifeExpectancyData[[#This Row],[Life expectancy]:[Schooling]])=19</f>
        <v>0</v>
      </c>
    </row>
    <row r="385" spans="1:23" x14ac:dyDescent="0.25">
      <c r="A385" t="s">
        <v>304</v>
      </c>
      <c r="B385">
        <v>2000</v>
      </c>
      <c r="C385" t="s">
        <v>280</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COUNT(LifeExpectancyData[[#This Row],[Life expectancy]:[Schooling]])=19</f>
        <v>0</v>
      </c>
    </row>
    <row r="386" spans="1:23" x14ac:dyDescent="0.25">
      <c r="A386" t="s">
        <v>305</v>
      </c>
      <c r="B386">
        <v>2015</v>
      </c>
      <c r="C386" t="s">
        <v>288</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COUNT(LifeExpectancyData[[#This Row],[Life expectancy]:[Schooling]])=19</f>
        <v>0</v>
      </c>
    </row>
    <row r="387" spans="1:23" x14ac:dyDescent="0.25">
      <c r="A387" t="s">
        <v>305</v>
      </c>
      <c r="B387">
        <v>2014</v>
      </c>
      <c r="C387" t="s">
        <v>288</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COUNT(LifeExpectancyData[[#This Row],[Life expectancy]:[Schooling]])=19</f>
        <v>1</v>
      </c>
    </row>
    <row r="388" spans="1:23" x14ac:dyDescent="0.25">
      <c r="A388" t="s">
        <v>305</v>
      </c>
      <c r="B388">
        <v>2013</v>
      </c>
      <c r="C388" t="s">
        <v>288</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COUNT(LifeExpectancyData[[#This Row],[Life expectancy]:[Schooling]])=19</f>
        <v>1</v>
      </c>
    </row>
    <row r="389" spans="1:23" x14ac:dyDescent="0.25">
      <c r="A389" t="s">
        <v>305</v>
      </c>
      <c r="B389">
        <v>2012</v>
      </c>
      <c r="C389" t="s">
        <v>288</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COUNT(LifeExpectancyData[[#This Row],[Life expectancy]:[Schooling]])=19</f>
        <v>1</v>
      </c>
    </row>
    <row r="390" spans="1:23" x14ac:dyDescent="0.25">
      <c r="A390" t="s">
        <v>305</v>
      </c>
      <c r="B390">
        <v>2011</v>
      </c>
      <c r="C390" t="s">
        <v>288</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COUNT(LifeExpectancyData[[#This Row],[Life expectancy]:[Schooling]])=19</f>
        <v>1</v>
      </c>
    </row>
    <row r="391" spans="1:23" x14ac:dyDescent="0.25">
      <c r="A391" t="s">
        <v>305</v>
      </c>
      <c r="B391">
        <v>2010</v>
      </c>
      <c r="C391" t="s">
        <v>288</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COUNT(LifeExpectancyData[[#This Row],[Life expectancy]:[Schooling]])=19</f>
        <v>1</v>
      </c>
    </row>
    <row r="392" spans="1:23" x14ac:dyDescent="0.25">
      <c r="A392" t="s">
        <v>305</v>
      </c>
      <c r="B392">
        <v>2009</v>
      </c>
      <c r="C392" t="s">
        <v>288</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COUNT(LifeExpectancyData[[#This Row],[Life expectancy]:[Schooling]])=19</f>
        <v>1</v>
      </c>
    </row>
    <row r="393" spans="1:23" x14ac:dyDescent="0.25">
      <c r="A393" t="s">
        <v>305</v>
      </c>
      <c r="B393">
        <v>2008</v>
      </c>
      <c r="C393" t="s">
        <v>288</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COUNT(LifeExpectancyData[[#This Row],[Life expectancy]:[Schooling]])=19</f>
        <v>1</v>
      </c>
    </row>
    <row r="394" spans="1:23" x14ac:dyDescent="0.25">
      <c r="A394" t="s">
        <v>305</v>
      </c>
      <c r="B394">
        <v>2007</v>
      </c>
      <c r="C394" t="s">
        <v>288</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COUNT(LifeExpectancyData[[#This Row],[Life expectancy]:[Schooling]])=19</f>
        <v>1</v>
      </c>
    </row>
    <row r="395" spans="1:23" x14ac:dyDescent="0.25">
      <c r="A395" t="s">
        <v>305</v>
      </c>
      <c r="B395">
        <v>2006</v>
      </c>
      <c r="C395" t="s">
        <v>288</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COUNT(LifeExpectancyData[[#This Row],[Life expectancy]:[Schooling]])=19</f>
        <v>1</v>
      </c>
    </row>
    <row r="396" spans="1:23" x14ac:dyDescent="0.25">
      <c r="A396" t="s">
        <v>305</v>
      </c>
      <c r="B396">
        <v>2005</v>
      </c>
      <c r="C396" t="s">
        <v>288</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COUNT(LifeExpectancyData[[#This Row],[Life expectancy]:[Schooling]])=19</f>
        <v>1</v>
      </c>
    </row>
    <row r="397" spans="1:23" x14ac:dyDescent="0.25">
      <c r="A397" t="s">
        <v>305</v>
      </c>
      <c r="B397">
        <v>2004</v>
      </c>
      <c r="C397" t="s">
        <v>288</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COUNT(LifeExpectancyData[[#This Row],[Life expectancy]:[Schooling]])=19</f>
        <v>1</v>
      </c>
    </row>
    <row r="398" spans="1:23" x14ac:dyDescent="0.25">
      <c r="A398" t="s">
        <v>305</v>
      </c>
      <c r="B398">
        <v>2003</v>
      </c>
      <c r="C398" t="s">
        <v>288</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COUNT(LifeExpectancyData[[#This Row],[Life expectancy]:[Schooling]])=19</f>
        <v>1</v>
      </c>
    </row>
    <row r="399" spans="1:23" x14ac:dyDescent="0.25">
      <c r="A399" t="s">
        <v>305</v>
      </c>
      <c r="B399">
        <v>2002</v>
      </c>
      <c r="C399" t="s">
        <v>288</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COUNT(LifeExpectancyData[[#This Row],[Life expectancy]:[Schooling]])=19</f>
        <v>1</v>
      </c>
    </row>
    <row r="400" spans="1:23" x14ac:dyDescent="0.25">
      <c r="A400" t="s">
        <v>305</v>
      </c>
      <c r="B400">
        <v>2001</v>
      </c>
      <c r="C400" t="s">
        <v>288</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COUNT(LifeExpectancyData[[#This Row],[Life expectancy]:[Schooling]])=19</f>
        <v>1</v>
      </c>
    </row>
    <row r="401" spans="1:23" x14ac:dyDescent="0.25">
      <c r="A401" t="s">
        <v>305</v>
      </c>
      <c r="B401">
        <v>2000</v>
      </c>
      <c r="C401" t="s">
        <v>288</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COUNT(LifeExpectancyData[[#This Row],[Life expectancy]:[Schooling]])=19</f>
        <v>1</v>
      </c>
    </row>
    <row r="402" spans="1:23" x14ac:dyDescent="0.25">
      <c r="A402" t="s">
        <v>306</v>
      </c>
      <c r="B402">
        <v>2015</v>
      </c>
      <c r="C402" t="s">
        <v>280</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COUNT(LifeExpectancyData[[#This Row],[Life expectancy]:[Schooling]])=19</f>
        <v>0</v>
      </c>
    </row>
    <row r="403" spans="1:23" x14ac:dyDescent="0.25">
      <c r="A403" t="s">
        <v>306</v>
      </c>
      <c r="B403">
        <v>2014</v>
      </c>
      <c r="C403" t="s">
        <v>280</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COUNT(LifeExpectancyData[[#This Row],[Life expectancy]:[Schooling]])=19</f>
        <v>1</v>
      </c>
    </row>
    <row r="404" spans="1:23" x14ac:dyDescent="0.25">
      <c r="A404" t="s">
        <v>306</v>
      </c>
      <c r="B404">
        <v>2013</v>
      </c>
      <c r="C404" t="s">
        <v>280</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COUNT(LifeExpectancyData[[#This Row],[Life expectancy]:[Schooling]])=19</f>
        <v>1</v>
      </c>
    </row>
    <row r="405" spans="1:23" x14ac:dyDescent="0.25">
      <c r="A405" t="s">
        <v>306</v>
      </c>
      <c r="B405">
        <v>2012</v>
      </c>
      <c r="C405" t="s">
        <v>280</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COUNT(LifeExpectancyData[[#This Row],[Life expectancy]:[Schooling]])=19</f>
        <v>1</v>
      </c>
    </row>
    <row r="406" spans="1:23" x14ac:dyDescent="0.25">
      <c r="A406" t="s">
        <v>306</v>
      </c>
      <c r="B406">
        <v>2011</v>
      </c>
      <c r="C406" t="s">
        <v>280</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COUNT(LifeExpectancyData[[#This Row],[Life expectancy]:[Schooling]])=19</f>
        <v>1</v>
      </c>
    </row>
    <row r="407" spans="1:23" x14ac:dyDescent="0.25">
      <c r="A407" t="s">
        <v>306</v>
      </c>
      <c r="B407">
        <v>2010</v>
      </c>
      <c r="C407" t="s">
        <v>280</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COUNT(LifeExpectancyData[[#This Row],[Life expectancy]:[Schooling]])=19</f>
        <v>1</v>
      </c>
    </row>
    <row r="408" spans="1:23" x14ac:dyDescent="0.25">
      <c r="A408" t="s">
        <v>306</v>
      </c>
      <c r="B408">
        <v>2009</v>
      </c>
      <c r="C408" t="s">
        <v>280</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COUNT(LifeExpectancyData[[#This Row],[Life expectancy]:[Schooling]])=19</f>
        <v>1</v>
      </c>
    </row>
    <row r="409" spans="1:23" x14ac:dyDescent="0.25">
      <c r="A409" t="s">
        <v>306</v>
      </c>
      <c r="B409">
        <v>2008</v>
      </c>
      <c r="C409" t="s">
        <v>280</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COUNT(LifeExpectancyData[[#This Row],[Life expectancy]:[Schooling]])=19</f>
        <v>1</v>
      </c>
    </row>
    <row r="410" spans="1:23" x14ac:dyDescent="0.25">
      <c r="A410" t="s">
        <v>306</v>
      </c>
      <c r="B410">
        <v>2007</v>
      </c>
      <c r="C410" t="s">
        <v>280</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COUNT(LifeExpectancyData[[#This Row],[Life expectancy]:[Schooling]])=19</f>
        <v>1</v>
      </c>
    </row>
    <row r="411" spans="1:23" x14ac:dyDescent="0.25">
      <c r="A411" t="s">
        <v>306</v>
      </c>
      <c r="B411">
        <v>2006</v>
      </c>
      <c r="C411" t="s">
        <v>280</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COUNT(LifeExpectancyData[[#This Row],[Life expectancy]:[Schooling]])=19</f>
        <v>1</v>
      </c>
    </row>
    <row r="412" spans="1:23" x14ac:dyDescent="0.25">
      <c r="A412" t="s">
        <v>306</v>
      </c>
      <c r="B412">
        <v>2005</v>
      </c>
      <c r="C412" t="s">
        <v>280</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COUNT(LifeExpectancyData[[#This Row],[Life expectancy]:[Schooling]])=19</f>
        <v>0</v>
      </c>
    </row>
    <row r="413" spans="1:23" x14ac:dyDescent="0.25">
      <c r="A413" t="s">
        <v>306</v>
      </c>
      <c r="B413">
        <v>2004</v>
      </c>
      <c r="C413" t="s">
        <v>280</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COUNT(LifeExpectancyData[[#This Row],[Life expectancy]:[Schooling]])=19</f>
        <v>0</v>
      </c>
    </row>
    <row r="414" spans="1:23" x14ac:dyDescent="0.25">
      <c r="A414" t="s">
        <v>306</v>
      </c>
      <c r="B414">
        <v>2003</v>
      </c>
      <c r="C414" t="s">
        <v>280</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COUNT(LifeExpectancyData[[#This Row],[Life expectancy]:[Schooling]])=19</f>
        <v>0</v>
      </c>
    </row>
    <row r="415" spans="1:23" x14ac:dyDescent="0.25">
      <c r="A415" t="s">
        <v>306</v>
      </c>
      <c r="B415">
        <v>2002</v>
      </c>
      <c r="C415" t="s">
        <v>280</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COUNT(LifeExpectancyData[[#This Row],[Life expectancy]:[Schooling]])=19</f>
        <v>0</v>
      </c>
    </row>
    <row r="416" spans="1:23" x14ac:dyDescent="0.25">
      <c r="A416" t="s">
        <v>306</v>
      </c>
      <c r="B416">
        <v>2001</v>
      </c>
      <c r="C416" t="s">
        <v>280</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COUNT(LifeExpectancyData[[#This Row],[Life expectancy]:[Schooling]])=19</f>
        <v>0</v>
      </c>
    </row>
    <row r="417" spans="1:23" x14ac:dyDescent="0.25">
      <c r="A417" t="s">
        <v>306</v>
      </c>
      <c r="B417">
        <v>2000</v>
      </c>
      <c r="C417" t="s">
        <v>280</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COUNT(LifeExpectancyData[[#This Row],[Life expectancy]:[Schooling]])=19</f>
        <v>0</v>
      </c>
    </row>
    <row r="418" spans="1:23" x14ac:dyDescent="0.25">
      <c r="A418" t="s">
        <v>307</v>
      </c>
      <c r="B418">
        <v>2015</v>
      </c>
      <c r="C418" t="s">
        <v>280</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COUNT(LifeExpectancyData[[#This Row],[Life expectancy]:[Schooling]])=19</f>
        <v>0</v>
      </c>
    </row>
    <row r="419" spans="1:23" x14ac:dyDescent="0.25">
      <c r="A419" t="s">
        <v>307</v>
      </c>
      <c r="B419">
        <v>2014</v>
      </c>
      <c r="C419" t="s">
        <v>280</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COUNT(LifeExpectancyData[[#This Row],[Life expectancy]:[Schooling]])=19</f>
        <v>1</v>
      </c>
    </row>
    <row r="420" spans="1:23" x14ac:dyDescent="0.25">
      <c r="A420" t="s">
        <v>307</v>
      </c>
      <c r="B420">
        <v>2013</v>
      </c>
      <c r="C420" t="s">
        <v>280</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COUNT(LifeExpectancyData[[#This Row],[Life expectancy]:[Schooling]])=19</f>
        <v>1</v>
      </c>
    </row>
    <row r="421" spans="1:23" x14ac:dyDescent="0.25">
      <c r="A421" t="s">
        <v>307</v>
      </c>
      <c r="B421">
        <v>2012</v>
      </c>
      <c r="C421" t="s">
        <v>280</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COUNT(LifeExpectancyData[[#This Row],[Life expectancy]:[Schooling]])=19</f>
        <v>1</v>
      </c>
    </row>
    <row r="422" spans="1:23" x14ac:dyDescent="0.25">
      <c r="A422" t="s">
        <v>307</v>
      </c>
      <c r="B422">
        <v>2011</v>
      </c>
      <c r="C422" t="s">
        <v>280</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COUNT(LifeExpectancyData[[#This Row],[Life expectancy]:[Schooling]])=19</f>
        <v>1</v>
      </c>
    </row>
    <row r="423" spans="1:23" x14ac:dyDescent="0.25">
      <c r="A423" t="s">
        <v>307</v>
      </c>
      <c r="B423">
        <v>2010</v>
      </c>
      <c r="C423" t="s">
        <v>280</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COUNT(LifeExpectancyData[[#This Row],[Life expectancy]:[Schooling]])=19</f>
        <v>1</v>
      </c>
    </row>
    <row r="424" spans="1:23" x14ac:dyDescent="0.25">
      <c r="A424" t="s">
        <v>307</v>
      </c>
      <c r="B424">
        <v>2009</v>
      </c>
      <c r="C424" t="s">
        <v>280</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COUNT(LifeExpectancyData[[#This Row],[Life expectancy]:[Schooling]])=19</f>
        <v>1</v>
      </c>
    </row>
    <row r="425" spans="1:23" x14ac:dyDescent="0.25">
      <c r="A425" t="s">
        <v>307</v>
      </c>
      <c r="B425">
        <v>2008</v>
      </c>
      <c r="C425" t="s">
        <v>280</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COUNT(LifeExpectancyData[[#This Row],[Life expectancy]:[Schooling]])=19</f>
        <v>1</v>
      </c>
    </row>
    <row r="426" spans="1:23" x14ac:dyDescent="0.25">
      <c r="A426" t="s">
        <v>307</v>
      </c>
      <c r="B426">
        <v>2007</v>
      </c>
      <c r="C426" t="s">
        <v>280</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COUNT(LifeExpectancyData[[#This Row],[Life expectancy]:[Schooling]])=19</f>
        <v>1</v>
      </c>
    </row>
    <row r="427" spans="1:23" x14ac:dyDescent="0.25">
      <c r="A427" t="s">
        <v>307</v>
      </c>
      <c r="B427">
        <v>2006</v>
      </c>
      <c r="C427" t="s">
        <v>280</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COUNT(LifeExpectancyData[[#This Row],[Life expectancy]:[Schooling]])=19</f>
        <v>1</v>
      </c>
    </row>
    <row r="428" spans="1:23" x14ac:dyDescent="0.25">
      <c r="A428" t="s">
        <v>307</v>
      </c>
      <c r="B428">
        <v>2005</v>
      </c>
      <c r="C428" t="s">
        <v>280</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COUNT(LifeExpectancyData[[#This Row],[Life expectancy]:[Schooling]])=19</f>
        <v>1</v>
      </c>
    </row>
    <row r="429" spans="1:23" x14ac:dyDescent="0.25">
      <c r="A429" t="s">
        <v>307</v>
      </c>
      <c r="B429">
        <v>2004</v>
      </c>
      <c r="C429" t="s">
        <v>280</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COUNT(LifeExpectancyData[[#This Row],[Life expectancy]:[Schooling]])=19</f>
        <v>1</v>
      </c>
    </row>
    <row r="430" spans="1:23" x14ac:dyDescent="0.25">
      <c r="A430" t="s">
        <v>307</v>
      </c>
      <c r="B430">
        <v>2003</v>
      </c>
      <c r="C430" t="s">
        <v>280</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COUNT(LifeExpectancyData[[#This Row],[Life expectancy]:[Schooling]])=19</f>
        <v>0</v>
      </c>
    </row>
    <row r="431" spans="1:23" x14ac:dyDescent="0.25">
      <c r="A431" t="s">
        <v>307</v>
      </c>
      <c r="B431">
        <v>2002</v>
      </c>
      <c r="C431" t="s">
        <v>280</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COUNT(LifeExpectancyData[[#This Row],[Life expectancy]:[Schooling]])=19</f>
        <v>0</v>
      </c>
    </row>
    <row r="432" spans="1:23" x14ac:dyDescent="0.25">
      <c r="A432" t="s">
        <v>307</v>
      </c>
      <c r="B432">
        <v>2001</v>
      </c>
      <c r="C432" t="s">
        <v>280</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COUNT(LifeExpectancyData[[#This Row],[Life expectancy]:[Schooling]])=19</f>
        <v>0</v>
      </c>
    </row>
    <row r="433" spans="1:23" x14ac:dyDescent="0.25">
      <c r="A433" t="s">
        <v>307</v>
      </c>
      <c r="B433">
        <v>2000</v>
      </c>
      <c r="C433" t="s">
        <v>280</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COUNT(LifeExpectancyData[[#This Row],[Life expectancy]:[Schooling]])=19</f>
        <v>0</v>
      </c>
    </row>
    <row r="434" spans="1:23" x14ac:dyDescent="0.25">
      <c r="A434" t="s">
        <v>308</v>
      </c>
      <c r="B434">
        <v>2015</v>
      </c>
      <c r="C434" t="s">
        <v>280</v>
      </c>
      <c r="D434">
        <v>53.3</v>
      </c>
      <c r="E434">
        <v>397</v>
      </c>
      <c r="F434">
        <v>57</v>
      </c>
      <c r="H434">
        <v>0</v>
      </c>
      <c r="I434">
        <v>83</v>
      </c>
      <c r="J434">
        <v>65</v>
      </c>
      <c r="K434">
        <v>28</v>
      </c>
      <c r="L434">
        <v>79</v>
      </c>
      <c r="M434">
        <v>81</v>
      </c>
      <c r="O434">
        <v>83</v>
      </c>
      <c r="P434">
        <v>1.9</v>
      </c>
      <c r="S434">
        <v>5.5</v>
      </c>
      <c r="T434">
        <v>5.5</v>
      </c>
      <c r="W434" t="b">
        <f>COUNT(LifeExpectancyData[[#This Row],[Life expectancy]:[Schooling]])=19</f>
        <v>0</v>
      </c>
    </row>
    <row r="435" spans="1:23" x14ac:dyDescent="0.25">
      <c r="A435" t="s">
        <v>308</v>
      </c>
      <c r="B435">
        <v>2014</v>
      </c>
      <c r="C435" t="s">
        <v>280</v>
      </c>
      <c r="D435">
        <v>52.8</v>
      </c>
      <c r="E435">
        <v>47</v>
      </c>
      <c r="F435">
        <v>58</v>
      </c>
      <c r="G435">
        <v>0.01</v>
      </c>
      <c r="H435">
        <v>0</v>
      </c>
      <c r="I435">
        <v>76</v>
      </c>
      <c r="J435">
        <v>50</v>
      </c>
      <c r="K435">
        <v>27.4</v>
      </c>
      <c r="L435">
        <v>80</v>
      </c>
      <c r="M435">
        <v>76</v>
      </c>
      <c r="N435">
        <v>5.72</v>
      </c>
      <c r="O435">
        <v>76</v>
      </c>
      <c r="P435">
        <v>2</v>
      </c>
      <c r="S435">
        <v>5.6</v>
      </c>
      <c r="T435">
        <v>5.6</v>
      </c>
      <c r="W435" t="b">
        <f>COUNT(LifeExpectancyData[[#This Row],[Life expectancy]:[Schooling]])=19</f>
        <v>0</v>
      </c>
    </row>
    <row r="436" spans="1:23" x14ac:dyDescent="0.25">
      <c r="A436" t="s">
        <v>308</v>
      </c>
      <c r="B436">
        <v>2013</v>
      </c>
      <c r="C436" t="s">
        <v>280</v>
      </c>
      <c r="D436">
        <v>52.3</v>
      </c>
      <c r="E436">
        <v>412</v>
      </c>
      <c r="F436">
        <v>59</v>
      </c>
      <c r="G436">
        <v>3.15</v>
      </c>
      <c r="H436">
        <v>0</v>
      </c>
      <c r="I436">
        <v>8</v>
      </c>
      <c r="J436">
        <v>48</v>
      </c>
      <c r="K436">
        <v>26.8</v>
      </c>
      <c r="L436">
        <v>81</v>
      </c>
      <c r="M436">
        <v>79</v>
      </c>
      <c r="N436">
        <v>5.81</v>
      </c>
      <c r="O436">
        <v>8</v>
      </c>
      <c r="P436">
        <v>2.4</v>
      </c>
      <c r="S436">
        <v>5.8</v>
      </c>
      <c r="T436">
        <v>5.7</v>
      </c>
      <c r="W436" t="b">
        <f>COUNT(LifeExpectancyData[[#This Row],[Life expectancy]:[Schooling]])=19</f>
        <v>0</v>
      </c>
    </row>
    <row r="437" spans="1:23" x14ac:dyDescent="0.25">
      <c r="A437" t="s">
        <v>308</v>
      </c>
      <c r="B437">
        <v>2012</v>
      </c>
      <c r="C437" t="s">
        <v>280</v>
      </c>
      <c r="D437">
        <v>52</v>
      </c>
      <c r="E437">
        <v>415</v>
      </c>
      <c r="F437">
        <v>59</v>
      </c>
      <c r="G437">
        <v>3.24</v>
      </c>
      <c r="H437">
        <v>0</v>
      </c>
      <c r="I437">
        <v>82</v>
      </c>
      <c r="J437">
        <v>137</v>
      </c>
      <c r="K437">
        <v>26.2</v>
      </c>
      <c r="L437">
        <v>82</v>
      </c>
      <c r="M437">
        <v>83</v>
      </c>
      <c r="N437">
        <v>6.14</v>
      </c>
      <c r="O437">
        <v>82</v>
      </c>
      <c r="P437">
        <v>2.9</v>
      </c>
      <c r="S437">
        <v>5.9</v>
      </c>
      <c r="T437">
        <v>5.9</v>
      </c>
      <c r="W437" t="b">
        <f>COUNT(LifeExpectancyData[[#This Row],[Life expectancy]:[Schooling]])=19</f>
        <v>0</v>
      </c>
    </row>
    <row r="438" spans="1:23" x14ac:dyDescent="0.25">
      <c r="A438" t="s">
        <v>308</v>
      </c>
      <c r="B438">
        <v>2011</v>
      </c>
      <c r="C438" t="s">
        <v>280</v>
      </c>
      <c r="D438">
        <v>51.7</v>
      </c>
      <c r="E438">
        <v>419</v>
      </c>
      <c r="F438">
        <v>60</v>
      </c>
      <c r="G438">
        <v>3.13</v>
      </c>
      <c r="H438">
        <v>0</v>
      </c>
      <c r="I438">
        <v>62</v>
      </c>
      <c r="J438">
        <v>628</v>
      </c>
      <c r="K438">
        <v>25.6</v>
      </c>
      <c r="L438">
        <v>83</v>
      </c>
      <c r="M438">
        <v>58</v>
      </c>
      <c r="N438">
        <v>6.42</v>
      </c>
      <c r="O438">
        <v>62</v>
      </c>
      <c r="P438">
        <v>3.3</v>
      </c>
      <c r="S438">
        <v>6.1</v>
      </c>
      <c r="T438">
        <v>6</v>
      </c>
      <c r="W438" t="b">
        <f>COUNT(LifeExpectancyData[[#This Row],[Life expectancy]:[Schooling]])=19</f>
        <v>0</v>
      </c>
    </row>
    <row r="439" spans="1:23" x14ac:dyDescent="0.25">
      <c r="A439" t="s">
        <v>308</v>
      </c>
      <c r="B439">
        <v>2010</v>
      </c>
      <c r="C439" t="s">
        <v>280</v>
      </c>
      <c r="D439">
        <v>51.5</v>
      </c>
      <c r="E439">
        <v>417</v>
      </c>
      <c r="F439">
        <v>60</v>
      </c>
      <c r="G439">
        <v>3.15</v>
      </c>
      <c r="H439">
        <v>0</v>
      </c>
      <c r="I439">
        <v>85</v>
      </c>
      <c r="J439">
        <v>441</v>
      </c>
      <c r="K439">
        <v>25</v>
      </c>
      <c r="L439">
        <v>84</v>
      </c>
      <c r="M439">
        <v>81</v>
      </c>
      <c r="N439">
        <v>6.32</v>
      </c>
      <c r="O439">
        <v>85</v>
      </c>
      <c r="P439">
        <v>3.3</v>
      </c>
      <c r="S439">
        <v>6.3</v>
      </c>
      <c r="T439">
        <v>6.2</v>
      </c>
      <c r="W439" t="b">
        <f>COUNT(LifeExpectancyData[[#This Row],[Life expectancy]:[Schooling]])=19</f>
        <v>0</v>
      </c>
    </row>
    <row r="440" spans="1:23" x14ac:dyDescent="0.25">
      <c r="A440" t="s">
        <v>308</v>
      </c>
      <c r="B440">
        <v>2009</v>
      </c>
      <c r="C440" t="s">
        <v>280</v>
      </c>
      <c r="D440">
        <v>51</v>
      </c>
      <c r="E440">
        <v>426</v>
      </c>
      <c r="F440">
        <v>60</v>
      </c>
      <c r="G440">
        <v>2.92</v>
      </c>
      <c r="H440">
        <v>0</v>
      </c>
      <c r="I440">
        <v>81</v>
      </c>
      <c r="J440">
        <v>183</v>
      </c>
      <c r="K440">
        <v>24.4</v>
      </c>
      <c r="L440">
        <v>84</v>
      </c>
      <c r="M440">
        <v>77</v>
      </c>
      <c r="N440">
        <v>6.41</v>
      </c>
      <c r="O440">
        <v>81</v>
      </c>
      <c r="P440">
        <v>3.7</v>
      </c>
      <c r="S440">
        <v>6.5</v>
      </c>
      <c r="T440">
        <v>6.4</v>
      </c>
      <c r="W440" t="b">
        <f>COUNT(LifeExpectancyData[[#This Row],[Life expectancy]:[Schooling]])=19</f>
        <v>0</v>
      </c>
    </row>
    <row r="441" spans="1:23" x14ac:dyDescent="0.25">
      <c r="A441" t="s">
        <v>308</v>
      </c>
      <c r="B441">
        <v>2008</v>
      </c>
      <c r="C441" t="s">
        <v>280</v>
      </c>
      <c r="D441">
        <v>54</v>
      </c>
      <c r="E441">
        <v>437</v>
      </c>
      <c r="F441">
        <v>60</v>
      </c>
      <c r="G441">
        <v>2.69</v>
      </c>
      <c r="H441">
        <v>0</v>
      </c>
      <c r="I441">
        <v>74</v>
      </c>
      <c r="J441">
        <v>12</v>
      </c>
      <c r="K441">
        <v>23.8</v>
      </c>
      <c r="L441">
        <v>85</v>
      </c>
      <c r="M441">
        <v>58</v>
      </c>
      <c r="N441">
        <v>6.21</v>
      </c>
      <c r="O441">
        <v>74</v>
      </c>
      <c r="P441">
        <v>4.0999999999999996</v>
      </c>
      <c r="S441">
        <v>6.6</v>
      </c>
      <c r="T441">
        <v>6.6</v>
      </c>
      <c r="W441" t="b">
        <f>COUNT(LifeExpectancyData[[#This Row],[Life expectancy]:[Schooling]])=19</f>
        <v>0</v>
      </c>
    </row>
    <row r="442" spans="1:23" x14ac:dyDescent="0.25">
      <c r="A442" t="s">
        <v>308</v>
      </c>
      <c r="B442">
        <v>2007</v>
      </c>
      <c r="C442" t="s">
        <v>280</v>
      </c>
      <c r="D442">
        <v>49.9</v>
      </c>
      <c r="E442">
        <v>443</v>
      </c>
      <c r="F442">
        <v>61</v>
      </c>
      <c r="G442">
        <v>2.58</v>
      </c>
      <c r="H442">
        <v>0</v>
      </c>
      <c r="I442">
        <v>76</v>
      </c>
      <c r="J442">
        <v>5</v>
      </c>
      <c r="K442">
        <v>23.2</v>
      </c>
      <c r="L442">
        <v>87</v>
      </c>
      <c r="M442">
        <v>75</v>
      </c>
      <c r="N442">
        <v>6.35</v>
      </c>
      <c r="O442">
        <v>76</v>
      </c>
      <c r="P442">
        <v>5.3</v>
      </c>
      <c r="S442">
        <v>6.8</v>
      </c>
      <c r="T442">
        <v>6.7</v>
      </c>
      <c r="W442" t="b">
        <f>COUNT(LifeExpectancyData[[#This Row],[Life expectancy]:[Schooling]])=19</f>
        <v>0</v>
      </c>
    </row>
    <row r="443" spans="1:23" x14ac:dyDescent="0.25">
      <c r="A443" t="s">
        <v>308</v>
      </c>
      <c r="B443">
        <v>2006</v>
      </c>
      <c r="C443" t="s">
        <v>280</v>
      </c>
      <c r="D443">
        <v>49.4</v>
      </c>
      <c r="E443">
        <v>452</v>
      </c>
      <c r="F443">
        <v>62</v>
      </c>
      <c r="G443">
        <v>2.65</v>
      </c>
      <c r="H443">
        <v>0</v>
      </c>
      <c r="I443">
        <v>77</v>
      </c>
      <c r="J443">
        <v>11</v>
      </c>
      <c r="K443">
        <v>22.6</v>
      </c>
      <c r="L443">
        <v>89</v>
      </c>
      <c r="M443">
        <v>76</v>
      </c>
      <c r="N443">
        <v>5.87</v>
      </c>
      <c r="O443">
        <v>77</v>
      </c>
      <c r="P443">
        <v>5.8</v>
      </c>
      <c r="S443">
        <v>7</v>
      </c>
      <c r="T443">
        <v>6.9</v>
      </c>
      <c r="W443" t="b">
        <f>COUNT(LifeExpectancyData[[#This Row],[Life expectancy]:[Schooling]])=19</f>
        <v>0</v>
      </c>
    </row>
    <row r="444" spans="1:23" x14ac:dyDescent="0.25">
      <c r="A444" t="s">
        <v>308</v>
      </c>
      <c r="B444">
        <v>2005</v>
      </c>
      <c r="C444" t="s">
        <v>280</v>
      </c>
      <c r="D444">
        <v>48.7</v>
      </c>
      <c r="E444">
        <v>466</v>
      </c>
      <c r="F444">
        <v>63</v>
      </c>
      <c r="G444">
        <v>3.11</v>
      </c>
      <c r="H444">
        <v>0</v>
      </c>
      <c r="I444">
        <v>76</v>
      </c>
      <c r="J444">
        <v>115</v>
      </c>
      <c r="K444">
        <v>22.1</v>
      </c>
      <c r="L444">
        <v>90</v>
      </c>
      <c r="M444">
        <v>87</v>
      </c>
      <c r="N444">
        <v>5.39</v>
      </c>
      <c r="O444">
        <v>76</v>
      </c>
      <c r="P444">
        <v>6.1</v>
      </c>
      <c r="S444">
        <v>7.2</v>
      </c>
      <c r="T444">
        <v>7.1</v>
      </c>
      <c r="W444" t="b">
        <f>COUNT(LifeExpectancyData[[#This Row],[Life expectancy]:[Schooling]])=19</f>
        <v>0</v>
      </c>
    </row>
    <row r="445" spans="1:23" x14ac:dyDescent="0.25">
      <c r="A445" t="s">
        <v>308</v>
      </c>
      <c r="B445">
        <v>2004</v>
      </c>
      <c r="C445" t="s">
        <v>280</v>
      </c>
      <c r="D445">
        <v>48.2</v>
      </c>
      <c r="E445">
        <v>472</v>
      </c>
      <c r="F445">
        <v>64</v>
      </c>
      <c r="G445">
        <v>3.08</v>
      </c>
      <c r="H445">
        <v>0</v>
      </c>
      <c r="I445">
        <v>67</v>
      </c>
      <c r="J445">
        <v>3466</v>
      </c>
      <c r="K445">
        <v>21.5</v>
      </c>
      <c r="L445">
        <v>91</v>
      </c>
      <c r="M445">
        <v>76</v>
      </c>
      <c r="N445">
        <v>5.24</v>
      </c>
      <c r="O445">
        <v>67</v>
      </c>
      <c r="P445">
        <v>6.5</v>
      </c>
      <c r="S445">
        <v>7.3</v>
      </c>
      <c r="T445">
        <v>7.3</v>
      </c>
      <c r="W445" t="b">
        <f>COUNT(LifeExpectancyData[[#This Row],[Life expectancy]:[Schooling]])=19</f>
        <v>0</v>
      </c>
    </row>
    <row r="446" spans="1:23" x14ac:dyDescent="0.25">
      <c r="A446" t="s">
        <v>308</v>
      </c>
      <c r="B446">
        <v>2003</v>
      </c>
      <c r="C446" t="s">
        <v>280</v>
      </c>
      <c r="D446">
        <v>48</v>
      </c>
      <c r="E446">
        <v>473</v>
      </c>
      <c r="F446">
        <v>64</v>
      </c>
      <c r="G446">
        <v>3.12</v>
      </c>
      <c r="H446">
        <v>0</v>
      </c>
      <c r="I446">
        <v>63</v>
      </c>
      <c r="J446">
        <v>4770</v>
      </c>
      <c r="K446">
        <v>2.9</v>
      </c>
      <c r="L446">
        <v>92</v>
      </c>
      <c r="M446">
        <v>68</v>
      </c>
      <c r="N446">
        <v>4.6500000000000004</v>
      </c>
      <c r="O446">
        <v>61</v>
      </c>
      <c r="P446">
        <v>6.7</v>
      </c>
      <c r="S446">
        <v>7.5</v>
      </c>
      <c r="T446">
        <v>7.5</v>
      </c>
      <c r="W446" t="b">
        <f>COUNT(LifeExpectancyData[[#This Row],[Life expectancy]:[Schooling]])=19</f>
        <v>0</v>
      </c>
    </row>
    <row r="447" spans="1:23" x14ac:dyDescent="0.25">
      <c r="A447" t="s">
        <v>308</v>
      </c>
      <c r="B447">
        <v>2002</v>
      </c>
      <c r="C447" t="s">
        <v>280</v>
      </c>
      <c r="D447">
        <v>47.7</v>
      </c>
      <c r="E447">
        <v>473</v>
      </c>
      <c r="F447">
        <v>65</v>
      </c>
      <c r="G447">
        <v>3.13</v>
      </c>
      <c r="H447">
        <v>0</v>
      </c>
      <c r="I447">
        <v>48</v>
      </c>
      <c r="J447">
        <v>5882</v>
      </c>
      <c r="K447">
        <v>2.4</v>
      </c>
      <c r="L447">
        <v>93</v>
      </c>
      <c r="M447">
        <v>7</v>
      </c>
      <c r="N447">
        <v>4.47</v>
      </c>
      <c r="O447">
        <v>64</v>
      </c>
      <c r="P447">
        <v>6.9</v>
      </c>
      <c r="S447">
        <v>7.7</v>
      </c>
      <c r="T447">
        <v>7.7</v>
      </c>
      <c r="W447" t="b">
        <f>COUNT(LifeExpectancyData[[#This Row],[Life expectancy]:[Schooling]])=19</f>
        <v>0</v>
      </c>
    </row>
    <row r="448" spans="1:23" x14ac:dyDescent="0.25">
      <c r="A448" t="s">
        <v>308</v>
      </c>
      <c r="B448">
        <v>2001</v>
      </c>
      <c r="C448" t="s">
        <v>280</v>
      </c>
      <c r="D448">
        <v>47.8</v>
      </c>
      <c r="E448">
        <v>467</v>
      </c>
      <c r="F448">
        <v>65</v>
      </c>
      <c r="G448">
        <v>3.15</v>
      </c>
      <c r="H448">
        <v>0</v>
      </c>
      <c r="I448">
        <v>1</v>
      </c>
      <c r="J448">
        <v>5790</v>
      </c>
      <c r="K448">
        <v>19.899999999999999</v>
      </c>
      <c r="L448">
        <v>94</v>
      </c>
      <c r="M448">
        <v>7</v>
      </c>
      <c r="N448">
        <v>4.8499999999999996</v>
      </c>
      <c r="O448">
        <v>66</v>
      </c>
      <c r="P448">
        <v>7</v>
      </c>
      <c r="S448">
        <v>7.9</v>
      </c>
      <c r="T448">
        <v>7.9</v>
      </c>
      <c r="W448" t="b">
        <f>COUNT(LifeExpectancyData[[#This Row],[Life expectancy]:[Schooling]])=19</f>
        <v>0</v>
      </c>
    </row>
    <row r="449" spans="1:23" x14ac:dyDescent="0.25">
      <c r="A449" t="s">
        <v>308</v>
      </c>
      <c r="B449">
        <v>2000</v>
      </c>
      <c r="C449" t="s">
        <v>280</v>
      </c>
      <c r="D449">
        <v>47.9</v>
      </c>
      <c r="E449">
        <v>461</v>
      </c>
      <c r="F449">
        <v>67</v>
      </c>
      <c r="G449">
        <v>3.45</v>
      </c>
      <c r="H449">
        <v>0</v>
      </c>
      <c r="J449">
        <v>5729</v>
      </c>
      <c r="K449">
        <v>19.399999999999999</v>
      </c>
      <c r="L449">
        <v>95</v>
      </c>
      <c r="M449">
        <v>66</v>
      </c>
      <c r="N449">
        <v>6</v>
      </c>
      <c r="O449">
        <v>65</v>
      </c>
      <c r="P449">
        <v>7.1</v>
      </c>
      <c r="S449">
        <v>8.1</v>
      </c>
      <c r="T449">
        <v>8.1</v>
      </c>
      <c r="W449" t="b">
        <f>COUNT(LifeExpectancyData[[#This Row],[Life expectancy]:[Schooling]])=19</f>
        <v>0</v>
      </c>
    </row>
    <row r="450" spans="1:23" x14ac:dyDescent="0.25">
      <c r="A450" t="s">
        <v>309</v>
      </c>
      <c r="B450">
        <v>2015</v>
      </c>
      <c r="C450" t="s">
        <v>280</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COUNT(LifeExpectancyData[[#This Row],[Life expectancy]:[Schooling]])=19</f>
        <v>0</v>
      </c>
    </row>
    <row r="451" spans="1:23" x14ac:dyDescent="0.25">
      <c r="A451" t="s">
        <v>309</v>
      </c>
      <c r="B451">
        <v>2014</v>
      </c>
      <c r="C451" t="s">
        <v>280</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COUNT(LifeExpectancyData[[#This Row],[Life expectancy]:[Schooling]])=19</f>
        <v>1</v>
      </c>
    </row>
    <row r="452" spans="1:23" x14ac:dyDescent="0.25">
      <c r="A452" t="s">
        <v>309</v>
      </c>
      <c r="B452">
        <v>2013</v>
      </c>
      <c r="C452" t="s">
        <v>280</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COUNT(LifeExpectancyData[[#This Row],[Life expectancy]:[Schooling]])=19</f>
        <v>1</v>
      </c>
    </row>
    <row r="453" spans="1:23" x14ac:dyDescent="0.25">
      <c r="A453" t="s">
        <v>309</v>
      </c>
      <c r="B453">
        <v>2012</v>
      </c>
      <c r="C453" t="s">
        <v>280</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COUNT(LifeExpectancyData[[#This Row],[Life expectancy]:[Schooling]])=19</f>
        <v>1</v>
      </c>
    </row>
    <row r="454" spans="1:23" x14ac:dyDescent="0.25">
      <c r="A454" t="s">
        <v>309</v>
      </c>
      <c r="B454">
        <v>2011</v>
      </c>
      <c r="C454" t="s">
        <v>280</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COUNT(LifeExpectancyData[[#This Row],[Life expectancy]:[Schooling]])=19</f>
        <v>1</v>
      </c>
    </row>
    <row r="455" spans="1:23" x14ac:dyDescent="0.25">
      <c r="A455" t="s">
        <v>309</v>
      </c>
      <c r="B455">
        <v>2010</v>
      </c>
      <c r="C455" t="s">
        <v>280</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COUNT(LifeExpectancyData[[#This Row],[Life expectancy]:[Schooling]])=19</f>
        <v>1</v>
      </c>
    </row>
    <row r="456" spans="1:23" x14ac:dyDescent="0.25">
      <c r="A456" t="s">
        <v>309</v>
      </c>
      <c r="B456">
        <v>2009</v>
      </c>
      <c r="C456" t="s">
        <v>280</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COUNT(LifeExpectancyData[[#This Row],[Life expectancy]:[Schooling]])=19</f>
        <v>1</v>
      </c>
    </row>
    <row r="457" spans="1:23" x14ac:dyDescent="0.25">
      <c r="A457" t="s">
        <v>309</v>
      </c>
      <c r="B457">
        <v>2008</v>
      </c>
      <c r="C457" t="s">
        <v>280</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COUNT(LifeExpectancyData[[#This Row],[Life expectancy]:[Schooling]])=19</f>
        <v>1</v>
      </c>
    </row>
    <row r="458" spans="1:23" x14ac:dyDescent="0.25">
      <c r="A458" t="s">
        <v>309</v>
      </c>
      <c r="B458">
        <v>2007</v>
      </c>
      <c r="C458" t="s">
        <v>280</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COUNT(LifeExpectancyData[[#This Row],[Life expectancy]:[Schooling]])=19</f>
        <v>1</v>
      </c>
    </row>
    <row r="459" spans="1:23" x14ac:dyDescent="0.25">
      <c r="A459" t="s">
        <v>309</v>
      </c>
      <c r="B459">
        <v>2006</v>
      </c>
      <c r="C459" t="s">
        <v>280</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COUNT(LifeExpectancyData[[#This Row],[Life expectancy]:[Schooling]])=19</f>
        <v>1</v>
      </c>
    </row>
    <row r="460" spans="1:23" x14ac:dyDescent="0.25">
      <c r="A460" t="s">
        <v>309</v>
      </c>
      <c r="B460">
        <v>2005</v>
      </c>
      <c r="C460" t="s">
        <v>280</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COUNT(LifeExpectancyData[[#This Row],[Life expectancy]:[Schooling]])=19</f>
        <v>1</v>
      </c>
    </row>
    <row r="461" spans="1:23" x14ac:dyDescent="0.25">
      <c r="A461" t="s">
        <v>309</v>
      </c>
      <c r="B461">
        <v>2004</v>
      </c>
      <c r="C461" t="s">
        <v>280</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COUNT(LifeExpectancyData[[#This Row],[Life expectancy]:[Schooling]])=19</f>
        <v>1</v>
      </c>
    </row>
    <row r="462" spans="1:23" x14ac:dyDescent="0.25">
      <c r="A462" t="s">
        <v>309</v>
      </c>
      <c r="B462">
        <v>2003</v>
      </c>
      <c r="C462" t="s">
        <v>280</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COUNT(LifeExpectancyData[[#This Row],[Life expectancy]:[Schooling]])=19</f>
        <v>1</v>
      </c>
    </row>
    <row r="463" spans="1:23" x14ac:dyDescent="0.25">
      <c r="A463" t="s">
        <v>309</v>
      </c>
      <c r="B463">
        <v>2002</v>
      </c>
      <c r="C463" t="s">
        <v>280</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COUNT(LifeExpectancyData[[#This Row],[Life expectancy]:[Schooling]])=19</f>
        <v>1</v>
      </c>
    </row>
    <row r="464" spans="1:23" x14ac:dyDescent="0.25">
      <c r="A464" t="s">
        <v>309</v>
      </c>
      <c r="B464">
        <v>2001</v>
      </c>
      <c r="C464" t="s">
        <v>280</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COUNT(LifeExpectancyData[[#This Row],[Life expectancy]:[Schooling]])=19</f>
        <v>0</v>
      </c>
    </row>
    <row r="465" spans="1:23" x14ac:dyDescent="0.25">
      <c r="A465" t="s">
        <v>309</v>
      </c>
      <c r="B465">
        <v>2000</v>
      </c>
      <c r="C465" t="s">
        <v>280</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COUNT(LifeExpectancyData[[#This Row],[Life expectancy]:[Schooling]])=19</f>
        <v>0</v>
      </c>
    </row>
    <row r="466" spans="1:23" x14ac:dyDescent="0.25">
      <c r="A466" t="s">
        <v>310</v>
      </c>
      <c r="B466">
        <v>2015</v>
      </c>
      <c r="C466" t="s">
        <v>280</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COUNT(LifeExpectancyData[[#This Row],[Life expectancy]:[Schooling]])=19</f>
        <v>0</v>
      </c>
    </row>
    <row r="467" spans="1:23" x14ac:dyDescent="0.25">
      <c r="A467" t="s">
        <v>310</v>
      </c>
      <c r="B467">
        <v>2014</v>
      </c>
      <c r="C467" t="s">
        <v>280</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COUNT(LifeExpectancyData[[#This Row],[Life expectancy]:[Schooling]])=19</f>
        <v>1</v>
      </c>
    </row>
    <row r="468" spans="1:23" x14ac:dyDescent="0.25">
      <c r="A468" t="s">
        <v>310</v>
      </c>
      <c r="B468">
        <v>2013</v>
      </c>
      <c r="C468" t="s">
        <v>280</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COUNT(LifeExpectancyData[[#This Row],[Life expectancy]:[Schooling]])=19</f>
        <v>1</v>
      </c>
    </row>
    <row r="469" spans="1:23" x14ac:dyDescent="0.25">
      <c r="A469" t="s">
        <v>310</v>
      </c>
      <c r="B469">
        <v>2012</v>
      </c>
      <c r="C469" t="s">
        <v>280</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COUNT(LifeExpectancyData[[#This Row],[Life expectancy]:[Schooling]])=19</f>
        <v>1</v>
      </c>
    </row>
    <row r="470" spans="1:23" x14ac:dyDescent="0.25">
      <c r="A470" t="s">
        <v>310</v>
      </c>
      <c r="B470">
        <v>2011</v>
      </c>
      <c r="C470" t="s">
        <v>280</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COUNT(LifeExpectancyData[[#This Row],[Life expectancy]:[Schooling]])=19</f>
        <v>1</v>
      </c>
    </row>
    <row r="471" spans="1:23" x14ac:dyDescent="0.25">
      <c r="A471" t="s">
        <v>310</v>
      </c>
      <c r="B471">
        <v>2010</v>
      </c>
      <c r="C471" t="s">
        <v>280</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COUNT(LifeExpectancyData[[#This Row],[Life expectancy]:[Schooling]])=19</f>
        <v>1</v>
      </c>
    </row>
    <row r="472" spans="1:23" x14ac:dyDescent="0.25">
      <c r="A472" t="s">
        <v>310</v>
      </c>
      <c r="B472">
        <v>2009</v>
      </c>
      <c r="C472" t="s">
        <v>280</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COUNT(LifeExpectancyData[[#This Row],[Life expectancy]:[Schooling]])=19</f>
        <v>1</v>
      </c>
    </row>
    <row r="473" spans="1:23" x14ac:dyDescent="0.25">
      <c r="A473" t="s">
        <v>310</v>
      </c>
      <c r="B473">
        <v>2008</v>
      </c>
      <c r="C473" t="s">
        <v>280</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COUNT(LifeExpectancyData[[#This Row],[Life expectancy]:[Schooling]])=19</f>
        <v>1</v>
      </c>
    </row>
    <row r="474" spans="1:23" x14ac:dyDescent="0.25">
      <c r="A474" t="s">
        <v>310</v>
      </c>
      <c r="B474">
        <v>2007</v>
      </c>
      <c r="C474" t="s">
        <v>280</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COUNT(LifeExpectancyData[[#This Row],[Life expectancy]:[Schooling]])=19</f>
        <v>1</v>
      </c>
    </row>
    <row r="475" spans="1:23" x14ac:dyDescent="0.25">
      <c r="A475" t="s">
        <v>310</v>
      </c>
      <c r="B475">
        <v>2006</v>
      </c>
      <c r="C475" t="s">
        <v>280</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COUNT(LifeExpectancyData[[#This Row],[Life expectancy]:[Schooling]])=19</f>
        <v>1</v>
      </c>
    </row>
    <row r="476" spans="1:23" x14ac:dyDescent="0.25">
      <c r="A476" t="s">
        <v>310</v>
      </c>
      <c r="B476">
        <v>2005</v>
      </c>
      <c r="C476" t="s">
        <v>280</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COUNT(LifeExpectancyData[[#This Row],[Life expectancy]:[Schooling]])=19</f>
        <v>0</v>
      </c>
    </row>
    <row r="477" spans="1:23" x14ac:dyDescent="0.25">
      <c r="A477" t="s">
        <v>310</v>
      </c>
      <c r="B477">
        <v>2004</v>
      </c>
      <c r="C477" t="s">
        <v>280</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COUNT(LifeExpectancyData[[#This Row],[Life expectancy]:[Schooling]])=19</f>
        <v>0</v>
      </c>
    </row>
    <row r="478" spans="1:23" x14ac:dyDescent="0.25">
      <c r="A478" t="s">
        <v>310</v>
      </c>
      <c r="B478">
        <v>2003</v>
      </c>
      <c r="C478" t="s">
        <v>280</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COUNT(LifeExpectancyData[[#This Row],[Life expectancy]:[Schooling]])=19</f>
        <v>0</v>
      </c>
    </row>
    <row r="479" spans="1:23" x14ac:dyDescent="0.25">
      <c r="A479" t="s">
        <v>310</v>
      </c>
      <c r="B479">
        <v>2002</v>
      </c>
      <c r="C479" t="s">
        <v>280</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COUNT(LifeExpectancyData[[#This Row],[Life expectancy]:[Schooling]])=19</f>
        <v>0</v>
      </c>
    </row>
    <row r="480" spans="1:23" x14ac:dyDescent="0.25">
      <c r="A480" t="s">
        <v>310</v>
      </c>
      <c r="B480">
        <v>2001</v>
      </c>
      <c r="C480" t="s">
        <v>280</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COUNT(LifeExpectancyData[[#This Row],[Life expectancy]:[Schooling]])=19</f>
        <v>0</v>
      </c>
    </row>
    <row r="481" spans="1:23" x14ac:dyDescent="0.25">
      <c r="A481" t="s">
        <v>310</v>
      </c>
      <c r="B481">
        <v>2000</v>
      </c>
      <c r="C481" t="s">
        <v>280</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COUNT(LifeExpectancyData[[#This Row],[Life expectancy]:[Schooling]])=19</f>
        <v>0</v>
      </c>
    </row>
    <row r="482" spans="1:23" x14ac:dyDescent="0.25">
      <c r="A482" t="s">
        <v>311</v>
      </c>
      <c r="B482">
        <v>2015</v>
      </c>
      <c r="C482" t="s">
        <v>280</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COUNT(LifeExpectancyData[[#This Row],[Life expectancy]:[Schooling]])=19</f>
        <v>0</v>
      </c>
    </row>
    <row r="483" spans="1:23" x14ac:dyDescent="0.25">
      <c r="A483" t="s">
        <v>311</v>
      </c>
      <c r="B483">
        <v>2014</v>
      </c>
      <c r="C483" t="s">
        <v>280</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COUNT(LifeExpectancyData[[#This Row],[Life expectancy]:[Schooling]])=19</f>
        <v>1</v>
      </c>
    </row>
    <row r="484" spans="1:23" x14ac:dyDescent="0.25">
      <c r="A484" t="s">
        <v>311</v>
      </c>
      <c r="B484">
        <v>2013</v>
      </c>
      <c r="C484" t="s">
        <v>280</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COUNT(LifeExpectancyData[[#This Row],[Life expectancy]:[Schooling]])=19</f>
        <v>1</v>
      </c>
    </row>
    <row r="485" spans="1:23" x14ac:dyDescent="0.25">
      <c r="A485" t="s">
        <v>311</v>
      </c>
      <c r="B485">
        <v>2012</v>
      </c>
      <c r="C485" t="s">
        <v>280</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COUNT(LifeExpectancyData[[#This Row],[Life expectancy]:[Schooling]])=19</f>
        <v>1</v>
      </c>
    </row>
    <row r="486" spans="1:23" x14ac:dyDescent="0.25">
      <c r="A486" t="s">
        <v>311</v>
      </c>
      <c r="B486">
        <v>2011</v>
      </c>
      <c r="C486" t="s">
        <v>280</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COUNT(LifeExpectancyData[[#This Row],[Life expectancy]:[Schooling]])=19</f>
        <v>1</v>
      </c>
    </row>
    <row r="487" spans="1:23" x14ac:dyDescent="0.25">
      <c r="A487" t="s">
        <v>311</v>
      </c>
      <c r="B487">
        <v>2010</v>
      </c>
      <c r="C487" t="s">
        <v>280</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COUNT(LifeExpectancyData[[#This Row],[Life expectancy]:[Schooling]])=19</f>
        <v>1</v>
      </c>
    </row>
    <row r="488" spans="1:23" x14ac:dyDescent="0.25">
      <c r="A488" t="s">
        <v>311</v>
      </c>
      <c r="B488">
        <v>2009</v>
      </c>
      <c r="C488" t="s">
        <v>280</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COUNT(LifeExpectancyData[[#This Row],[Life expectancy]:[Schooling]])=19</f>
        <v>1</v>
      </c>
    </row>
    <row r="489" spans="1:23" x14ac:dyDescent="0.25">
      <c r="A489" t="s">
        <v>311</v>
      </c>
      <c r="B489">
        <v>2008</v>
      </c>
      <c r="C489" t="s">
        <v>280</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COUNT(LifeExpectancyData[[#This Row],[Life expectancy]:[Schooling]])=19</f>
        <v>1</v>
      </c>
    </row>
    <row r="490" spans="1:23" x14ac:dyDescent="0.25">
      <c r="A490" t="s">
        <v>311</v>
      </c>
      <c r="B490">
        <v>2007</v>
      </c>
      <c r="C490" t="s">
        <v>280</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COUNT(LifeExpectancyData[[#This Row],[Life expectancy]:[Schooling]])=19</f>
        <v>1</v>
      </c>
    </row>
    <row r="491" spans="1:23" x14ac:dyDescent="0.25">
      <c r="A491" t="s">
        <v>311</v>
      </c>
      <c r="B491">
        <v>2006</v>
      </c>
      <c r="C491" t="s">
        <v>280</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COUNT(LifeExpectancyData[[#This Row],[Life expectancy]:[Schooling]])=19</f>
        <v>1</v>
      </c>
    </row>
    <row r="492" spans="1:23" x14ac:dyDescent="0.25">
      <c r="A492" t="s">
        <v>311</v>
      </c>
      <c r="B492">
        <v>2005</v>
      </c>
      <c r="C492" t="s">
        <v>280</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COUNT(LifeExpectancyData[[#This Row],[Life expectancy]:[Schooling]])=19</f>
        <v>1</v>
      </c>
    </row>
    <row r="493" spans="1:23" x14ac:dyDescent="0.25">
      <c r="A493" t="s">
        <v>311</v>
      </c>
      <c r="B493">
        <v>2004</v>
      </c>
      <c r="C493" t="s">
        <v>280</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COUNT(LifeExpectancyData[[#This Row],[Life expectancy]:[Schooling]])=19</f>
        <v>0</v>
      </c>
    </row>
    <row r="494" spans="1:23" x14ac:dyDescent="0.25">
      <c r="A494" t="s">
        <v>311</v>
      </c>
      <c r="B494">
        <v>2003</v>
      </c>
      <c r="C494" t="s">
        <v>280</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COUNT(LifeExpectancyData[[#This Row],[Life expectancy]:[Schooling]])=19</f>
        <v>0</v>
      </c>
    </row>
    <row r="495" spans="1:23" x14ac:dyDescent="0.25">
      <c r="A495" t="s">
        <v>311</v>
      </c>
      <c r="B495">
        <v>2002</v>
      </c>
      <c r="C495" t="s">
        <v>280</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COUNT(LifeExpectancyData[[#This Row],[Life expectancy]:[Schooling]])=19</f>
        <v>0</v>
      </c>
    </row>
    <row r="496" spans="1:23" x14ac:dyDescent="0.25">
      <c r="A496" t="s">
        <v>311</v>
      </c>
      <c r="B496">
        <v>2001</v>
      </c>
      <c r="C496" t="s">
        <v>280</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COUNT(LifeExpectancyData[[#This Row],[Life expectancy]:[Schooling]])=19</f>
        <v>0</v>
      </c>
    </row>
    <row r="497" spans="1:23" x14ac:dyDescent="0.25">
      <c r="A497" t="s">
        <v>311</v>
      </c>
      <c r="B497">
        <v>2000</v>
      </c>
      <c r="C497" t="s">
        <v>280</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COUNT(LifeExpectancyData[[#This Row],[Life expectancy]:[Schooling]])=19</f>
        <v>0</v>
      </c>
    </row>
    <row r="498" spans="1:23" x14ac:dyDescent="0.25">
      <c r="A498" t="s">
        <v>312</v>
      </c>
      <c r="B498">
        <v>2015</v>
      </c>
      <c r="C498" t="s">
        <v>280</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COUNT(LifeExpectancyData[[#This Row],[Life expectancy]:[Schooling]])=19</f>
        <v>0</v>
      </c>
    </row>
    <row r="499" spans="1:23" x14ac:dyDescent="0.25">
      <c r="A499" t="s">
        <v>312</v>
      </c>
      <c r="B499">
        <v>2014</v>
      </c>
      <c r="C499" t="s">
        <v>280</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COUNT(LifeExpectancyData[[#This Row],[Life expectancy]:[Schooling]])=19</f>
        <v>1</v>
      </c>
    </row>
    <row r="500" spans="1:23" x14ac:dyDescent="0.25">
      <c r="A500" t="s">
        <v>312</v>
      </c>
      <c r="B500">
        <v>2013</v>
      </c>
      <c r="C500" t="s">
        <v>280</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COUNT(LifeExpectancyData[[#This Row],[Life expectancy]:[Schooling]])=19</f>
        <v>1</v>
      </c>
    </row>
    <row r="501" spans="1:23" x14ac:dyDescent="0.25">
      <c r="A501" t="s">
        <v>312</v>
      </c>
      <c r="B501">
        <v>2012</v>
      </c>
      <c r="C501" t="s">
        <v>280</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COUNT(LifeExpectancyData[[#This Row],[Life expectancy]:[Schooling]])=19</f>
        <v>1</v>
      </c>
    </row>
    <row r="502" spans="1:23" x14ac:dyDescent="0.25">
      <c r="A502" t="s">
        <v>312</v>
      </c>
      <c r="B502">
        <v>2011</v>
      </c>
      <c r="C502" t="s">
        <v>280</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COUNT(LifeExpectancyData[[#This Row],[Life expectancy]:[Schooling]])=19</f>
        <v>1</v>
      </c>
    </row>
    <row r="503" spans="1:23" x14ac:dyDescent="0.25">
      <c r="A503" t="s">
        <v>312</v>
      </c>
      <c r="B503">
        <v>2010</v>
      </c>
      <c r="C503" t="s">
        <v>280</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COUNT(LifeExpectancyData[[#This Row],[Life expectancy]:[Schooling]])=19</f>
        <v>1</v>
      </c>
    </row>
    <row r="504" spans="1:23" x14ac:dyDescent="0.25">
      <c r="A504" t="s">
        <v>312</v>
      </c>
      <c r="B504">
        <v>2009</v>
      </c>
      <c r="C504" t="s">
        <v>280</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COUNT(LifeExpectancyData[[#This Row],[Life expectancy]:[Schooling]])=19</f>
        <v>1</v>
      </c>
    </row>
    <row r="505" spans="1:23" x14ac:dyDescent="0.25">
      <c r="A505" t="s">
        <v>312</v>
      </c>
      <c r="B505">
        <v>2008</v>
      </c>
      <c r="C505" t="s">
        <v>280</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COUNT(LifeExpectancyData[[#This Row],[Life expectancy]:[Schooling]])=19</f>
        <v>1</v>
      </c>
    </row>
    <row r="506" spans="1:23" x14ac:dyDescent="0.25">
      <c r="A506" t="s">
        <v>312</v>
      </c>
      <c r="B506">
        <v>2007</v>
      </c>
      <c r="C506" t="s">
        <v>280</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COUNT(LifeExpectancyData[[#This Row],[Life expectancy]:[Schooling]])=19</f>
        <v>1</v>
      </c>
    </row>
    <row r="507" spans="1:23" x14ac:dyDescent="0.25">
      <c r="A507" t="s">
        <v>312</v>
      </c>
      <c r="B507">
        <v>2006</v>
      </c>
      <c r="C507" t="s">
        <v>280</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COUNT(LifeExpectancyData[[#This Row],[Life expectancy]:[Schooling]])=19</f>
        <v>1</v>
      </c>
    </row>
    <row r="508" spans="1:23" x14ac:dyDescent="0.25">
      <c r="A508" t="s">
        <v>312</v>
      </c>
      <c r="B508">
        <v>2005</v>
      </c>
      <c r="C508" t="s">
        <v>280</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COUNT(LifeExpectancyData[[#This Row],[Life expectancy]:[Schooling]])=19</f>
        <v>1</v>
      </c>
    </row>
    <row r="509" spans="1:23" x14ac:dyDescent="0.25">
      <c r="A509" t="s">
        <v>312</v>
      </c>
      <c r="B509">
        <v>2004</v>
      </c>
      <c r="C509" t="s">
        <v>280</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COUNT(LifeExpectancyData[[#This Row],[Life expectancy]:[Schooling]])=19</f>
        <v>1</v>
      </c>
    </row>
    <row r="510" spans="1:23" x14ac:dyDescent="0.25">
      <c r="A510" t="s">
        <v>312</v>
      </c>
      <c r="B510">
        <v>2003</v>
      </c>
      <c r="C510" t="s">
        <v>280</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COUNT(LifeExpectancyData[[#This Row],[Life expectancy]:[Schooling]])=19</f>
        <v>1</v>
      </c>
    </row>
    <row r="511" spans="1:23" x14ac:dyDescent="0.25">
      <c r="A511" t="s">
        <v>312</v>
      </c>
      <c r="B511">
        <v>2002</v>
      </c>
      <c r="C511" t="s">
        <v>280</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COUNT(LifeExpectancyData[[#This Row],[Life expectancy]:[Schooling]])=19</f>
        <v>0</v>
      </c>
    </row>
    <row r="512" spans="1:23" x14ac:dyDescent="0.25">
      <c r="A512" t="s">
        <v>312</v>
      </c>
      <c r="B512">
        <v>2001</v>
      </c>
      <c r="C512" t="s">
        <v>280</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COUNT(LifeExpectancyData[[#This Row],[Life expectancy]:[Schooling]])=19</f>
        <v>0</v>
      </c>
    </row>
    <row r="513" spans="1:23" x14ac:dyDescent="0.25">
      <c r="A513" t="s">
        <v>312</v>
      </c>
      <c r="B513">
        <v>2000</v>
      </c>
      <c r="C513" t="s">
        <v>280</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COUNT(LifeExpectancyData[[#This Row],[Life expectancy]:[Schooling]])=19</f>
        <v>0</v>
      </c>
    </row>
    <row r="514" spans="1:23" x14ac:dyDescent="0.25">
      <c r="A514" t="s">
        <v>313</v>
      </c>
      <c r="B514">
        <v>2015</v>
      </c>
      <c r="C514" t="s">
        <v>280</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COUNT(LifeExpectancyData[[#This Row],[Life expectancy]:[Schooling]])=19</f>
        <v>0</v>
      </c>
    </row>
    <row r="515" spans="1:23" x14ac:dyDescent="0.25">
      <c r="A515" t="s">
        <v>313</v>
      </c>
      <c r="B515">
        <v>2014</v>
      </c>
      <c r="C515" t="s">
        <v>280</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COUNT(LifeExpectancyData[[#This Row],[Life expectancy]:[Schooling]])=19</f>
        <v>1</v>
      </c>
    </row>
    <row r="516" spans="1:23" x14ac:dyDescent="0.25">
      <c r="A516" t="s">
        <v>313</v>
      </c>
      <c r="B516">
        <v>2013</v>
      </c>
      <c r="C516" t="s">
        <v>280</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COUNT(LifeExpectancyData[[#This Row],[Life expectancy]:[Schooling]])=19</f>
        <v>1</v>
      </c>
    </row>
    <row r="517" spans="1:23" x14ac:dyDescent="0.25">
      <c r="A517" t="s">
        <v>313</v>
      </c>
      <c r="B517">
        <v>2012</v>
      </c>
      <c r="C517" t="s">
        <v>280</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COUNT(LifeExpectancyData[[#This Row],[Life expectancy]:[Schooling]])=19</f>
        <v>1</v>
      </c>
    </row>
    <row r="518" spans="1:23" x14ac:dyDescent="0.25">
      <c r="A518" t="s">
        <v>313</v>
      </c>
      <c r="B518">
        <v>2011</v>
      </c>
      <c r="C518" t="s">
        <v>280</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COUNT(LifeExpectancyData[[#This Row],[Life expectancy]:[Schooling]])=19</f>
        <v>1</v>
      </c>
    </row>
    <row r="519" spans="1:23" x14ac:dyDescent="0.25">
      <c r="A519" t="s">
        <v>313</v>
      </c>
      <c r="B519">
        <v>2010</v>
      </c>
      <c r="C519" t="s">
        <v>280</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COUNT(LifeExpectancyData[[#This Row],[Life expectancy]:[Schooling]])=19</f>
        <v>1</v>
      </c>
    </row>
    <row r="520" spans="1:23" x14ac:dyDescent="0.25">
      <c r="A520" t="s">
        <v>313</v>
      </c>
      <c r="B520">
        <v>2009</v>
      </c>
      <c r="C520" t="s">
        <v>280</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COUNT(LifeExpectancyData[[#This Row],[Life expectancy]:[Schooling]])=19</f>
        <v>1</v>
      </c>
    </row>
    <row r="521" spans="1:23" x14ac:dyDescent="0.25">
      <c r="A521" t="s">
        <v>313</v>
      </c>
      <c r="B521">
        <v>2008</v>
      </c>
      <c r="C521" t="s">
        <v>280</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COUNT(LifeExpectancyData[[#This Row],[Life expectancy]:[Schooling]])=19</f>
        <v>0</v>
      </c>
    </row>
    <row r="522" spans="1:23" x14ac:dyDescent="0.25">
      <c r="A522" t="s">
        <v>313</v>
      </c>
      <c r="B522">
        <v>2007</v>
      </c>
      <c r="C522" t="s">
        <v>280</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COUNT(LifeExpectancyData[[#This Row],[Life expectancy]:[Schooling]])=19</f>
        <v>0</v>
      </c>
    </row>
    <row r="523" spans="1:23" x14ac:dyDescent="0.25">
      <c r="A523" t="s">
        <v>313</v>
      </c>
      <c r="B523">
        <v>2006</v>
      </c>
      <c r="C523" t="s">
        <v>280</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COUNT(LifeExpectancyData[[#This Row],[Life expectancy]:[Schooling]])=19</f>
        <v>0</v>
      </c>
    </row>
    <row r="524" spans="1:23" x14ac:dyDescent="0.25">
      <c r="A524" t="s">
        <v>313</v>
      </c>
      <c r="B524">
        <v>2005</v>
      </c>
      <c r="C524" t="s">
        <v>280</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COUNT(LifeExpectancyData[[#This Row],[Life expectancy]:[Schooling]])=19</f>
        <v>0</v>
      </c>
    </row>
    <row r="525" spans="1:23" x14ac:dyDescent="0.25">
      <c r="A525" t="s">
        <v>313</v>
      </c>
      <c r="B525">
        <v>2004</v>
      </c>
      <c r="C525" t="s">
        <v>280</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COUNT(LifeExpectancyData[[#This Row],[Life expectancy]:[Schooling]])=19</f>
        <v>0</v>
      </c>
    </row>
    <row r="526" spans="1:23" x14ac:dyDescent="0.25">
      <c r="A526" t="s">
        <v>313</v>
      </c>
      <c r="B526">
        <v>2003</v>
      </c>
      <c r="C526" t="s">
        <v>280</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COUNT(LifeExpectancyData[[#This Row],[Life expectancy]:[Schooling]])=19</f>
        <v>0</v>
      </c>
    </row>
    <row r="527" spans="1:23" x14ac:dyDescent="0.25">
      <c r="A527" t="s">
        <v>313</v>
      </c>
      <c r="B527">
        <v>2002</v>
      </c>
      <c r="C527" t="s">
        <v>280</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COUNT(LifeExpectancyData[[#This Row],[Life expectancy]:[Schooling]])=19</f>
        <v>0</v>
      </c>
    </row>
    <row r="528" spans="1:23" x14ac:dyDescent="0.25">
      <c r="A528" t="s">
        <v>313</v>
      </c>
      <c r="B528">
        <v>2001</v>
      </c>
      <c r="C528" t="s">
        <v>280</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COUNT(LifeExpectancyData[[#This Row],[Life expectancy]:[Schooling]])=19</f>
        <v>0</v>
      </c>
    </row>
    <row r="529" spans="1:23" x14ac:dyDescent="0.25">
      <c r="A529" t="s">
        <v>313</v>
      </c>
      <c r="B529">
        <v>2000</v>
      </c>
      <c r="C529" t="s">
        <v>280</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COUNT(LifeExpectancyData[[#This Row],[Life expectancy]:[Schooling]])=19</f>
        <v>0</v>
      </c>
    </row>
    <row r="530" spans="1:23" x14ac:dyDescent="0.25">
      <c r="A530" t="s">
        <v>314</v>
      </c>
      <c r="B530">
        <v>2015</v>
      </c>
      <c r="C530" t="s">
        <v>280</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COUNT(LifeExpectancyData[[#This Row],[Life expectancy]:[Schooling]])=19</f>
        <v>0</v>
      </c>
    </row>
    <row r="531" spans="1:23" x14ac:dyDescent="0.25">
      <c r="A531" t="s">
        <v>314</v>
      </c>
      <c r="B531">
        <v>2014</v>
      </c>
      <c r="C531" t="s">
        <v>280</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COUNT(LifeExpectancyData[[#This Row],[Life expectancy]:[Schooling]])=19</f>
        <v>1</v>
      </c>
    </row>
    <row r="532" spans="1:23" x14ac:dyDescent="0.25">
      <c r="A532" t="s">
        <v>314</v>
      </c>
      <c r="B532">
        <v>2013</v>
      </c>
      <c r="C532" t="s">
        <v>280</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COUNT(LifeExpectancyData[[#This Row],[Life expectancy]:[Schooling]])=19</f>
        <v>1</v>
      </c>
    </row>
    <row r="533" spans="1:23" x14ac:dyDescent="0.25">
      <c r="A533" t="s">
        <v>314</v>
      </c>
      <c r="B533">
        <v>2012</v>
      </c>
      <c r="C533" t="s">
        <v>280</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COUNT(LifeExpectancyData[[#This Row],[Life expectancy]:[Schooling]])=19</f>
        <v>1</v>
      </c>
    </row>
    <row r="534" spans="1:23" x14ac:dyDescent="0.25">
      <c r="A534" t="s">
        <v>314</v>
      </c>
      <c r="B534">
        <v>2011</v>
      </c>
      <c r="C534" t="s">
        <v>280</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COUNT(LifeExpectancyData[[#This Row],[Life expectancy]:[Schooling]])=19</f>
        <v>1</v>
      </c>
    </row>
    <row r="535" spans="1:23" x14ac:dyDescent="0.25">
      <c r="A535" t="s">
        <v>314</v>
      </c>
      <c r="B535">
        <v>2010</v>
      </c>
      <c r="C535" t="s">
        <v>280</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COUNT(LifeExpectancyData[[#This Row],[Life expectancy]:[Schooling]])=19</f>
        <v>1</v>
      </c>
    </row>
    <row r="536" spans="1:23" x14ac:dyDescent="0.25">
      <c r="A536" t="s">
        <v>314</v>
      </c>
      <c r="B536">
        <v>2009</v>
      </c>
      <c r="C536" t="s">
        <v>280</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COUNT(LifeExpectancyData[[#This Row],[Life expectancy]:[Schooling]])=19</f>
        <v>1</v>
      </c>
    </row>
    <row r="537" spans="1:23" x14ac:dyDescent="0.25">
      <c r="A537" t="s">
        <v>314</v>
      </c>
      <c r="B537">
        <v>2008</v>
      </c>
      <c r="C537" t="s">
        <v>280</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COUNT(LifeExpectancyData[[#This Row],[Life expectancy]:[Schooling]])=19</f>
        <v>1</v>
      </c>
    </row>
    <row r="538" spans="1:23" x14ac:dyDescent="0.25">
      <c r="A538" t="s">
        <v>314</v>
      </c>
      <c r="B538">
        <v>2007</v>
      </c>
      <c r="C538" t="s">
        <v>280</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COUNT(LifeExpectancyData[[#This Row],[Life expectancy]:[Schooling]])=19</f>
        <v>0</v>
      </c>
    </row>
    <row r="539" spans="1:23" x14ac:dyDescent="0.25">
      <c r="A539" t="s">
        <v>314</v>
      </c>
      <c r="B539">
        <v>2006</v>
      </c>
      <c r="C539" t="s">
        <v>280</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COUNT(LifeExpectancyData[[#This Row],[Life expectancy]:[Schooling]])=19</f>
        <v>0</v>
      </c>
    </row>
    <row r="540" spans="1:23" x14ac:dyDescent="0.25">
      <c r="A540" t="s">
        <v>314</v>
      </c>
      <c r="B540">
        <v>2005</v>
      </c>
      <c r="C540" t="s">
        <v>280</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COUNT(LifeExpectancyData[[#This Row],[Life expectancy]:[Schooling]])=19</f>
        <v>0</v>
      </c>
    </row>
    <row r="541" spans="1:23" x14ac:dyDescent="0.25">
      <c r="A541" t="s">
        <v>314</v>
      </c>
      <c r="B541">
        <v>2004</v>
      </c>
      <c r="C541" t="s">
        <v>280</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COUNT(LifeExpectancyData[[#This Row],[Life expectancy]:[Schooling]])=19</f>
        <v>0</v>
      </c>
    </row>
    <row r="542" spans="1:23" x14ac:dyDescent="0.25">
      <c r="A542" t="s">
        <v>314</v>
      </c>
      <c r="B542">
        <v>2003</v>
      </c>
      <c r="C542" t="s">
        <v>280</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COUNT(LifeExpectancyData[[#This Row],[Life expectancy]:[Schooling]])=19</f>
        <v>0</v>
      </c>
    </row>
    <row r="543" spans="1:23" x14ac:dyDescent="0.25">
      <c r="A543" t="s">
        <v>314</v>
      </c>
      <c r="B543">
        <v>2002</v>
      </c>
      <c r="C543" t="s">
        <v>280</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COUNT(LifeExpectancyData[[#This Row],[Life expectancy]:[Schooling]])=19</f>
        <v>0</v>
      </c>
    </row>
    <row r="544" spans="1:23" x14ac:dyDescent="0.25">
      <c r="A544" t="s">
        <v>314</v>
      </c>
      <c r="B544">
        <v>2001</v>
      </c>
      <c r="C544" t="s">
        <v>280</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COUNT(LifeExpectancyData[[#This Row],[Life expectancy]:[Schooling]])=19</f>
        <v>0</v>
      </c>
    </row>
    <row r="545" spans="1:23" x14ac:dyDescent="0.25">
      <c r="A545" t="s">
        <v>314</v>
      </c>
      <c r="B545">
        <v>2000</v>
      </c>
      <c r="C545" t="s">
        <v>280</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COUNT(LifeExpectancyData[[#This Row],[Life expectancy]:[Schooling]])=19</f>
        <v>0</v>
      </c>
    </row>
    <row r="546" spans="1:23" x14ac:dyDescent="0.25">
      <c r="A546" t="s">
        <v>315</v>
      </c>
      <c r="B546">
        <v>2015</v>
      </c>
      <c r="C546" t="s">
        <v>280</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COUNT(LifeExpectancyData[[#This Row],[Life expectancy]:[Schooling]])=19</f>
        <v>0</v>
      </c>
    </row>
    <row r="547" spans="1:23" x14ac:dyDescent="0.25">
      <c r="A547" t="s">
        <v>315</v>
      </c>
      <c r="B547">
        <v>2014</v>
      </c>
      <c r="C547" t="s">
        <v>280</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COUNT(LifeExpectancyData[[#This Row],[Life expectancy]:[Schooling]])=19</f>
        <v>1</v>
      </c>
    </row>
    <row r="548" spans="1:23" x14ac:dyDescent="0.25">
      <c r="A548" t="s">
        <v>315</v>
      </c>
      <c r="B548">
        <v>2013</v>
      </c>
      <c r="C548" t="s">
        <v>280</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COUNT(LifeExpectancyData[[#This Row],[Life expectancy]:[Schooling]])=19</f>
        <v>1</v>
      </c>
    </row>
    <row r="549" spans="1:23" x14ac:dyDescent="0.25">
      <c r="A549" t="s">
        <v>315</v>
      </c>
      <c r="B549">
        <v>2012</v>
      </c>
      <c r="C549" t="s">
        <v>280</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COUNT(LifeExpectancyData[[#This Row],[Life expectancy]:[Schooling]])=19</f>
        <v>1</v>
      </c>
    </row>
    <row r="550" spans="1:23" x14ac:dyDescent="0.25">
      <c r="A550" t="s">
        <v>315</v>
      </c>
      <c r="B550">
        <v>2011</v>
      </c>
      <c r="C550" t="s">
        <v>280</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COUNT(LifeExpectancyData[[#This Row],[Life expectancy]:[Schooling]])=19</f>
        <v>1</v>
      </c>
    </row>
    <row r="551" spans="1:23" x14ac:dyDescent="0.25">
      <c r="A551" t="s">
        <v>315</v>
      </c>
      <c r="B551">
        <v>2010</v>
      </c>
      <c r="C551" t="s">
        <v>280</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COUNT(LifeExpectancyData[[#This Row],[Life expectancy]:[Schooling]])=19</f>
        <v>1</v>
      </c>
    </row>
    <row r="552" spans="1:23" x14ac:dyDescent="0.25">
      <c r="A552" t="s">
        <v>315</v>
      </c>
      <c r="B552">
        <v>2009</v>
      </c>
      <c r="C552" t="s">
        <v>280</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COUNT(LifeExpectancyData[[#This Row],[Life expectancy]:[Schooling]])=19</f>
        <v>1</v>
      </c>
    </row>
    <row r="553" spans="1:23" x14ac:dyDescent="0.25">
      <c r="A553" t="s">
        <v>315</v>
      </c>
      <c r="B553">
        <v>2008</v>
      </c>
      <c r="C553" t="s">
        <v>280</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COUNT(LifeExpectancyData[[#This Row],[Life expectancy]:[Schooling]])=19</f>
        <v>1</v>
      </c>
    </row>
    <row r="554" spans="1:23" x14ac:dyDescent="0.25">
      <c r="A554" t="s">
        <v>315</v>
      </c>
      <c r="B554">
        <v>2007</v>
      </c>
      <c r="C554" t="s">
        <v>280</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COUNT(LifeExpectancyData[[#This Row],[Life expectancy]:[Schooling]])=19</f>
        <v>1</v>
      </c>
    </row>
    <row r="555" spans="1:23" x14ac:dyDescent="0.25">
      <c r="A555" t="s">
        <v>315</v>
      </c>
      <c r="B555">
        <v>2006</v>
      </c>
      <c r="C555" t="s">
        <v>280</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COUNT(LifeExpectancyData[[#This Row],[Life expectancy]:[Schooling]])=19</f>
        <v>1</v>
      </c>
    </row>
    <row r="556" spans="1:23" x14ac:dyDescent="0.25">
      <c r="A556" t="s">
        <v>315</v>
      </c>
      <c r="B556">
        <v>2005</v>
      </c>
      <c r="C556" t="s">
        <v>280</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COUNT(LifeExpectancyData[[#This Row],[Life expectancy]:[Schooling]])=19</f>
        <v>0</v>
      </c>
    </row>
    <row r="557" spans="1:23" x14ac:dyDescent="0.25">
      <c r="A557" t="s">
        <v>315</v>
      </c>
      <c r="B557">
        <v>2004</v>
      </c>
      <c r="C557" t="s">
        <v>280</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COUNT(LifeExpectancyData[[#This Row],[Life expectancy]:[Schooling]])=19</f>
        <v>0</v>
      </c>
    </row>
    <row r="558" spans="1:23" x14ac:dyDescent="0.25">
      <c r="A558" t="s">
        <v>315</v>
      </c>
      <c r="B558">
        <v>2003</v>
      </c>
      <c r="C558" t="s">
        <v>280</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COUNT(LifeExpectancyData[[#This Row],[Life expectancy]:[Schooling]])=19</f>
        <v>0</v>
      </c>
    </row>
    <row r="559" spans="1:23" x14ac:dyDescent="0.25">
      <c r="A559" t="s">
        <v>315</v>
      </c>
      <c r="B559">
        <v>2002</v>
      </c>
      <c r="C559" t="s">
        <v>280</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COUNT(LifeExpectancyData[[#This Row],[Life expectancy]:[Schooling]])=19</f>
        <v>0</v>
      </c>
    </row>
    <row r="560" spans="1:23" x14ac:dyDescent="0.25">
      <c r="A560" t="s">
        <v>315</v>
      </c>
      <c r="B560">
        <v>2001</v>
      </c>
      <c r="C560" t="s">
        <v>280</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COUNT(LifeExpectancyData[[#This Row],[Life expectancy]:[Schooling]])=19</f>
        <v>0</v>
      </c>
    </row>
    <row r="561" spans="1:23" x14ac:dyDescent="0.25">
      <c r="A561" t="s">
        <v>315</v>
      </c>
      <c r="B561">
        <v>2000</v>
      </c>
      <c r="C561" t="s">
        <v>280</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COUNT(LifeExpectancyData[[#This Row],[Life expectancy]:[Schooling]])=19</f>
        <v>0</v>
      </c>
    </row>
    <row r="562" spans="1:23" x14ac:dyDescent="0.25">
      <c r="A562" t="s">
        <v>316</v>
      </c>
      <c r="B562">
        <v>2015</v>
      </c>
      <c r="C562" t="s">
        <v>280</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COUNT(LifeExpectancyData[[#This Row],[Life expectancy]:[Schooling]])=19</f>
        <v>0</v>
      </c>
    </row>
    <row r="563" spans="1:23" x14ac:dyDescent="0.25">
      <c r="A563" t="s">
        <v>316</v>
      </c>
      <c r="B563">
        <v>2014</v>
      </c>
      <c r="C563" t="s">
        <v>280</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COUNT(LifeExpectancyData[[#This Row],[Life expectancy]:[Schooling]])=19</f>
        <v>1</v>
      </c>
    </row>
    <row r="564" spans="1:23" x14ac:dyDescent="0.25">
      <c r="A564" t="s">
        <v>316</v>
      </c>
      <c r="B564">
        <v>2013</v>
      </c>
      <c r="C564" t="s">
        <v>280</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COUNT(LifeExpectancyData[[#This Row],[Life expectancy]:[Schooling]])=19</f>
        <v>1</v>
      </c>
    </row>
    <row r="565" spans="1:23" x14ac:dyDescent="0.25">
      <c r="A565" t="s">
        <v>316</v>
      </c>
      <c r="B565">
        <v>2012</v>
      </c>
      <c r="C565" t="s">
        <v>280</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COUNT(LifeExpectancyData[[#This Row],[Life expectancy]:[Schooling]])=19</f>
        <v>1</v>
      </c>
    </row>
    <row r="566" spans="1:23" x14ac:dyDescent="0.25">
      <c r="A566" t="s">
        <v>316</v>
      </c>
      <c r="B566">
        <v>2011</v>
      </c>
      <c r="C566" t="s">
        <v>280</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COUNT(LifeExpectancyData[[#This Row],[Life expectancy]:[Schooling]])=19</f>
        <v>1</v>
      </c>
    </row>
    <row r="567" spans="1:23" x14ac:dyDescent="0.25">
      <c r="A567" t="s">
        <v>316</v>
      </c>
      <c r="B567">
        <v>2010</v>
      </c>
      <c r="C567" t="s">
        <v>280</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COUNT(LifeExpectancyData[[#This Row],[Life expectancy]:[Schooling]])=19</f>
        <v>1</v>
      </c>
    </row>
    <row r="568" spans="1:23" x14ac:dyDescent="0.25">
      <c r="A568" t="s">
        <v>316</v>
      </c>
      <c r="B568">
        <v>2009</v>
      </c>
      <c r="C568" t="s">
        <v>280</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COUNT(LifeExpectancyData[[#This Row],[Life expectancy]:[Schooling]])=19</f>
        <v>1</v>
      </c>
    </row>
    <row r="569" spans="1:23" x14ac:dyDescent="0.25">
      <c r="A569" t="s">
        <v>316</v>
      </c>
      <c r="B569">
        <v>2008</v>
      </c>
      <c r="C569" t="s">
        <v>280</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COUNT(LifeExpectancyData[[#This Row],[Life expectancy]:[Schooling]])=19</f>
        <v>1</v>
      </c>
    </row>
    <row r="570" spans="1:23" x14ac:dyDescent="0.25">
      <c r="A570" t="s">
        <v>316</v>
      </c>
      <c r="B570">
        <v>2007</v>
      </c>
      <c r="C570" t="s">
        <v>280</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COUNT(LifeExpectancyData[[#This Row],[Life expectancy]:[Schooling]])=19</f>
        <v>1</v>
      </c>
    </row>
    <row r="571" spans="1:23" x14ac:dyDescent="0.25">
      <c r="A571" t="s">
        <v>316</v>
      </c>
      <c r="B571">
        <v>2006</v>
      </c>
      <c r="C571" t="s">
        <v>280</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COUNT(LifeExpectancyData[[#This Row],[Life expectancy]:[Schooling]])=19</f>
        <v>1</v>
      </c>
    </row>
    <row r="572" spans="1:23" x14ac:dyDescent="0.25">
      <c r="A572" t="s">
        <v>316</v>
      </c>
      <c r="B572">
        <v>2005</v>
      </c>
      <c r="C572" t="s">
        <v>280</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COUNT(LifeExpectancyData[[#This Row],[Life expectancy]:[Schooling]])=19</f>
        <v>1</v>
      </c>
    </row>
    <row r="573" spans="1:23" x14ac:dyDescent="0.25">
      <c r="A573" t="s">
        <v>316</v>
      </c>
      <c r="B573">
        <v>2004</v>
      </c>
      <c r="C573" t="s">
        <v>280</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COUNT(LifeExpectancyData[[#This Row],[Life expectancy]:[Schooling]])=19</f>
        <v>1</v>
      </c>
    </row>
    <row r="574" spans="1:23" x14ac:dyDescent="0.25">
      <c r="A574" t="s">
        <v>316</v>
      </c>
      <c r="B574">
        <v>2003</v>
      </c>
      <c r="C574" t="s">
        <v>280</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COUNT(LifeExpectancyData[[#This Row],[Life expectancy]:[Schooling]])=19</f>
        <v>1</v>
      </c>
    </row>
    <row r="575" spans="1:23" x14ac:dyDescent="0.25">
      <c r="A575" t="s">
        <v>316</v>
      </c>
      <c r="B575">
        <v>2002</v>
      </c>
      <c r="C575" t="s">
        <v>280</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COUNT(LifeExpectancyData[[#This Row],[Life expectancy]:[Schooling]])=19</f>
        <v>1</v>
      </c>
    </row>
    <row r="576" spans="1:23" x14ac:dyDescent="0.25">
      <c r="A576" t="s">
        <v>316</v>
      </c>
      <c r="B576">
        <v>2001</v>
      </c>
      <c r="C576" t="s">
        <v>280</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COUNT(LifeExpectancyData[[#This Row],[Life expectancy]:[Schooling]])=19</f>
        <v>1</v>
      </c>
    </row>
    <row r="577" spans="1:23" x14ac:dyDescent="0.25">
      <c r="A577" t="s">
        <v>316</v>
      </c>
      <c r="B577">
        <v>2000</v>
      </c>
      <c r="C577" t="s">
        <v>280</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COUNT(LifeExpectancyData[[#This Row],[Life expectancy]:[Schooling]])=19</f>
        <v>1</v>
      </c>
    </row>
    <row r="578" spans="1:23" x14ac:dyDescent="0.25">
      <c r="A578" t="s">
        <v>317</v>
      </c>
      <c r="B578">
        <v>2015</v>
      </c>
      <c r="C578" t="s">
        <v>280</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COUNT(LifeExpectancyData[[#This Row],[Life expectancy]:[Schooling]])=19</f>
        <v>0</v>
      </c>
    </row>
    <row r="579" spans="1:23" x14ac:dyDescent="0.25">
      <c r="A579" t="s">
        <v>317</v>
      </c>
      <c r="B579">
        <v>2014</v>
      </c>
      <c r="C579" t="s">
        <v>280</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COUNT(LifeExpectancyData[[#This Row],[Life expectancy]:[Schooling]])=19</f>
        <v>1</v>
      </c>
    </row>
    <row r="580" spans="1:23" x14ac:dyDescent="0.25">
      <c r="A580" t="s">
        <v>317</v>
      </c>
      <c r="B580">
        <v>2013</v>
      </c>
      <c r="C580" t="s">
        <v>280</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COUNT(LifeExpectancyData[[#This Row],[Life expectancy]:[Schooling]])=19</f>
        <v>1</v>
      </c>
    </row>
    <row r="581" spans="1:23" x14ac:dyDescent="0.25">
      <c r="A581" t="s">
        <v>317</v>
      </c>
      <c r="B581">
        <v>2012</v>
      </c>
      <c r="C581" t="s">
        <v>280</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COUNT(LifeExpectancyData[[#This Row],[Life expectancy]:[Schooling]])=19</f>
        <v>1</v>
      </c>
    </row>
    <row r="582" spans="1:23" x14ac:dyDescent="0.25">
      <c r="A582" t="s">
        <v>317</v>
      </c>
      <c r="B582">
        <v>2011</v>
      </c>
      <c r="C582" t="s">
        <v>280</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COUNT(LifeExpectancyData[[#This Row],[Life expectancy]:[Schooling]])=19</f>
        <v>1</v>
      </c>
    </row>
    <row r="583" spans="1:23" x14ac:dyDescent="0.25">
      <c r="A583" t="s">
        <v>317</v>
      </c>
      <c r="B583">
        <v>2010</v>
      </c>
      <c r="C583" t="s">
        <v>280</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COUNT(LifeExpectancyData[[#This Row],[Life expectancy]:[Schooling]])=19</f>
        <v>1</v>
      </c>
    </row>
    <row r="584" spans="1:23" x14ac:dyDescent="0.25">
      <c r="A584" t="s">
        <v>317</v>
      </c>
      <c r="B584">
        <v>2009</v>
      </c>
      <c r="C584" t="s">
        <v>280</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COUNT(LifeExpectancyData[[#This Row],[Life expectancy]:[Schooling]])=19</f>
        <v>1</v>
      </c>
    </row>
    <row r="585" spans="1:23" x14ac:dyDescent="0.25">
      <c r="A585" t="s">
        <v>317</v>
      </c>
      <c r="B585">
        <v>2008</v>
      </c>
      <c r="C585" t="s">
        <v>280</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COUNT(LifeExpectancyData[[#This Row],[Life expectancy]:[Schooling]])=19</f>
        <v>1</v>
      </c>
    </row>
    <row r="586" spans="1:23" x14ac:dyDescent="0.25">
      <c r="A586" t="s">
        <v>317</v>
      </c>
      <c r="B586">
        <v>2007</v>
      </c>
      <c r="C586" t="s">
        <v>280</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COUNT(LifeExpectancyData[[#This Row],[Life expectancy]:[Schooling]])=19</f>
        <v>1</v>
      </c>
    </row>
    <row r="587" spans="1:23" x14ac:dyDescent="0.25">
      <c r="A587" t="s">
        <v>317</v>
      </c>
      <c r="B587">
        <v>2006</v>
      </c>
      <c r="C587" t="s">
        <v>280</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COUNT(LifeExpectancyData[[#This Row],[Life expectancy]:[Schooling]])=19</f>
        <v>1</v>
      </c>
    </row>
    <row r="588" spans="1:23" x14ac:dyDescent="0.25">
      <c r="A588" t="s">
        <v>317</v>
      </c>
      <c r="B588">
        <v>2005</v>
      </c>
      <c r="C588" t="s">
        <v>280</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COUNT(LifeExpectancyData[[#This Row],[Life expectancy]:[Schooling]])=19</f>
        <v>1</v>
      </c>
    </row>
    <row r="589" spans="1:23" x14ac:dyDescent="0.25">
      <c r="A589" t="s">
        <v>317</v>
      </c>
      <c r="B589">
        <v>2004</v>
      </c>
      <c r="C589" t="s">
        <v>280</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COUNT(LifeExpectancyData[[#This Row],[Life expectancy]:[Schooling]])=19</f>
        <v>1</v>
      </c>
    </row>
    <row r="590" spans="1:23" x14ac:dyDescent="0.25">
      <c r="A590" t="s">
        <v>317</v>
      </c>
      <c r="B590">
        <v>2003</v>
      </c>
      <c r="C590" t="s">
        <v>280</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COUNT(LifeExpectancyData[[#This Row],[Life expectancy]:[Schooling]])=19</f>
        <v>1</v>
      </c>
    </row>
    <row r="591" spans="1:23" x14ac:dyDescent="0.25">
      <c r="A591" t="s">
        <v>317</v>
      </c>
      <c r="B591">
        <v>2002</v>
      </c>
      <c r="C591" t="s">
        <v>280</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COUNT(LifeExpectancyData[[#This Row],[Life expectancy]:[Schooling]])=19</f>
        <v>1</v>
      </c>
    </row>
    <row r="592" spans="1:23" x14ac:dyDescent="0.25">
      <c r="A592" t="s">
        <v>317</v>
      </c>
      <c r="B592">
        <v>2001</v>
      </c>
      <c r="C592" t="s">
        <v>280</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COUNT(LifeExpectancyData[[#This Row],[Life expectancy]:[Schooling]])=19</f>
        <v>1</v>
      </c>
    </row>
    <row r="593" spans="1:23" x14ac:dyDescent="0.25">
      <c r="A593" t="s">
        <v>317</v>
      </c>
      <c r="B593">
        <v>2000</v>
      </c>
      <c r="C593" t="s">
        <v>280</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COUNT(LifeExpectancyData[[#This Row],[Life expectancy]:[Schooling]])=19</f>
        <v>1</v>
      </c>
    </row>
    <row r="594" spans="1:23" x14ac:dyDescent="0.25">
      <c r="A594" t="s">
        <v>318</v>
      </c>
      <c r="B594">
        <v>2015</v>
      </c>
      <c r="C594" t="s">
        <v>280</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COUNT(LifeExpectancyData[[#This Row],[Life expectancy]:[Schooling]])=19</f>
        <v>0</v>
      </c>
    </row>
    <row r="595" spans="1:23" x14ac:dyDescent="0.25">
      <c r="A595" t="s">
        <v>318</v>
      </c>
      <c r="B595">
        <v>2014</v>
      </c>
      <c r="C595" t="s">
        <v>280</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COUNT(LifeExpectancyData[[#This Row],[Life expectancy]:[Schooling]])=19</f>
        <v>1</v>
      </c>
    </row>
    <row r="596" spans="1:23" x14ac:dyDescent="0.25">
      <c r="A596" t="s">
        <v>318</v>
      </c>
      <c r="B596">
        <v>2013</v>
      </c>
      <c r="C596" t="s">
        <v>280</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COUNT(LifeExpectancyData[[#This Row],[Life expectancy]:[Schooling]])=19</f>
        <v>1</v>
      </c>
    </row>
    <row r="597" spans="1:23" x14ac:dyDescent="0.25">
      <c r="A597" t="s">
        <v>318</v>
      </c>
      <c r="B597">
        <v>2012</v>
      </c>
      <c r="C597" t="s">
        <v>280</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COUNT(LifeExpectancyData[[#This Row],[Life expectancy]:[Schooling]])=19</f>
        <v>1</v>
      </c>
    </row>
    <row r="598" spans="1:23" x14ac:dyDescent="0.25">
      <c r="A598" t="s">
        <v>318</v>
      </c>
      <c r="B598">
        <v>2011</v>
      </c>
      <c r="C598" t="s">
        <v>280</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COUNT(LifeExpectancyData[[#This Row],[Life expectancy]:[Schooling]])=19</f>
        <v>1</v>
      </c>
    </row>
    <row r="599" spans="1:23" x14ac:dyDescent="0.25">
      <c r="A599" t="s">
        <v>318</v>
      </c>
      <c r="B599">
        <v>2010</v>
      </c>
      <c r="C599" t="s">
        <v>280</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COUNT(LifeExpectancyData[[#This Row],[Life expectancy]:[Schooling]])=19</f>
        <v>1</v>
      </c>
    </row>
    <row r="600" spans="1:23" x14ac:dyDescent="0.25">
      <c r="A600" t="s">
        <v>318</v>
      </c>
      <c r="B600">
        <v>2009</v>
      </c>
      <c r="C600" t="s">
        <v>280</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COUNT(LifeExpectancyData[[#This Row],[Life expectancy]:[Schooling]])=19</f>
        <v>1</v>
      </c>
    </row>
    <row r="601" spans="1:23" x14ac:dyDescent="0.25">
      <c r="A601" t="s">
        <v>318</v>
      </c>
      <c r="B601">
        <v>2008</v>
      </c>
      <c r="C601" t="s">
        <v>280</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COUNT(LifeExpectancyData[[#This Row],[Life expectancy]:[Schooling]])=19</f>
        <v>1</v>
      </c>
    </row>
    <row r="602" spans="1:23" x14ac:dyDescent="0.25">
      <c r="A602" t="s">
        <v>318</v>
      </c>
      <c r="B602">
        <v>2007</v>
      </c>
      <c r="C602" t="s">
        <v>280</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COUNT(LifeExpectancyData[[#This Row],[Life expectancy]:[Schooling]])=19</f>
        <v>1</v>
      </c>
    </row>
    <row r="603" spans="1:23" x14ac:dyDescent="0.25">
      <c r="A603" t="s">
        <v>318</v>
      </c>
      <c r="B603">
        <v>2006</v>
      </c>
      <c r="C603" t="s">
        <v>280</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COUNT(LifeExpectancyData[[#This Row],[Life expectancy]:[Schooling]])=19</f>
        <v>1</v>
      </c>
    </row>
    <row r="604" spans="1:23" x14ac:dyDescent="0.25">
      <c r="A604" t="s">
        <v>318</v>
      </c>
      <c r="B604">
        <v>2005</v>
      </c>
      <c r="C604" t="s">
        <v>280</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COUNT(LifeExpectancyData[[#This Row],[Life expectancy]:[Schooling]])=19</f>
        <v>1</v>
      </c>
    </row>
    <row r="605" spans="1:23" x14ac:dyDescent="0.25">
      <c r="A605" t="s">
        <v>318</v>
      </c>
      <c r="B605">
        <v>2004</v>
      </c>
      <c r="C605" t="s">
        <v>280</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COUNT(LifeExpectancyData[[#This Row],[Life expectancy]:[Schooling]])=19</f>
        <v>1</v>
      </c>
    </row>
    <row r="606" spans="1:23" x14ac:dyDescent="0.25">
      <c r="A606" t="s">
        <v>318</v>
      </c>
      <c r="B606">
        <v>2003</v>
      </c>
      <c r="C606" t="s">
        <v>280</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COUNT(LifeExpectancyData[[#This Row],[Life expectancy]:[Schooling]])=19</f>
        <v>1</v>
      </c>
    </row>
    <row r="607" spans="1:23" x14ac:dyDescent="0.25">
      <c r="A607" t="s">
        <v>318</v>
      </c>
      <c r="B607">
        <v>2002</v>
      </c>
      <c r="C607" t="s">
        <v>280</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COUNT(LifeExpectancyData[[#This Row],[Life expectancy]:[Schooling]])=19</f>
        <v>0</v>
      </c>
    </row>
    <row r="608" spans="1:23" x14ac:dyDescent="0.25">
      <c r="A608" t="s">
        <v>318</v>
      </c>
      <c r="B608">
        <v>2001</v>
      </c>
      <c r="C608" t="s">
        <v>280</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COUNT(LifeExpectancyData[[#This Row],[Life expectancy]:[Schooling]])=19</f>
        <v>0</v>
      </c>
    </row>
    <row r="609" spans="1:23" x14ac:dyDescent="0.25">
      <c r="A609" t="s">
        <v>318</v>
      </c>
      <c r="B609">
        <v>2000</v>
      </c>
      <c r="C609" t="s">
        <v>280</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COUNT(LifeExpectancyData[[#This Row],[Life expectancy]:[Schooling]])=19</f>
        <v>0</v>
      </c>
    </row>
    <row r="610" spans="1:23" x14ac:dyDescent="0.25">
      <c r="A610" t="s">
        <v>319</v>
      </c>
      <c r="B610">
        <v>2015</v>
      </c>
      <c r="C610" t="s">
        <v>280</v>
      </c>
      <c r="D610">
        <v>64.7</v>
      </c>
      <c r="E610">
        <v>267</v>
      </c>
      <c r="F610">
        <v>7</v>
      </c>
      <c r="H610">
        <v>0</v>
      </c>
      <c r="I610">
        <v>8</v>
      </c>
      <c r="J610">
        <v>1359</v>
      </c>
      <c r="K610">
        <v>27.4</v>
      </c>
      <c r="L610">
        <v>10</v>
      </c>
      <c r="M610">
        <v>8</v>
      </c>
      <c r="O610">
        <v>8</v>
      </c>
      <c r="P610">
        <v>2.8</v>
      </c>
      <c r="S610">
        <v>7.5</v>
      </c>
      <c r="T610">
        <v>7.1</v>
      </c>
      <c r="U610">
        <v>0.59</v>
      </c>
      <c r="V610">
        <v>11.1</v>
      </c>
      <c r="W610" t="b">
        <f>COUNT(LifeExpectancyData[[#This Row],[Life expectancy]:[Schooling]])=19</f>
        <v>0</v>
      </c>
    </row>
    <row r="611" spans="1:23" x14ac:dyDescent="0.25">
      <c r="A611" t="s">
        <v>319</v>
      </c>
      <c r="B611">
        <v>2014</v>
      </c>
      <c r="C611" t="s">
        <v>280</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COUNT(LifeExpectancyData[[#This Row],[Life expectancy]:[Schooling]])=19</f>
        <v>0</v>
      </c>
    </row>
    <row r="612" spans="1:23" x14ac:dyDescent="0.25">
      <c r="A612" t="s">
        <v>319</v>
      </c>
      <c r="B612">
        <v>2013</v>
      </c>
      <c r="C612" t="s">
        <v>280</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COUNT(LifeExpectancyData[[#This Row],[Life expectancy]:[Schooling]])=19</f>
        <v>0</v>
      </c>
    </row>
    <row r="613" spans="1:23" x14ac:dyDescent="0.25">
      <c r="A613" t="s">
        <v>319</v>
      </c>
      <c r="B613">
        <v>2012</v>
      </c>
      <c r="C613" t="s">
        <v>280</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COUNT(LifeExpectancyData[[#This Row],[Life expectancy]:[Schooling]])=19</f>
        <v>0</v>
      </c>
    </row>
    <row r="614" spans="1:23" x14ac:dyDescent="0.25">
      <c r="A614" t="s">
        <v>319</v>
      </c>
      <c r="B614">
        <v>2011</v>
      </c>
      <c r="C614" t="s">
        <v>280</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COUNT(LifeExpectancyData[[#This Row],[Life expectancy]:[Schooling]])=19</f>
        <v>0</v>
      </c>
    </row>
    <row r="615" spans="1:23" x14ac:dyDescent="0.25">
      <c r="A615" t="s">
        <v>319</v>
      </c>
      <c r="B615">
        <v>2010</v>
      </c>
      <c r="C615" t="s">
        <v>280</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COUNT(LifeExpectancyData[[#This Row],[Life expectancy]:[Schooling]])=19</f>
        <v>0</v>
      </c>
    </row>
    <row r="616" spans="1:23" x14ac:dyDescent="0.25">
      <c r="A616" t="s">
        <v>319</v>
      </c>
      <c r="B616">
        <v>2009</v>
      </c>
      <c r="C616" t="s">
        <v>280</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COUNT(LifeExpectancyData[[#This Row],[Life expectancy]:[Schooling]])=19</f>
        <v>0</v>
      </c>
    </row>
    <row r="617" spans="1:23" x14ac:dyDescent="0.25">
      <c r="A617" t="s">
        <v>319</v>
      </c>
      <c r="B617">
        <v>2008</v>
      </c>
      <c r="C617" t="s">
        <v>280</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COUNT(LifeExpectancyData[[#This Row],[Life expectancy]:[Schooling]])=19</f>
        <v>0</v>
      </c>
    </row>
    <row r="618" spans="1:23" x14ac:dyDescent="0.25">
      <c r="A618" t="s">
        <v>319</v>
      </c>
      <c r="B618">
        <v>2007</v>
      </c>
      <c r="C618" t="s">
        <v>280</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COUNT(LifeExpectancyData[[#This Row],[Life expectancy]:[Schooling]])=19</f>
        <v>0</v>
      </c>
    </row>
    <row r="619" spans="1:23" x14ac:dyDescent="0.25">
      <c r="A619" t="s">
        <v>319</v>
      </c>
      <c r="B619">
        <v>2006</v>
      </c>
      <c r="C619" t="s">
        <v>280</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COUNT(LifeExpectancyData[[#This Row],[Life expectancy]:[Schooling]])=19</f>
        <v>0</v>
      </c>
    </row>
    <row r="620" spans="1:23" x14ac:dyDescent="0.25">
      <c r="A620" t="s">
        <v>319</v>
      </c>
      <c r="B620">
        <v>2005</v>
      </c>
      <c r="C620" t="s">
        <v>280</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COUNT(LifeExpectancyData[[#This Row],[Life expectancy]:[Schooling]])=19</f>
        <v>0</v>
      </c>
    </row>
    <row r="621" spans="1:23" x14ac:dyDescent="0.25">
      <c r="A621" t="s">
        <v>319</v>
      </c>
      <c r="B621">
        <v>2004</v>
      </c>
      <c r="C621" t="s">
        <v>280</v>
      </c>
      <c r="D621">
        <v>54.1</v>
      </c>
      <c r="E621">
        <v>48</v>
      </c>
      <c r="F621">
        <v>9</v>
      </c>
      <c r="G621">
        <v>2.58</v>
      </c>
      <c r="H621">
        <v>0</v>
      </c>
      <c r="J621">
        <v>3524</v>
      </c>
      <c r="K621">
        <v>21.2</v>
      </c>
      <c r="L621">
        <v>13</v>
      </c>
      <c r="M621">
        <v>67</v>
      </c>
      <c r="N621">
        <v>2.56</v>
      </c>
      <c r="O621">
        <v>67</v>
      </c>
      <c r="P621">
        <v>6.3</v>
      </c>
      <c r="S621">
        <v>9</v>
      </c>
      <c r="T621">
        <v>8.6</v>
      </c>
      <c r="U621">
        <v>0.497</v>
      </c>
      <c r="V621">
        <v>9.1999999999999993</v>
      </c>
      <c r="W621" t="b">
        <f>COUNT(LifeExpectancyData[[#This Row],[Life expectancy]:[Schooling]])=19</f>
        <v>0</v>
      </c>
    </row>
    <row r="622" spans="1:23" x14ac:dyDescent="0.25">
      <c r="A622" t="s">
        <v>319</v>
      </c>
      <c r="B622">
        <v>2003</v>
      </c>
      <c r="C622" t="s">
        <v>280</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COUNT(LifeExpectancyData[[#This Row],[Life expectancy]:[Schooling]])=19</f>
        <v>0</v>
      </c>
    </row>
    <row r="623" spans="1:23" x14ac:dyDescent="0.25">
      <c r="A623" t="s">
        <v>319</v>
      </c>
      <c r="B623">
        <v>2002</v>
      </c>
      <c r="C623" t="s">
        <v>280</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COUNT(LifeExpectancyData[[#This Row],[Life expectancy]:[Schooling]])=19</f>
        <v>0</v>
      </c>
    </row>
    <row r="624" spans="1:23" x14ac:dyDescent="0.25">
      <c r="A624" t="s">
        <v>319</v>
      </c>
      <c r="B624">
        <v>2001</v>
      </c>
      <c r="C624" t="s">
        <v>280</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COUNT(LifeExpectancyData[[#This Row],[Life expectancy]:[Schooling]])=19</f>
        <v>0</v>
      </c>
    </row>
    <row r="625" spans="1:23" x14ac:dyDescent="0.25">
      <c r="A625" t="s">
        <v>319</v>
      </c>
      <c r="B625">
        <v>2000</v>
      </c>
      <c r="C625" t="s">
        <v>280</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COUNT(LifeExpectancyData[[#This Row],[Life expectancy]:[Schooling]])=19</f>
        <v>0</v>
      </c>
    </row>
    <row r="626" spans="1:23" x14ac:dyDescent="0.25">
      <c r="A626" t="s">
        <v>320</v>
      </c>
      <c r="B626">
        <v>2013</v>
      </c>
      <c r="C626" t="s">
        <v>280</v>
      </c>
      <c r="F626">
        <v>0</v>
      </c>
      <c r="G626">
        <v>0.01</v>
      </c>
      <c r="H626">
        <v>0</v>
      </c>
      <c r="I626">
        <v>98</v>
      </c>
      <c r="J626">
        <v>0</v>
      </c>
      <c r="K626">
        <v>82.8</v>
      </c>
      <c r="L626">
        <v>0</v>
      </c>
      <c r="M626">
        <v>98</v>
      </c>
      <c r="N626">
        <v>3.58</v>
      </c>
      <c r="O626">
        <v>98</v>
      </c>
      <c r="P626">
        <v>0.1</v>
      </c>
      <c r="S626">
        <v>0.1</v>
      </c>
      <c r="T626">
        <v>0.1</v>
      </c>
      <c r="W626" t="b">
        <f>COUNT(LifeExpectancyData[[#This Row],[Life expectancy]:[Schooling]])=19</f>
        <v>0</v>
      </c>
    </row>
    <row r="627" spans="1:23" x14ac:dyDescent="0.25">
      <c r="A627" t="s">
        <v>321</v>
      </c>
      <c r="B627">
        <v>2015</v>
      </c>
      <c r="C627" t="s">
        <v>280</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COUNT(LifeExpectancyData[[#This Row],[Life expectancy]:[Schooling]])=19</f>
        <v>0</v>
      </c>
    </row>
    <row r="628" spans="1:23" x14ac:dyDescent="0.25">
      <c r="A628" t="s">
        <v>321</v>
      </c>
      <c r="B628">
        <v>2014</v>
      </c>
      <c r="C628" t="s">
        <v>280</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COUNT(LifeExpectancyData[[#This Row],[Life expectancy]:[Schooling]])=19</f>
        <v>1</v>
      </c>
    </row>
    <row r="629" spans="1:23" x14ac:dyDescent="0.25">
      <c r="A629" t="s">
        <v>321</v>
      </c>
      <c r="B629">
        <v>2013</v>
      </c>
      <c r="C629" t="s">
        <v>280</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COUNT(LifeExpectancyData[[#This Row],[Life expectancy]:[Schooling]])=19</f>
        <v>1</v>
      </c>
    </row>
    <row r="630" spans="1:23" x14ac:dyDescent="0.25">
      <c r="A630" t="s">
        <v>321</v>
      </c>
      <c r="B630">
        <v>2012</v>
      </c>
      <c r="C630" t="s">
        <v>280</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COUNT(LifeExpectancyData[[#This Row],[Life expectancy]:[Schooling]])=19</f>
        <v>1</v>
      </c>
    </row>
    <row r="631" spans="1:23" x14ac:dyDescent="0.25">
      <c r="A631" t="s">
        <v>321</v>
      </c>
      <c r="B631">
        <v>2011</v>
      </c>
      <c r="C631" t="s">
        <v>280</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COUNT(LifeExpectancyData[[#This Row],[Life expectancy]:[Schooling]])=19</f>
        <v>1</v>
      </c>
    </row>
    <row r="632" spans="1:23" x14ac:dyDescent="0.25">
      <c r="A632" t="s">
        <v>321</v>
      </c>
      <c r="B632">
        <v>2010</v>
      </c>
      <c r="C632" t="s">
        <v>280</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COUNT(LifeExpectancyData[[#This Row],[Life expectancy]:[Schooling]])=19</f>
        <v>1</v>
      </c>
    </row>
    <row r="633" spans="1:23" x14ac:dyDescent="0.25">
      <c r="A633" t="s">
        <v>321</v>
      </c>
      <c r="B633">
        <v>2009</v>
      </c>
      <c r="C633" t="s">
        <v>280</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COUNT(LifeExpectancyData[[#This Row],[Life expectancy]:[Schooling]])=19</f>
        <v>1</v>
      </c>
    </row>
    <row r="634" spans="1:23" x14ac:dyDescent="0.25">
      <c r="A634" t="s">
        <v>321</v>
      </c>
      <c r="B634">
        <v>2008</v>
      </c>
      <c r="C634" t="s">
        <v>280</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COUNT(LifeExpectancyData[[#This Row],[Life expectancy]:[Schooling]])=19</f>
        <v>1</v>
      </c>
    </row>
    <row r="635" spans="1:23" x14ac:dyDescent="0.25">
      <c r="A635" t="s">
        <v>321</v>
      </c>
      <c r="B635">
        <v>2007</v>
      </c>
      <c r="C635" t="s">
        <v>280</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COUNT(LifeExpectancyData[[#This Row],[Life expectancy]:[Schooling]])=19</f>
        <v>1</v>
      </c>
    </row>
    <row r="636" spans="1:23" x14ac:dyDescent="0.25">
      <c r="A636" t="s">
        <v>321</v>
      </c>
      <c r="B636">
        <v>2006</v>
      </c>
      <c r="C636" t="s">
        <v>280</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COUNT(LifeExpectancyData[[#This Row],[Life expectancy]:[Schooling]])=19</f>
        <v>1</v>
      </c>
    </row>
    <row r="637" spans="1:23" x14ac:dyDescent="0.25">
      <c r="A637" t="s">
        <v>321</v>
      </c>
      <c r="B637">
        <v>2005</v>
      </c>
      <c r="C637" t="s">
        <v>280</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COUNT(LifeExpectancyData[[#This Row],[Life expectancy]:[Schooling]])=19</f>
        <v>1</v>
      </c>
    </row>
    <row r="638" spans="1:23" x14ac:dyDescent="0.25">
      <c r="A638" t="s">
        <v>321</v>
      </c>
      <c r="B638">
        <v>2004</v>
      </c>
      <c r="C638" t="s">
        <v>280</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COUNT(LifeExpectancyData[[#This Row],[Life expectancy]:[Schooling]])=19</f>
        <v>1</v>
      </c>
    </row>
    <row r="639" spans="1:23" x14ac:dyDescent="0.25">
      <c r="A639" t="s">
        <v>321</v>
      </c>
      <c r="B639">
        <v>2003</v>
      </c>
      <c r="C639" t="s">
        <v>280</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COUNT(LifeExpectancyData[[#This Row],[Life expectancy]:[Schooling]])=19</f>
        <v>1</v>
      </c>
    </row>
    <row r="640" spans="1:23" x14ac:dyDescent="0.25">
      <c r="A640" t="s">
        <v>321</v>
      </c>
      <c r="B640">
        <v>2002</v>
      </c>
      <c r="C640" t="s">
        <v>280</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COUNT(LifeExpectancyData[[#This Row],[Life expectancy]:[Schooling]])=19</f>
        <v>1</v>
      </c>
    </row>
    <row r="641" spans="1:23" x14ac:dyDescent="0.25">
      <c r="A641" t="s">
        <v>321</v>
      </c>
      <c r="B641">
        <v>2001</v>
      </c>
      <c r="C641" t="s">
        <v>280</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COUNT(LifeExpectancyData[[#This Row],[Life expectancy]:[Schooling]])=19</f>
        <v>1</v>
      </c>
    </row>
    <row r="642" spans="1:23" x14ac:dyDescent="0.25">
      <c r="A642" t="s">
        <v>321</v>
      </c>
      <c r="B642">
        <v>2000</v>
      </c>
      <c r="C642" t="s">
        <v>280</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COUNT(LifeExpectancyData[[#This Row],[Life expectancy]:[Schooling]])=19</f>
        <v>1</v>
      </c>
    </row>
    <row r="643" spans="1:23" x14ac:dyDescent="0.25">
      <c r="A643" t="s">
        <v>322</v>
      </c>
      <c r="B643">
        <v>2015</v>
      </c>
      <c r="C643" t="s">
        <v>288</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COUNT(LifeExpectancyData[[#This Row],[Life expectancy]:[Schooling]])=19</f>
        <v>0</v>
      </c>
    </row>
    <row r="644" spans="1:23" x14ac:dyDescent="0.25">
      <c r="A644" t="s">
        <v>322</v>
      </c>
      <c r="B644">
        <v>2014</v>
      </c>
      <c r="C644" t="s">
        <v>288</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COUNT(LifeExpectancyData[[#This Row],[Life expectancy]:[Schooling]])=19</f>
        <v>1</v>
      </c>
    </row>
    <row r="645" spans="1:23" x14ac:dyDescent="0.25">
      <c r="A645" t="s">
        <v>322</v>
      </c>
      <c r="B645">
        <v>2013</v>
      </c>
      <c r="C645" t="s">
        <v>288</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COUNT(LifeExpectancyData[[#This Row],[Life expectancy]:[Schooling]])=19</f>
        <v>1</v>
      </c>
    </row>
    <row r="646" spans="1:23" x14ac:dyDescent="0.25">
      <c r="A646" t="s">
        <v>322</v>
      </c>
      <c r="B646">
        <v>2012</v>
      </c>
      <c r="C646" t="s">
        <v>288</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COUNT(LifeExpectancyData[[#This Row],[Life expectancy]:[Schooling]])=19</f>
        <v>1</v>
      </c>
    </row>
    <row r="647" spans="1:23" x14ac:dyDescent="0.25">
      <c r="A647" t="s">
        <v>322</v>
      </c>
      <c r="B647">
        <v>2011</v>
      </c>
      <c r="C647" t="s">
        <v>288</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COUNT(LifeExpectancyData[[#This Row],[Life expectancy]:[Schooling]])=19</f>
        <v>1</v>
      </c>
    </row>
    <row r="648" spans="1:23" x14ac:dyDescent="0.25">
      <c r="A648" t="s">
        <v>322</v>
      </c>
      <c r="B648">
        <v>2010</v>
      </c>
      <c r="C648" t="s">
        <v>288</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COUNT(LifeExpectancyData[[#This Row],[Life expectancy]:[Schooling]])=19</f>
        <v>1</v>
      </c>
    </row>
    <row r="649" spans="1:23" x14ac:dyDescent="0.25">
      <c r="A649" t="s">
        <v>322</v>
      </c>
      <c r="B649">
        <v>2009</v>
      </c>
      <c r="C649" t="s">
        <v>288</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COUNT(LifeExpectancyData[[#This Row],[Life expectancy]:[Schooling]])=19</f>
        <v>1</v>
      </c>
    </row>
    <row r="650" spans="1:23" x14ac:dyDescent="0.25">
      <c r="A650" t="s">
        <v>322</v>
      </c>
      <c r="B650">
        <v>2008</v>
      </c>
      <c r="C650" t="s">
        <v>288</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COUNT(LifeExpectancyData[[#This Row],[Life expectancy]:[Schooling]])=19</f>
        <v>1</v>
      </c>
    </row>
    <row r="651" spans="1:23" x14ac:dyDescent="0.25">
      <c r="A651" t="s">
        <v>322</v>
      </c>
      <c r="B651">
        <v>2007</v>
      </c>
      <c r="C651" t="s">
        <v>288</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COUNT(LifeExpectancyData[[#This Row],[Life expectancy]:[Schooling]])=19</f>
        <v>1</v>
      </c>
    </row>
    <row r="652" spans="1:23" x14ac:dyDescent="0.25">
      <c r="A652" t="s">
        <v>322</v>
      </c>
      <c r="B652">
        <v>2006</v>
      </c>
      <c r="C652" t="s">
        <v>288</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COUNT(LifeExpectancyData[[#This Row],[Life expectancy]:[Schooling]])=19</f>
        <v>0</v>
      </c>
    </row>
    <row r="653" spans="1:23" x14ac:dyDescent="0.25">
      <c r="A653" t="s">
        <v>322</v>
      </c>
      <c r="B653">
        <v>2005</v>
      </c>
      <c r="C653" t="s">
        <v>288</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COUNT(LifeExpectancyData[[#This Row],[Life expectancy]:[Schooling]])=19</f>
        <v>0</v>
      </c>
    </row>
    <row r="654" spans="1:23" x14ac:dyDescent="0.25">
      <c r="A654" t="s">
        <v>322</v>
      </c>
      <c r="B654">
        <v>2004</v>
      </c>
      <c r="C654" t="s">
        <v>288</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COUNT(LifeExpectancyData[[#This Row],[Life expectancy]:[Schooling]])=19</f>
        <v>0</v>
      </c>
    </row>
    <row r="655" spans="1:23" x14ac:dyDescent="0.25">
      <c r="A655" t="s">
        <v>322</v>
      </c>
      <c r="B655">
        <v>2003</v>
      </c>
      <c r="C655" t="s">
        <v>288</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COUNT(LifeExpectancyData[[#This Row],[Life expectancy]:[Schooling]])=19</f>
        <v>0</v>
      </c>
    </row>
    <row r="656" spans="1:23" x14ac:dyDescent="0.25">
      <c r="A656" t="s">
        <v>322</v>
      </c>
      <c r="B656">
        <v>2002</v>
      </c>
      <c r="C656" t="s">
        <v>288</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COUNT(LifeExpectancyData[[#This Row],[Life expectancy]:[Schooling]])=19</f>
        <v>0</v>
      </c>
    </row>
    <row r="657" spans="1:23" x14ac:dyDescent="0.25">
      <c r="A657" t="s">
        <v>322</v>
      </c>
      <c r="B657">
        <v>2001</v>
      </c>
      <c r="C657" t="s">
        <v>288</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COUNT(LifeExpectancyData[[#This Row],[Life expectancy]:[Schooling]])=19</f>
        <v>0</v>
      </c>
    </row>
    <row r="658" spans="1:23" x14ac:dyDescent="0.25">
      <c r="A658" t="s">
        <v>322</v>
      </c>
      <c r="B658">
        <v>2000</v>
      </c>
      <c r="C658" t="s">
        <v>288</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COUNT(LifeExpectancyData[[#This Row],[Life expectancy]:[Schooling]])=19</f>
        <v>0</v>
      </c>
    </row>
    <row r="659" spans="1:23" x14ac:dyDescent="0.25">
      <c r="A659" t="s">
        <v>323</v>
      </c>
      <c r="B659">
        <v>2015</v>
      </c>
      <c r="C659" t="s">
        <v>280</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COUNT(LifeExpectancyData[[#This Row],[Life expectancy]:[Schooling]])=19</f>
        <v>0</v>
      </c>
    </row>
    <row r="660" spans="1:23" x14ac:dyDescent="0.25">
      <c r="A660" t="s">
        <v>323</v>
      </c>
      <c r="B660">
        <v>2014</v>
      </c>
      <c r="C660" t="s">
        <v>280</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COUNT(LifeExpectancyData[[#This Row],[Life expectancy]:[Schooling]])=19</f>
        <v>0</v>
      </c>
    </row>
    <row r="661" spans="1:23" x14ac:dyDescent="0.25">
      <c r="A661" t="s">
        <v>323</v>
      </c>
      <c r="B661">
        <v>2013</v>
      </c>
      <c r="C661" t="s">
        <v>280</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COUNT(LifeExpectancyData[[#This Row],[Life expectancy]:[Schooling]])=19</f>
        <v>0</v>
      </c>
    </row>
    <row r="662" spans="1:23" x14ac:dyDescent="0.25">
      <c r="A662" t="s">
        <v>323</v>
      </c>
      <c r="B662">
        <v>2012</v>
      </c>
      <c r="C662" t="s">
        <v>280</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COUNT(LifeExpectancyData[[#This Row],[Life expectancy]:[Schooling]])=19</f>
        <v>0</v>
      </c>
    </row>
    <row r="663" spans="1:23" x14ac:dyDescent="0.25">
      <c r="A663" t="s">
        <v>323</v>
      </c>
      <c r="B663">
        <v>2011</v>
      </c>
      <c r="C663" t="s">
        <v>280</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COUNT(LifeExpectancyData[[#This Row],[Life expectancy]:[Schooling]])=19</f>
        <v>0</v>
      </c>
    </row>
    <row r="664" spans="1:23" x14ac:dyDescent="0.25">
      <c r="A664" t="s">
        <v>323</v>
      </c>
      <c r="B664">
        <v>2010</v>
      </c>
      <c r="C664" t="s">
        <v>280</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COUNT(LifeExpectancyData[[#This Row],[Life expectancy]:[Schooling]])=19</f>
        <v>0</v>
      </c>
    </row>
    <row r="665" spans="1:23" x14ac:dyDescent="0.25">
      <c r="A665" t="s">
        <v>323</v>
      </c>
      <c r="B665">
        <v>2009</v>
      </c>
      <c r="C665" t="s">
        <v>280</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COUNT(LifeExpectancyData[[#This Row],[Life expectancy]:[Schooling]])=19</f>
        <v>0</v>
      </c>
    </row>
    <row r="666" spans="1:23" x14ac:dyDescent="0.25">
      <c r="A666" t="s">
        <v>323</v>
      </c>
      <c r="B666">
        <v>2008</v>
      </c>
      <c r="C666" t="s">
        <v>280</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COUNT(LifeExpectancyData[[#This Row],[Life expectancy]:[Schooling]])=19</f>
        <v>0</v>
      </c>
    </row>
    <row r="667" spans="1:23" x14ac:dyDescent="0.25">
      <c r="A667" t="s">
        <v>323</v>
      </c>
      <c r="B667">
        <v>2007</v>
      </c>
      <c r="C667" t="s">
        <v>280</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COUNT(LifeExpectancyData[[#This Row],[Life expectancy]:[Schooling]])=19</f>
        <v>0</v>
      </c>
    </row>
    <row r="668" spans="1:23" x14ac:dyDescent="0.25">
      <c r="A668" t="s">
        <v>323</v>
      </c>
      <c r="B668">
        <v>2006</v>
      </c>
      <c r="C668" t="s">
        <v>280</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COUNT(LifeExpectancyData[[#This Row],[Life expectancy]:[Schooling]])=19</f>
        <v>0</v>
      </c>
    </row>
    <row r="669" spans="1:23" x14ac:dyDescent="0.25">
      <c r="A669" t="s">
        <v>323</v>
      </c>
      <c r="B669">
        <v>2005</v>
      </c>
      <c r="C669" t="s">
        <v>280</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COUNT(LifeExpectancyData[[#This Row],[Life expectancy]:[Schooling]])=19</f>
        <v>0</v>
      </c>
    </row>
    <row r="670" spans="1:23" x14ac:dyDescent="0.25">
      <c r="A670" t="s">
        <v>323</v>
      </c>
      <c r="B670">
        <v>2004</v>
      </c>
      <c r="C670" t="s">
        <v>280</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COUNT(LifeExpectancyData[[#This Row],[Life expectancy]:[Schooling]])=19</f>
        <v>0</v>
      </c>
    </row>
    <row r="671" spans="1:23" x14ac:dyDescent="0.25">
      <c r="A671" t="s">
        <v>323</v>
      </c>
      <c r="B671">
        <v>2003</v>
      </c>
      <c r="C671" t="s">
        <v>280</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COUNT(LifeExpectancyData[[#This Row],[Life expectancy]:[Schooling]])=19</f>
        <v>0</v>
      </c>
    </row>
    <row r="672" spans="1:23" x14ac:dyDescent="0.25">
      <c r="A672" t="s">
        <v>323</v>
      </c>
      <c r="B672">
        <v>2002</v>
      </c>
      <c r="C672" t="s">
        <v>280</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COUNT(LifeExpectancyData[[#This Row],[Life expectancy]:[Schooling]])=19</f>
        <v>0</v>
      </c>
    </row>
    <row r="673" spans="1:23" x14ac:dyDescent="0.25">
      <c r="A673" t="s">
        <v>323</v>
      </c>
      <c r="B673">
        <v>2001</v>
      </c>
      <c r="C673" t="s">
        <v>280</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COUNT(LifeExpectancyData[[#This Row],[Life expectancy]:[Schooling]])=19</f>
        <v>0</v>
      </c>
    </row>
    <row r="674" spans="1:23" x14ac:dyDescent="0.25">
      <c r="A674" t="s">
        <v>323</v>
      </c>
      <c r="B674">
        <v>2000</v>
      </c>
      <c r="C674" t="s">
        <v>280</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COUNT(LifeExpectancyData[[#This Row],[Life expectancy]:[Schooling]])=19</f>
        <v>0</v>
      </c>
    </row>
    <row r="675" spans="1:23" x14ac:dyDescent="0.25">
      <c r="A675" t="s">
        <v>324</v>
      </c>
      <c r="B675">
        <v>2015</v>
      </c>
      <c r="C675" t="s">
        <v>288</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COUNT(LifeExpectancyData[[#This Row],[Life expectancy]:[Schooling]])=19</f>
        <v>0</v>
      </c>
    </row>
    <row r="676" spans="1:23" x14ac:dyDescent="0.25">
      <c r="A676" t="s">
        <v>324</v>
      </c>
      <c r="B676">
        <v>2014</v>
      </c>
      <c r="C676" t="s">
        <v>288</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COUNT(LifeExpectancyData[[#This Row],[Life expectancy]:[Schooling]])=19</f>
        <v>1</v>
      </c>
    </row>
    <row r="677" spans="1:23" x14ac:dyDescent="0.25">
      <c r="A677" t="s">
        <v>324</v>
      </c>
      <c r="B677">
        <v>2013</v>
      </c>
      <c r="C677" t="s">
        <v>288</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COUNT(LifeExpectancyData[[#This Row],[Life expectancy]:[Schooling]])=19</f>
        <v>1</v>
      </c>
    </row>
    <row r="678" spans="1:23" x14ac:dyDescent="0.25">
      <c r="A678" t="s">
        <v>324</v>
      </c>
      <c r="B678">
        <v>2012</v>
      </c>
      <c r="C678" t="s">
        <v>288</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COUNT(LifeExpectancyData[[#This Row],[Life expectancy]:[Schooling]])=19</f>
        <v>1</v>
      </c>
    </row>
    <row r="679" spans="1:23" x14ac:dyDescent="0.25">
      <c r="A679" t="s">
        <v>324</v>
      </c>
      <c r="B679">
        <v>2011</v>
      </c>
      <c r="C679" t="s">
        <v>288</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COUNT(LifeExpectancyData[[#This Row],[Life expectancy]:[Schooling]])=19</f>
        <v>1</v>
      </c>
    </row>
    <row r="680" spans="1:23" x14ac:dyDescent="0.25">
      <c r="A680" t="s">
        <v>324</v>
      </c>
      <c r="B680">
        <v>2010</v>
      </c>
      <c r="C680" t="s">
        <v>288</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COUNT(LifeExpectancyData[[#This Row],[Life expectancy]:[Schooling]])=19</f>
        <v>1</v>
      </c>
    </row>
    <row r="681" spans="1:23" x14ac:dyDescent="0.25">
      <c r="A681" t="s">
        <v>324</v>
      </c>
      <c r="B681">
        <v>2009</v>
      </c>
      <c r="C681" t="s">
        <v>288</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COUNT(LifeExpectancyData[[#This Row],[Life expectancy]:[Schooling]])=19</f>
        <v>1</v>
      </c>
    </row>
    <row r="682" spans="1:23" x14ac:dyDescent="0.25">
      <c r="A682" t="s">
        <v>324</v>
      </c>
      <c r="B682">
        <v>2008</v>
      </c>
      <c r="C682" t="s">
        <v>288</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COUNT(LifeExpectancyData[[#This Row],[Life expectancy]:[Schooling]])=19</f>
        <v>1</v>
      </c>
    </row>
    <row r="683" spans="1:23" x14ac:dyDescent="0.25">
      <c r="A683" t="s">
        <v>324</v>
      </c>
      <c r="B683">
        <v>2007</v>
      </c>
      <c r="C683" t="s">
        <v>288</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COUNT(LifeExpectancyData[[#This Row],[Life expectancy]:[Schooling]])=19</f>
        <v>1</v>
      </c>
    </row>
    <row r="684" spans="1:23" x14ac:dyDescent="0.25">
      <c r="A684" t="s">
        <v>324</v>
      </c>
      <c r="B684">
        <v>2006</v>
      </c>
      <c r="C684" t="s">
        <v>288</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COUNT(LifeExpectancyData[[#This Row],[Life expectancy]:[Schooling]])=19</f>
        <v>1</v>
      </c>
    </row>
    <row r="685" spans="1:23" x14ac:dyDescent="0.25">
      <c r="A685" t="s">
        <v>324</v>
      </c>
      <c r="B685">
        <v>2005</v>
      </c>
      <c r="C685" t="s">
        <v>288</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COUNT(LifeExpectancyData[[#This Row],[Life expectancy]:[Schooling]])=19</f>
        <v>1</v>
      </c>
    </row>
    <row r="686" spans="1:23" x14ac:dyDescent="0.25">
      <c r="A686" t="s">
        <v>324</v>
      </c>
      <c r="B686">
        <v>2004</v>
      </c>
      <c r="C686" t="s">
        <v>288</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COUNT(LifeExpectancyData[[#This Row],[Life expectancy]:[Schooling]])=19</f>
        <v>1</v>
      </c>
    </row>
    <row r="687" spans="1:23" x14ac:dyDescent="0.25">
      <c r="A687" t="s">
        <v>324</v>
      </c>
      <c r="B687">
        <v>2003</v>
      </c>
      <c r="C687" t="s">
        <v>288</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COUNT(LifeExpectancyData[[#This Row],[Life expectancy]:[Schooling]])=19</f>
        <v>1</v>
      </c>
    </row>
    <row r="688" spans="1:23" x14ac:dyDescent="0.25">
      <c r="A688" t="s">
        <v>324</v>
      </c>
      <c r="B688">
        <v>2002</v>
      </c>
      <c r="C688" t="s">
        <v>288</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COUNT(LifeExpectancyData[[#This Row],[Life expectancy]:[Schooling]])=19</f>
        <v>1</v>
      </c>
    </row>
    <row r="689" spans="1:23" x14ac:dyDescent="0.25">
      <c r="A689" t="s">
        <v>324</v>
      </c>
      <c r="B689">
        <v>2001</v>
      </c>
      <c r="C689" t="s">
        <v>288</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COUNT(LifeExpectancyData[[#This Row],[Life expectancy]:[Schooling]])=19</f>
        <v>1</v>
      </c>
    </row>
    <row r="690" spans="1:23" x14ac:dyDescent="0.25">
      <c r="A690" t="s">
        <v>324</v>
      </c>
      <c r="B690">
        <v>2000</v>
      </c>
      <c r="C690" t="s">
        <v>288</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COUNT(LifeExpectancyData[[#This Row],[Life expectancy]:[Schooling]])=19</f>
        <v>1</v>
      </c>
    </row>
    <row r="691" spans="1:23" x14ac:dyDescent="0.25">
      <c r="A691" t="s">
        <v>325</v>
      </c>
      <c r="B691">
        <v>2015</v>
      </c>
      <c r="C691" t="s">
        <v>288</v>
      </c>
      <c r="D691">
        <v>78.8</v>
      </c>
      <c r="E691">
        <v>86</v>
      </c>
      <c r="F691">
        <v>0</v>
      </c>
      <c r="H691">
        <v>0</v>
      </c>
      <c r="I691">
        <v>97</v>
      </c>
      <c r="J691">
        <v>9</v>
      </c>
      <c r="K691">
        <v>66.099999999999994</v>
      </c>
      <c r="L691">
        <v>0</v>
      </c>
      <c r="M691">
        <v>97</v>
      </c>
      <c r="O691">
        <v>97</v>
      </c>
      <c r="P691">
        <v>0.1</v>
      </c>
      <c r="S691">
        <v>1.8</v>
      </c>
      <c r="T691">
        <v>1.8</v>
      </c>
      <c r="W691" t="b">
        <f>COUNT(LifeExpectancyData[[#This Row],[Life expectancy]:[Schooling]])=19</f>
        <v>0</v>
      </c>
    </row>
    <row r="692" spans="1:23" x14ac:dyDescent="0.25">
      <c r="A692" t="s">
        <v>325</v>
      </c>
      <c r="B692">
        <v>2014</v>
      </c>
      <c r="C692" t="s">
        <v>288</v>
      </c>
      <c r="D692">
        <v>78.599999999999994</v>
      </c>
      <c r="E692">
        <v>88</v>
      </c>
      <c r="F692">
        <v>0</v>
      </c>
      <c r="G692">
        <v>12.68</v>
      </c>
      <c r="H692">
        <v>0</v>
      </c>
      <c r="I692">
        <v>99</v>
      </c>
      <c r="J692">
        <v>222</v>
      </c>
      <c r="K692">
        <v>65.599999999999994</v>
      </c>
      <c r="L692">
        <v>0</v>
      </c>
      <c r="M692">
        <v>99</v>
      </c>
      <c r="N692">
        <v>7.41</v>
      </c>
      <c r="O692">
        <v>97</v>
      </c>
      <c r="P692">
        <v>0.1</v>
      </c>
      <c r="S692">
        <v>1.8</v>
      </c>
      <c r="T692">
        <v>1.9</v>
      </c>
      <c r="W692" t="b">
        <f>COUNT(LifeExpectancyData[[#This Row],[Life expectancy]:[Schooling]])=19</f>
        <v>0</v>
      </c>
    </row>
    <row r="693" spans="1:23" x14ac:dyDescent="0.25">
      <c r="A693" t="s">
        <v>325</v>
      </c>
      <c r="B693">
        <v>2013</v>
      </c>
      <c r="C693" t="s">
        <v>288</v>
      </c>
      <c r="D693">
        <v>78.2</v>
      </c>
      <c r="E693">
        <v>9</v>
      </c>
      <c r="F693">
        <v>0</v>
      </c>
      <c r="G693">
        <v>12.45</v>
      </c>
      <c r="H693">
        <v>0</v>
      </c>
      <c r="I693">
        <v>99</v>
      </c>
      <c r="J693">
        <v>15</v>
      </c>
      <c r="K693">
        <v>65.099999999999994</v>
      </c>
      <c r="L693">
        <v>0</v>
      </c>
      <c r="M693">
        <v>99</v>
      </c>
      <c r="N693">
        <v>7.49</v>
      </c>
      <c r="O693">
        <v>98</v>
      </c>
      <c r="P693">
        <v>0.1</v>
      </c>
      <c r="S693">
        <v>1.8</v>
      </c>
      <c r="T693">
        <v>1.9</v>
      </c>
      <c r="W693" t="b">
        <f>COUNT(LifeExpectancyData[[#This Row],[Life expectancy]:[Schooling]])=19</f>
        <v>0</v>
      </c>
    </row>
    <row r="694" spans="1:23" x14ac:dyDescent="0.25">
      <c r="A694" t="s">
        <v>325</v>
      </c>
      <c r="B694">
        <v>2012</v>
      </c>
      <c r="C694" t="s">
        <v>288</v>
      </c>
      <c r="D694">
        <v>78</v>
      </c>
      <c r="E694">
        <v>93</v>
      </c>
      <c r="F694">
        <v>0</v>
      </c>
      <c r="G694">
        <v>12.71</v>
      </c>
      <c r="H694">
        <v>0</v>
      </c>
      <c r="I694">
        <v>99</v>
      </c>
      <c r="J694">
        <v>22</v>
      </c>
      <c r="K694">
        <v>64.5</v>
      </c>
      <c r="L694">
        <v>0</v>
      </c>
      <c r="M694">
        <v>99</v>
      </c>
      <c r="N694">
        <v>7.55</v>
      </c>
      <c r="O694">
        <v>99</v>
      </c>
      <c r="P694">
        <v>0.1</v>
      </c>
      <c r="S694">
        <v>1.8</v>
      </c>
      <c r="T694">
        <v>1.9</v>
      </c>
      <c r="W694" t="b">
        <f>COUNT(LifeExpectancyData[[#This Row],[Life expectancy]:[Schooling]])=19</f>
        <v>0</v>
      </c>
    </row>
    <row r="695" spans="1:23" x14ac:dyDescent="0.25">
      <c r="A695" t="s">
        <v>325</v>
      </c>
      <c r="B695">
        <v>2011</v>
      </c>
      <c r="C695" t="s">
        <v>288</v>
      </c>
      <c r="D695">
        <v>77.8</v>
      </c>
      <c r="E695">
        <v>97</v>
      </c>
      <c r="F695">
        <v>0</v>
      </c>
      <c r="G695">
        <v>12.43</v>
      </c>
      <c r="H695">
        <v>0</v>
      </c>
      <c r="I695">
        <v>99</v>
      </c>
      <c r="J695">
        <v>17</v>
      </c>
      <c r="K695">
        <v>64</v>
      </c>
      <c r="L695">
        <v>0</v>
      </c>
      <c r="M695">
        <v>99</v>
      </c>
      <c r="N695">
        <v>7.5</v>
      </c>
      <c r="O695">
        <v>99</v>
      </c>
      <c r="P695">
        <v>0.1</v>
      </c>
      <c r="S695">
        <v>1.9</v>
      </c>
      <c r="T695">
        <v>1.9</v>
      </c>
      <c r="W695" t="b">
        <f>COUNT(LifeExpectancyData[[#This Row],[Life expectancy]:[Schooling]])=19</f>
        <v>0</v>
      </c>
    </row>
    <row r="696" spans="1:23" x14ac:dyDescent="0.25">
      <c r="A696" t="s">
        <v>325</v>
      </c>
      <c r="B696">
        <v>2010</v>
      </c>
      <c r="C696" t="s">
        <v>288</v>
      </c>
      <c r="D696">
        <v>77.5</v>
      </c>
      <c r="E696">
        <v>99</v>
      </c>
      <c r="F696">
        <v>0</v>
      </c>
      <c r="G696">
        <v>12.69</v>
      </c>
      <c r="H696">
        <v>0</v>
      </c>
      <c r="I696">
        <v>99</v>
      </c>
      <c r="J696">
        <v>0</v>
      </c>
      <c r="K696">
        <v>63.6</v>
      </c>
      <c r="L696">
        <v>0</v>
      </c>
      <c r="M696">
        <v>99</v>
      </c>
      <c r="N696">
        <v>7.43</v>
      </c>
      <c r="O696">
        <v>99</v>
      </c>
      <c r="P696">
        <v>0.1</v>
      </c>
      <c r="S696">
        <v>1.9</v>
      </c>
      <c r="T696">
        <v>2</v>
      </c>
      <c r="W696" t="b">
        <f>COUNT(LifeExpectancyData[[#This Row],[Life expectancy]:[Schooling]])=19</f>
        <v>0</v>
      </c>
    </row>
    <row r="697" spans="1:23" x14ac:dyDescent="0.25">
      <c r="A697" t="s">
        <v>325</v>
      </c>
      <c r="B697">
        <v>2009</v>
      </c>
      <c r="C697" t="s">
        <v>288</v>
      </c>
      <c r="D697">
        <v>77.099999999999994</v>
      </c>
      <c r="E697">
        <v>12</v>
      </c>
      <c r="F697">
        <v>0</v>
      </c>
      <c r="G697">
        <v>13.23</v>
      </c>
      <c r="H697">
        <v>0</v>
      </c>
      <c r="I697">
        <v>99</v>
      </c>
      <c r="J697">
        <v>5</v>
      </c>
      <c r="K697">
        <v>63.1</v>
      </c>
      <c r="L697">
        <v>0</v>
      </c>
      <c r="M697">
        <v>99</v>
      </c>
      <c r="N697">
        <v>7.85</v>
      </c>
      <c r="O697">
        <v>99</v>
      </c>
      <c r="P697">
        <v>0.1</v>
      </c>
      <c r="S697">
        <v>1.9</v>
      </c>
      <c r="T697">
        <v>2</v>
      </c>
      <c r="W697" t="b">
        <f>COUNT(LifeExpectancyData[[#This Row],[Life expectancy]:[Schooling]])=19</f>
        <v>0</v>
      </c>
    </row>
    <row r="698" spans="1:23" x14ac:dyDescent="0.25">
      <c r="A698" t="s">
        <v>325</v>
      </c>
      <c r="B698">
        <v>2008</v>
      </c>
      <c r="C698" t="s">
        <v>288</v>
      </c>
      <c r="D698">
        <v>77</v>
      </c>
      <c r="E698">
        <v>16</v>
      </c>
      <c r="F698">
        <v>0</v>
      </c>
      <c r="G698">
        <v>13.25</v>
      </c>
      <c r="H698">
        <v>0</v>
      </c>
      <c r="I698">
        <v>99</v>
      </c>
      <c r="J698">
        <v>2</v>
      </c>
      <c r="K698">
        <v>62.6</v>
      </c>
      <c r="L698">
        <v>0</v>
      </c>
      <c r="M698">
        <v>99</v>
      </c>
      <c r="N698">
        <v>6.82</v>
      </c>
      <c r="O698">
        <v>99</v>
      </c>
      <c r="P698">
        <v>0.1</v>
      </c>
      <c r="S698">
        <v>1.9</v>
      </c>
      <c r="T698">
        <v>2</v>
      </c>
      <c r="W698" t="b">
        <f>COUNT(LifeExpectancyData[[#This Row],[Life expectancy]:[Schooling]])=19</f>
        <v>0</v>
      </c>
    </row>
    <row r="699" spans="1:23" x14ac:dyDescent="0.25">
      <c r="A699" t="s">
        <v>325</v>
      </c>
      <c r="B699">
        <v>2007</v>
      </c>
      <c r="C699" t="s">
        <v>288</v>
      </c>
      <c r="D699">
        <v>76.8</v>
      </c>
      <c r="E699">
        <v>17</v>
      </c>
      <c r="F699">
        <v>0</v>
      </c>
      <c r="G699">
        <v>13.43</v>
      </c>
      <c r="H699">
        <v>0</v>
      </c>
      <c r="I699">
        <v>99</v>
      </c>
      <c r="J699">
        <v>2</v>
      </c>
      <c r="K699">
        <v>62.2</v>
      </c>
      <c r="L699">
        <v>0</v>
      </c>
      <c r="M699">
        <v>99</v>
      </c>
      <c r="N699">
        <v>6.52</v>
      </c>
      <c r="O699">
        <v>99</v>
      </c>
      <c r="P699">
        <v>0.1</v>
      </c>
      <c r="S699">
        <v>2</v>
      </c>
      <c r="T699">
        <v>2.1</v>
      </c>
      <c r="W699" t="b">
        <f>COUNT(LifeExpectancyData[[#This Row],[Life expectancy]:[Schooling]])=19</f>
        <v>0</v>
      </c>
    </row>
    <row r="700" spans="1:23" x14ac:dyDescent="0.25">
      <c r="A700" t="s">
        <v>325</v>
      </c>
      <c r="B700">
        <v>2006</v>
      </c>
      <c r="C700" t="s">
        <v>288</v>
      </c>
      <c r="D700">
        <v>76.5</v>
      </c>
      <c r="E700">
        <v>19</v>
      </c>
      <c r="F700">
        <v>0</v>
      </c>
      <c r="G700">
        <v>13.03</v>
      </c>
      <c r="H700">
        <v>0</v>
      </c>
      <c r="I700">
        <v>98</v>
      </c>
      <c r="J700">
        <v>7</v>
      </c>
      <c r="K700">
        <v>61.8</v>
      </c>
      <c r="L700">
        <v>0</v>
      </c>
      <c r="M700">
        <v>98</v>
      </c>
      <c r="N700">
        <v>6.69</v>
      </c>
      <c r="O700">
        <v>98</v>
      </c>
      <c r="P700">
        <v>0.1</v>
      </c>
      <c r="S700">
        <v>2</v>
      </c>
      <c r="T700">
        <v>2.1</v>
      </c>
      <c r="W700" t="b">
        <f>COUNT(LifeExpectancyData[[#This Row],[Life expectancy]:[Schooling]])=19</f>
        <v>0</v>
      </c>
    </row>
    <row r="701" spans="1:23" x14ac:dyDescent="0.25">
      <c r="A701" t="s">
        <v>325</v>
      </c>
      <c r="B701">
        <v>2005</v>
      </c>
      <c r="C701" t="s">
        <v>288</v>
      </c>
      <c r="D701">
        <v>75.900000000000006</v>
      </c>
      <c r="E701">
        <v>114</v>
      </c>
      <c r="F701">
        <v>0</v>
      </c>
      <c r="G701">
        <v>13.19</v>
      </c>
      <c r="H701">
        <v>0</v>
      </c>
      <c r="I701">
        <v>99</v>
      </c>
      <c r="J701">
        <v>0</v>
      </c>
      <c r="K701">
        <v>61.3</v>
      </c>
      <c r="L701">
        <v>0</v>
      </c>
      <c r="M701">
        <v>96</v>
      </c>
      <c r="N701">
        <v>6.93</v>
      </c>
      <c r="O701">
        <v>97</v>
      </c>
      <c r="P701">
        <v>0.1</v>
      </c>
      <c r="S701">
        <v>2.1</v>
      </c>
      <c r="T701">
        <v>2.1</v>
      </c>
      <c r="W701" t="b">
        <f>COUNT(LifeExpectancyData[[#This Row],[Life expectancy]:[Schooling]])=19</f>
        <v>0</v>
      </c>
    </row>
    <row r="702" spans="1:23" x14ac:dyDescent="0.25">
      <c r="A702" t="s">
        <v>325</v>
      </c>
      <c r="B702">
        <v>2004</v>
      </c>
      <c r="C702" t="s">
        <v>288</v>
      </c>
      <c r="D702">
        <v>75.8</v>
      </c>
      <c r="E702">
        <v>116</v>
      </c>
      <c r="F702">
        <v>0</v>
      </c>
      <c r="G702">
        <v>13.24</v>
      </c>
      <c r="H702">
        <v>0</v>
      </c>
      <c r="I702">
        <v>98</v>
      </c>
      <c r="J702">
        <v>17</v>
      </c>
      <c r="K702">
        <v>6.8</v>
      </c>
      <c r="L702">
        <v>0</v>
      </c>
      <c r="M702">
        <v>96</v>
      </c>
      <c r="N702">
        <v>6.9</v>
      </c>
      <c r="O702">
        <v>98</v>
      </c>
      <c r="P702">
        <v>0.1</v>
      </c>
      <c r="S702">
        <v>2.1</v>
      </c>
      <c r="T702">
        <v>2.2000000000000002</v>
      </c>
      <c r="W702" t="b">
        <f>COUNT(LifeExpectancyData[[#This Row],[Life expectancy]:[Schooling]])=19</f>
        <v>0</v>
      </c>
    </row>
    <row r="703" spans="1:23" x14ac:dyDescent="0.25">
      <c r="A703" t="s">
        <v>325</v>
      </c>
      <c r="B703">
        <v>2003</v>
      </c>
      <c r="C703" t="s">
        <v>288</v>
      </c>
      <c r="D703">
        <v>75.2</v>
      </c>
      <c r="E703">
        <v>122</v>
      </c>
      <c r="F703">
        <v>0</v>
      </c>
      <c r="G703">
        <v>13.01</v>
      </c>
      <c r="H703">
        <v>0</v>
      </c>
      <c r="I703">
        <v>92</v>
      </c>
      <c r="J703">
        <v>30</v>
      </c>
      <c r="K703">
        <v>6.4</v>
      </c>
      <c r="L703">
        <v>0</v>
      </c>
      <c r="M703">
        <v>97</v>
      </c>
      <c r="N703">
        <v>7.13</v>
      </c>
      <c r="O703">
        <v>97</v>
      </c>
      <c r="P703">
        <v>0.1</v>
      </c>
      <c r="S703">
        <v>2.2000000000000002</v>
      </c>
      <c r="T703">
        <v>2.2000000000000002</v>
      </c>
      <c r="W703" t="b">
        <f>COUNT(LifeExpectancyData[[#This Row],[Life expectancy]:[Schooling]])=19</f>
        <v>0</v>
      </c>
    </row>
    <row r="704" spans="1:23" x14ac:dyDescent="0.25">
      <c r="A704" t="s">
        <v>325</v>
      </c>
      <c r="B704">
        <v>2002</v>
      </c>
      <c r="C704" t="s">
        <v>288</v>
      </c>
      <c r="D704">
        <v>75.3</v>
      </c>
      <c r="E704">
        <v>12</v>
      </c>
      <c r="F704">
        <v>0</v>
      </c>
      <c r="G704">
        <v>13.47</v>
      </c>
      <c r="H704">
        <v>0</v>
      </c>
      <c r="I704">
        <v>86</v>
      </c>
      <c r="J704">
        <v>4</v>
      </c>
      <c r="K704">
        <v>59.9</v>
      </c>
      <c r="L704">
        <v>0</v>
      </c>
      <c r="M704">
        <v>97</v>
      </c>
      <c r="N704">
        <v>6.8</v>
      </c>
      <c r="O704">
        <v>98</v>
      </c>
      <c r="P704">
        <v>0.1</v>
      </c>
      <c r="S704">
        <v>2.2000000000000002</v>
      </c>
      <c r="T704">
        <v>2.2999999999999998</v>
      </c>
      <c r="W704" t="b">
        <f>COUNT(LifeExpectancyData[[#This Row],[Life expectancy]:[Schooling]])=19</f>
        <v>0</v>
      </c>
    </row>
    <row r="705" spans="1:23" x14ac:dyDescent="0.25">
      <c r="A705" t="s">
        <v>325</v>
      </c>
      <c r="B705">
        <v>2001</v>
      </c>
      <c r="C705" t="s">
        <v>288</v>
      </c>
      <c r="D705">
        <v>75.099999999999994</v>
      </c>
      <c r="E705">
        <v>123</v>
      </c>
      <c r="F705">
        <v>0</v>
      </c>
      <c r="G705">
        <v>13.36</v>
      </c>
      <c r="H705">
        <v>0</v>
      </c>
      <c r="J705">
        <v>6</v>
      </c>
      <c r="K705">
        <v>59.4</v>
      </c>
      <c r="L705">
        <v>0</v>
      </c>
      <c r="M705">
        <v>97</v>
      </c>
      <c r="N705">
        <v>6.42</v>
      </c>
      <c r="O705">
        <v>98</v>
      </c>
      <c r="P705">
        <v>0.1</v>
      </c>
      <c r="S705">
        <v>2.2000000000000002</v>
      </c>
      <c r="T705">
        <v>2.2999999999999998</v>
      </c>
      <c r="W705" t="b">
        <f>COUNT(LifeExpectancyData[[#This Row],[Life expectancy]:[Schooling]])=19</f>
        <v>0</v>
      </c>
    </row>
    <row r="706" spans="1:23" x14ac:dyDescent="0.25">
      <c r="A706" t="s">
        <v>325</v>
      </c>
      <c r="B706">
        <v>2000</v>
      </c>
      <c r="C706" t="s">
        <v>288</v>
      </c>
      <c r="D706">
        <v>74.7</v>
      </c>
      <c r="E706">
        <v>126</v>
      </c>
      <c r="F706">
        <v>0</v>
      </c>
      <c r="G706">
        <v>13.22</v>
      </c>
      <c r="H706">
        <v>0</v>
      </c>
      <c r="J706">
        <v>9</v>
      </c>
      <c r="K706">
        <v>59</v>
      </c>
      <c r="L706">
        <v>0</v>
      </c>
      <c r="M706">
        <v>98</v>
      </c>
      <c r="N706">
        <v>6.31</v>
      </c>
      <c r="O706">
        <v>98</v>
      </c>
      <c r="P706">
        <v>0.1</v>
      </c>
      <c r="S706">
        <v>2.2999999999999998</v>
      </c>
      <c r="T706">
        <v>2.2999999999999998</v>
      </c>
      <c r="W706" t="b">
        <f>COUNT(LifeExpectancyData[[#This Row],[Life expectancy]:[Schooling]])=19</f>
        <v>0</v>
      </c>
    </row>
    <row r="707" spans="1:23" x14ac:dyDescent="0.25">
      <c r="A707" t="s">
        <v>326</v>
      </c>
      <c r="B707">
        <v>2015</v>
      </c>
      <c r="C707" t="s">
        <v>280</v>
      </c>
      <c r="D707">
        <v>76</v>
      </c>
      <c r="E707">
        <v>139</v>
      </c>
      <c r="F707">
        <v>6</v>
      </c>
      <c r="H707">
        <v>0</v>
      </c>
      <c r="I707">
        <v>96</v>
      </c>
      <c r="J707">
        <v>0</v>
      </c>
      <c r="K707">
        <v>32.9</v>
      </c>
      <c r="L707">
        <v>7</v>
      </c>
      <c r="M707">
        <v>99</v>
      </c>
      <c r="O707">
        <v>96</v>
      </c>
      <c r="P707">
        <v>0.1</v>
      </c>
      <c r="S707">
        <v>4.9000000000000004</v>
      </c>
      <c r="T707">
        <v>4.9000000000000004</v>
      </c>
      <c r="W707" t="b">
        <f>COUNT(LifeExpectancyData[[#This Row],[Life expectancy]:[Schooling]])=19</f>
        <v>0</v>
      </c>
    </row>
    <row r="708" spans="1:23" x14ac:dyDescent="0.25">
      <c r="A708" t="s">
        <v>326</v>
      </c>
      <c r="B708">
        <v>2014</v>
      </c>
      <c r="C708" t="s">
        <v>280</v>
      </c>
      <c r="D708">
        <v>73</v>
      </c>
      <c r="E708">
        <v>142</v>
      </c>
      <c r="F708">
        <v>6</v>
      </c>
      <c r="G708">
        <v>0.01</v>
      </c>
      <c r="H708">
        <v>0</v>
      </c>
      <c r="I708">
        <v>93</v>
      </c>
      <c r="J708">
        <v>3</v>
      </c>
      <c r="K708">
        <v>32.4</v>
      </c>
      <c r="L708">
        <v>8</v>
      </c>
      <c r="M708">
        <v>99</v>
      </c>
      <c r="O708">
        <v>93</v>
      </c>
      <c r="P708">
        <v>0.1</v>
      </c>
      <c r="S708">
        <v>4.9000000000000004</v>
      </c>
      <c r="T708">
        <v>4.9000000000000004</v>
      </c>
      <c r="W708" t="b">
        <f>COUNT(LifeExpectancyData[[#This Row],[Life expectancy]:[Schooling]])=19</f>
        <v>0</v>
      </c>
    </row>
    <row r="709" spans="1:23" x14ac:dyDescent="0.25">
      <c r="A709" t="s">
        <v>326</v>
      </c>
      <c r="B709">
        <v>2013</v>
      </c>
      <c r="C709" t="s">
        <v>280</v>
      </c>
      <c r="D709">
        <v>71</v>
      </c>
      <c r="E709">
        <v>146</v>
      </c>
      <c r="F709">
        <v>6</v>
      </c>
      <c r="G709">
        <v>3.35</v>
      </c>
      <c r="H709">
        <v>0</v>
      </c>
      <c r="I709">
        <v>93</v>
      </c>
      <c r="J709">
        <v>0</v>
      </c>
      <c r="K709">
        <v>31.8</v>
      </c>
      <c r="L709">
        <v>8</v>
      </c>
      <c r="M709">
        <v>99</v>
      </c>
      <c r="O709">
        <v>93</v>
      </c>
      <c r="P709">
        <v>0.1</v>
      </c>
      <c r="S709">
        <v>5</v>
      </c>
      <c r="T709">
        <v>5</v>
      </c>
      <c r="W709" t="b">
        <f>COUNT(LifeExpectancyData[[#This Row],[Life expectancy]:[Schooling]])=19</f>
        <v>0</v>
      </c>
    </row>
    <row r="710" spans="1:23" x14ac:dyDescent="0.25">
      <c r="A710" t="s">
        <v>326</v>
      </c>
      <c r="B710">
        <v>2012</v>
      </c>
      <c r="C710" t="s">
        <v>280</v>
      </c>
      <c r="D710">
        <v>69.8</v>
      </c>
      <c r="E710">
        <v>149</v>
      </c>
      <c r="F710">
        <v>7</v>
      </c>
      <c r="G710">
        <v>3.61</v>
      </c>
      <c r="H710">
        <v>0</v>
      </c>
      <c r="I710">
        <v>96</v>
      </c>
      <c r="J710">
        <v>0</v>
      </c>
      <c r="K710">
        <v>31.3</v>
      </c>
      <c r="L710">
        <v>9</v>
      </c>
      <c r="M710">
        <v>99</v>
      </c>
      <c r="O710">
        <v>96</v>
      </c>
      <c r="P710">
        <v>0.1</v>
      </c>
      <c r="S710">
        <v>5.0999999999999996</v>
      </c>
      <c r="T710">
        <v>5.0999999999999996</v>
      </c>
      <c r="W710" t="b">
        <f>COUNT(LifeExpectancyData[[#This Row],[Life expectancy]:[Schooling]])=19</f>
        <v>0</v>
      </c>
    </row>
    <row r="711" spans="1:23" x14ac:dyDescent="0.25">
      <c r="A711" t="s">
        <v>326</v>
      </c>
      <c r="B711">
        <v>2011</v>
      </c>
      <c r="C711" t="s">
        <v>280</v>
      </c>
      <c r="D711">
        <v>69.400000000000006</v>
      </c>
      <c r="E711">
        <v>153</v>
      </c>
      <c r="F711">
        <v>8</v>
      </c>
      <c r="G711">
        <v>3.39</v>
      </c>
      <c r="H711">
        <v>0</v>
      </c>
      <c r="I711">
        <v>94</v>
      </c>
      <c r="J711">
        <v>0</v>
      </c>
      <c r="K711">
        <v>3.8</v>
      </c>
      <c r="L711">
        <v>10</v>
      </c>
      <c r="M711">
        <v>99</v>
      </c>
      <c r="O711">
        <v>94</v>
      </c>
      <c r="P711">
        <v>0.1</v>
      </c>
      <c r="S711">
        <v>5.0999999999999996</v>
      </c>
      <c r="T711">
        <v>5.2</v>
      </c>
      <c r="W711" t="b">
        <f>COUNT(LifeExpectancyData[[#This Row],[Life expectancy]:[Schooling]])=19</f>
        <v>0</v>
      </c>
    </row>
    <row r="712" spans="1:23" x14ac:dyDescent="0.25">
      <c r="A712" t="s">
        <v>326</v>
      </c>
      <c r="B712">
        <v>2010</v>
      </c>
      <c r="C712" t="s">
        <v>280</v>
      </c>
      <c r="D712">
        <v>69</v>
      </c>
      <c r="E712">
        <v>157</v>
      </c>
      <c r="F712">
        <v>8</v>
      </c>
      <c r="G712">
        <v>3.12</v>
      </c>
      <c r="H712">
        <v>0</v>
      </c>
      <c r="I712">
        <v>93</v>
      </c>
      <c r="J712">
        <v>0</v>
      </c>
      <c r="K712">
        <v>3.3</v>
      </c>
      <c r="L712">
        <v>10</v>
      </c>
      <c r="M712">
        <v>99</v>
      </c>
      <c r="O712">
        <v>93</v>
      </c>
      <c r="P712">
        <v>0.1</v>
      </c>
      <c r="S712">
        <v>5.2</v>
      </c>
      <c r="T712">
        <v>5.2</v>
      </c>
      <c r="W712" t="b">
        <f>COUNT(LifeExpectancyData[[#This Row],[Life expectancy]:[Schooling]])=19</f>
        <v>0</v>
      </c>
    </row>
    <row r="713" spans="1:23" x14ac:dyDescent="0.25">
      <c r="A713" t="s">
        <v>326</v>
      </c>
      <c r="B713">
        <v>2009</v>
      </c>
      <c r="C713" t="s">
        <v>280</v>
      </c>
      <c r="D713">
        <v>68.7</v>
      </c>
      <c r="E713">
        <v>161</v>
      </c>
      <c r="F713">
        <v>9</v>
      </c>
      <c r="G713">
        <v>3.35</v>
      </c>
      <c r="H713">
        <v>0</v>
      </c>
      <c r="I713">
        <v>93</v>
      </c>
      <c r="J713">
        <v>0</v>
      </c>
      <c r="K713">
        <v>29.7</v>
      </c>
      <c r="L713">
        <v>11</v>
      </c>
      <c r="M713">
        <v>98</v>
      </c>
      <c r="O713">
        <v>93</v>
      </c>
      <c r="P713">
        <v>0.1</v>
      </c>
      <c r="S713">
        <v>5.3</v>
      </c>
      <c r="T713">
        <v>5.3</v>
      </c>
      <c r="W713" t="b">
        <f>COUNT(LifeExpectancyData[[#This Row],[Life expectancy]:[Schooling]])=19</f>
        <v>0</v>
      </c>
    </row>
    <row r="714" spans="1:23" x14ac:dyDescent="0.25">
      <c r="A714" t="s">
        <v>326</v>
      </c>
      <c r="B714">
        <v>2008</v>
      </c>
      <c r="C714" t="s">
        <v>280</v>
      </c>
      <c r="D714">
        <v>68.599999999999994</v>
      </c>
      <c r="E714">
        <v>164</v>
      </c>
      <c r="F714">
        <v>9</v>
      </c>
      <c r="G714">
        <v>3.16</v>
      </c>
      <c r="H714">
        <v>0</v>
      </c>
      <c r="I714">
        <v>92</v>
      </c>
      <c r="J714">
        <v>8</v>
      </c>
      <c r="K714">
        <v>29.2</v>
      </c>
      <c r="L714">
        <v>12</v>
      </c>
      <c r="M714">
        <v>98</v>
      </c>
      <c r="O714">
        <v>92</v>
      </c>
      <c r="P714">
        <v>0.1</v>
      </c>
      <c r="S714">
        <v>5.4</v>
      </c>
      <c r="T714">
        <v>5.4</v>
      </c>
      <c r="W714" t="b">
        <f>COUNT(LifeExpectancyData[[#This Row],[Life expectancy]:[Schooling]])=19</f>
        <v>0</v>
      </c>
    </row>
    <row r="715" spans="1:23" x14ac:dyDescent="0.25">
      <c r="A715" t="s">
        <v>326</v>
      </c>
      <c r="B715">
        <v>2007</v>
      </c>
      <c r="C715" t="s">
        <v>280</v>
      </c>
      <c r="D715">
        <v>68.5</v>
      </c>
      <c r="E715">
        <v>166</v>
      </c>
      <c r="F715">
        <v>9</v>
      </c>
      <c r="G715">
        <v>3.13</v>
      </c>
      <c r="H715">
        <v>0</v>
      </c>
      <c r="I715">
        <v>92</v>
      </c>
      <c r="J715">
        <v>3550</v>
      </c>
      <c r="K715">
        <v>28.7</v>
      </c>
      <c r="L715">
        <v>12</v>
      </c>
      <c r="M715">
        <v>99</v>
      </c>
      <c r="O715">
        <v>92</v>
      </c>
      <c r="P715">
        <v>0.1</v>
      </c>
      <c r="S715">
        <v>5.5</v>
      </c>
      <c r="T715">
        <v>5.5</v>
      </c>
      <c r="W715" t="b">
        <f>COUNT(LifeExpectancyData[[#This Row],[Life expectancy]:[Schooling]])=19</f>
        <v>0</v>
      </c>
    </row>
    <row r="716" spans="1:23" x14ac:dyDescent="0.25">
      <c r="A716" t="s">
        <v>326</v>
      </c>
      <c r="B716">
        <v>2006</v>
      </c>
      <c r="C716" t="s">
        <v>280</v>
      </c>
      <c r="D716">
        <v>68.5</v>
      </c>
      <c r="E716">
        <v>165</v>
      </c>
      <c r="F716">
        <v>10</v>
      </c>
      <c r="G716">
        <v>3.28</v>
      </c>
      <c r="H716">
        <v>0</v>
      </c>
      <c r="I716">
        <v>96</v>
      </c>
      <c r="J716">
        <v>0</v>
      </c>
      <c r="K716">
        <v>28.2</v>
      </c>
      <c r="L716">
        <v>12</v>
      </c>
      <c r="M716">
        <v>98</v>
      </c>
      <c r="O716">
        <v>89</v>
      </c>
      <c r="P716">
        <v>0.1</v>
      </c>
      <c r="S716">
        <v>5.6</v>
      </c>
      <c r="T716">
        <v>5.6</v>
      </c>
      <c r="W716" t="b">
        <f>COUNT(LifeExpectancyData[[#This Row],[Life expectancy]:[Schooling]])=19</f>
        <v>0</v>
      </c>
    </row>
    <row r="717" spans="1:23" x14ac:dyDescent="0.25">
      <c r="A717" t="s">
        <v>326</v>
      </c>
      <c r="B717">
        <v>2005</v>
      </c>
      <c r="C717" t="s">
        <v>280</v>
      </c>
      <c r="D717">
        <v>68.5</v>
      </c>
      <c r="E717">
        <v>165</v>
      </c>
      <c r="F717">
        <v>10</v>
      </c>
      <c r="G717">
        <v>3.21</v>
      </c>
      <c r="H717">
        <v>0</v>
      </c>
      <c r="I717">
        <v>92</v>
      </c>
      <c r="J717">
        <v>0</v>
      </c>
      <c r="K717">
        <v>27.7</v>
      </c>
      <c r="L717">
        <v>13</v>
      </c>
      <c r="M717">
        <v>97</v>
      </c>
      <c r="O717">
        <v>79</v>
      </c>
      <c r="P717">
        <v>0.1</v>
      </c>
      <c r="S717">
        <v>5.7</v>
      </c>
      <c r="T717">
        <v>5.7</v>
      </c>
      <c r="W717" t="b">
        <f>COUNT(LifeExpectancyData[[#This Row],[Life expectancy]:[Schooling]])=19</f>
        <v>0</v>
      </c>
    </row>
    <row r="718" spans="1:23" x14ac:dyDescent="0.25">
      <c r="A718" t="s">
        <v>326</v>
      </c>
      <c r="B718">
        <v>2004</v>
      </c>
      <c r="C718" t="s">
        <v>280</v>
      </c>
      <c r="D718">
        <v>68.400000000000006</v>
      </c>
      <c r="E718">
        <v>165</v>
      </c>
      <c r="F718">
        <v>11</v>
      </c>
      <c r="G718">
        <v>3.13</v>
      </c>
      <c r="H718">
        <v>0</v>
      </c>
      <c r="I718">
        <v>98</v>
      </c>
      <c r="J718">
        <v>0</v>
      </c>
      <c r="K718">
        <v>27.2</v>
      </c>
      <c r="L718">
        <v>14</v>
      </c>
      <c r="M718">
        <v>99</v>
      </c>
      <c r="O718">
        <v>72</v>
      </c>
      <c r="P718">
        <v>0.1</v>
      </c>
      <c r="S718">
        <v>5.7</v>
      </c>
      <c r="T718">
        <v>5.7</v>
      </c>
      <c r="W718" t="b">
        <f>COUNT(LifeExpectancyData[[#This Row],[Life expectancy]:[Schooling]])=19</f>
        <v>0</v>
      </c>
    </row>
    <row r="719" spans="1:23" x14ac:dyDescent="0.25">
      <c r="A719" t="s">
        <v>326</v>
      </c>
      <c r="B719">
        <v>2003</v>
      </c>
      <c r="C719" t="s">
        <v>280</v>
      </c>
      <c r="D719">
        <v>68.099999999999994</v>
      </c>
      <c r="E719">
        <v>165</v>
      </c>
      <c r="F719">
        <v>12</v>
      </c>
      <c r="G719">
        <v>3.13</v>
      </c>
      <c r="H719">
        <v>0</v>
      </c>
      <c r="I719">
        <v>27</v>
      </c>
      <c r="J719">
        <v>0</v>
      </c>
      <c r="K719">
        <v>26.7</v>
      </c>
      <c r="L719">
        <v>15</v>
      </c>
      <c r="M719">
        <v>99</v>
      </c>
      <c r="O719">
        <v>68</v>
      </c>
      <c r="P719">
        <v>0.1</v>
      </c>
      <c r="S719">
        <v>5.8</v>
      </c>
      <c r="T719">
        <v>5.8</v>
      </c>
      <c r="W719" t="b">
        <f>COUNT(LifeExpectancyData[[#This Row],[Life expectancy]:[Schooling]])=19</f>
        <v>0</v>
      </c>
    </row>
    <row r="720" spans="1:23" x14ac:dyDescent="0.25">
      <c r="A720" t="s">
        <v>326</v>
      </c>
      <c r="B720">
        <v>2002</v>
      </c>
      <c r="C720" t="s">
        <v>280</v>
      </c>
      <c r="D720">
        <v>67.599999999999994</v>
      </c>
      <c r="E720">
        <v>167</v>
      </c>
      <c r="F720">
        <v>14</v>
      </c>
      <c r="G720">
        <v>3.08</v>
      </c>
      <c r="H720">
        <v>0</v>
      </c>
      <c r="J720">
        <v>0</v>
      </c>
      <c r="K720">
        <v>26.2</v>
      </c>
      <c r="L720">
        <v>18</v>
      </c>
      <c r="M720">
        <v>99</v>
      </c>
      <c r="O720">
        <v>64</v>
      </c>
      <c r="P720">
        <v>0.1</v>
      </c>
      <c r="S720">
        <v>5.9</v>
      </c>
      <c r="T720">
        <v>5.9</v>
      </c>
      <c r="W720" t="b">
        <f>COUNT(LifeExpectancyData[[#This Row],[Life expectancy]:[Schooling]])=19</f>
        <v>0</v>
      </c>
    </row>
    <row r="721" spans="1:23" x14ac:dyDescent="0.25">
      <c r="A721" t="s">
        <v>326</v>
      </c>
      <c r="B721">
        <v>2001</v>
      </c>
      <c r="C721" t="s">
        <v>280</v>
      </c>
      <c r="D721">
        <v>66.599999999999994</v>
      </c>
      <c r="E721">
        <v>177</v>
      </c>
      <c r="F721">
        <v>16</v>
      </c>
      <c r="G721">
        <v>2.5299999999999998</v>
      </c>
      <c r="H721">
        <v>0</v>
      </c>
      <c r="J721">
        <v>0</v>
      </c>
      <c r="K721">
        <v>25.7</v>
      </c>
      <c r="L721">
        <v>21</v>
      </c>
      <c r="M721">
        <v>98</v>
      </c>
      <c r="O721">
        <v>62</v>
      </c>
      <c r="P721">
        <v>0.1</v>
      </c>
      <c r="S721">
        <v>5.9</v>
      </c>
      <c r="T721">
        <v>6</v>
      </c>
      <c r="W721" t="b">
        <f>COUNT(LifeExpectancyData[[#This Row],[Life expectancy]:[Schooling]])=19</f>
        <v>0</v>
      </c>
    </row>
    <row r="722" spans="1:23" x14ac:dyDescent="0.25">
      <c r="A722" t="s">
        <v>326</v>
      </c>
      <c r="B722">
        <v>2000</v>
      </c>
      <c r="C722" t="s">
        <v>280</v>
      </c>
      <c r="D722">
        <v>65.400000000000006</v>
      </c>
      <c r="E722">
        <v>192</v>
      </c>
      <c r="F722">
        <v>18</v>
      </c>
      <c r="G722">
        <v>3.52</v>
      </c>
      <c r="H722">
        <v>0</v>
      </c>
      <c r="J722">
        <v>0</v>
      </c>
      <c r="K722">
        <v>25.2</v>
      </c>
      <c r="L722">
        <v>25</v>
      </c>
      <c r="M722">
        <v>93</v>
      </c>
      <c r="O722">
        <v>56</v>
      </c>
      <c r="P722">
        <v>0.1</v>
      </c>
      <c r="S722">
        <v>6</v>
      </c>
      <c r="T722">
        <v>6</v>
      </c>
      <c r="W722" t="b">
        <f>COUNT(LifeExpectancyData[[#This Row],[Life expectancy]:[Schooling]])=19</f>
        <v>0</v>
      </c>
    </row>
    <row r="723" spans="1:23" x14ac:dyDescent="0.25">
      <c r="A723" t="s">
        <v>327</v>
      </c>
      <c r="B723">
        <v>2015</v>
      </c>
      <c r="C723" t="s">
        <v>280</v>
      </c>
      <c r="D723">
        <v>59.8</v>
      </c>
      <c r="E723">
        <v>258</v>
      </c>
      <c r="F723">
        <v>236</v>
      </c>
      <c r="H723">
        <v>0</v>
      </c>
      <c r="I723">
        <v>81</v>
      </c>
      <c r="J723">
        <v>5020</v>
      </c>
      <c r="K723">
        <v>21.6</v>
      </c>
      <c r="L723">
        <v>308</v>
      </c>
      <c r="M723">
        <v>78</v>
      </c>
      <c r="O723">
        <v>81</v>
      </c>
      <c r="P723">
        <v>1.1000000000000001</v>
      </c>
      <c r="S723">
        <v>9.5</v>
      </c>
      <c r="T723">
        <v>9.3000000000000007</v>
      </c>
      <c r="W723" t="b">
        <f>COUNT(LifeExpectancyData[[#This Row],[Life expectancy]:[Schooling]])=19</f>
        <v>0</v>
      </c>
    </row>
    <row r="724" spans="1:23" x14ac:dyDescent="0.25">
      <c r="A724" t="s">
        <v>327</v>
      </c>
      <c r="B724">
        <v>2014</v>
      </c>
      <c r="C724" t="s">
        <v>280</v>
      </c>
      <c r="D724">
        <v>59.3</v>
      </c>
      <c r="E724">
        <v>266</v>
      </c>
      <c r="F724">
        <v>237</v>
      </c>
      <c r="G724">
        <v>0.01</v>
      </c>
      <c r="H724">
        <v>0</v>
      </c>
      <c r="I724">
        <v>8</v>
      </c>
      <c r="J724">
        <v>33711</v>
      </c>
      <c r="K724">
        <v>21.1</v>
      </c>
      <c r="L724">
        <v>312</v>
      </c>
      <c r="M724">
        <v>79</v>
      </c>
      <c r="N724">
        <v>4.33</v>
      </c>
      <c r="O724">
        <v>8</v>
      </c>
      <c r="P724">
        <v>1.1000000000000001</v>
      </c>
      <c r="S724">
        <v>9.6999999999999993</v>
      </c>
      <c r="T724">
        <v>9.5</v>
      </c>
      <c r="W724" t="b">
        <f>COUNT(LifeExpectancyData[[#This Row],[Life expectancy]:[Schooling]])=19</f>
        <v>0</v>
      </c>
    </row>
    <row r="725" spans="1:23" x14ac:dyDescent="0.25">
      <c r="A725" t="s">
        <v>327</v>
      </c>
      <c r="B725">
        <v>2013</v>
      </c>
      <c r="C725" t="s">
        <v>280</v>
      </c>
      <c r="D725">
        <v>58.8</v>
      </c>
      <c r="E725">
        <v>272</v>
      </c>
      <c r="F725">
        <v>238</v>
      </c>
      <c r="G725">
        <v>0.01</v>
      </c>
      <c r="H725">
        <v>0</v>
      </c>
      <c r="I725">
        <v>74</v>
      </c>
      <c r="J725">
        <v>88381</v>
      </c>
      <c r="K725">
        <v>2.6</v>
      </c>
      <c r="L725">
        <v>314</v>
      </c>
      <c r="M725">
        <v>74</v>
      </c>
      <c r="N725">
        <v>3.89</v>
      </c>
      <c r="O725">
        <v>74</v>
      </c>
      <c r="P725">
        <v>1.2</v>
      </c>
      <c r="S725">
        <v>9.9</v>
      </c>
      <c r="T725">
        <v>9.6</v>
      </c>
      <c r="W725" t="b">
        <f>COUNT(LifeExpectancyData[[#This Row],[Life expectancy]:[Schooling]])=19</f>
        <v>0</v>
      </c>
    </row>
    <row r="726" spans="1:23" x14ac:dyDescent="0.25">
      <c r="A726" t="s">
        <v>327</v>
      </c>
      <c r="B726">
        <v>2012</v>
      </c>
      <c r="C726" t="s">
        <v>280</v>
      </c>
      <c r="D726">
        <v>58.3</v>
      </c>
      <c r="E726">
        <v>277</v>
      </c>
      <c r="F726">
        <v>239</v>
      </c>
      <c r="G726">
        <v>0.01</v>
      </c>
      <c r="H726">
        <v>0</v>
      </c>
      <c r="I726">
        <v>75</v>
      </c>
      <c r="J726">
        <v>72029</v>
      </c>
      <c r="K726">
        <v>2.1</v>
      </c>
      <c r="L726">
        <v>317</v>
      </c>
      <c r="M726">
        <v>76</v>
      </c>
      <c r="N726">
        <v>3.77</v>
      </c>
      <c r="O726">
        <v>75</v>
      </c>
      <c r="P726">
        <v>1.5</v>
      </c>
      <c r="S726">
        <v>1</v>
      </c>
      <c r="T726">
        <v>9.8000000000000007</v>
      </c>
      <c r="W726" t="b">
        <f>COUNT(LifeExpectancyData[[#This Row],[Life expectancy]:[Schooling]])=19</f>
        <v>0</v>
      </c>
    </row>
    <row r="727" spans="1:23" x14ac:dyDescent="0.25">
      <c r="A727" t="s">
        <v>327</v>
      </c>
      <c r="B727">
        <v>2011</v>
      </c>
      <c r="C727" t="s">
        <v>280</v>
      </c>
      <c r="D727">
        <v>57.9</v>
      </c>
      <c r="E727">
        <v>278</v>
      </c>
      <c r="F727">
        <v>239</v>
      </c>
      <c r="G727">
        <v>1.82</v>
      </c>
      <c r="H727">
        <v>0</v>
      </c>
      <c r="I727">
        <v>74</v>
      </c>
      <c r="J727">
        <v>133802</v>
      </c>
      <c r="K727">
        <v>19.600000000000001</v>
      </c>
      <c r="L727">
        <v>319</v>
      </c>
      <c r="M727">
        <v>77</v>
      </c>
      <c r="N727">
        <v>3.53</v>
      </c>
      <c r="O727">
        <v>74</v>
      </c>
      <c r="P727">
        <v>1.6</v>
      </c>
      <c r="S727">
        <v>1.2</v>
      </c>
      <c r="T727">
        <v>1</v>
      </c>
      <c r="W727" t="b">
        <f>COUNT(LifeExpectancyData[[#This Row],[Life expectancy]:[Schooling]])=19</f>
        <v>0</v>
      </c>
    </row>
    <row r="728" spans="1:23" x14ac:dyDescent="0.25">
      <c r="A728" t="s">
        <v>327</v>
      </c>
      <c r="B728">
        <v>2010</v>
      </c>
      <c r="C728" t="s">
        <v>280</v>
      </c>
      <c r="D728">
        <v>57.4</v>
      </c>
      <c r="E728">
        <v>283</v>
      </c>
      <c r="F728">
        <v>239</v>
      </c>
      <c r="G728">
        <v>1.81</v>
      </c>
      <c r="H728">
        <v>0</v>
      </c>
      <c r="I728">
        <v>6</v>
      </c>
      <c r="J728">
        <v>5407</v>
      </c>
      <c r="K728">
        <v>19.100000000000001</v>
      </c>
      <c r="L728">
        <v>321</v>
      </c>
      <c r="M728">
        <v>76</v>
      </c>
      <c r="N728">
        <v>4.4000000000000004</v>
      </c>
      <c r="O728">
        <v>6</v>
      </c>
      <c r="P728">
        <v>1.6</v>
      </c>
      <c r="S728">
        <v>1.4</v>
      </c>
      <c r="T728">
        <v>1.2</v>
      </c>
      <c r="W728" t="b">
        <f>COUNT(LifeExpectancyData[[#This Row],[Life expectancy]:[Schooling]])=19</f>
        <v>0</v>
      </c>
    </row>
    <row r="729" spans="1:23" x14ac:dyDescent="0.25">
      <c r="A729" t="s">
        <v>327</v>
      </c>
      <c r="B729">
        <v>2009</v>
      </c>
      <c r="C729" t="s">
        <v>280</v>
      </c>
      <c r="D729">
        <v>56.7</v>
      </c>
      <c r="E729">
        <v>292</v>
      </c>
      <c r="F729">
        <v>238</v>
      </c>
      <c r="G729">
        <v>2.13</v>
      </c>
      <c r="H729">
        <v>0</v>
      </c>
      <c r="I729">
        <v>72</v>
      </c>
      <c r="J729">
        <v>57</v>
      </c>
      <c r="K729">
        <v>18.600000000000001</v>
      </c>
      <c r="L729">
        <v>323</v>
      </c>
      <c r="M729">
        <v>78</v>
      </c>
      <c r="N729">
        <v>5.61</v>
      </c>
      <c r="O729">
        <v>72</v>
      </c>
      <c r="P729">
        <v>1.7</v>
      </c>
      <c r="S729">
        <v>1.6</v>
      </c>
      <c r="T729">
        <v>1.4</v>
      </c>
      <c r="W729" t="b">
        <f>COUNT(LifeExpectancyData[[#This Row],[Life expectancy]:[Schooling]])=19</f>
        <v>0</v>
      </c>
    </row>
    <row r="730" spans="1:23" x14ac:dyDescent="0.25">
      <c r="A730" t="s">
        <v>327</v>
      </c>
      <c r="B730">
        <v>2008</v>
      </c>
      <c r="C730" t="s">
        <v>280</v>
      </c>
      <c r="D730">
        <v>56.3</v>
      </c>
      <c r="E730">
        <v>295</v>
      </c>
      <c r="F730">
        <v>237</v>
      </c>
      <c r="G730">
        <v>2.09</v>
      </c>
      <c r="H730">
        <v>0</v>
      </c>
      <c r="I730">
        <v>65</v>
      </c>
      <c r="J730">
        <v>12461</v>
      </c>
      <c r="K730">
        <v>18.2</v>
      </c>
      <c r="L730">
        <v>324</v>
      </c>
      <c r="M730">
        <v>64</v>
      </c>
      <c r="N730">
        <v>4.46</v>
      </c>
      <c r="O730">
        <v>65</v>
      </c>
      <c r="P730">
        <v>1.8</v>
      </c>
      <c r="S730">
        <v>1.8</v>
      </c>
      <c r="T730">
        <v>1.7</v>
      </c>
      <c r="W730" t="b">
        <f>COUNT(LifeExpectancyData[[#This Row],[Life expectancy]:[Schooling]])=19</f>
        <v>0</v>
      </c>
    </row>
    <row r="731" spans="1:23" x14ac:dyDescent="0.25">
      <c r="A731" t="s">
        <v>327</v>
      </c>
      <c r="B731">
        <v>2007</v>
      </c>
      <c r="C731" t="s">
        <v>280</v>
      </c>
      <c r="D731">
        <v>55.7</v>
      </c>
      <c r="E731">
        <v>299</v>
      </c>
      <c r="F731">
        <v>236</v>
      </c>
      <c r="G731">
        <v>1.52</v>
      </c>
      <c r="H731">
        <v>0</v>
      </c>
      <c r="I731">
        <v>7</v>
      </c>
      <c r="J731">
        <v>55577</v>
      </c>
      <c r="K731">
        <v>17.8</v>
      </c>
      <c r="L731">
        <v>326</v>
      </c>
      <c r="M731">
        <v>72</v>
      </c>
      <c r="N731">
        <v>3.61</v>
      </c>
      <c r="O731">
        <v>7</v>
      </c>
      <c r="P731">
        <v>1.9</v>
      </c>
      <c r="S731">
        <v>11.1</v>
      </c>
      <c r="T731">
        <v>1.9</v>
      </c>
      <c r="W731" t="b">
        <f>COUNT(LifeExpectancyData[[#This Row],[Life expectancy]:[Schooling]])=19</f>
        <v>0</v>
      </c>
    </row>
    <row r="732" spans="1:23" x14ac:dyDescent="0.25">
      <c r="A732" t="s">
        <v>327</v>
      </c>
      <c r="B732">
        <v>2006</v>
      </c>
      <c r="C732" t="s">
        <v>280</v>
      </c>
      <c r="D732">
        <v>55</v>
      </c>
      <c r="E732">
        <v>36</v>
      </c>
      <c r="F732">
        <v>235</v>
      </c>
      <c r="G732">
        <v>1.53</v>
      </c>
      <c r="H732">
        <v>0</v>
      </c>
      <c r="J732">
        <v>80123</v>
      </c>
      <c r="K732">
        <v>17.3</v>
      </c>
      <c r="L732">
        <v>327</v>
      </c>
      <c r="M732">
        <v>62</v>
      </c>
      <c r="N732">
        <v>3.39</v>
      </c>
      <c r="O732">
        <v>62</v>
      </c>
      <c r="P732">
        <v>2</v>
      </c>
      <c r="S732">
        <v>11.3</v>
      </c>
      <c r="T732">
        <v>11.1</v>
      </c>
      <c r="W732" t="b">
        <f>COUNT(LifeExpectancyData[[#This Row],[Life expectancy]:[Schooling]])=19</f>
        <v>0</v>
      </c>
    </row>
    <row r="733" spans="1:23" x14ac:dyDescent="0.25">
      <c r="A733" t="s">
        <v>327</v>
      </c>
      <c r="B733">
        <v>2005</v>
      </c>
      <c r="C733" t="s">
        <v>280</v>
      </c>
      <c r="D733">
        <v>54.3</v>
      </c>
      <c r="E733">
        <v>314</v>
      </c>
      <c r="F733">
        <v>233</v>
      </c>
      <c r="G733">
        <v>1.43</v>
      </c>
      <c r="H733">
        <v>0</v>
      </c>
      <c r="J733">
        <v>182485</v>
      </c>
      <c r="K733">
        <v>16.899999999999999</v>
      </c>
      <c r="L733">
        <v>329</v>
      </c>
      <c r="M733">
        <v>6</v>
      </c>
      <c r="N733">
        <v>3.14</v>
      </c>
      <c r="O733">
        <v>6</v>
      </c>
      <c r="P733">
        <v>2</v>
      </c>
      <c r="S733">
        <v>11.5</v>
      </c>
      <c r="T733">
        <v>11.3</v>
      </c>
      <c r="W733" t="b">
        <f>COUNT(LifeExpectancyData[[#This Row],[Life expectancy]:[Schooling]])=19</f>
        <v>0</v>
      </c>
    </row>
    <row r="734" spans="1:23" x14ac:dyDescent="0.25">
      <c r="A734" t="s">
        <v>327</v>
      </c>
      <c r="B734">
        <v>2004</v>
      </c>
      <c r="C734" t="s">
        <v>280</v>
      </c>
      <c r="D734">
        <v>53.5</v>
      </c>
      <c r="E734">
        <v>323</v>
      </c>
      <c r="F734">
        <v>232</v>
      </c>
      <c r="G734">
        <v>1.44</v>
      </c>
      <c r="H734">
        <v>0</v>
      </c>
      <c r="J734">
        <v>44934</v>
      </c>
      <c r="K734">
        <v>16.5</v>
      </c>
      <c r="L734">
        <v>330</v>
      </c>
      <c r="M734">
        <v>52</v>
      </c>
      <c r="N734">
        <v>3.34</v>
      </c>
      <c r="O734">
        <v>54</v>
      </c>
      <c r="P734">
        <v>2.1</v>
      </c>
      <c r="S734">
        <v>11.7</v>
      </c>
      <c r="T734">
        <v>11.5</v>
      </c>
      <c r="W734" t="b">
        <f>COUNT(LifeExpectancyData[[#This Row],[Life expectancy]:[Schooling]])=19</f>
        <v>0</v>
      </c>
    </row>
    <row r="735" spans="1:23" x14ac:dyDescent="0.25">
      <c r="A735" t="s">
        <v>327</v>
      </c>
      <c r="B735">
        <v>2003</v>
      </c>
      <c r="C735" t="s">
        <v>280</v>
      </c>
      <c r="D735">
        <v>52.8</v>
      </c>
      <c r="E735">
        <v>332</v>
      </c>
      <c r="F735">
        <v>231</v>
      </c>
      <c r="G735">
        <v>1.83</v>
      </c>
      <c r="H735">
        <v>0</v>
      </c>
      <c r="J735">
        <v>21956</v>
      </c>
      <c r="K735">
        <v>16.100000000000001</v>
      </c>
      <c r="L735">
        <v>331</v>
      </c>
      <c r="M735">
        <v>47</v>
      </c>
      <c r="N735">
        <v>3.2</v>
      </c>
      <c r="O735">
        <v>41</v>
      </c>
      <c r="P735">
        <v>2.2000000000000002</v>
      </c>
      <c r="S735">
        <v>11.9</v>
      </c>
      <c r="T735">
        <v>11.7</v>
      </c>
      <c r="W735" t="b">
        <f>COUNT(LifeExpectancyData[[#This Row],[Life expectancy]:[Schooling]])=19</f>
        <v>0</v>
      </c>
    </row>
    <row r="736" spans="1:23" x14ac:dyDescent="0.25">
      <c r="A736" t="s">
        <v>327</v>
      </c>
      <c r="B736">
        <v>2002</v>
      </c>
      <c r="C736" t="s">
        <v>280</v>
      </c>
      <c r="D736">
        <v>52.1</v>
      </c>
      <c r="E736">
        <v>341</v>
      </c>
      <c r="F736">
        <v>229</v>
      </c>
      <c r="G736">
        <v>1.85</v>
      </c>
      <c r="H736">
        <v>0</v>
      </c>
      <c r="J736">
        <v>30466</v>
      </c>
      <c r="K736">
        <v>15.7</v>
      </c>
      <c r="L736">
        <v>331</v>
      </c>
      <c r="M736">
        <v>4</v>
      </c>
      <c r="N736">
        <v>2.59</v>
      </c>
      <c r="O736">
        <v>38</v>
      </c>
      <c r="P736">
        <v>2.4</v>
      </c>
      <c r="S736">
        <v>12.1</v>
      </c>
      <c r="T736">
        <v>11.9</v>
      </c>
      <c r="W736" t="b">
        <f>COUNT(LifeExpectancyData[[#This Row],[Life expectancy]:[Schooling]])=19</f>
        <v>0</v>
      </c>
    </row>
    <row r="737" spans="1:23" x14ac:dyDescent="0.25">
      <c r="A737" t="s">
        <v>327</v>
      </c>
      <c r="B737">
        <v>2001</v>
      </c>
      <c r="C737" t="s">
        <v>280</v>
      </c>
      <c r="D737">
        <v>51.8</v>
      </c>
      <c r="E737">
        <v>34</v>
      </c>
      <c r="F737">
        <v>227</v>
      </c>
      <c r="G737">
        <v>1.9</v>
      </c>
      <c r="H737">
        <v>0</v>
      </c>
      <c r="J737">
        <v>8072</v>
      </c>
      <c r="K737">
        <v>15.3</v>
      </c>
      <c r="L737">
        <v>332</v>
      </c>
      <c r="M737">
        <v>3</v>
      </c>
      <c r="N737">
        <v>2.67</v>
      </c>
      <c r="O737">
        <v>3</v>
      </c>
      <c r="P737">
        <v>2.4</v>
      </c>
      <c r="S737">
        <v>12.2</v>
      </c>
      <c r="T737">
        <v>12.1</v>
      </c>
      <c r="W737" t="b">
        <f>COUNT(LifeExpectancyData[[#This Row],[Life expectancy]:[Schooling]])=19</f>
        <v>0</v>
      </c>
    </row>
    <row r="738" spans="1:23" x14ac:dyDescent="0.25">
      <c r="A738" t="s">
        <v>327</v>
      </c>
      <c r="B738">
        <v>2000</v>
      </c>
      <c r="C738" t="s">
        <v>280</v>
      </c>
      <c r="D738">
        <v>51.3</v>
      </c>
      <c r="E738">
        <v>346</v>
      </c>
      <c r="F738">
        <v>226</v>
      </c>
      <c r="G738">
        <v>1.98</v>
      </c>
      <c r="H738">
        <v>0</v>
      </c>
      <c r="J738">
        <v>8282</v>
      </c>
      <c r="K738">
        <v>14.9</v>
      </c>
      <c r="L738">
        <v>332</v>
      </c>
      <c r="M738">
        <v>42</v>
      </c>
      <c r="N738">
        <v>1.45</v>
      </c>
      <c r="O738">
        <v>4</v>
      </c>
      <c r="P738">
        <v>2.5</v>
      </c>
      <c r="S738">
        <v>12.4</v>
      </c>
      <c r="T738">
        <v>12.3</v>
      </c>
      <c r="W738" t="b">
        <f>COUNT(LifeExpectancyData[[#This Row],[Life expectancy]:[Schooling]])=19</f>
        <v>0</v>
      </c>
    </row>
    <row r="739" spans="1:23" x14ac:dyDescent="0.25">
      <c r="A739" t="s">
        <v>328</v>
      </c>
      <c r="B739">
        <v>2015</v>
      </c>
      <c r="C739" t="s">
        <v>288</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COUNT(LifeExpectancyData[[#This Row],[Life expectancy]:[Schooling]])=19</f>
        <v>0</v>
      </c>
    </row>
    <row r="740" spans="1:23" x14ac:dyDescent="0.25">
      <c r="A740" t="s">
        <v>328</v>
      </c>
      <c r="B740">
        <v>2014</v>
      </c>
      <c r="C740" t="s">
        <v>288</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COUNT(LifeExpectancyData[[#This Row],[Life expectancy]:[Schooling]])=19</f>
        <v>0</v>
      </c>
    </row>
    <row r="741" spans="1:23" x14ac:dyDescent="0.25">
      <c r="A741" t="s">
        <v>328</v>
      </c>
      <c r="B741">
        <v>2013</v>
      </c>
      <c r="C741" t="s">
        <v>288</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COUNT(LifeExpectancyData[[#This Row],[Life expectancy]:[Schooling]])=19</f>
        <v>0</v>
      </c>
    </row>
    <row r="742" spans="1:23" x14ac:dyDescent="0.25">
      <c r="A742" t="s">
        <v>328</v>
      </c>
      <c r="B742">
        <v>2012</v>
      </c>
      <c r="C742" t="s">
        <v>288</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COUNT(LifeExpectancyData[[#This Row],[Life expectancy]:[Schooling]])=19</f>
        <v>0</v>
      </c>
    </row>
    <row r="743" spans="1:23" x14ac:dyDescent="0.25">
      <c r="A743" t="s">
        <v>328</v>
      </c>
      <c r="B743">
        <v>2011</v>
      </c>
      <c r="C743" t="s">
        <v>288</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COUNT(LifeExpectancyData[[#This Row],[Life expectancy]:[Schooling]])=19</f>
        <v>0</v>
      </c>
    </row>
    <row r="744" spans="1:23" x14ac:dyDescent="0.25">
      <c r="A744" t="s">
        <v>328</v>
      </c>
      <c r="B744">
        <v>2010</v>
      </c>
      <c r="C744" t="s">
        <v>288</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COUNT(LifeExpectancyData[[#This Row],[Life expectancy]:[Schooling]])=19</f>
        <v>0</v>
      </c>
    </row>
    <row r="745" spans="1:23" x14ac:dyDescent="0.25">
      <c r="A745" t="s">
        <v>328</v>
      </c>
      <c r="B745">
        <v>2009</v>
      </c>
      <c r="C745" t="s">
        <v>288</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COUNT(LifeExpectancyData[[#This Row],[Life expectancy]:[Schooling]])=19</f>
        <v>0</v>
      </c>
    </row>
    <row r="746" spans="1:23" x14ac:dyDescent="0.25">
      <c r="A746" t="s">
        <v>328</v>
      </c>
      <c r="B746">
        <v>2008</v>
      </c>
      <c r="C746" t="s">
        <v>288</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COUNT(LifeExpectancyData[[#This Row],[Life expectancy]:[Schooling]])=19</f>
        <v>0</v>
      </c>
    </row>
    <row r="747" spans="1:23" x14ac:dyDescent="0.25">
      <c r="A747" t="s">
        <v>328</v>
      </c>
      <c r="B747">
        <v>2007</v>
      </c>
      <c r="C747" t="s">
        <v>288</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COUNT(LifeExpectancyData[[#This Row],[Life expectancy]:[Schooling]])=19</f>
        <v>0</v>
      </c>
    </row>
    <row r="748" spans="1:23" x14ac:dyDescent="0.25">
      <c r="A748" t="s">
        <v>328</v>
      </c>
      <c r="B748">
        <v>2006</v>
      </c>
      <c r="C748" t="s">
        <v>288</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COUNT(LifeExpectancyData[[#This Row],[Life expectancy]:[Schooling]])=19</f>
        <v>0</v>
      </c>
    </row>
    <row r="749" spans="1:23" x14ac:dyDescent="0.25">
      <c r="A749" t="s">
        <v>328</v>
      </c>
      <c r="B749">
        <v>2005</v>
      </c>
      <c r="C749" t="s">
        <v>288</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COUNT(LifeExpectancyData[[#This Row],[Life expectancy]:[Schooling]])=19</f>
        <v>0</v>
      </c>
    </row>
    <row r="750" spans="1:23" x14ac:dyDescent="0.25">
      <c r="A750" t="s">
        <v>328</v>
      </c>
      <c r="B750">
        <v>2004</v>
      </c>
      <c r="C750" t="s">
        <v>288</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COUNT(LifeExpectancyData[[#This Row],[Life expectancy]:[Schooling]])=19</f>
        <v>0</v>
      </c>
    </row>
    <row r="751" spans="1:23" x14ac:dyDescent="0.25">
      <c r="A751" t="s">
        <v>328</v>
      </c>
      <c r="B751">
        <v>2003</v>
      </c>
      <c r="C751" t="s">
        <v>288</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COUNT(LifeExpectancyData[[#This Row],[Life expectancy]:[Schooling]])=19</f>
        <v>0</v>
      </c>
    </row>
    <row r="752" spans="1:23" x14ac:dyDescent="0.25">
      <c r="A752" t="s">
        <v>328</v>
      </c>
      <c r="B752">
        <v>2002</v>
      </c>
      <c r="C752" t="s">
        <v>288</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COUNT(LifeExpectancyData[[#This Row],[Life expectancy]:[Schooling]])=19</f>
        <v>0</v>
      </c>
    </row>
    <row r="753" spans="1:23" x14ac:dyDescent="0.25">
      <c r="A753" t="s">
        <v>328</v>
      </c>
      <c r="B753">
        <v>2001</v>
      </c>
      <c r="C753" t="s">
        <v>288</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COUNT(LifeExpectancyData[[#This Row],[Life expectancy]:[Schooling]])=19</f>
        <v>0</v>
      </c>
    </row>
    <row r="754" spans="1:23" x14ac:dyDescent="0.25">
      <c r="A754" t="s">
        <v>328</v>
      </c>
      <c r="B754">
        <v>2000</v>
      </c>
      <c r="C754" t="s">
        <v>288</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COUNT(LifeExpectancyData[[#This Row],[Life expectancy]:[Schooling]])=19</f>
        <v>0</v>
      </c>
    </row>
    <row r="755" spans="1:23" x14ac:dyDescent="0.25">
      <c r="A755" t="s">
        <v>329</v>
      </c>
      <c r="B755">
        <v>2015</v>
      </c>
      <c r="C755" t="s">
        <v>280</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COUNT(LifeExpectancyData[[#This Row],[Life expectancy]:[Schooling]])=19</f>
        <v>0</v>
      </c>
    </row>
    <row r="756" spans="1:23" x14ac:dyDescent="0.25">
      <c r="A756" t="s">
        <v>329</v>
      </c>
      <c r="B756">
        <v>2014</v>
      </c>
      <c r="C756" t="s">
        <v>280</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COUNT(LifeExpectancyData[[#This Row],[Life expectancy]:[Schooling]])=19</f>
        <v>1</v>
      </c>
    </row>
    <row r="757" spans="1:23" x14ac:dyDescent="0.25">
      <c r="A757" t="s">
        <v>329</v>
      </c>
      <c r="B757">
        <v>2013</v>
      </c>
      <c r="C757" t="s">
        <v>280</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COUNT(LifeExpectancyData[[#This Row],[Life expectancy]:[Schooling]])=19</f>
        <v>1</v>
      </c>
    </row>
    <row r="758" spans="1:23" x14ac:dyDescent="0.25">
      <c r="A758" t="s">
        <v>329</v>
      </c>
      <c r="B758">
        <v>2012</v>
      </c>
      <c r="C758" t="s">
        <v>280</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COUNT(LifeExpectancyData[[#This Row],[Life expectancy]:[Schooling]])=19</f>
        <v>1</v>
      </c>
    </row>
    <row r="759" spans="1:23" x14ac:dyDescent="0.25">
      <c r="A759" t="s">
        <v>329</v>
      </c>
      <c r="B759">
        <v>2011</v>
      </c>
      <c r="C759" t="s">
        <v>280</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COUNT(LifeExpectancyData[[#This Row],[Life expectancy]:[Schooling]])=19</f>
        <v>1</v>
      </c>
    </row>
    <row r="760" spans="1:23" x14ac:dyDescent="0.25">
      <c r="A760" t="s">
        <v>329</v>
      </c>
      <c r="B760">
        <v>2010</v>
      </c>
      <c r="C760" t="s">
        <v>280</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COUNT(LifeExpectancyData[[#This Row],[Life expectancy]:[Schooling]])=19</f>
        <v>1</v>
      </c>
    </row>
    <row r="761" spans="1:23" x14ac:dyDescent="0.25">
      <c r="A761" t="s">
        <v>329</v>
      </c>
      <c r="B761">
        <v>2009</v>
      </c>
      <c r="C761" t="s">
        <v>280</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COUNT(LifeExpectancyData[[#This Row],[Life expectancy]:[Schooling]])=19</f>
        <v>1</v>
      </c>
    </row>
    <row r="762" spans="1:23" x14ac:dyDescent="0.25">
      <c r="A762" t="s">
        <v>329</v>
      </c>
      <c r="B762">
        <v>2008</v>
      </c>
      <c r="C762" t="s">
        <v>280</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COUNT(LifeExpectancyData[[#This Row],[Life expectancy]:[Schooling]])=19</f>
        <v>1</v>
      </c>
    </row>
    <row r="763" spans="1:23" x14ac:dyDescent="0.25">
      <c r="A763" t="s">
        <v>329</v>
      </c>
      <c r="B763">
        <v>2007</v>
      </c>
      <c r="C763" t="s">
        <v>280</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COUNT(LifeExpectancyData[[#This Row],[Life expectancy]:[Schooling]])=19</f>
        <v>1</v>
      </c>
    </row>
    <row r="764" spans="1:23" x14ac:dyDescent="0.25">
      <c r="A764" t="s">
        <v>329</v>
      </c>
      <c r="B764">
        <v>2006</v>
      </c>
      <c r="C764" t="s">
        <v>280</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COUNT(LifeExpectancyData[[#This Row],[Life expectancy]:[Schooling]])=19</f>
        <v>0</v>
      </c>
    </row>
    <row r="765" spans="1:23" x14ac:dyDescent="0.25">
      <c r="A765" t="s">
        <v>329</v>
      </c>
      <c r="B765">
        <v>2005</v>
      </c>
      <c r="C765" t="s">
        <v>280</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COUNT(LifeExpectancyData[[#This Row],[Life expectancy]:[Schooling]])=19</f>
        <v>0</v>
      </c>
    </row>
    <row r="766" spans="1:23" x14ac:dyDescent="0.25">
      <c r="A766" t="s">
        <v>329</v>
      </c>
      <c r="B766">
        <v>2004</v>
      </c>
      <c r="C766" t="s">
        <v>280</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COUNT(LifeExpectancyData[[#This Row],[Life expectancy]:[Schooling]])=19</f>
        <v>0</v>
      </c>
    </row>
    <row r="767" spans="1:23" x14ac:dyDescent="0.25">
      <c r="A767" t="s">
        <v>329</v>
      </c>
      <c r="B767">
        <v>2003</v>
      </c>
      <c r="C767" t="s">
        <v>280</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COUNT(LifeExpectancyData[[#This Row],[Life expectancy]:[Schooling]])=19</f>
        <v>0</v>
      </c>
    </row>
    <row r="768" spans="1:23" x14ac:dyDescent="0.25">
      <c r="A768" t="s">
        <v>329</v>
      </c>
      <c r="B768">
        <v>2002</v>
      </c>
      <c r="C768" t="s">
        <v>280</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COUNT(LifeExpectancyData[[#This Row],[Life expectancy]:[Schooling]])=19</f>
        <v>0</v>
      </c>
    </row>
    <row r="769" spans="1:23" x14ac:dyDescent="0.25">
      <c r="A769" t="s">
        <v>329</v>
      </c>
      <c r="B769">
        <v>2001</v>
      </c>
      <c r="C769" t="s">
        <v>280</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COUNT(LifeExpectancyData[[#This Row],[Life expectancy]:[Schooling]])=19</f>
        <v>0</v>
      </c>
    </row>
    <row r="770" spans="1:23" x14ac:dyDescent="0.25">
      <c r="A770" t="s">
        <v>329</v>
      </c>
      <c r="B770">
        <v>2000</v>
      </c>
      <c r="C770" t="s">
        <v>280</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COUNT(LifeExpectancyData[[#This Row],[Life expectancy]:[Schooling]])=19</f>
        <v>0</v>
      </c>
    </row>
    <row r="771" spans="1:23" x14ac:dyDescent="0.25">
      <c r="A771" t="s">
        <v>330</v>
      </c>
      <c r="B771">
        <v>2013</v>
      </c>
      <c r="C771" t="s">
        <v>280</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COUNT(LifeExpectancyData[[#This Row],[Life expectancy]:[Schooling]])=19</f>
        <v>0</v>
      </c>
    </row>
    <row r="772" spans="1:23" x14ac:dyDescent="0.25">
      <c r="A772" t="s">
        <v>331</v>
      </c>
      <c r="B772">
        <v>2015</v>
      </c>
      <c r="C772" t="s">
        <v>280</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COUNT(LifeExpectancyData[[#This Row],[Life expectancy]:[Schooling]])=19</f>
        <v>0</v>
      </c>
    </row>
    <row r="773" spans="1:23" x14ac:dyDescent="0.25">
      <c r="A773" t="s">
        <v>331</v>
      </c>
      <c r="B773">
        <v>2014</v>
      </c>
      <c r="C773" t="s">
        <v>280</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COUNT(LifeExpectancyData[[#This Row],[Life expectancy]:[Schooling]])=19</f>
        <v>1</v>
      </c>
    </row>
    <row r="774" spans="1:23" x14ac:dyDescent="0.25">
      <c r="A774" t="s">
        <v>331</v>
      </c>
      <c r="B774">
        <v>2013</v>
      </c>
      <c r="C774" t="s">
        <v>280</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COUNT(LifeExpectancyData[[#This Row],[Life expectancy]:[Schooling]])=19</f>
        <v>1</v>
      </c>
    </row>
    <row r="775" spans="1:23" x14ac:dyDescent="0.25">
      <c r="A775" t="s">
        <v>331</v>
      </c>
      <c r="B775">
        <v>2012</v>
      </c>
      <c r="C775" t="s">
        <v>280</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COUNT(LifeExpectancyData[[#This Row],[Life expectancy]:[Schooling]])=19</f>
        <v>1</v>
      </c>
    </row>
    <row r="776" spans="1:23" x14ac:dyDescent="0.25">
      <c r="A776" t="s">
        <v>331</v>
      </c>
      <c r="B776">
        <v>2011</v>
      </c>
      <c r="C776" t="s">
        <v>280</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COUNT(LifeExpectancyData[[#This Row],[Life expectancy]:[Schooling]])=19</f>
        <v>1</v>
      </c>
    </row>
    <row r="777" spans="1:23" x14ac:dyDescent="0.25">
      <c r="A777" t="s">
        <v>331</v>
      </c>
      <c r="B777">
        <v>2010</v>
      </c>
      <c r="C777" t="s">
        <v>280</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COUNT(LifeExpectancyData[[#This Row],[Life expectancy]:[Schooling]])=19</f>
        <v>1</v>
      </c>
    </row>
    <row r="778" spans="1:23" x14ac:dyDescent="0.25">
      <c r="A778" t="s">
        <v>331</v>
      </c>
      <c r="B778">
        <v>2009</v>
      </c>
      <c r="C778" t="s">
        <v>280</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COUNT(LifeExpectancyData[[#This Row],[Life expectancy]:[Schooling]])=19</f>
        <v>1</v>
      </c>
    </row>
    <row r="779" spans="1:23" x14ac:dyDescent="0.25">
      <c r="A779" t="s">
        <v>331</v>
      </c>
      <c r="B779">
        <v>2008</v>
      </c>
      <c r="C779" t="s">
        <v>280</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COUNT(LifeExpectancyData[[#This Row],[Life expectancy]:[Schooling]])=19</f>
        <v>1</v>
      </c>
    </row>
    <row r="780" spans="1:23" x14ac:dyDescent="0.25">
      <c r="A780" t="s">
        <v>331</v>
      </c>
      <c r="B780">
        <v>2007</v>
      </c>
      <c r="C780" t="s">
        <v>280</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COUNT(LifeExpectancyData[[#This Row],[Life expectancy]:[Schooling]])=19</f>
        <v>1</v>
      </c>
    </row>
    <row r="781" spans="1:23" x14ac:dyDescent="0.25">
      <c r="A781" t="s">
        <v>331</v>
      </c>
      <c r="B781">
        <v>2006</v>
      </c>
      <c r="C781" t="s">
        <v>280</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COUNT(LifeExpectancyData[[#This Row],[Life expectancy]:[Schooling]])=19</f>
        <v>1</v>
      </c>
    </row>
    <row r="782" spans="1:23" x14ac:dyDescent="0.25">
      <c r="A782" t="s">
        <v>331</v>
      </c>
      <c r="B782">
        <v>2005</v>
      </c>
      <c r="C782" t="s">
        <v>280</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COUNT(LifeExpectancyData[[#This Row],[Life expectancy]:[Schooling]])=19</f>
        <v>1</v>
      </c>
    </row>
    <row r="783" spans="1:23" x14ac:dyDescent="0.25">
      <c r="A783" t="s">
        <v>331</v>
      </c>
      <c r="B783">
        <v>2004</v>
      </c>
      <c r="C783" t="s">
        <v>280</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COUNT(LifeExpectancyData[[#This Row],[Life expectancy]:[Schooling]])=19</f>
        <v>1</v>
      </c>
    </row>
    <row r="784" spans="1:23" x14ac:dyDescent="0.25">
      <c r="A784" t="s">
        <v>331</v>
      </c>
      <c r="B784">
        <v>2003</v>
      </c>
      <c r="C784" t="s">
        <v>280</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COUNT(LifeExpectancyData[[#This Row],[Life expectancy]:[Schooling]])=19</f>
        <v>1</v>
      </c>
    </row>
    <row r="785" spans="1:23" x14ac:dyDescent="0.25">
      <c r="A785" t="s">
        <v>331</v>
      </c>
      <c r="B785">
        <v>2002</v>
      </c>
      <c r="C785" t="s">
        <v>280</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COUNT(LifeExpectancyData[[#This Row],[Life expectancy]:[Schooling]])=19</f>
        <v>1</v>
      </c>
    </row>
    <row r="786" spans="1:23" x14ac:dyDescent="0.25">
      <c r="A786" t="s">
        <v>331</v>
      </c>
      <c r="B786">
        <v>2001</v>
      </c>
      <c r="C786" t="s">
        <v>280</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COUNT(LifeExpectancyData[[#This Row],[Life expectancy]:[Schooling]])=19</f>
        <v>1</v>
      </c>
    </row>
    <row r="787" spans="1:23" x14ac:dyDescent="0.25">
      <c r="A787" t="s">
        <v>331</v>
      </c>
      <c r="B787">
        <v>2000</v>
      </c>
      <c r="C787" t="s">
        <v>280</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COUNT(LifeExpectancyData[[#This Row],[Life expectancy]:[Schooling]])=19</f>
        <v>1</v>
      </c>
    </row>
    <row r="788" spans="1:23" x14ac:dyDescent="0.25">
      <c r="A788" t="s">
        <v>332</v>
      </c>
      <c r="B788">
        <v>2015</v>
      </c>
      <c r="C788" t="s">
        <v>280</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COUNT(LifeExpectancyData[[#This Row],[Life expectancy]:[Schooling]])=19</f>
        <v>0</v>
      </c>
    </row>
    <row r="789" spans="1:23" x14ac:dyDescent="0.25">
      <c r="A789" t="s">
        <v>332</v>
      </c>
      <c r="B789">
        <v>2014</v>
      </c>
      <c r="C789" t="s">
        <v>280</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COUNT(LifeExpectancyData[[#This Row],[Life expectancy]:[Schooling]])=19</f>
        <v>1</v>
      </c>
    </row>
    <row r="790" spans="1:23" x14ac:dyDescent="0.25">
      <c r="A790" t="s">
        <v>332</v>
      </c>
      <c r="B790">
        <v>2013</v>
      </c>
      <c r="C790" t="s">
        <v>280</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COUNT(LifeExpectancyData[[#This Row],[Life expectancy]:[Schooling]])=19</f>
        <v>1</v>
      </c>
    </row>
    <row r="791" spans="1:23" x14ac:dyDescent="0.25">
      <c r="A791" t="s">
        <v>332</v>
      </c>
      <c r="B791">
        <v>2012</v>
      </c>
      <c r="C791" t="s">
        <v>280</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COUNT(LifeExpectancyData[[#This Row],[Life expectancy]:[Schooling]])=19</f>
        <v>1</v>
      </c>
    </row>
    <row r="792" spans="1:23" x14ac:dyDescent="0.25">
      <c r="A792" t="s">
        <v>332</v>
      </c>
      <c r="B792">
        <v>2011</v>
      </c>
      <c r="C792" t="s">
        <v>280</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COUNT(LifeExpectancyData[[#This Row],[Life expectancy]:[Schooling]])=19</f>
        <v>1</v>
      </c>
    </row>
    <row r="793" spans="1:23" x14ac:dyDescent="0.25">
      <c r="A793" t="s">
        <v>332</v>
      </c>
      <c r="B793">
        <v>2010</v>
      </c>
      <c r="C793" t="s">
        <v>280</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COUNT(LifeExpectancyData[[#This Row],[Life expectancy]:[Schooling]])=19</f>
        <v>1</v>
      </c>
    </row>
    <row r="794" spans="1:23" x14ac:dyDescent="0.25">
      <c r="A794" t="s">
        <v>332</v>
      </c>
      <c r="B794">
        <v>2009</v>
      </c>
      <c r="C794" t="s">
        <v>280</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COUNT(LifeExpectancyData[[#This Row],[Life expectancy]:[Schooling]])=19</f>
        <v>1</v>
      </c>
    </row>
    <row r="795" spans="1:23" x14ac:dyDescent="0.25">
      <c r="A795" t="s">
        <v>332</v>
      </c>
      <c r="B795">
        <v>2008</v>
      </c>
      <c r="C795" t="s">
        <v>280</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COUNT(LifeExpectancyData[[#This Row],[Life expectancy]:[Schooling]])=19</f>
        <v>1</v>
      </c>
    </row>
    <row r="796" spans="1:23" x14ac:dyDescent="0.25">
      <c r="A796" t="s">
        <v>332</v>
      </c>
      <c r="B796">
        <v>2007</v>
      </c>
      <c r="C796" t="s">
        <v>280</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COUNT(LifeExpectancyData[[#This Row],[Life expectancy]:[Schooling]])=19</f>
        <v>1</v>
      </c>
    </row>
    <row r="797" spans="1:23" x14ac:dyDescent="0.25">
      <c r="A797" t="s">
        <v>332</v>
      </c>
      <c r="B797">
        <v>2006</v>
      </c>
      <c r="C797" t="s">
        <v>280</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COUNT(LifeExpectancyData[[#This Row],[Life expectancy]:[Schooling]])=19</f>
        <v>1</v>
      </c>
    </row>
    <row r="798" spans="1:23" x14ac:dyDescent="0.25">
      <c r="A798" t="s">
        <v>332</v>
      </c>
      <c r="B798">
        <v>2005</v>
      </c>
      <c r="C798" t="s">
        <v>280</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COUNT(LifeExpectancyData[[#This Row],[Life expectancy]:[Schooling]])=19</f>
        <v>1</v>
      </c>
    </row>
    <row r="799" spans="1:23" x14ac:dyDescent="0.25">
      <c r="A799" t="s">
        <v>332</v>
      </c>
      <c r="B799">
        <v>2004</v>
      </c>
      <c r="C799" t="s">
        <v>280</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COUNT(LifeExpectancyData[[#This Row],[Life expectancy]:[Schooling]])=19</f>
        <v>1</v>
      </c>
    </row>
    <row r="800" spans="1:23" x14ac:dyDescent="0.25">
      <c r="A800" t="s">
        <v>332</v>
      </c>
      <c r="B800">
        <v>2003</v>
      </c>
      <c r="C800" t="s">
        <v>280</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COUNT(LifeExpectancyData[[#This Row],[Life expectancy]:[Schooling]])=19</f>
        <v>1</v>
      </c>
    </row>
    <row r="801" spans="1:23" x14ac:dyDescent="0.25">
      <c r="A801" t="s">
        <v>332</v>
      </c>
      <c r="B801">
        <v>2002</v>
      </c>
      <c r="C801" t="s">
        <v>280</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COUNT(LifeExpectancyData[[#This Row],[Life expectancy]:[Schooling]])=19</f>
        <v>1</v>
      </c>
    </row>
    <row r="802" spans="1:23" x14ac:dyDescent="0.25">
      <c r="A802" t="s">
        <v>332</v>
      </c>
      <c r="B802">
        <v>2001</v>
      </c>
      <c r="C802" t="s">
        <v>280</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COUNT(LifeExpectancyData[[#This Row],[Life expectancy]:[Schooling]])=19</f>
        <v>1</v>
      </c>
    </row>
    <row r="803" spans="1:23" x14ac:dyDescent="0.25">
      <c r="A803" t="s">
        <v>332</v>
      </c>
      <c r="B803">
        <v>2000</v>
      </c>
      <c r="C803" t="s">
        <v>280</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COUNT(LifeExpectancyData[[#This Row],[Life expectancy]:[Schooling]])=19</f>
        <v>1</v>
      </c>
    </row>
    <row r="804" spans="1:23" x14ac:dyDescent="0.25">
      <c r="A804" t="s">
        <v>333</v>
      </c>
      <c r="B804">
        <v>2015</v>
      </c>
      <c r="C804" t="s">
        <v>280</v>
      </c>
      <c r="D804">
        <v>79</v>
      </c>
      <c r="E804">
        <v>159</v>
      </c>
      <c r="F804">
        <v>51</v>
      </c>
      <c r="H804">
        <v>0</v>
      </c>
      <c r="I804">
        <v>93</v>
      </c>
      <c r="J804">
        <v>5432</v>
      </c>
      <c r="K804">
        <v>61.1</v>
      </c>
      <c r="L804">
        <v>60</v>
      </c>
      <c r="M804">
        <v>93</v>
      </c>
      <c r="O804">
        <v>93</v>
      </c>
      <c r="P804">
        <v>0.1</v>
      </c>
      <c r="S804">
        <v>2.8</v>
      </c>
      <c r="T804">
        <v>2.8</v>
      </c>
      <c r="U804">
        <v>0.68799999999999994</v>
      </c>
      <c r="V804">
        <v>13.1</v>
      </c>
      <c r="W804" t="b">
        <f>COUNT(LifeExpectancyData[[#This Row],[Life expectancy]:[Schooling]])=19</f>
        <v>0</v>
      </c>
    </row>
    <row r="805" spans="1:23" x14ac:dyDescent="0.25">
      <c r="A805" t="s">
        <v>333</v>
      </c>
      <c r="B805">
        <v>2014</v>
      </c>
      <c r="C805" t="s">
        <v>280</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COUNT(LifeExpectancyData[[#This Row],[Life expectancy]:[Schooling]])=19</f>
        <v>0</v>
      </c>
    </row>
    <row r="806" spans="1:23" x14ac:dyDescent="0.25">
      <c r="A806" t="s">
        <v>333</v>
      </c>
      <c r="B806">
        <v>2013</v>
      </c>
      <c r="C806" t="s">
        <v>280</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COUNT(LifeExpectancyData[[#This Row],[Life expectancy]:[Schooling]])=19</f>
        <v>0</v>
      </c>
    </row>
    <row r="807" spans="1:23" x14ac:dyDescent="0.25">
      <c r="A807" t="s">
        <v>333</v>
      </c>
      <c r="B807">
        <v>2012</v>
      </c>
      <c r="C807" t="s">
        <v>280</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COUNT(LifeExpectancyData[[#This Row],[Life expectancy]:[Schooling]])=19</f>
        <v>0</v>
      </c>
    </row>
    <row r="808" spans="1:23" x14ac:dyDescent="0.25">
      <c r="A808" t="s">
        <v>333</v>
      </c>
      <c r="B808">
        <v>2011</v>
      </c>
      <c r="C808" t="s">
        <v>280</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COUNT(LifeExpectancyData[[#This Row],[Life expectancy]:[Schooling]])=19</f>
        <v>0</v>
      </c>
    </row>
    <row r="809" spans="1:23" x14ac:dyDescent="0.25">
      <c r="A809" t="s">
        <v>333</v>
      </c>
      <c r="B809">
        <v>2010</v>
      </c>
      <c r="C809" t="s">
        <v>280</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COUNT(LifeExpectancyData[[#This Row],[Life expectancy]:[Schooling]])=19</f>
        <v>0</v>
      </c>
    </row>
    <row r="810" spans="1:23" x14ac:dyDescent="0.25">
      <c r="A810" t="s">
        <v>333</v>
      </c>
      <c r="B810">
        <v>2009</v>
      </c>
      <c r="C810" t="s">
        <v>280</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COUNT(LifeExpectancyData[[#This Row],[Life expectancy]:[Schooling]])=19</f>
        <v>0</v>
      </c>
    </row>
    <row r="811" spans="1:23" x14ac:dyDescent="0.25">
      <c r="A811" t="s">
        <v>333</v>
      </c>
      <c r="B811">
        <v>2008</v>
      </c>
      <c r="C811" t="s">
        <v>280</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COUNT(LifeExpectancyData[[#This Row],[Life expectancy]:[Schooling]])=19</f>
        <v>0</v>
      </c>
    </row>
    <row r="812" spans="1:23" x14ac:dyDescent="0.25">
      <c r="A812" t="s">
        <v>333</v>
      </c>
      <c r="B812">
        <v>2007</v>
      </c>
      <c r="C812" t="s">
        <v>280</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COUNT(LifeExpectancyData[[#This Row],[Life expectancy]:[Schooling]])=19</f>
        <v>0</v>
      </c>
    </row>
    <row r="813" spans="1:23" x14ac:dyDescent="0.25">
      <c r="A813" t="s">
        <v>333</v>
      </c>
      <c r="B813">
        <v>2006</v>
      </c>
      <c r="C813" t="s">
        <v>280</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COUNT(LifeExpectancyData[[#This Row],[Life expectancy]:[Schooling]])=19</f>
        <v>0</v>
      </c>
    </row>
    <row r="814" spans="1:23" x14ac:dyDescent="0.25">
      <c r="A814" t="s">
        <v>333</v>
      </c>
      <c r="B814">
        <v>2005</v>
      </c>
      <c r="C814" t="s">
        <v>280</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COUNT(LifeExpectancyData[[#This Row],[Life expectancy]:[Schooling]])=19</f>
        <v>0</v>
      </c>
    </row>
    <row r="815" spans="1:23" x14ac:dyDescent="0.25">
      <c r="A815" t="s">
        <v>333</v>
      </c>
      <c r="B815">
        <v>2004</v>
      </c>
      <c r="C815" t="s">
        <v>280</v>
      </c>
      <c r="D815">
        <v>69</v>
      </c>
      <c r="E815">
        <v>176</v>
      </c>
      <c r="F815">
        <v>57</v>
      </c>
      <c r="G815">
        <v>0.16</v>
      </c>
      <c r="H815">
        <v>0</v>
      </c>
      <c r="I815">
        <v>97</v>
      </c>
      <c r="J815">
        <v>80</v>
      </c>
      <c r="K815">
        <v>52.9</v>
      </c>
      <c r="L815">
        <v>70</v>
      </c>
      <c r="M815">
        <v>97</v>
      </c>
      <c r="N815">
        <v>5.21</v>
      </c>
      <c r="O815">
        <v>97</v>
      </c>
      <c r="P815">
        <v>0.1</v>
      </c>
      <c r="S815">
        <v>3.3</v>
      </c>
      <c r="T815">
        <v>3.2</v>
      </c>
      <c r="U815">
        <v>0.623</v>
      </c>
      <c r="V815">
        <v>11.2</v>
      </c>
      <c r="W815" t="b">
        <f>COUNT(LifeExpectancyData[[#This Row],[Life expectancy]:[Schooling]])=19</f>
        <v>0</v>
      </c>
    </row>
    <row r="816" spans="1:23" x14ac:dyDescent="0.25">
      <c r="A816" t="s">
        <v>333</v>
      </c>
      <c r="B816">
        <v>2003</v>
      </c>
      <c r="C816" t="s">
        <v>280</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COUNT(LifeExpectancyData[[#This Row],[Life expectancy]:[Schooling]])=19</f>
        <v>0</v>
      </c>
    </row>
    <row r="817" spans="1:23" x14ac:dyDescent="0.25">
      <c r="A817" t="s">
        <v>333</v>
      </c>
      <c r="B817">
        <v>2002</v>
      </c>
      <c r="C817" t="s">
        <v>280</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COUNT(LifeExpectancyData[[#This Row],[Life expectancy]:[Schooling]])=19</f>
        <v>0</v>
      </c>
    </row>
    <row r="818" spans="1:23" x14ac:dyDescent="0.25">
      <c r="A818" t="s">
        <v>333</v>
      </c>
      <c r="B818">
        <v>2001</v>
      </c>
      <c r="C818" t="s">
        <v>280</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COUNT(LifeExpectancyData[[#This Row],[Life expectancy]:[Schooling]])=19</f>
        <v>0</v>
      </c>
    </row>
    <row r="819" spans="1:23" x14ac:dyDescent="0.25">
      <c r="A819" t="s">
        <v>333</v>
      </c>
      <c r="B819">
        <v>2000</v>
      </c>
      <c r="C819" t="s">
        <v>280</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COUNT(LifeExpectancyData[[#This Row],[Life expectancy]:[Schooling]])=19</f>
        <v>0</v>
      </c>
    </row>
    <row r="820" spans="1:23" x14ac:dyDescent="0.25">
      <c r="A820" t="s">
        <v>334</v>
      </c>
      <c r="B820">
        <v>2015</v>
      </c>
      <c r="C820" t="s">
        <v>280</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COUNT(LifeExpectancyData[[#This Row],[Life expectancy]:[Schooling]])=19</f>
        <v>0</v>
      </c>
    </row>
    <row r="821" spans="1:23" x14ac:dyDescent="0.25">
      <c r="A821" t="s">
        <v>334</v>
      </c>
      <c r="B821">
        <v>2014</v>
      </c>
      <c r="C821" t="s">
        <v>280</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COUNT(LifeExpectancyData[[#This Row],[Life expectancy]:[Schooling]])=19</f>
        <v>1</v>
      </c>
    </row>
    <row r="822" spans="1:23" x14ac:dyDescent="0.25">
      <c r="A822" t="s">
        <v>334</v>
      </c>
      <c r="B822">
        <v>2013</v>
      </c>
      <c r="C822" t="s">
        <v>280</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COUNT(LifeExpectancyData[[#This Row],[Life expectancy]:[Schooling]])=19</f>
        <v>1</v>
      </c>
    </row>
    <row r="823" spans="1:23" x14ac:dyDescent="0.25">
      <c r="A823" t="s">
        <v>334</v>
      </c>
      <c r="B823">
        <v>2012</v>
      </c>
      <c r="C823" t="s">
        <v>280</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COUNT(LifeExpectancyData[[#This Row],[Life expectancy]:[Schooling]])=19</f>
        <v>1</v>
      </c>
    </row>
    <row r="824" spans="1:23" x14ac:dyDescent="0.25">
      <c r="A824" t="s">
        <v>334</v>
      </c>
      <c r="B824">
        <v>2011</v>
      </c>
      <c r="C824" t="s">
        <v>280</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COUNT(LifeExpectancyData[[#This Row],[Life expectancy]:[Schooling]])=19</f>
        <v>1</v>
      </c>
    </row>
    <row r="825" spans="1:23" x14ac:dyDescent="0.25">
      <c r="A825" t="s">
        <v>334</v>
      </c>
      <c r="B825">
        <v>2010</v>
      </c>
      <c r="C825" t="s">
        <v>280</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COUNT(LifeExpectancyData[[#This Row],[Life expectancy]:[Schooling]])=19</f>
        <v>1</v>
      </c>
    </row>
    <row r="826" spans="1:23" x14ac:dyDescent="0.25">
      <c r="A826" t="s">
        <v>334</v>
      </c>
      <c r="B826">
        <v>2009</v>
      </c>
      <c r="C826" t="s">
        <v>280</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COUNT(LifeExpectancyData[[#This Row],[Life expectancy]:[Schooling]])=19</f>
        <v>1</v>
      </c>
    </row>
    <row r="827" spans="1:23" x14ac:dyDescent="0.25">
      <c r="A827" t="s">
        <v>334</v>
      </c>
      <c r="B827">
        <v>2008</v>
      </c>
      <c r="C827" t="s">
        <v>280</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COUNT(LifeExpectancyData[[#This Row],[Life expectancy]:[Schooling]])=19</f>
        <v>1</v>
      </c>
    </row>
    <row r="828" spans="1:23" x14ac:dyDescent="0.25">
      <c r="A828" t="s">
        <v>334</v>
      </c>
      <c r="B828">
        <v>2007</v>
      </c>
      <c r="C828" t="s">
        <v>280</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COUNT(LifeExpectancyData[[#This Row],[Life expectancy]:[Schooling]])=19</f>
        <v>1</v>
      </c>
    </row>
    <row r="829" spans="1:23" x14ac:dyDescent="0.25">
      <c r="A829" t="s">
        <v>334</v>
      </c>
      <c r="B829">
        <v>2006</v>
      </c>
      <c r="C829" t="s">
        <v>280</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COUNT(LifeExpectancyData[[#This Row],[Life expectancy]:[Schooling]])=19</f>
        <v>1</v>
      </c>
    </row>
    <row r="830" spans="1:23" x14ac:dyDescent="0.25">
      <c r="A830" t="s">
        <v>334</v>
      </c>
      <c r="B830">
        <v>2005</v>
      </c>
      <c r="C830" t="s">
        <v>280</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COUNT(LifeExpectancyData[[#This Row],[Life expectancy]:[Schooling]])=19</f>
        <v>1</v>
      </c>
    </row>
    <row r="831" spans="1:23" x14ac:dyDescent="0.25">
      <c r="A831" t="s">
        <v>334</v>
      </c>
      <c r="B831">
        <v>2004</v>
      </c>
      <c r="C831" t="s">
        <v>280</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COUNT(LifeExpectancyData[[#This Row],[Life expectancy]:[Schooling]])=19</f>
        <v>1</v>
      </c>
    </row>
    <row r="832" spans="1:23" x14ac:dyDescent="0.25">
      <c r="A832" t="s">
        <v>334</v>
      </c>
      <c r="B832">
        <v>2003</v>
      </c>
      <c r="C832" t="s">
        <v>280</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COUNT(LifeExpectancyData[[#This Row],[Life expectancy]:[Schooling]])=19</f>
        <v>1</v>
      </c>
    </row>
    <row r="833" spans="1:23" x14ac:dyDescent="0.25">
      <c r="A833" t="s">
        <v>334</v>
      </c>
      <c r="B833">
        <v>2002</v>
      </c>
      <c r="C833" t="s">
        <v>280</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COUNT(LifeExpectancyData[[#This Row],[Life expectancy]:[Schooling]])=19</f>
        <v>1</v>
      </c>
    </row>
    <row r="834" spans="1:23" x14ac:dyDescent="0.25">
      <c r="A834" t="s">
        <v>334</v>
      </c>
      <c r="B834">
        <v>2001</v>
      </c>
      <c r="C834" t="s">
        <v>280</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COUNT(LifeExpectancyData[[#This Row],[Life expectancy]:[Schooling]])=19</f>
        <v>1</v>
      </c>
    </row>
    <row r="835" spans="1:23" x14ac:dyDescent="0.25">
      <c r="A835" t="s">
        <v>334</v>
      </c>
      <c r="B835">
        <v>2000</v>
      </c>
      <c r="C835" t="s">
        <v>280</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COUNT(LifeExpectancyData[[#This Row],[Life expectancy]:[Schooling]])=19</f>
        <v>1</v>
      </c>
    </row>
    <row r="836" spans="1:23" x14ac:dyDescent="0.25">
      <c r="A836" t="s">
        <v>335</v>
      </c>
      <c r="B836">
        <v>2015</v>
      </c>
      <c r="C836" t="s">
        <v>280</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COUNT(LifeExpectancyData[[#This Row],[Life expectancy]:[Schooling]])=19</f>
        <v>0</v>
      </c>
    </row>
    <row r="837" spans="1:23" x14ac:dyDescent="0.25">
      <c r="A837" t="s">
        <v>335</v>
      </c>
      <c r="B837">
        <v>2014</v>
      </c>
      <c r="C837" t="s">
        <v>280</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COUNT(LifeExpectancyData[[#This Row],[Life expectancy]:[Schooling]])=19</f>
        <v>1</v>
      </c>
    </row>
    <row r="838" spans="1:23" x14ac:dyDescent="0.25">
      <c r="A838" t="s">
        <v>335</v>
      </c>
      <c r="B838">
        <v>2013</v>
      </c>
      <c r="C838" t="s">
        <v>280</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COUNT(LifeExpectancyData[[#This Row],[Life expectancy]:[Schooling]])=19</f>
        <v>0</v>
      </c>
    </row>
    <row r="839" spans="1:23" x14ac:dyDescent="0.25">
      <c r="A839" t="s">
        <v>335</v>
      </c>
      <c r="B839">
        <v>2012</v>
      </c>
      <c r="C839" t="s">
        <v>280</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COUNT(LifeExpectancyData[[#This Row],[Life expectancy]:[Schooling]])=19</f>
        <v>0</v>
      </c>
    </row>
    <row r="840" spans="1:23" x14ac:dyDescent="0.25">
      <c r="A840" t="s">
        <v>335</v>
      </c>
      <c r="B840">
        <v>2011</v>
      </c>
      <c r="C840" t="s">
        <v>280</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COUNT(LifeExpectancyData[[#This Row],[Life expectancy]:[Schooling]])=19</f>
        <v>0</v>
      </c>
    </row>
    <row r="841" spans="1:23" x14ac:dyDescent="0.25">
      <c r="A841" t="s">
        <v>335</v>
      </c>
      <c r="B841">
        <v>2010</v>
      </c>
      <c r="C841" t="s">
        <v>280</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COUNT(LifeExpectancyData[[#This Row],[Life expectancy]:[Schooling]])=19</f>
        <v>0</v>
      </c>
    </row>
    <row r="842" spans="1:23" x14ac:dyDescent="0.25">
      <c r="A842" t="s">
        <v>335</v>
      </c>
      <c r="B842">
        <v>2009</v>
      </c>
      <c r="C842" t="s">
        <v>280</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COUNT(LifeExpectancyData[[#This Row],[Life expectancy]:[Schooling]])=19</f>
        <v>0</v>
      </c>
    </row>
    <row r="843" spans="1:23" x14ac:dyDescent="0.25">
      <c r="A843" t="s">
        <v>335</v>
      </c>
      <c r="B843">
        <v>2008</v>
      </c>
      <c r="C843" t="s">
        <v>280</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COUNT(LifeExpectancyData[[#This Row],[Life expectancy]:[Schooling]])=19</f>
        <v>0</v>
      </c>
    </row>
    <row r="844" spans="1:23" x14ac:dyDescent="0.25">
      <c r="A844" t="s">
        <v>335</v>
      </c>
      <c r="B844">
        <v>2007</v>
      </c>
      <c r="C844" t="s">
        <v>280</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COUNT(LifeExpectancyData[[#This Row],[Life expectancy]:[Schooling]])=19</f>
        <v>0</v>
      </c>
    </row>
    <row r="845" spans="1:23" x14ac:dyDescent="0.25">
      <c r="A845" t="s">
        <v>335</v>
      </c>
      <c r="B845">
        <v>2006</v>
      </c>
      <c r="C845" t="s">
        <v>280</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COUNT(LifeExpectancyData[[#This Row],[Life expectancy]:[Schooling]])=19</f>
        <v>0</v>
      </c>
    </row>
    <row r="846" spans="1:23" x14ac:dyDescent="0.25">
      <c r="A846" t="s">
        <v>335</v>
      </c>
      <c r="B846">
        <v>2005</v>
      </c>
      <c r="C846" t="s">
        <v>280</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COUNT(LifeExpectancyData[[#This Row],[Life expectancy]:[Schooling]])=19</f>
        <v>0</v>
      </c>
    </row>
    <row r="847" spans="1:23" x14ac:dyDescent="0.25">
      <c r="A847" t="s">
        <v>335</v>
      </c>
      <c r="B847">
        <v>2004</v>
      </c>
      <c r="C847" t="s">
        <v>280</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COUNT(LifeExpectancyData[[#This Row],[Life expectancy]:[Schooling]])=19</f>
        <v>0</v>
      </c>
    </row>
    <row r="848" spans="1:23" x14ac:dyDescent="0.25">
      <c r="A848" t="s">
        <v>335</v>
      </c>
      <c r="B848">
        <v>2003</v>
      </c>
      <c r="C848" t="s">
        <v>280</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COUNT(LifeExpectancyData[[#This Row],[Life expectancy]:[Schooling]])=19</f>
        <v>0</v>
      </c>
    </row>
    <row r="849" spans="1:23" x14ac:dyDescent="0.25">
      <c r="A849" t="s">
        <v>335</v>
      </c>
      <c r="B849">
        <v>2002</v>
      </c>
      <c r="C849" t="s">
        <v>280</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COUNT(LifeExpectancyData[[#This Row],[Life expectancy]:[Schooling]])=19</f>
        <v>0</v>
      </c>
    </row>
    <row r="850" spans="1:23" x14ac:dyDescent="0.25">
      <c r="A850" t="s">
        <v>335</v>
      </c>
      <c r="B850">
        <v>2001</v>
      </c>
      <c r="C850" t="s">
        <v>280</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COUNT(LifeExpectancyData[[#This Row],[Life expectancy]:[Schooling]])=19</f>
        <v>0</v>
      </c>
    </row>
    <row r="851" spans="1:23" x14ac:dyDescent="0.25">
      <c r="A851" t="s">
        <v>335</v>
      </c>
      <c r="B851">
        <v>2000</v>
      </c>
      <c r="C851" t="s">
        <v>280</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COUNT(LifeExpectancyData[[#This Row],[Life expectancy]:[Schooling]])=19</f>
        <v>0</v>
      </c>
    </row>
    <row r="852" spans="1:23" x14ac:dyDescent="0.25">
      <c r="A852" t="s">
        <v>336</v>
      </c>
      <c r="B852">
        <v>2015</v>
      </c>
      <c r="C852" t="s">
        <v>280</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COUNT(LifeExpectancyData[[#This Row],[Life expectancy]:[Schooling]])=19</f>
        <v>0</v>
      </c>
    </row>
    <row r="853" spans="1:23" x14ac:dyDescent="0.25">
      <c r="A853" t="s">
        <v>336</v>
      </c>
      <c r="B853">
        <v>2014</v>
      </c>
      <c r="C853" t="s">
        <v>280</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COUNT(LifeExpectancyData[[#This Row],[Life expectancy]:[Schooling]])=19</f>
        <v>0</v>
      </c>
    </row>
    <row r="854" spans="1:23" x14ac:dyDescent="0.25">
      <c r="A854" t="s">
        <v>336</v>
      </c>
      <c r="B854">
        <v>2013</v>
      </c>
      <c r="C854" t="s">
        <v>280</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COUNT(LifeExpectancyData[[#This Row],[Life expectancy]:[Schooling]])=19</f>
        <v>0</v>
      </c>
    </row>
    <row r="855" spans="1:23" x14ac:dyDescent="0.25">
      <c r="A855" t="s">
        <v>336</v>
      </c>
      <c r="B855">
        <v>2012</v>
      </c>
      <c r="C855" t="s">
        <v>280</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COUNT(LifeExpectancyData[[#This Row],[Life expectancy]:[Schooling]])=19</f>
        <v>0</v>
      </c>
    </row>
    <row r="856" spans="1:23" x14ac:dyDescent="0.25">
      <c r="A856" t="s">
        <v>336</v>
      </c>
      <c r="B856">
        <v>2011</v>
      </c>
      <c r="C856" t="s">
        <v>280</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COUNT(LifeExpectancyData[[#This Row],[Life expectancy]:[Schooling]])=19</f>
        <v>1</v>
      </c>
    </row>
    <row r="857" spans="1:23" x14ac:dyDescent="0.25">
      <c r="A857" t="s">
        <v>336</v>
      </c>
      <c r="B857">
        <v>2010</v>
      </c>
      <c r="C857" t="s">
        <v>280</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COUNT(LifeExpectancyData[[#This Row],[Life expectancy]:[Schooling]])=19</f>
        <v>1</v>
      </c>
    </row>
    <row r="858" spans="1:23" x14ac:dyDescent="0.25">
      <c r="A858" t="s">
        <v>336</v>
      </c>
      <c r="B858">
        <v>2009</v>
      </c>
      <c r="C858" t="s">
        <v>280</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COUNT(LifeExpectancyData[[#This Row],[Life expectancy]:[Schooling]])=19</f>
        <v>1</v>
      </c>
    </row>
    <row r="859" spans="1:23" x14ac:dyDescent="0.25">
      <c r="A859" t="s">
        <v>336</v>
      </c>
      <c r="B859">
        <v>2008</v>
      </c>
      <c r="C859" t="s">
        <v>280</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COUNT(LifeExpectancyData[[#This Row],[Life expectancy]:[Schooling]])=19</f>
        <v>1</v>
      </c>
    </row>
    <row r="860" spans="1:23" x14ac:dyDescent="0.25">
      <c r="A860" t="s">
        <v>336</v>
      </c>
      <c r="B860">
        <v>2007</v>
      </c>
      <c r="C860" t="s">
        <v>280</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COUNT(LifeExpectancyData[[#This Row],[Life expectancy]:[Schooling]])=19</f>
        <v>1</v>
      </c>
    </row>
    <row r="861" spans="1:23" x14ac:dyDescent="0.25">
      <c r="A861" t="s">
        <v>336</v>
      </c>
      <c r="B861">
        <v>2006</v>
      </c>
      <c r="C861" t="s">
        <v>280</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COUNT(LifeExpectancyData[[#This Row],[Life expectancy]:[Schooling]])=19</f>
        <v>1</v>
      </c>
    </row>
    <row r="862" spans="1:23" x14ac:dyDescent="0.25">
      <c r="A862" t="s">
        <v>336</v>
      </c>
      <c r="B862">
        <v>2005</v>
      </c>
      <c r="C862" t="s">
        <v>280</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COUNT(LifeExpectancyData[[#This Row],[Life expectancy]:[Schooling]])=19</f>
        <v>1</v>
      </c>
    </row>
    <row r="863" spans="1:23" x14ac:dyDescent="0.25">
      <c r="A863" t="s">
        <v>336</v>
      </c>
      <c r="B863">
        <v>2004</v>
      </c>
      <c r="C863" t="s">
        <v>280</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COUNT(LifeExpectancyData[[#This Row],[Life expectancy]:[Schooling]])=19</f>
        <v>1</v>
      </c>
    </row>
    <row r="864" spans="1:23" x14ac:dyDescent="0.25">
      <c r="A864" t="s">
        <v>336</v>
      </c>
      <c r="B864">
        <v>2003</v>
      </c>
      <c r="C864" t="s">
        <v>280</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COUNT(LifeExpectancyData[[#This Row],[Life expectancy]:[Schooling]])=19</f>
        <v>1</v>
      </c>
    </row>
    <row r="865" spans="1:23" x14ac:dyDescent="0.25">
      <c r="A865" t="s">
        <v>336</v>
      </c>
      <c r="B865">
        <v>2002</v>
      </c>
      <c r="C865" t="s">
        <v>280</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COUNT(LifeExpectancyData[[#This Row],[Life expectancy]:[Schooling]])=19</f>
        <v>1</v>
      </c>
    </row>
    <row r="866" spans="1:23" x14ac:dyDescent="0.25">
      <c r="A866" t="s">
        <v>336</v>
      </c>
      <c r="B866">
        <v>2001</v>
      </c>
      <c r="C866" t="s">
        <v>280</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COUNT(LifeExpectancyData[[#This Row],[Life expectancy]:[Schooling]])=19</f>
        <v>0</v>
      </c>
    </row>
    <row r="867" spans="1:23" x14ac:dyDescent="0.25">
      <c r="A867" t="s">
        <v>336</v>
      </c>
      <c r="B867">
        <v>2000</v>
      </c>
      <c r="C867" t="s">
        <v>280</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COUNT(LifeExpectancyData[[#This Row],[Life expectancy]:[Schooling]])=19</f>
        <v>0</v>
      </c>
    </row>
    <row r="868" spans="1:23" x14ac:dyDescent="0.25">
      <c r="A868" t="s">
        <v>337</v>
      </c>
      <c r="B868">
        <v>2015</v>
      </c>
      <c r="C868" t="s">
        <v>280</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COUNT(LifeExpectancyData[[#This Row],[Life expectancy]:[Schooling]])=19</f>
        <v>0</v>
      </c>
    </row>
    <row r="869" spans="1:23" x14ac:dyDescent="0.25">
      <c r="A869" t="s">
        <v>337</v>
      </c>
      <c r="B869">
        <v>2014</v>
      </c>
      <c r="C869" t="s">
        <v>280</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COUNT(LifeExpectancyData[[#This Row],[Life expectancy]:[Schooling]])=19</f>
        <v>1</v>
      </c>
    </row>
    <row r="870" spans="1:23" x14ac:dyDescent="0.25">
      <c r="A870" t="s">
        <v>337</v>
      </c>
      <c r="B870">
        <v>2013</v>
      </c>
      <c r="C870" t="s">
        <v>280</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COUNT(LifeExpectancyData[[#This Row],[Life expectancy]:[Schooling]])=19</f>
        <v>1</v>
      </c>
    </row>
    <row r="871" spans="1:23" x14ac:dyDescent="0.25">
      <c r="A871" t="s">
        <v>337</v>
      </c>
      <c r="B871">
        <v>2012</v>
      </c>
      <c r="C871" t="s">
        <v>280</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COUNT(LifeExpectancyData[[#This Row],[Life expectancy]:[Schooling]])=19</f>
        <v>1</v>
      </c>
    </row>
    <row r="872" spans="1:23" x14ac:dyDescent="0.25">
      <c r="A872" t="s">
        <v>337</v>
      </c>
      <c r="B872">
        <v>2011</v>
      </c>
      <c r="C872" t="s">
        <v>280</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COUNT(LifeExpectancyData[[#This Row],[Life expectancy]:[Schooling]])=19</f>
        <v>1</v>
      </c>
    </row>
    <row r="873" spans="1:23" x14ac:dyDescent="0.25">
      <c r="A873" t="s">
        <v>337</v>
      </c>
      <c r="B873">
        <v>2010</v>
      </c>
      <c r="C873" t="s">
        <v>280</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COUNT(LifeExpectancyData[[#This Row],[Life expectancy]:[Schooling]])=19</f>
        <v>1</v>
      </c>
    </row>
    <row r="874" spans="1:23" x14ac:dyDescent="0.25">
      <c r="A874" t="s">
        <v>337</v>
      </c>
      <c r="B874">
        <v>2009</v>
      </c>
      <c r="C874" t="s">
        <v>280</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COUNT(LifeExpectancyData[[#This Row],[Life expectancy]:[Schooling]])=19</f>
        <v>1</v>
      </c>
    </row>
    <row r="875" spans="1:23" x14ac:dyDescent="0.25">
      <c r="A875" t="s">
        <v>337</v>
      </c>
      <c r="B875">
        <v>2008</v>
      </c>
      <c r="C875" t="s">
        <v>280</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COUNT(LifeExpectancyData[[#This Row],[Life expectancy]:[Schooling]])=19</f>
        <v>1</v>
      </c>
    </row>
    <row r="876" spans="1:23" x14ac:dyDescent="0.25">
      <c r="A876" t="s">
        <v>337</v>
      </c>
      <c r="B876">
        <v>2007</v>
      </c>
      <c r="C876" t="s">
        <v>280</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COUNT(LifeExpectancyData[[#This Row],[Life expectancy]:[Schooling]])=19</f>
        <v>1</v>
      </c>
    </row>
    <row r="877" spans="1:23" x14ac:dyDescent="0.25">
      <c r="A877" t="s">
        <v>337</v>
      </c>
      <c r="B877">
        <v>2006</v>
      </c>
      <c r="C877" t="s">
        <v>280</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COUNT(LifeExpectancyData[[#This Row],[Life expectancy]:[Schooling]])=19</f>
        <v>1</v>
      </c>
    </row>
    <row r="878" spans="1:23" x14ac:dyDescent="0.25">
      <c r="A878" t="s">
        <v>337</v>
      </c>
      <c r="B878">
        <v>2005</v>
      </c>
      <c r="C878" t="s">
        <v>280</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COUNT(LifeExpectancyData[[#This Row],[Life expectancy]:[Schooling]])=19</f>
        <v>1</v>
      </c>
    </row>
    <row r="879" spans="1:23" x14ac:dyDescent="0.25">
      <c r="A879" t="s">
        <v>337</v>
      </c>
      <c r="B879">
        <v>2004</v>
      </c>
      <c r="C879" t="s">
        <v>280</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COUNT(LifeExpectancyData[[#This Row],[Life expectancy]:[Schooling]])=19</f>
        <v>1</v>
      </c>
    </row>
    <row r="880" spans="1:23" x14ac:dyDescent="0.25">
      <c r="A880" t="s">
        <v>337</v>
      </c>
      <c r="B880">
        <v>2003</v>
      </c>
      <c r="C880" t="s">
        <v>280</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COUNT(LifeExpectancyData[[#This Row],[Life expectancy]:[Schooling]])=19</f>
        <v>0</v>
      </c>
    </row>
    <row r="881" spans="1:23" x14ac:dyDescent="0.25">
      <c r="A881" t="s">
        <v>337</v>
      </c>
      <c r="B881">
        <v>2002</v>
      </c>
      <c r="C881" t="s">
        <v>280</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COUNT(LifeExpectancyData[[#This Row],[Life expectancy]:[Schooling]])=19</f>
        <v>0</v>
      </c>
    </row>
    <row r="882" spans="1:23" x14ac:dyDescent="0.25">
      <c r="A882" t="s">
        <v>337</v>
      </c>
      <c r="B882">
        <v>2001</v>
      </c>
      <c r="C882" t="s">
        <v>280</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COUNT(LifeExpectancyData[[#This Row],[Life expectancy]:[Schooling]])=19</f>
        <v>0</v>
      </c>
    </row>
    <row r="883" spans="1:23" x14ac:dyDescent="0.25">
      <c r="A883" t="s">
        <v>337</v>
      </c>
      <c r="B883">
        <v>2000</v>
      </c>
      <c r="C883" t="s">
        <v>280</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COUNT(LifeExpectancyData[[#This Row],[Life expectancy]:[Schooling]])=19</f>
        <v>0</v>
      </c>
    </row>
    <row r="884" spans="1:23" x14ac:dyDescent="0.25">
      <c r="A884" t="s">
        <v>338</v>
      </c>
      <c r="B884">
        <v>2015</v>
      </c>
      <c r="C884" t="s">
        <v>280</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COUNT(LifeExpectancyData[[#This Row],[Life expectancy]:[Schooling]])=19</f>
        <v>0</v>
      </c>
    </row>
    <row r="885" spans="1:23" x14ac:dyDescent="0.25">
      <c r="A885" t="s">
        <v>338</v>
      </c>
      <c r="B885">
        <v>2014</v>
      </c>
      <c r="C885" t="s">
        <v>280</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COUNT(LifeExpectancyData[[#This Row],[Life expectancy]:[Schooling]])=19</f>
        <v>1</v>
      </c>
    </row>
    <row r="886" spans="1:23" x14ac:dyDescent="0.25">
      <c r="A886" t="s">
        <v>338</v>
      </c>
      <c r="B886">
        <v>2013</v>
      </c>
      <c r="C886" t="s">
        <v>280</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COUNT(LifeExpectancyData[[#This Row],[Life expectancy]:[Schooling]])=19</f>
        <v>1</v>
      </c>
    </row>
    <row r="887" spans="1:23" x14ac:dyDescent="0.25">
      <c r="A887" t="s">
        <v>338</v>
      </c>
      <c r="B887">
        <v>2012</v>
      </c>
      <c r="C887" t="s">
        <v>280</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COUNT(LifeExpectancyData[[#This Row],[Life expectancy]:[Schooling]])=19</f>
        <v>1</v>
      </c>
    </row>
    <row r="888" spans="1:23" x14ac:dyDescent="0.25">
      <c r="A888" t="s">
        <v>338</v>
      </c>
      <c r="B888">
        <v>2011</v>
      </c>
      <c r="C888" t="s">
        <v>280</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COUNT(LifeExpectancyData[[#This Row],[Life expectancy]:[Schooling]])=19</f>
        <v>1</v>
      </c>
    </row>
    <row r="889" spans="1:23" x14ac:dyDescent="0.25">
      <c r="A889" t="s">
        <v>338</v>
      </c>
      <c r="B889">
        <v>2010</v>
      </c>
      <c r="C889" t="s">
        <v>280</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COUNT(LifeExpectancyData[[#This Row],[Life expectancy]:[Schooling]])=19</f>
        <v>1</v>
      </c>
    </row>
    <row r="890" spans="1:23" x14ac:dyDescent="0.25">
      <c r="A890" t="s">
        <v>338</v>
      </c>
      <c r="B890">
        <v>2009</v>
      </c>
      <c r="C890" t="s">
        <v>280</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COUNT(LifeExpectancyData[[#This Row],[Life expectancy]:[Schooling]])=19</f>
        <v>1</v>
      </c>
    </row>
    <row r="891" spans="1:23" x14ac:dyDescent="0.25">
      <c r="A891" t="s">
        <v>338</v>
      </c>
      <c r="B891">
        <v>2008</v>
      </c>
      <c r="C891" t="s">
        <v>280</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COUNT(LifeExpectancyData[[#This Row],[Life expectancy]:[Schooling]])=19</f>
        <v>1</v>
      </c>
    </row>
    <row r="892" spans="1:23" x14ac:dyDescent="0.25">
      <c r="A892" t="s">
        <v>338</v>
      </c>
      <c r="B892">
        <v>2007</v>
      </c>
      <c r="C892" t="s">
        <v>280</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COUNT(LifeExpectancyData[[#This Row],[Life expectancy]:[Schooling]])=19</f>
        <v>1</v>
      </c>
    </row>
    <row r="893" spans="1:23" x14ac:dyDescent="0.25">
      <c r="A893" t="s">
        <v>338</v>
      </c>
      <c r="B893">
        <v>2006</v>
      </c>
      <c r="C893" t="s">
        <v>280</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COUNT(LifeExpectancyData[[#This Row],[Life expectancy]:[Schooling]])=19</f>
        <v>0</v>
      </c>
    </row>
    <row r="894" spans="1:23" x14ac:dyDescent="0.25">
      <c r="A894" t="s">
        <v>338</v>
      </c>
      <c r="B894">
        <v>2005</v>
      </c>
      <c r="C894" t="s">
        <v>280</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COUNT(LifeExpectancyData[[#This Row],[Life expectancy]:[Schooling]])=19</f>
        <v>0</v>
      </c>
    </row>
    <row r="895" spans="1:23" x14ac:dyDescent="0.25">
      <c r="A895" t="s">
        <v>338</v>
      </c>
      <c r="B895">
        <v>2004</v>
      </c>
      <c r="C895" t="s">
        <v>280</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COUNT(LifeExpectancyData[[#This Row],[Life expectancy]:[Schooling]])=19</f>
        <v>0</v>
      </c>
    </row>
    <row r="896" spans="1:23" x14ac:dyDescent="0.25">
      <c r="A896" t="s">
        <v>338</v>
      </c>
      <c r="B896">
        <v>2003</v>
      </c>
      <c r="C896" t="s">
        <v>280</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COUNT(LifeExpectancyData[[#This Row],[Life expectancy]:[Schooling]])=19</f>
        <v>0</v>
      </c>
    </row>
    <row r="897" spans="1:23" x14ac:dyDescent="0.25">
      <c r="A897" t="s">
        <v>338</v>
      </c>
      <c r="B897">
        <v>2002</v>
      </c>
      <c r="C897" t="s">
        <v>280</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COUNT(LifeExpectancyData[[#This Row],[Life expectancy]:[Schooling]])=19</f>
        <v>0</v>
      </c>
    </row>
    <row r="898" spans="1:23" x14ac:dyDescent="0.25">
      <c r="A898" t="s">
        <v>338</v>
      </c>
      <c r="B898">
        <v>2001</v>
      </c>
      <c r="C898" t="s">
        <v>280</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COUNT(LifeExpectancyData[[#This Row],[Life expectancy]:[Schooling]])=19</f>
        <v>0</v>
      </c>
    </row>
    <row r="899" spans="1:23" x14ac:dyDescent="0.25">
      <c r="A899" t="s">
        <v>338</v>
      </c>
      <c r="B899">
        <v>2000</v>
      </c>
      <c r="C899" t="s">
        <v>280</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COUNT(LifeExpectancyData[[#This Row],[Life expectancy]:[Schooling]])=19</f>
        <v>0</v>
      </c>
    </row>
    <row r="900" spans="1:23" x14ac:dyDescent="0.25">
      <c r="A900" t="s">
        <v>339</v>
      </c>
      <c r="B900">
        <v>2015</v>
      </c>
      <c r="C900" t="s">
        <v>280</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COUNT(LifeExpectancyData[[#This Row],[Life expectancy]:[Schooling]])=19</f>
        <v>0</v>
      </c>
    </row>
    <row r="901" spans="1:23" x14ac:dyDescent="0.25">
      <c r="A901" t="s">
        <v>339</v>
      </c>
      <c r="B901">
        <v>2014</v>
      </c>
      <c r="C901" t="s">
        <v>280</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COUNT(LifeExpectancyData[[#This Row],[Life expectancy]:[Schooling]])=19</f>
        <v>1</v>
      </c>
    </row>
    <row r="902" spans="1:23" x14ac:dyDescent="0.25">
      <c r="A902" t="s">
        <v>339</v>
      </c>
      <c r="B902">
        <v>2013</v>
      </c>
      <c r="C902" t="s">
        <v>280</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COUNT(LifeExpectancyData[[#This Row],[Life expectancy]:[Schooling]])=19</f>
        <v>1</v>
      </c>
    </row>
    <row r="903" spans="1:23" x14ac:dyDescent="0.25">
      <c r="A903" t="s">
        <v>339</v>
      </c>
      <c r="B903">
        <v>2012</v>
      </c>
      <c r="C903" t="s">
        <v>280</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COUNT(LifeExpectancyData[[#This Row],[Life expectancy]:[Schooling]])=19</f>
        <v>1</v>
      </c>
    </row>
    <row r="904" spans="1:23" x14ac:dyDescent="0.25">
      <c r="A904" t="s">
        <v>339</v>
      </c>
      <c r="B904">
        <v>2011</v>
      </c>
      <c r="C904" t="s">
        <v>280</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COUNT(LifeExpectancyData[[#This Row],[Life expectancy]:[Schooling]])=19</f>
        <v>1</v>
      </c>
    </row>
    <row r="905" spans="1:23" x14ac:dyDescent="0.25">
      <c r="A905" t="s">
        <v>339</v>
      </c>
      <c r="B905">
        <v>2010</v>
      </c>
      <c r="C905" t="s">
        <v>280</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COUNT(LifeExpectancyData[[#This Row],[Life expectancy]:[Schooling]])=19</f>
        <v>1</v>
      </c>
    </row>
    <row r="906" spans="1:23" x14ac:dyDescent="0.25">
      <c r="A906" t="s">
        <v>339</v>
      </c>
      <c r="B906">
        <v>2009</v>
      </c>
      <c r="C906" t="s">
        <v>280</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COUNT(LifeExpectancyData[[#This Row],[Life expectancy]:[Schooling]])=19</f>
        <v>1</v>
      </c>
    </row>
    <row r="907" spans="1:23" x14ac:dyDescent="0.25">
      <c r="A907" t="s">
        <v>339</v>
      </c>
      <c r="B907">
        <v>2008</v>
      </c>
      <c r="C907" t="s">
        <v>280</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COUNT(LifeExpectancyData[[#This Row],[Life expectancy]:[Schooling]])=19</f>
        <v>1</v>
      </c>
    </row>
    <row r="908" spans="1:23" x14ac:dyDescent="0.25">
      <c r="A908" t="s">
        <v>339</v>
      </c>
      <c r="B908">
        <v>2007</v>
      </c>
      <c r="C908" t="s">
        <v>280</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COUNT(LifeExpectancyData[[#This Row],[Life expectancy]:[Schooling]])=19</f>
        <v>1</v>
      </c>
    </row>
    <row r="909" spans="1:23" x14ac:dyDescent="0.25">
      <c r="A909" t="s">
        <v>339</v>
      </c>
      <c r="B909">
        <v>2006</v>
      </c>
      <c r="C909" t="s">
        <v>280</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COUNT(LifeExpectancyData[[#This Row],[Life expectancy]:[Schooling]])=19</f>
        <v>1</v>
      </c>
    </row>
    <row r="910" spans="1:23" x14ac:dyDescent="0.25">
      <c r="A910" t="s">
        <v>339</v>
      </c>
      <c r="B910">
        <v>2005</v>
      </c>
      <c r="C910" t="s">
        <v>280</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COUNT(LifeExpectancyData[[#This Row],[Life expectancy]:[Schooling]])=19</f>
        <v>1</v>
      </c>
    </row>
    <row r="911" spans="1:23" x14ac:dyDescent="0.25">
      <c r="A911" t="s">
        <v>339</v>
      </c>
      <c r="B911">
        <v>2004</v>
      </c>
      <c r="C911" t="s">
        <v>280</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COUNT(LifeExpectancyData[[#This Row],[Life expectancy]:[Schooling]])=19</f>
        <v>1</v>
      </c>
    </row>
    <row r="912" spans="1:23" x14ac:dyDescent="0.25">
      <c r="A912" t="s">
        <v>339</v>
      </c>
      <c r="B912">
        <v>2003</v>
      </c>
      <c r="C912" t="s">
        <v>280</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COUNT(LifeExpectancyData[[#This Row],[Life expectancy]:[Schooling]])=19</f>
        <v>1</v>
      </c>
    </row>
    <row r="913" spans="1:23" x14ac:dyDescent="0.25">
      <c r="A913" t="s">
        <v>339</v>
      </c>
      <c r="B913">
        <v>2002</v>
      </c>
      <c r="C913" t="s">
        <v>280</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COUNT(LifeExpectancyData[[#This Row],[Life expectancy]:[Schooling]])=19</f>
        <v>1</v>
      </c>
    </row>
    <row r="914" spans="1:23" x14ac:dyDescent="0.25">
      <c r="A914" t="s">
        <v>339</v>
      </c>
      <c r="B914">
        <v>2001</v>
      </c>
      <c r="C914" t="s">
        <v>280</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COUNT(LifeExpectancyData[[#This Row],[Life expectancy]:[Schooling]])=19</f>
        <v>1</v>
      </c>
    </row>
    <row r="915" spans="1:23" x14ac:dyDescent="0.25">
      <c r="A915" t="s">
        <v>339</v>
      </c>
      <c r="B915">
        <v>2000</v>
      </c>
      <c r="C915" t="s">
        <v>280</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COUNT(LifeExpectancyData[[#This Row],[Life expectancy]:[Schooling]])=19</f>
        <v>1</v>
      </c>
    </row>
    <row r="916" spans="1:23" x14ac:dyDescent="0.25">
      <c r="A916" t="s">
        <v>340</v>
      </c>
      <c r="B916">
        <v>2015</v>
      </c>
      <c r="C916" t="s">
        <v>280</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COUNT(LifeExpectancyData[[#This Row],[Life expectancy]:[Schooling]])=19</f>
        <v>0</v>
      </c>
    </row>
    <row r="917" spans="1:23" x14ac:dyDescent="0.25">
      <c r="A917" t="s">
        <v>340</v>
      </c>
      <c r="B917">
        <v>2014</v>
      </c>
      <c r="C917" t="s">
        <v>280</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COUNT(LifeExpectancyData[[#This Row],[Life expectancy]:[Schooling]])=19</f>
        <v>0</v>
      </c>
    </row>
    <row r="918" spans="1:23" x14ac:dyDescent="0.25">
      <c r="A918" t="s">
        <v>340</v>
      </c>
      <c r="B918">
        <v>2013</v>
      </c>
      <c r="C918" t="s">
        <v>280</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COUNT(LifeExpectancyData[[#This Row],[Life expectancy]:[Schooling]])=19</f>
        <v>0</v>
      </c>
    </row>
    <row r="919" spans="1:23" x14ac:dyDescent="0.25">
      <c r="A919" t="s">
        <v>340</v>
      </c>
      <c r="B919">
        <v>2012</v>
      </c>
      <c r="C919" t="s">
        <v>280</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COUNT(LifeExpectancyData[[#This Row],[Life expectancy]:[Schooling]])=19</f>
        <v>0</v>
      </c>
    </row>
    <row r="920" spans="1:23" x14ac:dyDescent="0.25">
      <c r="A920" t="s">
        <v>340</v>
      </c>
      <c r="B920">
        <v>2011</v>
      </c>
      <c r="C920" t="s">
        <v>280</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COUNT(LifeExpectancyData[[#This Row],[Life expectancy]:[Schooling]])=19</f>
        <v>0</v>
      </c>
    </row>
    <row r="921" spans="1:23" x14ac:dyDescent="0.25">
      <c r="A921" t="s">
        <v>340</v>
      </c>
      <c r="B921">
        <v>2010</v>
      </c>
      <c r="C921" t="s">
        <v>280</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COUNT(LifeExpectancyData[[#This Row],[Life expectancy]:[Schooling]])=19</f>
        <v>0</v>
      </c>
    </row>
    <row r="922" spans="1:23" x14ac:dyDescent="0.25">
      <c r="A922" t="s">
        <v>340</v>
      </c>
      <c r="B922">
        <v>2009</v>
      </c>
      <c r="C922" t="s">
        <v>280</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COUNT(LifeExpectancyData[[#This Row],[Life expectancy]:[Schooling]])=19</f>
        <v>0</v>
      </c>
    </row>
    <row r="923" spans="1:23" x14ac:dyDescent="0.25">
      <c r="A923" t="s">
        <v>340</v>
      </c>
      <c r="B923">
        <v>2008</v>
      </c>
      <c r="C923" t="s">
        <v>280</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COUNT(LifeExpectancyData[[#This Row],[Life expectancy]:[Schooling]])=19</f>
        <v>0</v>
      </c>
    </row>
    <row r="924" spans="1:23" x14ac:dyDescent="0.25">
      <c r="A924" t="s">
        <v>340</v>
      </c>
      <c r="B924">
        <v>2007</v>
      </c>
      <c r="C924" t="s">
        <v>280</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COUNT(LifeExpectancyData[[#This Row],[Life expectancy]:[Schooling]])=19</f>
        <v>0</v>
      </c>
    </row>
    <row r="925" spans="1:23" x14ac:dyDescent="0.25">
      <c r="A925" t="s">
        <v>340</v>
      </c>
      <c r="B925">
        <v>2006</v>
      </c>
      <c r="C925" t="s">
        <v>280</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COUNT(LifeExpectancyData[[#This Row],[Life expectancy]:[Schooling]])=19</f>
        <v>0</v>
      </c>
    </row>
    <row r="926" spans="1:23" x14ac:dyDescent="0.25">
      <c r="A926" t="s">
        <v>340</v>
      </c>
      <c r="B926">
        <v>2005</v>
      </c>
      <c r="C926" t="s">
        <v>280</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COUNT(LifeExpectancyData[[#This Row],[Life expectancy]:[Schooling]])=19</f>
        <v>0</v>
      </c>
    </row>
    <row r="927" spans="1:23" x14ac:dyDescent="0.25">
      <c r="A927" t="s">
        <v>340</v>
      </c>
      <c r="B927">
        <v>2004</v>
      </c>
      <c r="C927" t="s">
        <v>280</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COUNT(LifeExpectancyData[[#This Row],[Life expectancy]:[Schooling]])=19</f>
        <v>0</v>
      </c>
    </row>
    <row r="928" spans="1:23" x14ac:dyDescent="0.25">
      <c r="A928" t="s">
        <v>340</v>
      </c>
      <c r="B928">
        <v>2003</v>
      </c>
      <c r="C928" t="s">
        <v>280</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COUNT(LifeExpectancyData[[#This Row],[Life expectancy]:[Schooling]])=19</f>
        <v>0</v>
      </c>
    </row>
    <row r="929" spans="1:23" x14ac:dyDescent="0.25">
      <c r="A929" t="s">
        <v>340</v>
      </c>
      <c r="B929">
        <v>2002</v>
      </c>
      <c r="C929" t="s">
        <v>280</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COUNT(LifeExpectancyData[[#This Row],[Life expectancy]:[Schooling]])=19</f>
        <v>0</v>
      </c>
    </row>
    <row r="930" spans="1:23" x14ac:dyDescent="0.25">
      <c r="A930" t="s">
        <v>340</v>
      </c>
      <c r="B930">
        <v>2001</v>
      </c>
      <c r="C930" t="s">
        <v>280</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COUNT(LifeExpectancyData[[#This Row],[Life expectancy]:[Schooling]])=19</f>
        <v>0</v>
      </c>
    </row>
    <row r="931" spans="1:23" x14ac:dyDescent="0.25">
      <c r="A931" t="s">
        <v>340</v>
      </c>
      <c r="B931">
        <v>2000</v>
      </c>
      <c r="C931" t="s">
        <v>280</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COUNT(LifeExpectancyData[[#This Row],[Life expectancy]:[Schooling]])=19</f>
        <v>0</v>
      </c>
    </row>
    <row r="932" spans="1:23" x14ac:dyDescent="0.25">
      <c r="A932" t="s">
        <v>341</v>
      </c>
      <c r="B932">
        <v>2015</v>
      </c>
      <c r="C932" t="s">
        <v>280</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COUNT(LifeExpectancyData[[#This Row],[Life expectancy]:[Schooling]])=19</f>
        <v>0</v>
      </c>
    </row>
    <row r="933" spans="1:23" x14ac:dyDescent="0.25">
      <c r="A933" t="s">
        <v>341</v>
      </c>
      <c r="B933">
        <v>2014</v>
      </c>
      <c r="C933" t="s">
        <v>280</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COUNT(LifeExpectancyData[[#This Row],[Life expectancy]:[Schooling]])=19</f>
        <v>1</v>
      </c>
    </row>
    <row r="934" spans="1:23" x14ac:dyDescent="0.25">
      <c r="A934" t="s">
        <v>341</v>
      </c>
      <c r="B934">
        <v>2013</v>
      </c>
      <c r="C934" t="s">
        <v>280</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COUNT(LifeExpectancyData[[#This Row],[Life expectancy]:[Schooling]])=19</f>
        <v>1</v>
      </c>
    </row>
    <row r="935" spans="1:23" x14ac:dyDescent="0.25">
      <c r="A935" t="s">
        <v>341</v>
      </c>
      <c r="B935">
        <v>2012</v>
      </c>
      <c r="C935" t="s">
        <v>280</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COUNT(LifeExpectancyData[[#This Row],[Life expectancy]:[Schooling]])=19</f>
        <v>1</v>
      </c>
    </row>
    <row r="936" spans="1:23" x14ac:dyDescent="0.25">
      <c r="A936" t="s">
        <v>341</v>
      </c>
      <c r="B936">
        <v>2011</v>
      </c>
      <c r="C936" t="s">
        <v>280</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COUNT(LifeExpectancyData[[#This Row],[Life expectancy]:[Schooling]])=19</f>
        <v>1</v>
      </c>
    </row>
    <row r="937" spans="1:23" x14ac:dyDescent="0.25">
      <c r="A937" t="s">
        <v>341</v>
      </c>
      <c r="B937">
        <v>2010</v>
      </c>
      <c r="C937" t="s">
        <v>280</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COUNT(LifeExpectancyData[[#This Row],[Life expectancy]:[Schooling]])=19</f>
        <v>1</v>
      </c>
    </row>
    <row r="938" spans="1:23" x14ac:dyDescent="0.25">
      <c r="A938" t="s">
        <v>341</v>
      </c>
      <c r="B938">
        <v>2009</v>
      </c>
      <c r="C938" t="s">
        <v>280</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COUNT(LifeExpectancyData[[#This Row],[Life expectancy]:[Schooling]])=19</f>
        <v>1</v>
      </c>
    </row>
    <row r="939" spans="1:23" x14ac:dyDescent="0.25">
      <c r="A939" t="s">
        <v>341</v>
      </c>
      <c r="B939">
        <v>2008</v>
      </c>
      <c r="C939" t="s">
        <v>280</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COUNT(LifeExpectancyData[[#This Row],[Life expectancy]:[Schooling]])=19</f>
        <v>1</v>
      </c>
    </row>
    <row r="940" spans="1:23" x14ac:dyDescent="0.25">
      <c r="A940" t="s">
        <v>341</v>
      </c>
      <c r="B940">
        <v>2007</v>
      </c>
      <c r="C940" t="s">
        <v>280</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COUNT(LifeExpectancyData[[#This Row],[Life expectancy]:[Schooling]])=19</f>
        <v>1</v>
      </c>
    </row>
    <row r="941" spans="1:23" x14ac:dyDescent="0.25">
      <c r="A941" t="s">
        <v>341</v>
      </c>
      <c r="B941">
        <v>2006</v>
      </c>
      <c r="C941" t="s">
        <v>280</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COUNT(LifeExpectancyData[[#This Row],[Life expectancy]:[Schooling]])=19</f>
        <v>1</v>
      </c>
    </row>
    <row r="942" spans="1:23" x14ac:dyDescent="0.25">
      <c r="A942" t="s">
        <v>341</v>
      </c>
      <c r="B942">
        <v>2005</v>
      </c>
      <c r="C942" t="s">
        <v>280</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COUNT(LifeExpectancyData[[#This Row],[Life expectancy]:[Schooling]])=19</f>
        <v>1</v>
      </c>
    </row>
    <row r="943" spans="1:23" x14ac:dyDescent="0.25">
      <c r="A943" t="s">
        <v>341</v>
      </c>
      <c r="B943">
        <v>2004</v>
      </c>
      <c r="C943" t="s">
        <v>280</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COUNT(LifeExpectancyData[[#This Row],[Life expectancy]:[Schooling]])=19</f>
        <v>1</v>
      </c>
    </row>
    <row r="944" spans="1:23" x14ac:dyDescent="0.25">
      <c r="A944" t="s">
        <v>341</v>
      </c>
      <c r="B944">
        <v>2003</v>
      </c>
      <c r="C944" t="s">
        <v>280</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COUNT(LifeExpectancyData[[#This Row],[Life expectancy]:[Schooling]])=19</f>
        <v>1</v>
      </c>
    </row>
    <row r="945" spans="1:23" x14ac:dyDescent="0.25">
      <c r="A945" t="s">
        <v>341</v>
      </c>
      <c r="B945">
        <v>2002</v>
      </c>
      <c r="C945" t="s">
        <v>280</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COUNT(LifeExpectancyData[[#This Row],[Life expectancy]:[Schooling]])=19</f>
        <v>1</v>
      </c>
    </row>
    <row r="946" spans="1:23" x14ac:dyDescent="0.25">
      <c r="A946" t="s">
        <v>341</v>
      </c>
      <c r="B946">
        <v>2001</v>
      </c>
      <c r="C946" t="s">
        <v>280</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COUNT(LifeExpectancyData[[#This Row],[Life expectancy]:[Schooling]])=19</f>
        <v>1</v>
      </c>
    </row>
    <row r="947" spans="1:23" x14ac:dyDescent="0.25">
      <c r="A947" t="s">
        <v>341</v>
      </c>
      <c r="B947">
        <v>2000</v>
      </c>
      <c r="C947" t="s">
        <v>280</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COUNT(LifeExpectancyData[[#This Row],[Life expectancy]:[Schooling]])=19</f>
        <v>1</v>
      </c>
    </row>
    <row r="948" spans="1:23" x14ac:dyDescent="0.25">
      <c r="A948" t="s">
        <v>342</v>
      </c>
      <c r="B948">
        <v>2015</v>
      </c>
      <c r="C948" t="s">
        <v>280</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COUNT(LifeExpectancyData[[#This Row],[Life expectancy]:[Schooling]])=19</f>
        <v>0</v>
      </c>
    </row>
    <row r="949" spans="1:23" x14ac:dyDescent="0.25">
      <c r="A949" t="s">
        <v>342</v>
      </c>
      <c r="B949">
        <v>2014</v>
      </c>
      <c r="C949" t="s">
        <v>280</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COUNT(LifeExpectancyData[[#This Row],[Life expectancy]:[Schooling]])=19</f>
        <v>1</v>
      </c>
    </row>
    <row r="950" spans="1:23" x14ac:dyDescent="0.25">
      <c r="A950" t="s">
        <v>342</v>
      </c>
      <c r="B950">
        <v>2013</v>
      </c>
      <c r="C950" t="s">
        <v>280</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COUNT(LifeExpectancyData[[#This Row],[Life expectancy]:[Schooling]])=19</f>
        <v>1</v>
      </c>
    </row>
    <row r="951" spans="1:23" x14ac:dyDescent="0.25">
      <c r="A951" t="s">
        <v>342</v>
      </c>
      <c r="B951">
        <v>2012</v>
      </c>
      <c r="C951" t="s">
        <v>280</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COUNT(LifeExpectancyData[[#This Row],[Life expectancy]:[Schooling]])=19</f>
        <v>1</v>
      </c>
    </row>
    <row r="952" spans="1:23" x14ac:dyDescent="0.25">
      <c r="A952" t="s">
        <v>342</v>
      </c>
      <c r="B952">
        <v>2011</v>
      </c>
      <c r="C952" t="s">
        <v>280</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COUNT(LifeExpectancyData[[#This Row],[Life expectancy]:[Schooling]])=19</f>
        <v>1</v>
      </c>
    </row>
    <row r="953" spans="1:23" x14ac:dyDescent="0.25">
      <c r="A953" t="s">
        <v>342</v>
      </c>
      <c r="B953">
        <v>2010</v>
      </c>
      <c r="C953" t="s">
        <v>280</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COUNT(LifeExpectancyData[[#This Row],[Life expectancy]:[Schooling]])=19</f>
        <v>1</v>
      </c>
    </row>
    <row r="954" spans="1:23" x14ac:dyDescent="0.25">
      <c r="A954" t="s">
        <v>342</v>
      </c>
      <c r="B954">
        <v>2009</v>
      </c>
      <c r="C954" t="s">
        <v>280</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COUNT(LifeExpectancyData[[#This Row],[Life expectancy]:[Schooling]])=19</f>
        <v>1</v>
      </c>
    </row>
    <row r="955" spans="1:23" x14ac:dyDescent="0.25">
      <c r="A955" t="s">
        <v>342</v>
      </c>
      <c r="B955">
        <v>2008</v>
      </c>
      <c r="C955" t="s">
        <v>280</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COUNT(LifeExpectancyData[[#This Row],[Life expectancy]:[Schooling]])=19</f>
        <v>1</v>
      </c>
    </row>
    <row r="956" spans="1:23" x14ac:dyDescent="0.25">
      <c r="A956" t="s">
        <v>342</v>
      </c>
      <c r="B956">
        <v>2007</v>
      </c>
      <c r="C956" t="s">
        <v>280</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COUNT(LifeExpectancyData[[#This Row],[Life expectancy]:[Schooling]])=19</f>
        <v>1</v>
      </c>
    </row>
    <row r="957" spans="1:23" x14ac:dyDescent="0.25">
      <c r="A957" t="s">
        <v>342</v>
      </c>
      <c r="B957">
        <v>2006</v>
      </c>
      <c r="C957" t="s">
        <v>280</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COUNT(LifeExpectancyData[[#This Row],[Life expectancy]:[Schooling]])=19</f>
        <v>1</v>
      </c>
    </row>
    <row r="958" spans="1:23" x14ac:dyDescent="0.25">
      <c r="A958" t="s">
        <v>342</v>
      </c>
      <c r="B958">
        <v>2005</v>
      </c>
      <c r="C958" t="s">
        <v>280</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COUNT(LifeExpectancyData[[#This Row],[Life expectancy]:[Schooling]])=19</f>
        <v>1</v>
      </c>
    </row>
    <row r="959" spans="1:23" x14ac:dyDescent="0.25">
      <c r="A959" t="s">
        <v>342</v>
      </c>
      <c r="B959">
        <v>2004</v>
      </c>
      <c r="C959" t="s">
        <v>280</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COUNT(LifeExpectancyData[[#This Row],[Life expectancy]:[Schooling]])=19</f>
        <v>0</v>
      </c>
    </row>
    <row r="960" spans="1:23" x14ac:dyDescent="0.25">
      <c r="A960" t="s">
        <v>342</v>
      </c>
      <c r="B960">
        <v>2003</v>
      </c>
      <c r="C960" t="s">
        <v>280</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COUNT(LifeExpectancyData[[#This Row],[Life expectancy]:[Schooling]])=19</f>
        <v>0</v>
      </c>
    </row>
    <row r="961" spans="1:23" x14ac:dyDescent="0.25">
      <c r="A961" t="s">
        <v>342</v>
      </c>
      <c r="B961">
        <v>2002</v>
      </c>
      <c r="C961" t="s">
        <v>280</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COUNT(LifeExpectancyData[[#This Row],[Life expectancy]:[Schooling]])=19</f>
        <v>0</v>
      </c>
    </row>
    <row r="962" spans="1:23" x14ac:dyDescent="0.25">
      <c r="A962" t="s">
        <v>342</v>
      </c>
      <c r="B962">
        <v>2001</v>
      </c>
      <c r="C962" t="s">
        <v>280</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COUNT(LifeExpectancyData[[#This Row],[Life expectancy]:[Schooling]])=19</f>
        <v>0</v>
      </c>
    </row>
    <row r="963" spans="1:23" x14ac:dyDescent="0.25">
      <c r="A963" t="s">
        <v>342</v>
      </c>
      <c r="B963">
        <v>2000</v>
      </c>
      <c r="C963" t="s">
        <v>280</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COUNT(LifeExpectancyData[[#This Row],[Life expectancy]:[Schooling]])=19</f>
        <v>0</v>
      </c>
    </row>
    <row r="964" spans="1:23" x14ac:dyDescent="0.25">
      <c r="A964" t="s">
        <v>343</v>
      </c>
      <c r="B964">
        <v>2015</v>
      </c>
      <c r="C964" t="s">
        <v>280</v>
      </c>
      <c r="D964">
        <v>61.1</v>
      </c>
      <c r="E964">
        <v>262</v>
      </c>
      <c r="F964">
        <v>3</v>
      </c>
      <c r="H964">
        <v>0</v>
      </c>
      <c r="I964">
        <v>97</v>
      </c>
      <c r="J964">
        <v>71</v>
      </c>
      <c r="K964">
        <v>27.3</v>
      </c>
      <c r="L964">
        <v>5</v>
      </c>
      <c r="M964">
        <v>96</v>
      </c>
      <c r="O964">
        <v>97</v>
      </c>
      <c r="P964">
        <v>1.7</v>
      </c>
      <c r="S964">
        <v>7.3</v>
      </c>
      <c r="T964">
        <v>7.2</v>
      </c>
      <c r="U964">
        <v>0.45</v>
      </c>
      <c r="V964">
        <v>8.9</v>
      </c>
      <c r="W964" t="b">
        <f>COUNT(LifeExpectancyData[[#This Row],[Life expectancy]:[Schooling]])=19</f>
        <v>0</v>
      </c>
    </row>
    <row r="965" spans="1:23" x14ac:dyDescent="0.25">
      <c r="A965" t="s">
        <v>343</v>
      </c>
      <c r="B965">
        <v>2014</v>
      </c>
      <c r="C965" t="s">
        <v>280</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COUNT(LifeExpectancyData[[#This Row],[Life expectancy]:[Schooling]])=19</f>
        <v>0</v>
      </c>
    </row>
    <row r="966" spans="1:23" x14ac:dyDescent="0.25">
      <c r="A966" t="s">
        <v>343</v>
      </c>
      <c r="B966">
        <v>2013</v>
      </c>
      <c r="C966" t="s">
        <v>280</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COUNT(LifeExpectancyData[[#This Row],[Life expectancy]:[Schooling]])=19</f>
        <v>0</v>
      </c>
    </row>
    <row r="967" spans="1:23" x14ac:dyDescent="0.25">
      <c r="A967" t="s">
        <v>343</v>
      </c>
      <c r="B967">
        <v>2012</v>
      </c>
      <c r="C967" t="s">
        <v>280</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COUNT(LifeExpectancyData[[#This Row],[Life expectancy]:[Schooling]])=19</f>
        <v>0</v>
      </c>
    </row>
    <row r="968" spans="1:23" x14ac:dyDescent="0.25">
      <c r="A968" t="s">
        <v>343</v>
      </c>
      <c r="B968">
        <v>2011</v>
      </c>
      <c r="C968" t="s">
        <v>280</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COUNT(LifeExpectancyData[[#This Row],[Life expectancy]:[Schooling]])=19</f>
        <v>0</v>
      </c>
    </row>
    <row r="969" spans="1:23" x14ac:dyDescent="0.25">
      <c r="A969" t="s">
        <v>343</v>
      </c>
      <c r="B969">
        <v>2010</v>
      </c>
      <c r="C969" t="s">
        <v>280</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COUNT(LifeExpectancyData[[#This Row],[Life expectancy]:[Schooling]])=19</f>
        <v>0</v>
      </c>
    </row>
    <row r="970" spans="1:23" x14ac:dyDescent="0.25">
      <c r="A970" t="s">
        <v>343</v>
      </c>
      <c r="B970">
        <v>2009</v>
      </c>
      <c r="C970" t="s">
        <v>280</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COUNT(LifeExpectancyData[[#This Row],[Life expectancy]:[Schooling]])=19</f>
        <v>0</v>
      </c>
    </row>
    <row r="971" spans="1:23" x14ac:dyDescent="0.25">
      <c r="A971" t="s">
        <v>343</v>
      </c>
      <c r="B971">
        <v>2008</v>
      </c>
      <c r="C971" t="s">
        <v>280</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COUNT(LifeExpectancyData[[#This Row],[Life expectancy]:[Schooling]])=19</f>
        <v>0</v>
      </c>
    </row>
    <row r="972" spans="1:23" x14ac:dyDescent="0.25">
      <c r="A972" t="s">
        <v>343</v>
      </c>
      <c r="B972">
        <v>2007</v>
      </c>
      <c r="C972" t="s">
        <v>280</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COUNT(LifeExpectancyData[[#This Row],[Life expectancy]:[Schooling]])=19</f>
        <v>0</v>
      </c>
    </row>
    <row r="973" spans="1:23" x14ac:dyDescent="0.25">
      <c r="A973" t="s">
        <v>343</v>
      </c>
      <c r="B973">
        <v>2006</v>
      </c>
      <c r="C973" t="s">
        <v>280</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COUNT(LifeExpectancyData[[#This Row],[Life expectancy]:[Schooling]])=19</f>
        <v>0</v>
      </c>
    </row>
    <row r="974" spans="1:23" x14ac:dyDescent="0.25">
      <c r="A974" t="s">
        <v>343</v>
      </c>
      <c r="B974">
        <v>2005</v>
      </c>
      <c r="C974" t="s">
        <v>280</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COUNT(LifeExpectancyData[[#This Row],[Life expectancy]:[Schooling]])=19</f>
        <v>0</v>
      </c>
    </row>
    <row r="975" spans="1:23" x14ac:dyDescent="0.25">
      <c r="A975" t="s">
        <v>343</v>
      </c>
      <c r="B975">
        <v>2004</v>
      </c>
      <c r="C975" t="s">
        <v>280</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COUNT(LifeExpectancyData[[#This Row],[Life expectancy]:[Schooling]])=19</f>
        <v>0</v>
      </c>
    </row>
    <row r="976" spans="1:23" x14ac:dyDescent="0.25">
      <c r="A976" t="s">
        <v>343</v>
      </c>
      <c r="B976">
        <v>2003</v>
      </c>
      <c r="C976" t="s">
        <v>280</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COUNT(LifeExpectancyData[[#This Row],[Life expectancy]:[Schooling]])=19</f>
        <v>0</v>
      </c>
    </row>
    <row r="977" spans="1:23" x14ac:dyDescent="0.25">
      <c r="A977" t="s">
        <v>343</v>
      </c>
      <c r="B977">
        <v>2002</v>
      </c>
      <c r="C977" t="s">
        <v>280</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COUNT(LifeExpectancyData[[#This Row],[Life expectancy]:[Schooling]])=19</f>
        <v>0</v>
      </c>
    </row>
    <row r="978" spans="1:23" x14ac:dyDescent="0.25">
      <c r="A978" t="s">
        <v>343</v>
      </c>
      <c r="B978">
        <v>2001</v>
      </c>
      <c r="C978" t="s">
        <v>280</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COUNT(LifeExpectancyData[[#This Row],[Life expectancy]:[Schooling]])=19</f>
        <v>0</v>
      </c>
    </row>
    <row r="979" spans="1:23" x14ac:dyDescent="0.25">
      <c r="A979" t="s">
        <v>343</v>
      </c>
      <c r="B979">
        <v>2000</v>
      </c>
      <c r="C979" t="s">
        <v>280</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COUNT(LifeExpectancyData[[#This Row],[Life expectancy]:[Schooling]])=19</f>
        <v>0</v>
      </c>
    </row>
    <row r="980" spans="1:23" x14ac:dyDescent="0.25">
      <c r="A980" t="s">
        <v>344</v>
      </c>
      <c r="B980">
        <v>2015</v>
      </c>
      <c r="C980" t="s">
        <v>280</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COUNT(LifeExpectancyData[[#This Row],[Life expectancy]:[Schooling]])=19</f>
        <v>0</v>
      </c>
    </row>
    <row r="981" spans="1:23" x14ac:dyDescent="0.25">
      <c r="A981" t="s">
        <v>344</v>
      </c>
      <c r="B981">
        <v>2014</v>
      </c>
      <c r="C981" t="s">
        <v>280</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COUNT(LifeExpectancyData[[#This Row],[Life expectancy]:[Schooling]])=19</f>
        <v>1</v>
      </c>
    </row>
    <row r="982" spans="1:23" x14ac:dyDescent="0.25">
      <c r="A982" t="s">
        <v>344</v>
      </c>
      <c r="B982">
        <v>2013</v>
      </c>
      <c r="C982" t="s">
        <v>280</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COUNT(LifeExpectancyData[[#This Row],[Life expectancy]:[Schooling]])=19</f>
        <v>1</v>
      </c>
    </row>
    <row r="983" spans="1:23" x14ac:dyDescent="0.25">
      <c r="A983" t="s">
        <v>344</v>
      </c>
      <c r="B983">
        <v>2012</v>
      </c>
      <c r="C983" t="s">
        <v>280</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COUNT(LifeExpectancyData[[#This Row],[Life expectancy]:[Schooling]])=19</f>
        <v>1</v>
      </c>
    </row>
    <row r="984" spans="1:23" x14ac:dyDescent="0.25">
      <c r="A984" t="s">
        <v>344</v>
      </c>
      <c r="B984">
        <v>2011</v>
      </c>
      <c r="C984" t="s">
        <v>280</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COUNT(LifeExpectancyData[[#This Row],[Life expectancy]:[Schooling]])=19</f>
        <v>1</v>
      </c>
    </row>
    <row r="985" spans="1:23" x14ac:dyDescent="0.25">
      <c r="A985" t="s">
        <v>344</v>
      </c>
      <c r="B985">
        <v>2010</v>
      </c>
      <c r="C985" t="s">
        <v>280</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COUNT(LifeExpectancyData[[#This Row],[Life expectancy]:[Schooling]])=19</f>
        <v>1</v>
      </c>
    </row>
    <row r="986" spans="1:23" x14ac:dyDescent="0.25">
      <c r="A986" t="s">
        <v>344</v>
      </c>
      <c r="B986">
        <v>2009</v>
      </c>
      <c r="C986" t="s">
        <v>280</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COUNT(LifeExpectancyData[[#This Row],[Life expectancy]:[Schooling]])=19</f>
        <v>1</v>
      </c>
    </row>
    <row r="987" spans="1:23" x14ac:dyDescent="0.25">
      <c r="A987" t="s">
        <v>344</v>
      </c>
      <c r="B987">
        <v>2008</v>
      </c>
      <c r="C987" t="s">
        <v>280</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COUNT(LifeExpectancyData[[#This Row],[Life expectancy]:[Schooling]])=19</f>
        <v>1</v>
      </c>
    </row>
    <row r="988" spans="1:23" x14ac:dyDescent="0.25">
      <c r="A988" t="s">
        <v>344</v>
      </c>
      <c r="B988">
        <v>2007</v>
      </c>
      <c r="C988" t="s">
        <v>280</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COUNT(LifeExpectancyData[[#This Row],[Life expectancy]:[Schooling]])=19</f>
        <v>1</v>
      </c>
    </row>
    <row r="989" spans="1:23" x14ac:dyDescent="0.25">
      <c r="A989" t="s">
        <v>344</v>
      </c>
      <c r="B989">
        <v>2006</v>
      </c>
      <c r="C989" t="s">
        <v>280</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COUNT(LifeExpectancyData[[#This Row],[Life expectancy]:[Schooling]])=19</f>
        <v>1</v>
      </c>
    </row>
    <row r="990" spans="1:23" x14ac:dyDescent="0.25">
      <c r="A990" t="s">
        <v>344</v>
      </c>
      <c r="B990">
        <v>2005</v>
      </c>
      <c r="C990" t="s">
        <v>280</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COUNT(LifeExpectancyData[[#This Row],[Life expectancy]:[Schooling]])=19</f>
        <v>1</v>
      </c>
    </row>
    <row r="991" spans="1:23" x14ac:dyDescent="0.25">
      <c r="A991" t="s">
        <v>344</v>
      </c>
      <c r="B991">
        <v>2004</v>
      </c>
      <c r="C991" t="s">
        <v>280</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COUNT(LifeExpectancyData[[#This Row],[Life expectancy]:[Schooling]])=19</f>
        <v>1</v>
      </c>
    </row>
    <row r="992" spans="1:23" x14ac:dyDescent="0.25">
      <c r="A992" t="s">
        <v>344</v>
      </c>
      <c r="B992">
        <v>2003</v>
      </c>
      <c r="C992" t="s">
        <v>280</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COUNT(LifeExpectancyData[[#This Row],[Life expectancy]:[Schooling]])=19</f>
        <v>1</v>
      </c>
    </row>
    <row r="993" spans="1:23" x14ac:dyDescent="0.25">
      <c r="A993" t="s">
        <v>344</v>
      </c>
      <c r="B993">
        <v>2002</v>
      </c>
      <c r="C993" t="s">
        <v>280</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COUNT(LifeExpectancyData[[#This Row],[Life expectancy]:[Schooling]])=19</f>
        <v>1</v>
      </c>
    </row>
    <row r="994" spans="1:23" x14ac:dyDescent="0.25">
      <c r="A994" t="s">
        <v>344</v>
      </c>
      <c r="B994">
        <v>2001</v>
      </c>
      <c r="C994" t="s">
        <v>280</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COUNT(LifeExpectancyData[[#This Row],[Life expectancy]:[Schooling]])=19</f>
        <v>1</v>
      </c>
    </row>
    <row r="995" spans="1:23" x14ac:dyDescent="0.25">
      <c r="A995" t="s">
        <v>344</v>
      </c>
      <c r="B995">
        <v>2000</v>
      </c>
      <c r="C995" t="s">
        <v>280</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COUNT(LifeExpectancyData[[#This Row],[Life expectancy]:[Schooling]])=19</f>
        <v>1</v>
      </c>
    </row>
    <row r="996" spans="1:23" x14ac:dyDescent="0.25">
      <c r="A996" t="s">
        <v>345</v>
      </c>
      <c r="B996">
        <v>2015</v>
      </c>
      <c r="C996" t="s">
        <v>288</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COUNT(LifeExpectancyData[[#This Row],[Life expectancy]:[Schooling]])=19</f>
        <v>0</v>
      </c>
    </row>
    <row r="997" spans="1:23" x14ac:dyDescent="0.25">
      <c r="A997" t="s">
        <v>345</v>
      </c>
      <c r="B997">
        <v>2014</v>
      </c>
      <c r="C997" t="s">
        <v>288</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COUNT(LifeExpectancyData[[#This Row],[Life expectancy]:[Schooling]])=19</f>
        <v>1</v>
      </c>
    </row>
    <row r="998" spans="1:23" x14ac:dyDescent="0.25">
      <c r="A998" t="s">
        <v>345</v>
      </c>
      <c r="B998">
        <v>2013</v>
      </c>
      <c r="C998" t="s">
        <v>288</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COUNT(LifeExpectancyData[[#This Row],[Life expectancy]:[Schooling]])=19</f>
        <v>1</v>
      </c>
    </row>
    <row r="999" spans="1:23" x14ac:dyDescent="0.25">
      <c r="A999" t="s">
        <v>345</v>
      </c>
      <c r="B999">
        <v>2012</v>
      </c>
      <c r="C999" t="s">
        <v>288</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COUNT(LifeExpectancyData[[#This Row],[Life expectancy]:[Schooling]])=19</f>
        <v>1</v>
      </c>
    </row>
    <row r="1000" spans="1:23" x14ac:dyDescent="0.25">
      <c r="A1000" t="s">
        <v>345</v>
      </c>
      <c r="B1000">
        <v>2011</v>
      </c>
      <c r="C1000" t="s">
        <v>288</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COUNT(LifeExpectancyData[[#This Row],[Life expectancy]:[Schooling]])=19</f>
        <v>1</v>
      </c>
    </row>
    <row r="1001" spans="1:23" x14ac:dyDescent="0.25">
      <c r="A1001" t="s">
        <v>345</v>
      </c>
      <c r="B1001">
        <v>2010</v>
      </c>
      <c r="C1001" t="s">
        <v>288</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COUNT(LifeExpectancyData[[#This Row],[Life expectancy]:[Schooling]])=19</f>
        <v>1</v>
      </c>
    </row>
    <row r="1002" spans="1:23" x14ac:dyDescent="0.25">
      <c r="A1002" t="s">
        <v>345</v>
      </c>
      <c r="B1002">
        <v>2009</v>
      </c>
      <c r="C1002" t="s">
        <v>288</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COUNT(LifeExpectancyData[[#This Row],[Life expectancy]:[Schooling]])=19</f>
        <v>1</v>
      </c>
    </row>
    <row r="1003" spans="1:23" x14ac:dyDescent="0.25">
      <c r="A1003" t="s">
        <v>345</v>
      </c>
      <c r="B1003">
        <v>2008</v>
      </c>
      <c r="C1003" t="s">
        <v>288</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COUNT(LifeExpectancyData[[#This Row],[Life expectancy]:[Schooling]])=19</f>
        <v>1</v>
      </c>
    </row>
    <row r="1004" spans="1:23" x14ac:dyDescent="0.25">
      <c r="A1004" t="s">
        <v>345</v>
      </c>
      <c r="B1004">
        <v>2007</v>
      </c>
      <c r="C1004" t="s">
        <v>288</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COUNT(LifeExpectancyData[[#This Row],[Life expectancy]:[Schooling]])=19</f>
        <v>1</v>
      </c>
    </row>
    <row r="1005" spans="1:23" x14ac:dyDescent="0.25">
      <c r="A1005" t="s">
        <v>345</v>
      </c>
      <c r="B1005">
        <v>2006</v>
      </c>
      <c r="C1005" t="s">
        <v>288</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COUNT(LifeExpectancyData[[#This Row],[Life expectancy]:[Schooling]])=19</f>
        <v>1</v>
      </c>
    </row>
    <row r="1006" spans="1:23" x14ac:dyDescent="0.25">
      <c r="A1006" t="s">
        <v>345</v>
      </c>
      <c r="B1006">
        <v>2005</v>
      </c>
      <c r="C1006" t="s">
        <v>288</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COUNT(LifeExpectancyData[[#This Row],[Life expectancy]:[Schooling]])=19</f>
        <v>1</v>
      </c>
    </row>
    <row r="1007" spans="1:23" x14ac:dyDescent="0.25">
      <c r="A1007" t="s">
        <v>345</v>
      </c>
      <c r="B1007">
        <v>2004</v>
      </c>
      <c r="C1007" t="s">
        <v>288</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COUNT(LifeExpectancyData[[#This Row],[Life expectancy]:[Schooling]])=19</f>
        <v>1</v>
      </c>
    </row>
    <row r="1008" spans="1:23" x14ac:dyDescent="0.25">
      <c r="A1008" t="s">
        <v>345</v>
      </c>
      <c r="B1008">
        <v>2003</v>
      </c>
      <c r="C1008" t="s">
        <v>288</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COUNT(LifeExpectancyData[[#This Row],[Life expectancy]:[Schooling]])=19</f>
        <v>1</v>
      </c>
    </row>
    <row r="1009" spans="1:23" x14ac:dyDescent="0.25">
      <c r="A1009" t="s">
        <v>345</v>
      </c>
      <c r="B1009">
        <v>2002</v>
      </c>
      <c r="C1009" t="s">
        <v>288</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COUNT(LifeExpectancyData[[#This Row],[Life expectancy]:[Schooling]])=19</f>
        <v>1</v>
      </c>
    </row>
    <row r="1010" spans="1:23" x14ac:dyDescent="0.25">
      <c r="A1010" t="s">
        <v>345</v>
      </c>
      <c r="B1010">
        <v>2001</v>
      </c>
      <c r="C1010" t="s">
        <v>288</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COUNT(LifeExpectancyData[[#This Row],[Life expectancy]:[Schooling]])=19</f>
        <v>1</v>
      </c>
    </row>
    <row r="1011" spans="1:23" x14ac:dyDescent="0.25">
      <c r="A1011" t="s">
        <v>345</v>
      </c>
      <c r="B1011">
        <v>2000</v>
      </c>
      <c r="C1011" t="s">
        <v>288</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COUNT(LifeExpectancyData[[#This Row],[Life expectancy]:[Schooling]])=19</f>
        <v>1</v>
      </c>
    </row>
    <row r="1012" spans="1:23" x14ac:dyDescent="0.25">
      <c r="A1012" t="s">
        <v>346</v>
      </c>
      <c r="B1012">
        <v>2015</v>
      </c>
      <c r="C1012" t="s">
        <v>280</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COUNT(LifeExpectancyData[[#This Row],[Life expectancy]:[Schooling]])=19</f>
        <v>0</v>
      </c>
    </row>
    <row r="1013" spans="1:23" x14ac:dyDescent="0.25">
      <c r="A1013" t="s">
        <v>346</v>
      </c>
      <c r="B1013">
        <v>2014</v>
      </c>
      <c r="C1013" t="s">
        <v>280</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COUNT(LifeExpectancyData[[#This Row],[Life expectancy]:[Schooling]])=19</f>
        <v>1</v>
      </c>
    </row>
    <row r="1014" spans="1:23" x14ac:dyDescent="0.25">
      <c r="A1014" t="s">
        <v>346</v>
      </c>
      <c r="B1014">
        <v>2013</v>
      </c>
      <c r="C1014" t="s">
        <v>280</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COUNT(LifeExpectancyData[[#This Row],[Life expectancy]:[Schooling]])=19</f>
        <v>1</v>
      </c>
    </row>
    <row r="1015" spans="1:23" x14ac:dyDescent="0.25">
      <c r="A1015" t="s">
        <v>346</v>
      </c>
      <c r="B1015">
        <v>2012</v>
      </c>
      <c r="C1015" t="s">
        <v>280</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COUNT(LifeExpectancyData[[#This Row],[Life expectancy]:[Schooling]])=19</f>
        <v>1</v>
      </c>
    </row>
    <row r="1016" spans="1:23" x14ac:dyDescent="0.25">
      <c r="A1016" t="s">
        <v>346</v>
      </c>
      <c r="B1016">
        <v>2011</v>
      </c>
      <c r="C1016" t="s">
        <v>280</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COUNT(LifeExpectancyData[[#This Row],[Life expectancy]:[Schooling]])=19</f>
        <v>1</v>
      </c>
    </row>
    <row r="1017" spans="1:23" x14ac:dyDescent="0.25">
      <c r="A1017" t="s">
        <v>346</v>
      </c>
      <c r="B1017">
        <v>2010</v>
      </c>
      <c r="C1017" t="s">
        <v>280</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COUNT(LifeExpectancyData[[#This Row],[Life expectancy]:[Schooling]])=19</f>
        <v>1</v>
      </c>
    </row>
    <row r="1018" spans="1:23" x14ac:dyDescent="0.25">
      <c r="A1018" t="s">
        <v>346</v>
      </c>
      <c r="B1018">
        <v>2009</v>
      </c>
      <c r="C1018" t="s">
        <v>280</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COUNT(LifeExpectancyData[[#This Row],[Life expectancy]:[Schooling]])=19</f>
        <v>1</v>
      </c>
    </row>
    <row r="1019" spans="1:23" x14ac:dyDescent="0.25">
      <c r="A1019" t="s">
        <v>346</v>
      </c>
      <c r="B1019">
        <v>2008</v>
      </c>
      <c r="C1019" t="s">
        <v>280</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COUNT(LifeExpectancyData[[#This Row],[Life expectancy]:[Schooling]])=19</f>
        <v>1</v>
      </c>
    </row>
    <row r="1020" spans="1:23" x14ac:dyDescent="0.25">
      <c r="A1020" t="s">
        <v>346</v>
      </c>
      <c r="B1020">
        <v>2007</v>
      </c>
      <c r="C1020" t="s">
        <v>280</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COUNT(LifeExpectancyData[[#This Row],[Life expectancy]:[Schooling]])=19</f>
        <v>1</v>
      </c>
    </row>
    <row r="1021" spans="1:23" x14ac:dyDescent="0.25">
      <c r="A1021" t="s">
        <v>346</v>
      </c>
      <c r="B1021">
        <v>2006</v>
      </c>
      <c r="C1021" t="s">
        <v>280</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COUNT(LifeExpectancyData[[#This Row],[Life expectancy]:[Schooling]])=19</f>
        <v>1</v>
      </c>
    </row>
    <row r="1022" spans="1:23" x14ac:dyDescent="0.25">
      <c r="A1022" t="s">
        <v>346</v>
      </c>
      <c r="B1022">
        <v>2005</v>
      </c>
      <c r="C1022" t="s">
        <v>280</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COUNT(LifeExpectancyData[[#This Row],[Life expectancy]:[Schooling]])=19</f>
        <v>1</v>
      </c>
    </row>
    <row r="1023" spans="1:23" x14ac:dyDescent="0.25">
      <c r="A1023" t="s">
        <v>346</v>
      </c>
      <c r="B1023">
        <v>2004</v>
      </c>
      <c r="C1023" t="s">
        <v>280</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COUNT(LifeExpectancyData[[#This Row],[Life expectancy]:[Schooling]])=19</f>
        <v>1</v>
      </c>
    </row>
    <row r="1024" spans="1:23" x14ac:dyDescent="0.25">
      <c r="A1024" t="s">
        <v>346</v>
      </c>
      <c r="B1024">
        <v>2003</v>
      </c>
      <c r="C1024" t="s">
        <v>280</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COUNT(LifeExpectancyData[[#This Row],[Life expectancy]:[Schooling]])=19</f>
        <v>1</v>
      </c>
    </row>
    <row r="1025" spans="1:23" x14ac:dyDescent="0.25">
      <c r="A1025" t="s">
        <v>346</v>
      </c>
      <c r="B1025">
        <v>2002</v>
      </c>
      <c r="C1025" t="s">
        <v>280</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COUNT(LifeExpectancyData[[#This Row],[Life expectancy]:[Schooling]])=19</f>
        <v>1</v>
      </c>
    </row>
    <row r="1026" spans="1:23" x14ac:dyDescent="0.25">
      <c r="A1026" t="s">
        <v>346</v>
      </c>
      <c r="B1026">
        <v>2001</v>
      </c>
      <c r="C1026" t="s">
        <v>280</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COUNT(LifeExpectancyData[[#This Row],[Life expectancy]:[Schooling]])=19</f>
        <v>0</v>
      </c>
    </row>
    <row r="1027" spans="1:23" x14ac:dyDescent="0.25">
      <c r="A1027" t="s">
        <v>346</v>
      </c>
      <c r="B1027">
        <v>2000</v>
      </c>
      <c r="C1027" t="s">
        <v>280</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COUNT(LifeExpectancyData[[#This Row],[Life expectancy]:[Schooling]])=19</f>
        <v>0</v>
      </c>
    </row>
    <row r="1028" spans="1:23" x14ac:dyDescent="0.25">
      <c r="A1028" t="s">
        <v>347</v>
      </c>
      <c r="B1028">
        <v>2015</v>
      </c>
      <c r="C1028" t="s">
        <v>280</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COUNT(LifeExpectancyData[[#This Row],[Life expectancy]:[Schooling]])=19</f>
        <v>0</v>
      </c>
    </row>
    <row r="1029" spans="1:23" x14ac:dyDescent="0.25">
      <c r="A1029" t="s">
        <v>347</v>
      </c>
      <c r="B1029">
        <v>2014</v>
      </c>
      <c r="C1029" t="s">
        <v>280</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COUNT(LifeExpectancyData[[#This Row],[Life expectancy]:[Schooling]])=19</f>
        <v>1</v>
      </c>
    </row>
    <row r="1030" spans="1:23" x14ac:dyDescent="0.25">
      <c r="A1030" t="s">
        <v>347</v>
      </c>
      <c r="B1030">
        <v>2013</v>
      </c>
      <c r="C1030" t="s">
        <v>280</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COUNT(LifeExpectancyData[[#This Row],[Life expectancy]:[Schooling]])=19</f>
        <v>1</v>
      </c>
    </row>
    <row r="1031" spans="1:23" x14ac:dyDescent="0.25">
      <c r="A1031" t="s">
        <v>347</v>
      </c>
      <c r="B1031">
        <v>2012</v>
      </c>
      <c r="C1031" t="s">
        <v>280</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COUNT(LifeExpectancyData[[#This Row],[Life expectancy]:[Schooling]])=19</f>
        <v>1</v>
      </c>
    </row>
    <row r="1032" spans="1:23" x14ac:dyDescent="0.25">
      <c r="A1032" t="s">
        <v>347</v>
      </c>
      <c r="B1032">
        <v>2011</v>
      </c>
      <c r="C1032" t="s">
        <v>280</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COUNT(LifeExpectancyData[[#This Row],[Life expectancy]:[Schooling]])=19</f>
        <v>1</v>
      </c>
    </row>
    <row r="1033" spans="1:23" x14ac:dyDescent="0.25">
      <c r="A1033" t="s">
        <v>347</v>
      </c>
      <c r="B1033">
        <v>2010</v>
      </c>
      <c r="C1033" t="s">
        <v>280</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COUNT(LifeExpectancyData[[#This Row],[Life expectancy]:[Schooling]])=19</f>
        <v>1</v>
      </c>
    </row>
    <row r="1034" spans="1:23" x14ac:dyDescent="0.25">
      <c r="A1034" t="s">
        <v>347</v>
      </c>
      <c r="B1034">
        <v>2009</v>
      </c>
      <c r="C1034" t="s">
        <v>280</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COUNT(LifeExpectancyData[[#This Row],[Life expectancy]:[Schooling]])=19</f>
        <v>1</v>
      </c>
    </row>
    <row r="1035" spans="1:23" x14ac:dyDescent="0.25">
      <c r="A1035" t="s">
        <v>347</v>
      </c>
      <c r="B1035">
        <v>2008</v>
      </c>
      <c r="C1035" t="s">
        <v>280</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COUNT(LifeExpectancyData[[#This Row],[Life expectancy]:[Schooling]])=19</f>
        <v>1</v>
      </c>
    </row>
    <row r="1036" spans="1:23" x14ac:dyDescent="0.25">
      <c r="A1036" t="s">
        <v>347</v>
      </c>
      <c r="B1036">
        <v>2007</v>
      </c>
      <c r="C1036" t="s">
        <v>280</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COUNT(LifeExpectancyData[[#This Row],[Life expectancy]:[Schooling]])=19</f>
        <v>1</v>
      </c>
    </row>
    <row r="1037" spans="1:23" x14ac:dyDescent="0.25">
      <c r="A1037" t="s">
        <v>347</v>
      </c>
      <c r="B1037">
        <v>2006</v>
      </c>
      <c r="C1037" t="s">
        <v>280</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COUNT(LifeExpectancyData[[#This Row],[Life expectancy]:[Schooling]])=19</f>
        <v>1</v>
      </c>
    </row>
    <row r="1038" spans="1:23" x14ac:dyDescent="0.25">
      <c r="A1038" t="s">
        <v>347</v>
      </c>
      <c r="B1038">
        <v>2005</v>
      </c>
      <c r="C1038" t="s">
        <v>280</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COUNT(LifeExpectancyData[[#This Row],[Life expectancy]:[Schooling]])=19</f>
        <v>1</v>
      </c>
    </row>
    <row r="1039" spans="1:23" x14ac:dyDescent="0.25">
      <c r="A1039" t="s">
        <v>347</v>
      </c>
      <c r="B1039">
        <v>2004</v>
      </c>
      <c r="C1039" t="s">
        <v>280</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COUNT(LifeExpectancyData[[#This Row],[Life expectancy]:[Schooling]])=19</f>
        <v>1</v>
      </c>
    </row>
    <row r="1040" spans="1:23" x14ac:dyDescent="0.25">
      <c r="A1040" t="s">
        <v>347</v>
      </c>
      <c r="B1040">
        <v>2003</v>
      </c>
      <c r="C1040" t="s">
        <v>280</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COUNT(LifeExpectancyData[[#This Row],[Life expectancy]:[Schooling]])=19</f>
        <v>1</v>
      </c>
    </row>
    <row r="1041" spans="1:23" x14ac:dyDescent="0.25">
      <c r="A1041" t="s">
        <v>347</v>
      </c>
      <c r="B1041">
        <v>2002</v>
      </c>
      <c r="C1041" t="s">
        <v>280</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COUNT(LifeExpectancyData[[#This Row],[Life expectancy]:[Schooling]])=19</f>
        <v>1</v>
      </c>
    </row>
    <row r="1042" spans="1:23" x14ac:dyDescent="0.25">
      <c r="A1042" t="s">
        <v>347</v>
      </c>
      <c r="B1042">
        <v>2001</v>
      </c>
      <c r="C1042" t="s">
        <v>280</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COUNT(LifeExpectancyData[[#This Row],[Life expectancy]:[Schooling]])=19</f>
        <v>1</v>
      </c>
    </row>
    <row r="1043" spans="1:23" x14ac:dyDescent="0.25">
      <c r="A1043" t="s">
        <v>347</v>
      </c>
      <c r="B1043">
        <v>2000</v>
      </c>
      <c r="C1043" t="s">
        <v>280</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COUNT(LifeExpectancyData[[#This Row],[Life expectancy]:[Schooling]])=19</f>
        <v>1</v>
      </c>
    </row>
    <row r="1044" spans="1:23" x14ac:dyDescent="0.25">
      <c r="A1044" t="s">
        <v>348</v>
      </c>
      <c r="B1044">
        <v>2015</v>
      </c>
      <c r="C1044" t="s">
        <v>280</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COUNT(LifeExpectancyData[[#This Row],[Life expectancy]:[Schooling]])=19</f>
        <v>0</v>
      </c>
    </row>
    <row r="1045" spans="1:23" x14ac:dyDescent="0.25">
      <c r="A1045" t="s">
        <v>348</v>
      </c>
      <c r="B1045">
        <v>2014</v>
      </c>
      <c r="C1045" t="s">
        <v>280</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COUNT(LifeExpectancyData[[#This Row],[Life expectancy]:[Schooling]])=19</f>
        <v>0</v>
      </c>
    </row>
    <row r="1046" spans="1:23" x14ac:dyDescent="0.25">
      <c r="A1046" t="s">
        <v>348</v>
      </c>
      <c r="B1046">
        <v>2013</v>
      </c>
      <c r="C1046" t="s">
        <v>280</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COUNT(LifeExpectancyData[[#This Row],[Life expectancy]:[Schooling]])=19</f>
        <v>0</v>
      </c>
    </row>
    <row r="1047" spans="1:23" x14ac:dyDescent="0.25">
      <c r="A1047" t="s">
        <v>348</v>
      </c>
      <c r="B1047">
        <v>2012</v>
      </c>
      <c r="C1047" t="s">
        <v>280</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COUNT(LifeExpectancyData[[#This Row],[Life expectancy]:[Schooling]])=19</f>
        <v>0</v>
      </c>
    </row>
    <row r="1048" spans="1:23" x14ac:dyDescent="0.25">
      <c r="A1048" t="s">
        <v>348</v>
      </c>
      <c r="B1048">
        <v>2011</v>
      </c>
      <c r="C1048" t="s">
        <v>280</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COUNT(LifeExpectancyData[[#This Row],[Life expectancy]:[Schooling]])=19</f>
        <v>0</v>
      </c>
    </row>
    <row r="1049" spans="1:23" x14ac:dyDescent="0.25">
      <c r="A1049" t="s">
        <v>348</v>
      </c>
      <c r="B1049">
        <v>2010</v>
      </c>
      <c r="C1049" t="s">
        <v>280</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COUNT(LifeExpectancyData[[#This Row],[Life expectancy]:[Schooling]])=19</f>
        <v>0</v>
      </c>
    </row>
    <row r="1050" spans="1:23" x14ac:dyDescent="0.25">
      <c r="A1050" t="s">
        <v>348</v>
      </c>
      <c r="B1050">
        <v>2009</v>
      </c>
      <c r="C1050" t="s">
        <v>280</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COUNT(LifeExpectancyData[[#This Row],[Life expectancy]:[Schooling]])=19</f>
        <v>0</v>
      </c>
    </row>
    <row r="1051" spans="1:23" x14ac:dyDescent="0.25">
      <c r="A1051" t="s">
        <v>348</v>
      </c>
      <c r="B1051">
        <v>2008</v>
      </c>
      <c r="C1051" t="s">
        <v>280</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COUNT(LifeExpectancyData[[#This Row],[Life expectancy]:[Schooling]])=19</f>
        <v>0</v>
      </c>
    </row>
    <row r="1052" spans="1:23" x14ac:dyDescent="0.25">
      <c r="A1052" t="s">
        <v>348</v>
      </c>
      <c r="B1052">
        <v>2007</v>
      </c>
      <c r="C1052" t="s">
        <v>280</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COUNT(LifeExpectancyData[[#This Row],[Life expectancy]:[Schooling]])=19</f>
        <v>0</v>
      </c>
    </row>
    <row r="1053" spans="1:23" x14ac:dyDescent="0.25">
      <c r="A1053" t="s">
        <v>348</v>
      </c>
      <c r="B1053">
        <v>2006</v>
      </c>
      <c r="C1053" t="s">
        <v>280</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COUNT(LifeExpectancyData[[#This Row],[Life expectancy]:[Schooling]])=19</f>
        <v>0</v>
      </c>
    </row>
    <row r="1054" spans="1:23" x14ac:dyDescent="0.25">
      <c r="A1054" t="s">
        <v>348</v>
      </c>
      <c r="B1054">
        <v>2005</v>
      </c>
      <c r="C1054" t="s">
        <v>280</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COUNT(LifeExpectancyData[[#This Row],[Life expectancy]:[Schooling]])=19</f>
        <v>0</v>
      </c>
    </row>
    <row r="1055" spans="1:23" x14ac:dyDescent="0.25">
      <c r="A1055" t="s">
        <v>348</v>
      </c>
      <c r="B1055">
        <v>2004</v>
      </c>
      <c r="C1055" t="s">
        <v>280</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COUNT(LifeExpectancyData[[#This Row],[Life expectancy]:[Schooling]])=19</f>
        <v>0</v>
      </c>
    </row>
    <row r="1056" spans="1:23" x14ac:dyDescent="0.25">
      <c r="A1056" t="s">
        <v>348</v>
      </c>
      <c r="B1056">
        <v>2003</v>
      </c>
      <c r="C1056" t="s">
        <v>280</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COUNT(LifeExpectancyData[[#This Row],[Life expectancy]:[Schooling]])=19</f>
        <v>0</v>
      </c>
    </row>
    <row r="1057" spans="1:23" x14ac:dyDescent="0.25">
      <c r="A1057" t="s">
        <v>348</v>
      </c>
      <c r="B1057">
        <v>2002</v>
      </c>
      <c r="C1057" t="s">
        <v>280</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COUNT(LifeExpectancyData[[#This Row],[Life expectancy]:[Schooling]])=19</f>
        <v>0</v>
      </c>
    </row>
    <row r="1058" spans="1:23" x14ac:dyDescent="0.25">
      <c r="A1058" t="s">
        <v>348</v>
      </c>
      <c r="B1058">
        <v>2001</v>
      </c>
      <c r="C1058" t="s">
        <v>280</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COUNT(LifeExpectancyData[[#This Row],[Life expectancy]:[Schooling]])=19</f>
        <v>0</v>
      </c>
    </row>
    <row r="1059" spans="1:23" x14ac:dyDescent="0.25">
      <c r="A1059" t="s">
        <v>348</v>
      </c>
      <c r="B1059">
        <v>2000</v>
      </c>
      <c r="C1059" t="s">
        <v>280</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COUNT(LifeExpectancyData[[#This Row],[Life expectancy]:[Schooling]])=19</f>
        <v>0</v>
      </c>
    </row>
    <row r="1060" spans="1:23" x14ac:dyDescent="0.25">
      <c r="A1060" t="s">
        <v>349</v>
      </c>
      <c r="B1060">
        <v>2015</v>
      </c>
      <c r="C1060" t="s">
        <v>280</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COUNT(LifeExpectancyData[[#This Row],[Life expectancy]:[Schooling]])=19</f>
        <v>0</v>
      </c>
    </row>
    <row r="1061" spans="1:23" x14ac:dyDescent="0.25">
      <c r="A1061" t="s">
        <v>349</v>
      </c>
      <c r="B1061">
        <v>2014</v>
      </c>
      <c r="C1061" t="s">
        <v>280</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COUNT(LifeExpectancyData[[#This Row],[Life expectancy]:[Schooling]])=19</f>
        <v>1</v>
      </c>
    </row>
    <row r="1062" spans="1:23" x14ac:dyDescent="0.25">
      <c r="A1062" t="s">
        <v>349</v>
      </c>
      <c r="B1062">
        <v>2013</v>
      </c>
      <c r="C1062" t="s">
        <v>280</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COUNT(LifeExpectancyData[[#This Row],[Life expectancy]:[Schooling]])=19</f>
        <v>1</v>
      </c>
    </row>
    <row r="1063" spans="1:23" x14ac:dyDescent="0.25">
      <c r="A1063" t="s">
        <v>349</v>
      </c>
      <c r="B1063">
        <v>2012</v>
      </c>
      <c r="C1063" t="s">
        <v>280</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COUNT(LifeExpectancyData[[#This Row],[Life expectancy]:[Schooling]])=19</f>
        <v>1</v>
      </c>
    </row>
    <row r="1064" spans="1:23" x14ac:dyDescent="0.25">
      <c r="A1064" t="s">
        <v>349</v>
      </c>
      <c r="B1064">
        <v>2011</v>
      </c>
      <c r="C1064" t="s">
        <v>280</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COUNT(LifeExpectancyData[[#This Row],[Life expectancy]:[Schooling]])=19</f>
        <v>1</v>
      </c>
    </row>
    <row r="1065" spans="1:23" x14ac:dyDescent="0.25">
      <c r="A1065" t="s">
        <v>349</v>
      </c>
      <c r="B1065">
        <v>2010</v>
      </c>
      <c r="C1065" t="s">
        <v>280</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COUNT(LifeExpectancyData[[#This Row],[Life expectancy]:[Schooling]])=19</f>
        <v>1</v>
      </c>
    </row>
    <row r="1066" spans="1:23" x14ac:dyDescent="0.25">
      <c r="A1066" t="s">
        <v>349</v>
      </c>
      <c r="B1066">
        <v>2009</v>
      </c>
      <c r="C1066" t="s">
        <v>280</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COUNT(LifeExpectancyData[[#This Row],[Life expectancy]:[Schooling]])=19</f>
        <v>1</v>
      </c>
    </row>
    <row r="1067" spans="1:23" x14ac:dyDescent="0.25">
      <c r="A1067" t="s">
        <v>349</v>
      </c>
      <c r="B1067">
        <v>2008</v>
      </c>
      <c r="C1067" t="s">
        <v>280</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COUNT(LifeExpectancyData[[#This Row],[Life expectancy]:[Schooling]])=19</f>
        <v>1</v>
      </c>
    </row>
    <row r="1068" spans="1:23" x14ac:dyDescent="0.25">
      <c r="A1068" t="s">
        <v>349</v>
      </c>
      <c r="B1068">
        <v>2007</v>
      </c>
      <c r="C1068" t="s">
        <v>280</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COUNT(LifeExpectancyData[[#This Row],[Life expectancy]:[Schooling]])=19</f>
        <v>1</v>
      </c>
    </row>
    <row r="1069" spans="1:23" x14ac:dyDescent="0.25">
      <c r="A1069" t="s">
        <v>349</v>
      </c>
      <c r="B1069">
        <v>2006</v>
      </c>
      <c r="C1069" t="s">
        <v>280</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COUNT(LifeExpectancyData[[#This Row],[Life expectancy]:[Schooling]])=19</f>
        <v>1</v>
      </c>
    </row>
    <row r="1070" spans="1:23" x14ac:dyDescent="0.25">
      <c r="A1070" t="s">
        <v>349</v>
      </c>
      <c r="B1070">
        <v>2005</v>
      </c>
      <c r="C1070" t="s">
        <v>280</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COUNT(LifeExpectancyData[[#This Row],[Life expectancy]:[Schooling]])=19</f>
        <v>1</v>
      </c>
    </row>
    <row r="1071" spans="1:23" x14ac:dyDescent="0.25">
      <c r="A1071" t="s">
        <v>349</v>
      </c>
      <c r="B1071">
        <v>2004</v>
      </c>
      <c r="C1071" t="s">
        <v>280</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COUNT(LifeExpectancyData[[#This Row],[Life expectancy]:[Schooling]])=19</f>
        <v>0</v>
      </c>
    </row>
    <row r="1072" spans="1:23" x14ac:dyDescent="0.25">
      <c r="A1072" t="s">
        <v>349</v>
      </c>
      <c r="B1072">
        <v>2003</v>
      </c>
      <c r="C1072" t="s">
        <v>280</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COUNT(LifeExpectancyData[[#This Row],[Life expectancy]:[Schooling]])=19</f>
        <v>0</v>
      </c>
    </row>
    <row r="1073" spans="1:23" x14ac:dyDescent="0.25">
      <c r="A1073" t="s">
        <v>349</v>
      </c>
      <c r="B1073">
        <v>2002</v>
      </c>
      <c r="C1073" t="s">
        <v>280</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COUNT(LifeExpectancyData[[#This Row],[Life expectancy]:[Schooling]])=19</f>
        <v>0</v>
      </c>
    </row>
    <row r="1074" spans="1:23" x14ac:dyDescent="0.25">
      <c r="A1074" t="s">
        <v>349</v>
      </c>
      <c r="B1074">
        <v>2001</v>
      </c>
      <c r="C1074" t="s">
        <v>280</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COUNT(LifeExpectancyData[[#This Row],[Life expectancy]:[Schooling]])=19</f>
        <v>0</v>
      </c>
    </row>
    <row r="1075" spans="1:23" x14ac:dyDescent="0.25">
      <c r="A1075" t="s">
        <v>349</v>
      </c>
      <c r="B1075">
        <v>2000</v>
      </c>
      <c r="C1075" t="s">
        <v>280</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COUNT(LifeExpectancyData[[#This Row],[Life expectancy]:[Schooling]])=19</f>
        <v>0</v>
      </c>
    </row>
    <row r="1076" spans="1:23" x14ac:dyDescent="0.25">
      <c r="A1076" t="s">
        <v>350</v>
      </c>
      <c r="B1076">
        <v>2015</v>
      </c>
      <c r="C1076" t="s">
        <v>280</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COUNT(LifeExpectancyData[[#This Row],[Life expectancy]:[Schooling]])=19</f>
        <v>0</v>
      </c>
    </row>
    <row r="1077" spans="1:23" x14ac:dyDescent="0.25">
      <c r="A1077" t="s">
        <v>350</v>
      </c>
      <c r="B1077">
        <v>2014</v>
      </c>
      <c r="C1077" t="s">
        <v>280</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COUNT(LifeExpectancyData[[#This Row],[Life expectancy]:[Schooling]])=19</f>
        <v>1</v>
      </c>
    </row>
    <row r="1078" spans="1:23" x14ac:dyDescent="0.25">
      <c r="A1078" t="s">
        <v>350</v>
      </c>
      <c r="B1078">
        <v>2013</v>
      </c>
      <c r="C1078" t="s">
        <v>280</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COUNT(LifeExpectancyData[[#This Row],[Life expectancy]:[Schooling]])=19</f>
        <v>1</v>
      </c>
    </row>
    <row r="1079" spans="1:23" x14ac:dyDescent="0.25">
      <c r="A1079" t="s">
        <v>350</v>
      </c>
      <c r="B1079">
        <v>2012</v>
      </c>
      <c r="C1079" t="s">
        <v>280</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COUNT(LifeExpectancyData[[#This Row],[Life expectancy]:[Schooling]])=19</f>
        <v>1</v>
      </c>
    </row>
    <row r="1080" spans="1:23" x14ac:dyDescent="0.25">
      <c r="A1080" t="s">
        <v>350</v>
      </c>
      <c r="B1080">
        <v>2011</v>
      </c>
      <c r="C1080" t="s">
        <v>280</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COUNT(LifeExpectancyData[[#This Row],[Life expectancy]:[Schooling]])=19</f>
        <v>1</v>
      </c>
    </row>
    <row r="1081" spans="1:23" x14ac:dyDescent="0.25">
      <c r="A1081" t="s">
        <v>350</v>
      </c>
      <c r="B1081">
        <v>2010</v>
      </c>
      <c r="C1081" t="s">
        <v>280</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COUNT(LifeExpectancyData[[#This Row],[Life expectancy]:[Schooling]])=19</f>
        <v>1</v>
      </c>
    </row>
    <row r="1082" spans="1:23" x14ac:dyDescent="0.25">
      <c r="A1082" t="s">
        <v>350</v>
      </c>
      <c r="B1082">
        <v>2009</v>
      </c>
      <c r="C1082" t="s">
        <v>280</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COUNT(LifeExpectancyData[[#This Row],[Life expectancy]:[Schooling]])=19</f>
        <v>1</v>
      </c>
    </row>
    <row r="1083" spans="1:23" x14ac:dyDescent="0.25">
      <c r="A1083" t="s">
        <v>350</v>
      </c>
      <c r="B1083">
        <v>2008</v>
      </c>
      <c r="C1083" t="s">
        <v>280</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COUNT(LifeExpectancyData[[#This Row],[Life expectancy]:[Schooling]])=19</f>
        <v>1</v>
      </c>
    </row>
    <row r="1084" spans="1:23" x14ac:dyDescent="0.25">
      <c r="A1084" t="s">
        <v>350</v>
      </c>
      <c r="B1084">
        <v>2007</v>
      </c>
      <c r="C1084" t="s">
        <v>280</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COUNT(LifeExpectancyData[[#This Row],[Life expectancy]:[Schooling]])=19</f>
        <v>1</v>
      </c>
    </row>
    <row r="1085" spans="1:23" x14ac:dyDescent="0.25">
      <c r="A1085" t="s">
        <v>350</v>
      </c>
      <c r="B1085">
        <v>2006</v>
      </c>
      <c r="C1085" t="s">
        <v>280</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COUNT(LifeExpectancyData[[#This Row],[Life expectancy]:[Schooling]])=19</f>
        <v>0</v>
      </c>
    </row>
    <row r="1086" spans="1:23" x14ac:dyDescent="0.25">
      <c r="A1086" t="s">
        <v>350</v>
      </c>
      <c r="B1086">
        <v>2005</v>
      </c>
      <c r="C1086" t="s">
        <v>280</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COUNT(LifeExpectancyData[[#This Row],[Life expectancy]:[Schooling]])=19</f>
        <v>0</v>
      </c>
    </row>
    <row r="1087" spans="1:23" x14ac:dyDescent="0.25">
      <c r="A1087" t="s">
        <v>350</v>
      </c>
      <c r="B1087">
        <v>2004</v>
      </c>
      <c r="C1087" t="s">
        <v>280</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COUNT(LifeExpectancyData[[#This Row],[Life expectancy]:[Schooling]])=19</f>
        <v>0</v>
      </c>
    </row>
    <row r="1088" spans="1:23" x14ac:dyDescent="0.25">
      <c r="A1088" t="s">
        <v>350</v>
      </c>
      <c r="B1088">
        <v>2003</v>
      </c>
      <c r="C1088" t="s">
        <v>280</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COUNT(LifeExpectancyData[[#This Row],[Life expectancy]:[Schooling]])=19</f>
        <v>0</v>
      </c>
    </row>
    <row r="1089" spans="1:23" x14ac:dyDescent="0.25">
      <c r="A1089" t="s">
        <v>350</v>
      </c>
      <c r="B1089">
        <v>2002</v>
      </c>
      <c r="C1089" t="s">
        <v>280</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COUNT(LifeExpectancyData[[#This Row],[Life expectancy]:[Schooling]])=19</f>
        <v>0</v>
      </c>
    </row>
    <row r="1090" spans="1:23" x14ac:dyDescent="0.25">
      <c r="A1090" t="s">
        <v>350</v>
      </c>
      <c r="B1090">
        <v>2001</v>
      </c>
      <c r="C1090" t="s">
        <v>280</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COUNT(LifeExpectancyData[[#This Row],[Life expectancy]:[Schooling]])=19</f>
        <v>0</v>
      </c>
    </row>
    <row r="1091" spans="1:23" x14ac:dyDescent="0.25">
      <c r="A1091" t="s">
        <v>350</v>
      </c>
      <c r="B1091">
        <v>2000</v>
      </c>
      <c r="C1091" t="s">
        <v>280</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COUNT(LifeExpectancyData[[#This Row],[Life expectancy]:[Schooling]])=19</f>
        <v>0</v>
      </c>
    </row>
    <row r="1092" spans="1:23" x14ac:dyDescent="0.25">
      <c r="A1092" t="s">
        <v>351</v>
      </c>
      <c r="B1092">
        <v>2015</v>
      </c>
      <c r="C1092" t="s">
        <v>280</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COUNT(LifeExpectancyData[[#This Row],[Life expectancy]:[Schooling]])=19</f>
        <v>0</v>
      </c>
    </row>
    <row r="1093" spans="1:23" x14ac:dyDescent="0.25">
      <c r="A1093" t="s">
        <v>351</v>
      </c>
      <c r="B1093">
        <v>2014</v>
      </c>
      <c r="C1093" t="s">
        <v>280</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COUNT(LifeExpectancyData[[#This Row],[Life expectancy]:[Schooling]])=19</f>
        <v>1</v>
      </c>
    </row>
    <row r="1094" spans="1:23" x14ac:dyDescent="0.25">
      <c r="A1094" t="s">
        <v>351</v>
      </c>
      <c r="B1094">
        <v>2013</v>
      </c>
      <c r="C1094" t="s">
        <v>280</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COUNT(LifeExpectancyData[[#This Row],[Life expectancy]:[Schooling]])=19</f>
        <v>1</v>
      </c>
    </row>
    <row r="1095" spans="1:23" x14ac:dyDescent="0.25">
      <c r="A1095" t="s">
        <v>351</v>
      </c>
      <c r="B1095">
        <v>2012</v>
      </c>
      <c r="C1095" t="s">
        <v>280</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COUNT(LifeExpectancyData[[#This Row],[Life expectancy]:[Schooling]])=19</f>
        <v>1</v>
      </c>
    </row>
    <row r="1096" spans="1:23" x14ac:dyDescent="0.25">
      <c r="A1096" t="s">
        <v>351</v>
      </c>
      <c r="B1096">
        <v>2011</v>
      </c>
      <c r="C1096" t="s">
        <v>280</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COUNT(LifeExpectancyData[[#This Row],[Life expectancy]:[Schooling]])=19</f>
        <v>1</v>
      </c>
    </row>
    <row r="1097" spans="1:23" x14ac:dyDescent="0.25">
      <c r="A1097" t="s">
        <v>351</v>
      </c>
      <c r="B1097">
        <v>2010</v>
      </c>
      <c r="C1097" t="s">
        <v>280</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COUNT(LifeExpectancyData[[#This Row],[Life expectancy]:[Schooling]])=19</f>
        <v>1</v>
      </c>
    </row>
    <row r="1098" spans="1:23" x14ac:dyDescent="0.25">
      <c r="A1098" t="s">
        <v>351</v>
      </c>
      <c r="B1098">
        <v>2009</v>
      </c>
      <c r="C1098" t="s">
        <v>280</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COUNT(LifeExpectancyData[[#This Row],[Life expectancy]:[Schooling]])=19</f>
        <v>1</v>
      </c>
    </row>
    <row r="1099" spans="1:23" x14ac:dyDescent="0.25">
      <c r="A1099" t="s">
        <v>351</v>
      </c>
      <c r="B1099">
        <v>2008</v>
      </c>
      <c r="C1099" t="s">
        <v>280</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COUNT(LifeExpectancyData[[#This Row],[Life expectancy]:[Schooling]])=19</f>
        <v>0</v>
      </c>
    </row>
    <row r="1100" spans="1:23" x14ac:dyDescent="0.25">
      <c r="A1100" t="s">
        <v>351</v>
      </c>
      <c r="B1100">
        <v>2007</v>
      </c>
      <c r="C1100" t="s">
        <v>280</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COUNT(LifeExpectancyData[[#This Row],[Life expectancy]:[Schooling]])=19</f>
        <v>0</v>
      </c>
    </row>
    <row r="1101" spans="1:23" x14ac:dyDescent="0.25">
      <c r="A1101" t="s">
        <v>351</v>
      </c>
      <c r="B1101">
        <v>2006</v>
      </c>
      <c r="C1101" t="s">
        <v>280</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COUNT(LifeExpectancyData[[#This Row],[Life expectancy]:[Schooling]])=19</f>
        <v>0</v>
      </c>
    </row>
    <row r="1102" spans="1:23" x14ac:dyDescent="0.25">
      <c r="A1102" t="s">
        <v>351</v>
      </c>
      <c r="B1102">
        <v>2005</v>
      </c>
      <c r="C1102" t="s">
        <v>280</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COUNT(LifeExpectancyData[[#This Row],[Life expectancy]:[Schooling]])=19</f>
        <v>0</v>
      </c>
    </row>
    <row r="1103" spans="1:23" x14ac:dyDescent="0.25">
      <c r="A1103" t="s">
        <v>351</v>
      </c>
      <c r="B1103">
        <v>2004</v>
      </c>
      <c r="C1103" t="s">
        <v>280</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COUNT(LifeExpectancyData[[#This Row],[Life expectancy]:[Schooling]])=19</f>
        <v>0</v>
      </c>
    </row>
    <row r="1104" spans="1:23" x14ac:dyDescent="0.25">
      <c r="A1104" t="s">
        <v>351</v>
      </c>
      <c r="B1104">
        <v>2003</v>
      </c>
      <c r="C1104" t="s">
        <v>280</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COUNT(LifeExpectancyData[[#This Row],[Life expectancy]:[Schooling]])=19</f>
        <v>0</v>
      </c>
    </row>
    <row r="1105" spans="1:23" x14ac:dyDescent="0.25">
      <c r="A1105" t="s">
        <v>351</v>
      </c>
      <c r="B1105">
        <v>2002</v>
      </c>
      <c r="C1105" t="s">
        <v>280</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COUNT(LifeExpectancyData[[#This Row],[Life expectancy]:[Schooling]])=19</f>
        <v>0</v>
      </c>
    </row>
    <row r="1106" spans="1:23" x14ac:dyDescent="0.25">
      <c r="A1106" t="s">
        <v>351</v>
      </c>
      <c r="B1106">
        <v>2001</v>
      </c>
      <c r="C1106" t="s">
        <v>280</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COUNT(LifeExpectancyData[[#This Row],[Life expectancy]:[Schooling]])=19</f>
        <v>0</v>
      </c>
    </row>
    <row r="1107" spans="1:23" x14ac:dyDescent="0.25">
      <c r="A1107" t="s">
        <v>351</v>
      </c>
      <c r="B1107">
        <v>2000</v>
      </c>
      <c r="C1107" t="s">
        <v>280</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COUNT(LifeExpectancyData[[#This Row],[Life expectancy]:[Schooling]])=19</f>
        <v>0</v>
      </c>
    </row>
    <row r="1108" spans="1:23" x14ac:dyDescent="0.25">
      <c r="A1108" t="s">
        <v>352</v>
      </c>
      <c r="B1108">
        <v>2015</v>
      </c>
      <c r="C1108" t="s">
        <v>280</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COUNT(LifeExpectancyData[[#This Row],[Life expectancy]:[Schooling]])=19</f>
        <v>0</v>
      </c>
    </row>
    <row r="1109" spans="1:23" x14ac:dyDescent="0.25">
      <c r="A1109" t="s">
        <v>352</v>
      </c>
      <c r="B1109">
        <v>2014</v>
      </c>
      <c r="C1109" t="s">
        <v>280</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COUNT(LifeExpectancyData[[#This Row],[Life expectancy]:[Schooling]])=19</f>
        <v>1</v>
      </c>
    </row>
    <row r="1110" spans="1:23" x14ac:dyDescent="0.25">
      <c r="A1110" t="s">
        <v>352</v>
      </c>
      <c r="B1110">
        <v>2013</v>
      </c>
      <c r="C1110" t="s">
        <v>280</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COUNT(LifeExpectancyData[[#This Row],[Life expectancy]:[Schooling]])=19</f>
        <v>1</v>
      </c>
    </row>
    <row r="1111" spans="1:23" x14ac:dyDescent="0.25">
      <c r="A1111" t="s">
        <v>352</v>
      </c>
      <c r="B1111">
        <v>2012</v>
      </c>
      <c r="C1111" t="s">
        <v>280</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COUNT(LifeExpectancyData[[#This Row],[Life expectancy]:[Schooling]])=19</f>
        <v>1</v>
      </c>
    </row>
    <row r="1112" spans="1:23" x14ac:dyDescent="0.25">
      <c r="A1112" t="s">
        <v>352</v>
      </c>
      <c r="B1112">
        <v>2011</v>
      </c>
      <c r="C1112" t="s">
        <v>280</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COUNT(LifeExpectancyData[[#This Row],[Life expectancy]:[Schooling]])=19</f>
        <v>1</v>
      </c>
    </row>
    <row r="1113" spans="1:23" x14ac:dyDescent="0.25">
      <c r="A1113" t="s">
        <v>352</v>
      </c>
      <c r="B1113">
        <v>2010</v>
      </c>
      <c r="C1113" t="s">
        <v>280</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COUNT(LifeExpectancyData[[#This Row],[Life expectancy]:[Schooling]])=19</f>
        <v>1</v>
      </c>
    </row>
    <row r="1114" spans="1:23" x14ac:dyDescent="0.25">
      <c r="A1114" t="s">
        <v>352</v>
      </c>
      <c r="B1114">
        <v>2009</v>
      </c>
      <c r="C1114" t="s">
        <v>280</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COUNT(LifeExpectancyData[[#This Row],[Life expectancy]:[Schooling]])=19</f>
        <v>1</v>
      </c>
    </row>
    <row r="1115" spans="1:23" x14ac:dyDescent="0.25">
      <c r="A1115" t="s">
        <v>352</v>
      </c>
      <c r="B1115">
        <v>2008</v>
      </c>
      <c r="C1115" t="s">
        <v>280</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COUNT(LifeExpectancyData[[#This Row],[Life expectancy]:[Schooling]])=19</f>
        <v>1</v>
      </c>
    </row>
    <row r="1116" spans="1:23" x14ac:dyDescent="0.25">
      <c r="A1116" t="s">
        <v>352</v>
      </c>
      <c r="B1116">
        <v>2007</v>
      </c>
      <c r="C1116" t="s">
        <v>280</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COUNT(LifeExpectancyData[[#This Row],[Life expectancy]:[Schooling]])=19</f>
        <v>1</v>
      </c>
    </row>
    <row r="1117" spans="1:23" x14ac:dyDescent="0.25">
      <c r="A1117" t="s">
        <v>352</v>
      </c>
      <c r="B1117">
        <v>2006</v>
      </c>
      <c r="C1117" t="s">
        <v>280</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COUNT(LifeExpectancyData[[#This Row],[Life expectancy]:[Schooling]])=19</f>
        <v>1</v>
      </c>
    </row>
    <row r="1118" spans="1:23" x14ac:dyDescent="0.25">
      <c r="A1118" t="s">
        <v>352</v>
      </c>
      <c r="B1118">
        <v>2005</v>
      </c>
      <c r="C1118" t="s">
        <v>280</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COUNT(LifeExpectancyData[[#This Row],[Life expectancy]:[Schooling]])=19</f>
        <v>1</v>
      </c>
    </row>
    <row r="1119" spans="1:23" x14ac:dyDescent="0.25">
      <c r="A1119" t="s">
        <v>352</v>
      </c>
      <c r="B1119">
        <v>2004</v>
      </c>
      <c r="C1119" t="s">
        <v>280</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COUNT(LifeExpectancyData[[#This Row],[Life expectancy]:[Schooling]])=19</f>
        <v>1</v>
      </c>
    </row>
    <row r="1120" spans="1:23" x14ac:dyDescent="0.25">
      <c r="A1120" t="s">
        <v>352</v>
      </c>
      <c r="B1120">
        <v>2003</v>
      </c>
      <c r="C1120" t="s">
        <v>280</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COUNT(LifeExpectancyData[[#This Row],[Life expectancy]:[Schooling]])=19</f>
        <v>1</v>
      </c>
    </row>
    <row r="1121" spans="1:23" x14ac:dyDescent="0.25">
      <c r="A1121" t="s">
        <v>352</v>
      </c>
      <c r="B1121">
        <v>2002</v>
      </c>
      <c r="C1121" t="s">
        <v>280</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COUNT(LifeExpectancyData[[#This Row],[Life expectancy]:[Schooling]])=19</f>
        <v>1</v>
      </c>
    </row>
    <row r="1122" spans="1:23" x14ac:dyDescent="0.25">
      <c r="A1122" t="s">
        <v>352</v>
      </c>
      <c r="B1122">
        <v>2001</v>
      </c>
      <c r="C1122" t="s">
        <v>280</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COUNT(LifeExpectancyData[[#This Row],[Life expectancy]:[Schooling]])=19</f>
        <v>1</v>
      </c>
    </row>
    <row r="1123" spans="1:23" x14ac:dyDescent="0.25">
      <c r="A1123" t="s">
        <v>352</v>
      </c>
      <c r="B1123">
        <v>2000</v>
      </c>
      <c r="C1123" t="s">
        <v>280</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COUNT(LifeExpectancyData[[#This Row],[Life expectancy]:[Schooling]])=19</f>
        <v>0</v>
      </c>
    </row>
    <row r="1124" spans="1:23" x14ac:dyDescent="0.25">
      <c r="A1124" t="s">
        <v>353</v>
      </c>
      <c r="B1124">
        <v>2015</v>
      </c>
      <c r="C1124" t="s">
        <v>280</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COUNT(LifeExpectancyData[[#This Row],[Life expectancy]:[Schooling]])=19</f>
        <v>0</v>
      </c>
    </row>
    <row r="1125" spans="1:23" x14ac:dyDescent="0.25">
      <c r="A1125" t="s">
        <v>353</v>
      </c>
      <c r="B1125">
        <v>2014</v>
      </c>
      <c r="C1125" t="s">
        <v>280</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COUNT(LifeExpectancyData[[#This Row],[Life expectancy]:[Schooling]])=19</f>
        <v>1</v>
      </c>
    </row>
    <row r="1126" spans="1:23" x14ac:dyDescent="0.25">
      <c r="A1126" t="s">
        <v>353</v>
      </c>
      <c r="B1126">
        <v>2013</v>
      </c>
      <c r="C1126" t="s">
        <v>280</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COUNT(LifeExpectancyData[[#This Row],[Life expectancy]:[Schooling]])=19</f>
        <v>1</v>
      </c>
    </row>
    <row r="1127" spans="1:23" x14ac:dyDescent="0.25">
      <c r="A1127" t="s">
        <v>353</v>
      </c>
      <c r="B1127">
        <v>2012</v>
      </c>
      <c r="C1127" t="s">
        <v>280</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COUNT(LifeExpectancyData[[#This Row],[Life expectancy]:[Schooling]])=19</f>
        <v>0</v>
      </c>
    </row>
    <row r="1128" spans="1:23" x14ac:dyDescent="0.25">
      <c r="A1128" t="s">
        <v>353</v>
      </c>
      <c r="B1128">
        <v>2011</v>
      </c>
      <c r="C1128" t="s">
        <v>280</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COUNT(LifeExpectancyData[[#This Row],[Life expectancy]:[Schooling]])=19</f>
        <v>0</v>
      </c>
    </row>
    <row r="1129" spans="1:23" x14ac:dyDescent="0.25">
      <c r="A1129" t="s">
        <v>353</v>
      </c>
      <c r="B1129">
        <v>2010</v>
      </c>
      <c r="C1129" t="s">
        <v>280</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COUNT(LifeExpectancyData[[#This Row],[Life expectancy]:[Schooling]])=19</f>
        <v>0</v>
      </c>
    </row>
    <row r="1130" spans="1:23" x14ac:dyDescent="0.25">
      <c r="A1130" t="s">
        <v>353</v>
      </c>
      <c r="B1130">
        <v>2009</v>
      </c>
      <c r="C1130" t="s">
        <v>280</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COUNT(LifeExpectancyData[[#This Row],[Life expectancy]:[Schooling]])=19</f>
        <v>0</v>
      </c>
    </row>
    <row r="1131" spans="1:23" x14ac:dyDescent="0.25">
      <c r="A1131" t="s">
        <v>353</v>
      </c>
      <c r="B1131">
        <v>2008</v>
      </c>
      <c r="C1131" t="s">
        <v>280</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COUNT(LifeExpectancyData[[#This Row],[Life expectancy]:[Schooling]])=19</f>
        <v>0</v>
      </c>
    </row>
    <row r="1132" spans="1:23" x14ac:dyDescent="0.25">
      <c r="A1132" t="s">
        <v>353</v>
      </c>
      <c r="B1132">
        <v>2007</v>
      </c>
      <c r="C1132" t="s">
        <v>280</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COUNT(LifeExpectancyData[[#This Row],[Life expectancy]:[Schooling]])=19</f>
        <v>0</v>
      </c>
    </row>
    <row r="1133" spans="1:23" x14ac:dyDescent="0.25">
      <c r="A1133" t="s">
        <v>353</v>
      </c>
      <c r="B1133">
        <v>2006</v>
      </c>
      <c r="C1133" t="s">
        <v>280</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COUNT(LifeExpectancyData[[#This Row],[Life expectancy]:[Schooling]])=19</f>
        <v>0</v>
      </c>
    </row>
    <row r="1134" spans="1:23" x14ac:dyDescent="0.25">
      <c r="A1134" t="s">
        <v>353</v>
      </c>
      <c r="B1134">
        <v>2005</v>
      </c>
      <c r="C1134" t="s">
        <v>280</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COUNT(LifeExpectancyData[[#This Row],[Life expectancy]:[Schooling]])=19</f>
        <v>0</v>
      </c>
    </row>
    <row r="1135" spans="1:23" x14ac:dyDescent="0.25">
      <c r="A1135" t="s">
        <v>353</v>
      </c>
      <c r="B1135">
        <v>2004</v>
      </c>
      <c r="C1135" t="s">
        <v>280</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COUNT(LifeExpectancyData[[#This Row],[Life expectancy]:[Schooling]])=19</f>
        <v>0</v>
      </c>
    </row>
    <row r="1136" spans="1:23" x14ac:dyDescent="0.25">
      <c r="A1136" t="s">
        <v>353</v>
      </c>
      <c r="B1136">
        <v>2003</v>
      </c>
      <c r="C1136" t="s">
        <v>280</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COUNT(LifeExpectancyData[[#This Row],[Life expectancy]:[Schooling]])=19</f>
        <v>0</v>
      </c>
    </row>
    <row r="1137" spans="1:23" x14ac:dyDescent="0.25">
      <c r="A1137" t="s">
        <v>353</v>
      </c>
      <c r="B1137">
        <v>2002</v>
      </c>
      <c r="C1137" t="s">
        <v>280</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COUNT(LifeExpectancyData[[#This Row],[Life expectancy]:[Schooling]])=19</f>
        <v>0</v>
      </c>
    </row>
    <row r="1138" spans="1:23" x14ac:dyDescent="0.25">
      <c r="A1138" t="s">
        <v>353</v>
      </c>
      <c r="B1138">
        <v>2001</v>
      </c>
      <c r="C1138" t="s">
        <v>280</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COUNT(LifeExpectancyData[[#This Row],[Life expectancy]:[Schooling]])=19</f>
        <v>0</v>
      </c>
    </row>
    <row r="1139" spans="1:23" x14ac:dyDescent="0.25">
      <c r="A1139" t="s">
        <v>353</v>
      </c>
      <c r="B1139">
        <v>2000</v>
      </c>
      <c r="C1139" t="s">
        <v>280</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COUNT(LifeExpectancyData[[#This Row],[Life expectancy]:[Schooling]])=19</f>
        <v>0</v>
      </c>
    </row>
    <row r="1140" spans="1:23" x14ac:dyDescent="0.25">
      <c r="A1140" t="s">
        <v>354</v>
      </c>
      <c r="B1140">
        <v>2015</v>
      </c>
      <c r="C1140" t="s">
        <v>280</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COUNT(LifeExpectancyData[[#This Row],[Life expectancy]:[Schooling]])=19</f>
        <v>0</v>
      </c>
    </row>
    <row r="1141" spans="1:23" x14ac:dyDescent="0.25">
      <c r="A1141" t="s">
        <v>354</v>
      </c>
      <c r="B1141">
        <v>2014</v>
      </c>
      <c r="C1141" t="s">
        <v>280</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COUNT(LifeExpectancyData[[#This Row],[Life expectancy]:[Schooling]])=19</f>
        <v>1</v>
      </c>
    </row>
    <row r="1142" spans="1:23" x14ac:dyDescent="0.25">
      <c r="A1142" t="s">
        <v>354</v>
      </c>
      <c r="B1142">
        <v>2013</v>
      </c>
      <c r="C1142" t="s">
        <v>280</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COUNT(LifeExpectancyData[[#This Row],[Life expectancy]:[Schooling]])=19</f>
        <v>1</v>
      </c>
    </row>
    <row r="1143" spans="1:23" x14ac:dyDescent="0.25">
      <c r="A1143" t="s">
        <v>354</v>
      </c>
      <c r="B1143">
        <v>2012</v>
      </c>
      <c r="C1143" t="s">
        <v>280</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COUNT(LifeExpectancyData[[#This Row],[Life expectancy]:[Schooling]])=19</f>
        <v>1</v>
      </c>
    </row>
    <row r="1144" spans="1:23" x14ac:dyDescent="0.25">
      <c r="A1144" t="s">
        <v>354</v>
      </c>
      <c r="B1144">
        <v>2011</v>
      </c>
      <c r="C1144" t="s">
        <v>280</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COUNT(LifeExpectancyData[[#This Row],[Life expectancy]:[Schooling]])=19</f>
        <v>1</v>
      </c>
    </row>
    <row r="1145" spans="1:23" x14ac:dyDescent="0.25">
      <c r="A1145" t="s">
        <v>354</v>
      </c>
      <c r="B1145">
        <v>2010</v>
      </c>
      <c r="C1145" t="s">
        <v>280</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COUNT(LifeExpectancyData[[#This Row],[Life expectancy]:[Schooling]])=19</f>
        <v>1</v>
      </c>
    </row>
    <row r="1146" spans="1:23" x14ac:dyDescent="0.25">
      <c r="A1146" t="s">
        <v>354</v>
      </c>
      <c r="B1146">
        <v>2009</v>
      </c>
      <c r="C1146" t="s">
        <v>280</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COUNT(LifeExpectancyData[[#This Row],[Life expectancy]:[Schooling]])=19</f>
        <v>1</v>
      </c>
    </row>
    <row r="1147" spans="1:23" x14ac:dyDescent="0.25">
      <c r="A1147" t="s">
        <v>354</v>
      </c>
      <c r="B1147">
        <v>2008</v>
      </c>
      <c r="C1147" t="s">
        <v>280</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COUNT(LifeExpectancyData[[#This Row],[Life expectancy]:[Schooling]])=19</f>
        <v>1</v>
      </c>
    </row>
    <row r="1148" spans="1:23" x14ac:dyDescent="0.25">
      <c r="A1148" t="s">
        <v>354</v>
      </c>
      <c r="B1148">
        <v>2007</v>
      </c>
      <c r="C1148" t="s">
        <v>280</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COUNT(LifeExpectancyData[[#This Row],[Life expectancy]:[Schooling]])=19</f>
        <v>1</v>
      </c>
    </row>
    <row r="1149" spans="1:23" x14ac:dyDescent="0.25">
      <c r="A1149" t="s">
        <v>354</v>
      </c>
      <c r="B1149">
        <v>2006</v>
      </c>
      <c r="C1149" t="s">
        <v>280</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COUNT(LifeExpectancyData[[#This Row],[Life expectancy]:[Schooling]])=19</f>
        <v>1</v>
      </c>
    </row>
    <row r="1150" spans="1:23" x14ac:dyDescent="0.25">
      <c r="A1150" t="s">
        <v>354</v>
      </c>
      <c r="B1150">
        <v>2005</v>
      </c>
      <c r="C1150" t="s">
        <v>280</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COUNT(LifeExpectancyData[[#This Row],[Life expectancy]:[Schooling]])=19</f>
        <v>1</v>
      </c>
    </row>
    <row r="1151" spans="1:23" x14ac:dyDescent="0.25">
      <c r="A1151" t="s">
        <v>354</v>
      </c>
      <c r="B1151">
        <v>2004</v>
      </c>
      <c r="C1151" t="s">
        <v>280</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COUNT(LifeExpectancyData[[#This Row],[Life expectancy]:[Schooling]])=19</f>
        <v>1</v>
      </c>
    </row>
    <row r="1152" spans="1:23" x14ac:dyDescent="0.25">
      <c r="A1152" t="s">
        <v>354</v>
      </c>
      <c r="B1152">
        <v>2003</v>
      </c>
      <c r="C1152" t="s">
        <v>280</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COUNT(LifeExpectancyData[[#This Row],[Life expectancy]:[Schooling]])=19</f>
        <v>1</v>
      </c>
    </row>
    <row r="1153" spans="1:23" x14ac:dyDescent="0.25">
      <c r="A1153" t="s">
        <v>354</v>
      </c>
      <c r="B1153">
        <v>2002</v>
      </c>
      <c r="C1153" t="s">
        <v>280</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COUNT(LifeExpectancyData[[#This Row],[Life expectancy]:[Schooling]])=19</f>
        <v>1</v>
      </c>
    </row>
    <row r="1154" spans="1:23" x14ac:dyDescent="0.25">
      <c r="A1154" t="s">
        <v>354</v>
      </c>
      <c r="B1154">
        <v>2001</v>
      </c>
      <c r="C1154" t="s">
        <v>280</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COUNT(LifeExpectancyData[[#This Row],[Life expectancy]:[Schooling]])=19</f>
        <v>1</v>
      </c>
    </row>
    <row r="1155" spans="1:23" x14ac:dyDescent="0.25">
      <c r="A1155" t="s">
        <v>354</v>
      </c>
      <c r="B1155">
        <v>2000</v>
      </c>
      <c r="C1155" t="s">
        <v>280</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COUNT(LifeExpectancyData[[#This Row],[Life expectancy]:[Schooling]])=19</f>
        <v>1</v>
      </c>
    </row>
    <row r="1156" spans="1:23" x14ac:dyDescent="0.25">
      <c r="A1156" t="s">
        <v>355</v>
      </c>
      <c r="B1156">
        <v>2015</v>
      </c>
      <c r="C1156" t="s">
        <v>288</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COUNT(LifeExpectancyData[[#This Row],[Life expectancy]:[Schooling]])=19</f>
        <v>0</v>
      </c>
    </row>
    <row r="1157" spans="1:23" x14ac:dyDescent="0.25">
      <c r="A1157" t="s">
        <v>355</v>
      </c>
      <c r="B1157">
        <v>2014</v>
      </c>
      <c r="C1157" t="s">
        <v>288</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COUNT(LifeExpectancyData[[#This Row],[Life expectancy]:[Schooling]])=19</f>
        <v>0</v>
      </c>
    </row>
    <row r="1158" spans="1:23" x14ac:dyDescent="0.25">
      <c r="A1158" t="s">
        <v>355</v>
      </c>
      <c r="B1158">
        <v>2013</v>
      </c>
      <c r="C1158" t="s">
        <v>288</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COUNT(LifeExpectancyData[[#This Row],[Life expectancy]:[Schooling]])=19</f>
        <v>0</v>
      </c>
    </row>
    <row r="1159" spans="1:23" x14ac:dyDescent="0.25">
      <c r="A1159" t="s">
        <v>355</v>
      </c>
      <c r="B1159">
        <v>2012</v>
      </c>
      <c r="C1159" t="s">
        <v>288</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COUNT(LifeExpectancyData[[#This Row],[Life expectancy]:[Schooling]])=19</f>
        <v>0</v>
      </c>
    </row>
    <row r="1160" spans="1:23" x14ac:dyDescent="0.25">
      <c r="A1160" t="s">
        <v>355</v>
      </c>
      <c r="B1160">
        <v>2011</v>
      </c>
      <c r="C1160" t="s">
        <v>288</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COUNT(LifeExpectancyData[[#This Row],[Life expectancy]:[Schooling]])=19</f>
        <v>0</v>
      </c>
    </row>
    <row r="1161" spans="1:23" x14ac:dyDescent="0.25">
      <c r="A1161" t="s">
        <v>355</v>
      </c>
      <c r="B1161">
        <v>2010</v>
      </c>
      <c r="C1161" t="s">
        <v>288</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COUNT(LifeExpectancyData[[#This Row],[Life expectancy]:[Schooling]])=19</f>
        <v>0</v>
      </c>
    </row>
    <row r="1162" spans="1:23" x14ac:dyDescent="0.25">
      <c r="A1162" t="s">
        <v>355</v>
      </c>
      <c r="B1162">
        <v>2009</v>
      </c>
      <c r="C1162" t="s">
        <v>288</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COUNT(LifeExpectancyData[[#This Row],[Life expectancy]:[Schooling]])=19</f>
        <v>0</v>
      </c>
    </row>
    <row r="1163" spans="1:23" x14ac:dyDescent="0.25">
      <c r="A1163" t="s">
        <v>355</v>
      </c>
      <c r="B1163">
        <v>2008</v>
      </c>
      <c r="C1163" t="s">
        <v>288</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COUNT(LifeExpectancyData[[#This Row],[Life expectancy]:[Schooling]])=19</f>
        <v>0</v>
      </c>
    </row>
    <row r="1164" spans="1:23" x14ac:dyDescent="0.25">
      <c r="A1164" t="s">
        <v>355</v>
      </c>
      <c r="B1164">
        <v>2007</v>
      </c>
      <c r="C1164" t="s">
        <v>288</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COUNT(LifeExpectancyData[[#This Row],[Life expectancy]:[Schooling]])=19</f>
        <v>0</v>
      </c>
    </row>
    <row r="1165" spans="1:23" x14ac:dyDescent="0.25">
      <c r="A1165" t="s">
        <v>355</v>
      </c>
      <c r="B1165">
        <v>2006</v>
      </c>
      <c r="C1165" t="s">
        <v>288</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COUNT(LifeExpectancyData[[#This Row],[Life expectancy]:[Schooling]])=19</f>
        <v>0</v>
      </c>
    </row>
    <row r="1166" spans="1:23" x14ac:dyDescent="0.25">
      <c r="A1166" t="s">
        <v>355</v>
      </c>
      <c r="B1166">
        <v>2005</v>
      </c>
      <c r="C1166" t="s">
        <v>288</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COUNT(LifeExpectancyData[[#This Row],[Life expectancy]:[Schooling]])=19</f>
        <v>0</v>
      </c>
    </row>
    <row r="1167" spans="1:23" x14ac:dyDescent="0.25">
      <c r="A1167" t="s">
        <v>355</v>
      </c>
      <c r="B1167">
        <v>2004</v>
      </c>
      <c r="C1167" t="s">
        <v>288</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COUNT(LifeExpectancyData[[#This Row],[Life expectancy]:[Schooling]])=19</f>
        <v>0</v>
      </c>
    </row>
    <row r="1168" spans="1:23" x14ac:dyDescent="0.25">
      <c r="A1168" t="s">
        <v>355</v>
      </c>
      <c r="B1168">
        <v>2003</v>
      </c>
      <c r="C1168" t="s">
        <v>288</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COUNT(LifeExpectancyData[[#This Row],[Life expectancy]:[Schooling]])=19</f>
        <v>0</v>
      </c>
    </row>
    <row r="1169" spans="1:23" x14ac:dyDescent="0.25">
      <c r="A1169" t="s">
        <v>355</v>
      </c>
      <c r="B1169">
        <v>2002</v>
      </c>
      <c r="C1169" t="s">
        <v>288</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COUNT(LifeExpectancyData[[#This Row],[Life expectancy]:[Schooling]])=19</f>
        <v>0</v>
      </c>
    </row>
    <row r="1170" spans="1:23" x14ac:dyDescent="0.25">
      <c r="A1170" t="s">
        <v>355</v>
      </c>
      <c r="B1170">
        <v>2001</v>
      </c>
      <c r="C1170" t="s">
        <v>288</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COUNT(LifeExpectancyData[[#This Row],[Life expectancy]:[Schooling]])=19</f>
        <v>0</v>
      </c>
    </row>
    <row r="1171" spans="1:23" x14ac:dyDescent="0.25">
      <c r="A1171" t="s">
        <v>355</v>
      </c>
      <c r="B1171">
        <v>2000</v>
      </c>
      <c r="C1171" t="s">
        <v>288</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COUNT(LifeExpectancyData[[#This Row],[Life expectancy]:[Schooling]])=19</f>
        <v>0</v>
      </c>
    </row>
    <row r="1172" spans="1:23" x14ac:dyDescent="0.25">
      <c r="A1172" t="s">
        <v>356</v>
      </c>
      <c r="B1172">
        <v>2015</v>
      </c>
      <c r="C1172" t="s">
        <v>288</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COUNT(LifeExpectancyData[[#This Row],[Life expectancy]:[Schooling]])=19</f>
        <v>0</v>
      </c>
    </row>
    <row r="1173" spans="1:23" x14ac:dyDescent="0.25">
      <c r="A1173" t="s">
        <v>356</v>
      </c>
      <c r="B1173">
        <v>2014</v>
      </c>
      <c r="C1173" t="s">
        <v>288</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COUNT(LifeExpectancyData[[#This Row],[Life expectancy]:[Schooling]])=19</f>
        <v>0</v>
      </c>
    </row>
    <row r="1174" spans="1:23" x14ac:dyDescent="0.25">
      <c r="A1174" t="s">
        <v>356</v>
      </c>
      <c r="B1174">
        <v>2013</v>
      </c>
      <c r="C1174" t="s">
        <v>288</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COUNT(LifeExpectancyData[[#This Row],[Life expectancy]:[Schooling]])=19</f>
        <v>0</v>
      </c>
    </row>
    <row r="1175" spans="1:23" x14ac:dyDescent="0.25">
      <c r="A1175" t="s">
        <v>356</v>
      </c>
      <c r="B1175">
        <v>2012</v>
      </c>
      <c r="C1175" t="s">
        <v>288</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COUNT(LifeExpectancyData[[#This Row],[Life expectancy]:[Schooling]])=19</f>
        <v>0</v>
      </c>
    </row>
    <row r="1176" spans="1:23" x14ac:dyDescent="0.25">
      <c r="A1176" t="s">
        <v>356</v>
      </c>
      <c r="B1176">
        <v>2011</v>
      </c>
      <c r="C1176" t="s">
        <v>288</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COUNT(LifeExpectancyData[[#This Row],[Life expectancy]:[Schooling]])=19</f>
        <v>0</v>
      </c>
    </row>
    <row r="1177" spans="1:23" x14ac:dyDescent="0.25">
      <c r="A1177" t="s">
        <v>356</v>
      </c>
      <c r="B1177">
        <v>2010</v>
      </c>
      <c r="C1177" t="s">
        <v>288</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COUNT(LifeExpectancyData[[#This Row],[Life expectancy]:[Schooling]])=19</f>
        <v>0</v>
      </c>
    </row>
    <row r="1178" spans="1:23" x14ac:dyDescent="0.25">
      <c r="A1178" t="s">
        <v>356</v>
      </c>
      <c r="B1178">
        <v>2009</v>
      </c>
      <c r="C1178" t="s">
        <v>288</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COUNT(LifeExpectancyData[[#This Row],[Life expectancy]:[Schooling]])=19</f>
        <v>0</v>
      </c>
    </row>
    <row r="1179" spans="1:23" x14ac:dyDescent="0.25">
      <c r="A1179" t="s">
        <v>356</v>
      </c>
      <c r="B1179">
        <v>2008</v>
      </c>
      <c r="C1179" t="s">
        <v>288</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COUNT(LifeExpectancyData[[#This Row],[Life expectancy]:[Schooling]])=19</f>
        <v>0</v>
      </c>
    </row>
    <row r="1180" spans="1:23" x14ac:dyDescent="0.25">
      <c r="A1180" t="s">
        <v>356</v>
      </c>
      <c r="B1180">
        <v>2007</v>
      </c>
      <c r="C1180" t="s">
        <v>288</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COUNT(LifeExpectancyData[[#This Row],[Life expectancy]:[Schooling]])=19</f>
        <v>0</v>
      </c>
    </row>
    <row r="1181" spans="1:23" x14ac:dyDescent="0.25">
      <c r="A1181" t="s">
        <v>356</v>
      </c>
      <c r="B1181">
        <v>2006</v>
      </c>
      <c r="C1181" t="s">
        <v>288</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COUNT(LifeExpectancyData[[#This Row],[Life expectancy]:[Schooling]])=19</f>
        <v>0</v>
      </c>
    </row>
    <row r="1182" spans="1:23" x14ac:dyDescent="0.25">
      <c r="A1182" t="s">
        <v>356</v>
      </c>
      <c r="B1182">
        <v>2005</v>
      </c>
      <c r="C1182" t="s">
        <v>288</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COUNT(LifeExpectancyData[[#This Row],[Life expectancy]:[Schooling]])=19</f>
        <v>0</v>
      </c>
    </row>
    <row r="1183" spans="1:23" x14ac:dyDescent="0.25">
      <c r="A1183" t="s">
        <v>356</v>
      </c>
      <c r="B1183">
        <v>2004</v>
      </c>
      <c r="C1183" t="s">
        <v>288</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COUNT(LifeExpectancyData[[#This Row],[Life expectancy]:[Schooling]])=19</f>
        <v>0</v>
      </c>
    </row>
    <row r="1184" spans="1:23" x14ac:dyDescent="0.25">
      <c r="A1184" t="s">
        <v>356</v>
      </c>
      <c r="B1184">
        <v>2003</v>
      </c>
      <c r="C1184" t="s">
        <v>288</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COUNT(LifeExpectancyData[[#This Row],[Life expectancy]:[Schooling]])=19</f>
        <v>0</v>
      </c>
    </row>
    <row r="1185" spans="1:23" x14ac:dyDescent="0.25">
      <c r="A1185" t="s">
        <v>356</v>
      </c>
      <c r="B1185">
        <v>2002</v>
      </c>
      <c r="C1185" t="s">
        <v>288</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COUNT(LifeExpectancyData[[#This Row],[Life expectancy]:[Schooling]])=19</f>
        <v>0</v>
      </c>
    </row>
    <row r="1186" spans="1:23" x14ac:dyDescent="0.25">
      <c r="A1186" t="s">
        <v>356</v>
      </c>
      <c r="B1186">
        <v>2001</v>
      </c>
      <c r="C1186" t="s">
        <v>288</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COUNT(LifeExpectancyData[[#This Row],[Life expectancy]:[Schooling]])=19</f>
        <v>0</v>
      </c>
    </row>
    <row r="1187" spans="1:23" x14ac:dyDescent="0.25">
      <c r="A1187" t="s">
        <v>356</v>
      </c>
      <c r="B1187">
        <v>2000</v>
      </c>
      <c r="C1187" t="s">
        <v>288</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COUNT(LifeExpectancyData[[#This Row],[Life expectancy]:[Schooling]])=19</f>
        <v>0</v>
      </c>
    </row>
    <row r="1188" spans="1:23" x14ac:dyDescent="0.25">
      <c r="A1188" t="s">
        <v>357</v>
      </c>
      <c r="B1188">
        <v>2015</v>
      </c>
      <c r="C1188" t="s">
        <v>280</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COUNT(LifeExpectancyData[[#This Row],[Life expectancy]:[Schooling]])=19</f>
        <v>0</v>
      </c>
    </row>
    <row r="1189" spans="1:23" x14ac:dyDescent="0.25">
      <c r="A1189" t="s">
        <v>357</v>
      </c>
      <c r="B1189">
        <v>2014</v>
      </c>
      <c r="C1189" t="s">
        <v>280</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COUNT(LifeExpectancyData[[#This Row],[Life expectancy]:[Schooling]])=19</f>
        <v>1</v>
      </c>
    </row>
    <row r="1190" spans="1:23" x14ac:dyDescent="0.25">
      <c r="A1190" t="s">
        <v>357</v>
      </c>
      <c r="B1190">
        <v>2013</v>
      </c>
      <c r="C1190" t="s">
        <v>280</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COUNT(LifeExpectancyData[[#This Row],[Life expectancy]:[Schooling]])=19</f>
        <v>1</v>
      </c>
    </row>
    <row r="1191" spans="1:23" x14ac:dyDescent="0.25">
      <c r="A1191" t="s">
        <v>357</v>
      </c>
      <c r="B1191">
        <v>2012</v>
      </c>
      <c r="C1191" t="s">
        <v>280</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COUNT(LifeExpectancyData[[#This Row],[Life expectancy]:[Schooling]])=19</f>
        <v>1</v>
      </c>
    </row>
    <row r="1192" spans="1:23" x14ac:dyDescent="0.25">
      <c r="A1192" t="s">
        <v>357</v>
      </c>
      <c r="B1192">
        <v>2011</v>
      </c>
      <c r="C1192" t="s">
        <v>280</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COUNT(LifeExpectancyData[[#This Row],[Life expectancy]:[Schooling]])=19</f>
        <v>1</v>
      </c>
    </row>
    <row r="1193" spans="1:23" x14ac:dyDescent="0.25">
      <c r="A1193" t="s">
        <v>357</v>
      </c>
      <c r="B1193">
        <v>2010</v>
      </c>
      <c r="C1193" t="s">
        <v>280</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COUNT(LifeExpectancyData[[#This Row],[Life expectancy]:[Schooling]])=19</f>
        <v>1</v>
      </c>
    </row>
    <row r="1194" spans="1:23" x14ac:dyDescent="0.25">
      <c r="A1194" t="s">
        <v>357</v>
      </c>
      <c r="B1194">
        <v>2009</v>
      </c>
      <c r="C1194" t="s">
        <v>280</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COUNT(LifeExpectancyData[[#This Row],[Life expectancy]:[Schooling]])=19</f>
        <v>1</v>
      </c>
    </row>
    <row r="1195" spans="1:23" x14ac:dyDescent="0.25">
      <c r="A1195" t="s">
        <v>357</v>
      </c>
      <c r="B1195">
        <v>2008</v>
      </c>
      <c r="C1195" t="s">
        <v>280</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COUNT(LifeExpectancyData[[#This Row],[Life expectancy]:[Schooling]])=19</f>
        <v>1</v>
      </c>
    </row>
    <row r="1196" spans="1:23" x14ac:dyDescent="0.25">
      <c r="A1196" t="s">
        <v>357</v>
      </c>
      <c r="B1196">
        <v>2007</v>
      </c>
      <c r="C1196" t="s">
        <v>280</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COUNT(LifeExpectancyData[[#This Row],[Life expectancy]:[Schooling]])=19</f>
        <v>1</v>
      </c>
    </row>
    <row r="1197" spans="1:23" x14ac:dyDescent="0.25">
      <c r="A1197" t="s">
        <v>357</v>
      </c>
      <c r="B1197">
        <v>2006</v>
      </c>
      <c r="C1197" t="s">
        <v>280</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COUNT(LifeExpectancyData[[#This Row],[Life expectancy]:[Schooling]])=19</f>
        <v>1</v>
      </c>
    </row>
    <row r="1198" spans="1:23" x14ac:dyDescent="0.25">
      <c r="A1198" t="s">
        <v>357</v>
      </c>
      <c r="B1198">
        <v>2005</v>
      </c>
      <c r="C1198" t="s">
        <v>280</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COUNT(LifeExpectancyData[[#This Row],[Life expectancy]:[Schooling]])=19</f>
        <v>1</v>
      </c>
    </row>
    <row r="1199" spans="1:23" x14ac:dyDescent="0.25">
      <c r="A1199" t="s">
        <v>357</v>
      </c>
      <c r="B1199">
        <v>2004</v>
      </c>
      <c r="C1199" t="s">
        <v>280</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COUNT(LifeExpectancyData[[#This Row],[Life expectancy]:[Schooling]])=19</f>
        <v>1</v>
      </c>
    </row>
    <row r="1200" spans="1:23" x14ac:dyDescent="0.25">
      <c r="A1200" t="s">
        <v>357</v>
      </c>
      <c r="B1200">
        <v>2003</v>
      </c>
      <c r="C1200" t="s">
        <v>280</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COUNT(LifeExpectancyData[[#This Row],[Life expectancy]:[Schooling]])=19</f>
        <v>0</v>
      </c>
    </row>
    <row r="1201" spans="1:23" x14ac:dyDescent="0.25">
      <c r="A1201" t="s">
        <v>357</v>
      </c>
      <c r="B1201">
        <v>2002</v>
      </c>
      <c r="C1201" t="s">
        <v>280</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COUNT(LifeExpectancyData[[#This Row],[Life expectancy]:[Schooling]])=19</f>
        <v>0</v>
      </c>
    </row>
    <row r="1202" spans="1:23" x14ac:dyDescent="0.25">
      <c r="A1202" t="s">
        <v>357</v>
      </c>
      <c r="B1202">
        <v>2001</v>
      </c>
      <c r="C1202" t="s">
        <v>280</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COUNT(LifeExpectancyData[[#This Row],[Life expectancy]:[Schooling]])=19</f>
        <v>0</v>
      </c>
    </row>
    <row r="1203" spans="1:23" x14ac:dyDescent="0.25">
      <c r="A1203" t="s">
        <v>357</v>
      </c>
      <c r="B1203">
        <v>2000</v>
      </c>
      <c r="C1203" t="s">
        <v>280</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COUNT(LifeExpectancyData[[#This Row],[Life expectancy]:[Schooling]])=19</f>
        <v>0</v>
      </c>
    </row>
    <row r="1204" spans="1:23" x14ac:dyDescent="0.25">
      <c r="A1204" t="s">
        <v>358</v>
      </c>
      <c r="B1204">
        <v>2015</v>
      </c>
      <c r="C1204" t="s">
        <v>280</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COUNT(LifeExpectancyData[[#This Row],[Life expectancy]:[Schooling]])=19</f>
        <v>0</v>
      </c>
    </row>
    <row r="1205" spans="1:23" x14ac:dyDescent="0.25">
      <c r="A1205" t="s">
        <v>358</v>
      </c>
      <c r="B1205">
        <v>2014</v>
      </c>
      <c r="C1205" t="s">
        <v>280</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COUNT(LifeExpectancyData[[#This Row],[Life expectancy]:[Schooling]])=19</f>
        <v>1</v>
      </c>
    </row>
    <row r="1206" spans="1:23" x14ac:dyDescent="0.25">
      <c r="A1206" t="s">
        <v>358</v>
      </c>
      <c r="B1206">
        <v>2013</v>
      </c>
      <c r="C1206" t="s">
        <v>280</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COUNT(LifeExpectancyData[[#This Row],[Life expectancy]:[Schooling]])=19</f>
        <v>1</v>
      </c>
    </row>
    <row r="1207" spans="1:23" x14ac:dyDescent="0.25">
      <c r="A1207" t="s">
        <v>358</v>
      </c>
      <c r="B1207">
        <v>2012</v>
      </c>
      <c r="C1207" t="s">
        <v>280</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COUNT(LifeExpectancyData[[#This Row],[Life expectancy]:[Schooling]])=19</f>
        <v>1</v>
      </c>
    </row>
    <row r="1208" spans="1:23" x14ac:dyDescent="0.25">
      <c r="A1208" t="s">
        <v>358</v>
      </c>
      <c r="B1208">
        <v>2011</v>
      </c>
      <c r="C1208" t="s">
        <v>280</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COUNT(LifeExpectancyData[[#This Row],[Life expectancy]:[Schooling]])=19</f>
        <v>1</v>
      </c>
    </row>
    <row r="1209" spans="1:23" x14ac:dyDescent="0.25">
      <c r="A1209" t="s">
        <v>358</v>
      </c>
      <c r="B1209">
        <v>2010</v>
      </c>
      <c r="C1209" t="s">
        <v>280</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COUNT(LifeExpectancyData[[#This Row],[Life expectancy]:[Schooling]])=19</f>
        <v>1</v>
      </c>
    </row>
    <row r="1210" spans="1:23" x14ac:dyDescent="0.25">
      <c r="A1210" t="s">
        <v>358</v>
      </c>
      <c r="B1210">
        <v>2009</v>
      </c>
      <c r="C1210" t="s">
        <v>280</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COUNT(LifeExpectancyData[[#This Row],[Life expectancy]:[Schooling]])=19</f>
        <v>1</v>
      </c>
    </row>
    <row r="1211" spans="1:23" x14ac:dyDescent="0.25">
      <c r="A1211" t="s">
        <v>358</v>
      </c>
      <c r="B1211">
        <v>2008</v>
      </c>
      <c r="C1211" t="s">
        <v>280</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COUNT(LifeExpectancyData[[#This Row],[Life expectancy]:[Schooling]])=19</f>
        <v>1</v>
      </c>
    </row>
    <row r="1212" spans="1:23" x14ac:dyDescent="0.25">
      <c r="A1212" t="s">
        <v>358</v>
      </c>
      <c r="B1212">
        <v>2007</v>
      </c>
      <c r="C1212" t="s">
        <v>280</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COUNT(LifeExpectancyData[[#This Row],[Life expectancy]:[Schooling]])=19</f>
        <v>1</v>
      </c>
    </row>
    <row r="1213" spans="1:23" x14ac:dyDescent="0.25">
      <c r="A1213" t="s">
        <v>358</v>
      </c>
      <c r="B1213">
        <v>2006</v>
      </c>
      <c r="C1213" t="s">
        <v>280</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COUNT(LifeExpectancyData[[#This Row],[Life expectancy]:[Schooling]])=19</f>
        <v>1</v>
      </c>
    </row>
    <row r="1214" spans="1:23" x14ac:dyDescent="0.25">
      <c r="A1214" t="s">
        <v>358</v>
      </c>
      <c r="B1214">
        <v>2005</v>
      </c>
      <c r="C1214" t="s">
        <v>280</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COUNT(LifeExpectancyData[[#This Row],[Life expectancy]:[Schooling]])=19</f>
        <v>1</v>
      </c>
    </row>
    <row r="1215" spans="1:23" x14ac:dyDescent="0.25">
      <c r="A1215" t="s">
        <v>358</v>
      </c>
      <c r="B1215">
        <v>2004</v>
      </c>
      <c r="C1215" t="s">
        <v>280</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COUNT(LifeExpectancyData[[#This Row],[Life expectancy]:[Schooling]])=19</f>
        <v>1</v>
      </c>
    </row>
    <row r="1216" spans="1:23" x14ac:dyDescent="0.25">
      <c r="A1216" t="s">
        <v>358</v>
      </c>
      <c r="B1216">
        <v>2003</v>
      </c>
      <c r="C1216" t="s">
        <v>280</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COUNT(LifeExpectancyData[[#This Row],[Life expectancy]:[Schooling]])=19</f>
        <v>1</v>
      </c>
    </row>
    <row r="1217" spans="1:23" x14ac:dyDescent="0.25">
      <c r="A1217" t="s">
        <v>358</v>
      </c>
      <c r="B1217">
        <v>2002</v>
      </c>
      <c r="C1217" t="s">
        <v>280</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COUNT(LifeExpectancyData[[#This Row],[Life expectancy]:[Schooling]])=19</f>
        <v>1</v>
      </c>
    </row>
    <row r="1218" spans="1:23" x14ac:dyDescent="0.25">
      <c r="A1218" t="s">
        <v>358</v>
      </c>
      <c r="B1218">
        <v>2001</v>
      </c>
      <c r="C1218" t="s">
        <v>280</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COUNT(LifeExpectancyData[[#This Row],[Life expectancy]:[Schooling]])=19</f>
        <v>1</v>
      </c>
    </row>
    <row r="1219" spans="1:23" x14ac:dyDescent="0.25">
      <c r="A1219" t="s">
        <v>358</v>
      </c>
      <c r="B1219">
        <v>2000</v>
      </c>
      <c r="C1219" t="s">
        <v>280</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COUNT(LifeExpectancyData[[#This Row],[Life expectancy]:[Schooling]])=19</f>
        <v>1</v>
      </c>
    </row>
    <row r="1220" spans="1:23" x14ac:dyDescent="0.25">
      <c r="A1220" t="s">
        <v>359</v>
      </c>
      <c r="B1220">
        <v>2015</v>
      </c>
      <c r="C1220" t="s">
        <v>280</v>
      </c>
      <c r="D1220">
        <v>75.5</v>
      </c>
      <c r="E1220">
        <v>83</v>
      </c>
      <c r="F1220">
        <v>18</v>
      </c>
      <c r="H1220">
        <v>0</v>
      </c>
      <c r="I1220">
        <v>98</v>
      </c>
      <c r="J1220">
        <v>615</v>
      </c>
      <c r="K1220">
        <v>59.7</v>
      </c>
      <c r="L1220">
        <v>21</v>
      </c>
      <c r="M1220">
        <v>98</v>
      </c>
      <c r="O1220">
        <v>98</v>
      </c>
      <c r="P1220">
        <v>0.1</v>
      </c>
      <c r="S1220">
        <v>8.5</v>
      </c>
      <c r="T1220">
        <v>8.6</v>
      </c>
      <c r="U1220">
        <v>0.77400000000000002</v>
      </c>
      <c r="V1220">
        <v>14.8</v>
      </c>
      <c r="W1220" t="b">
        <f>COUNT(LifeExpectancyData[[#This Row],[Life expectancy]:[Schooling]])=19</f>
        <v>0</v>
      </c>
    </row>
    <row r="1221" spans="1:23" x14ac:dyDescent="0.25">
      <c r="A1221" t="s">
        <v>359</v>
      </c>
      <c r="B1221">
        <v>2014</v>
      </c>
      <c r="C1221" t="s">
        <v>280</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COUNT(LifeExpectancyData[[#This Row],[Life expectancy]:[Schooling]])=19</f>
        <v>0</v>
      </c>
    </row>
    <row r="1222" spans="1:23" x14ac:dyDescent="0.25">
      <c r="A1222" t="s">
        <v>359</v>
      </c>
      <c r="B1222">
        <v>2013</v>
      </c>
      <c r="C1222" t="s">
        <v>280</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COUNT(LifeExpectancyData[[#This Row],[Life expectancy]:[Schooling]])=19</f>
        <v>0</v>
      </c>
    </row>
    <row r="1223" spans="1:23" x14ac:dyDescent="0.25">
      <c r="A1223" t="s">
        <v>359</v>
      </c>
      <c r="B1223">
        <v>2012</v>
      </c>
      <c r="C1223" t="s">
        <v>280</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COUNT(LifeExpectancyData[[#This Row],[Life expectancy]:[Schooling]])=19</f>
        <v>0</v>
      </c>
    </row>
    <row r="1224" spans="1:23" x14ac:dyDescent="0.25">
      <c r="A1224" t="s">
        <v>359</v>
      </c>
      <c r="B1224">
        <v>2011</v>
      </c>
      <c r="C1224" t="s">
        <v>280</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COUNT(LifeExpectancyData[[#This Row],[Life expectancy]:[Schooling]])=19</f>
        <v>0</v>
      </c>
    </row>
    <row r="1225" spans="1:23" x14ac:dyDescent="0.25">
      <c r="A1225" t="s">
        <v>359</v>
      </c>
      <c r="B1225">
        <v>2010</v>
      </c>
      <c r="C1225" t="s">
        <v>280</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COUNT(LifeExpectancyData[[#This Row],[Life expectancy]:[Schooling]])=19</f>
        <v>0</v>
      </c>
    </row>
    <row r="1226" spans="1:23" x14ac:dyDescent="0.25">
      <c r="A1226" t="s">
        <v>359</v>
      </c>
      <c r="B1226">
        <v>2009</v>
      </c>
      <c r="C1226" t="s">
        <v>280</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COUNT(LifeExpectancyData[[#This Row],[Life expectancy]:[Schooling]])=19</f>
        <v>0</v>
      </c>
    </row>
    <row r="1227" spans="1:23" x14ac:dyDescent="0.25">
      <c r="A1227" t="s">
        <v>359</v>
      </c>
      <c r="B1227">
        <v>2008</v>
      </c>
      <c r="C1227" t="s">
        <v>280</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COUNT(LifeExpectancyData[[#This Row],[Life expectancy]:[Schooling]])=19</f>
        <v>0</v>
      </c>
    </row>
    <row r="1228" spans="1:23" x14ac:dyDescent="0.25">
      <c r="A1228" t="s">
        <v>359</v>
      </c>
      <c r="B1228">
        <v>2007</v>
      </c>
      <c r="C1228" t="s">
        <v>280</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COUNT(LifeExpectancyData[[#This Row],[Life expectancy]:[Schooling]])=19</f>
        <v>0</v>
      </c>
    </row>
    <row r="1229" spans="1:23" x14ac:dyDescent="0.25">
      <c r="A1229" t="s">
        <v>359</v>
      </c>
      <c r="B1229">
        <v>2006</v>
      </c>
      <c r="C1229" t="s">
        <v>280</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COUNT(LifeExpectancyData[[#This Row],[Life expectancy]:[Schooling]])=19</f>
        <v>0</v>
      </c>
    </row>
    <row r="1230" spans="1:23" x14ac:dyDescent="0.25">
      <c r="A1230" t="s">
        <v>359</v>
      </c>
      <c r="B1230">
        <v>2005</v>
      </c>
      <c r="C1230" t="s">
        <v>280</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COUNT(LifeExpectancyData[[#This Row],[Life expectancy]:[Schooling]])=19</f>
        <v>0</v>
      </c>
    </row>
    <row r="1231" spans="1:23" x14ac:dyDescent="0.25">
      <c r="A1231" t="s">
        <v>359</v>
      </c>
      <c r="B1231">
        <v>2004</v>
      </c>
      <c r="C1231" t="s">
        <v>280</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COUNT(LifeExpectancyData[[#This Row],[Life expectancy]:[Schooling]])=19</f>
        <v>0</v>
      </c>
    </row>
    <row r="1232" spans="1:23" x14ac:dyDescent="0.25">
      <c r="A1232" t="s">
        <v>359</v>
      </c>
      <c r="B1232">
        <v>2003</v>
      </c>
      <c r="C1232" t="s">
        <v>280</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COUNT(LifeExpectancyData[[#This Row],[Life expectancy]:[Schooling]])=19</f>
        <v>0</v>
      </c>
    </row>
    <row r="1233" spans="1:23" x14ac:dyDescent="0.25">
      <c r="A1233" t="s">
        <v>359</v>
      </c>
      <c r="B1233">
        <v>2002</v>
      </c>
      <c r="C1233" t="s">
        <v>280</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COUNT(LifeExpectancyData[[#This Row],[Life expectancy]:[Schooling]])=19</f>
        <v>0</v>
      </c>
    </row>
    <row r="1234" spans="1:23" x14ac:dyDescent="0.25">
      <c r="A1234" t="s">
        <v>359</v>
      </c>
      <c r="B1234">
        <v>2001</v>
      </c>
      <c r="C1234" t="s">
        <v>280</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COUNT(LifeExpectancyData[[#This Row],[Life expectancy]:[Schooling]])=19</f>
        <v>0</v>
      </c>
    </row>
    <row r="1235" spans="1:23" x14ac:dyDescent="0.25">
      <c r="A1235" t="s">
        <v>359</v>
      </c>
      <c r="B1235">
        <v>2000</v>
      </c>
      <c r="C1235" t="s">
        <v>280</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COUNT(LifeExpectancyData[[#This Row],[Life expectancy]:[Schooling]])=19</f>
        <v>0</v>
      </c>
    </row>
    <row r="1236" spans="1:23" x14ac:dyDescent="0.25">
      <c r="A1236" t="s">
        <v>360</v>
      </c>
      <c r="B1236">
        <v>2015</v>
      </c>
      <c r="C1236" t="s">
        <v>280</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COUNT(LifeExpectancyData[[#This Row],[Life expectancy]:[Schooling]])=19</f>
        <v>0</v>
      </c>
    </row>
    <row r="1237" spans="1:23" x14ac:dyDescent="0.25">
      <c r="A1237" t="s">
        <v>360</v>
      </c>
      <c r="B1237">
        <v>2014</v>
      </c>
      <c r="C1237" t="s">
        <v>280</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COUNT(LifeExpectancyData[[#This Row],[Life expectancy]:[Schooling]])=19</f>
        <v>1</v>
      </c>
    </row>
    <row r="1238" spans="1:23" x14ac:dyDescent="0.25">
      <c r="A1238" t="s">
        <v>360</v>
      </c>
      <c r="B1238">
        <v>2013</v>
      </c>
      <c r="C1238" t="s">
        <v>280</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COUNT(LifeExpectancyData[[#This Row],[Life expectancy]:[Schooling]])=19</f>
        <v>1</v>
      </c>
    </row>
    <row r="1239" spans="1:23" x14ac:dyDescent="0.25">
      <c r="A1239" t="s">
        <v>360</v>
      </c>
      <c r="B1239">
        <v>2012</v>
      </c>
      <c r="C1239" t="s">
        <v>280</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COUNT(LifeExpectancyData[[#This Row],[Life expectancy]:[Schooling]])=19</f>
        <v>1</v>
      </c>
    </row>
    <row r="1240" spans="1:23" x14ac:dyDescent="0.25">
      <c r="A1240" t="s">
        <v>360</v>
      </c>
      <c r="B1240">
        <v>2011</v>
      </c>
      <c r="C1240" t="s">
        <v>280</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COUNT(LifeExpectancyData[[#This Row],[Life expectancy]:[Schooling]])=19</f>
        <v>1</v>
      </c>
    </row>
    <row r="1241" spans="1:23" x14ac:dyDescent="0.25">
      <c r="A1241" t="s">
        <v>360</v>
      </c>
      <c r="B1241">
        <v>2010</v>
      </c>
      <c r="C1241" t="s">
        <v>280</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COUNT(LifeExpectancyData[[#This Row],[Life expectancy]:[Schooling]])=19</f>
        <v>1</v>
      </c>
    </row>
    <row r="1242" spans="1:23" x14ac:dyDescent="0.25">
      <c r="A1242" t="s">
        <v>360</v>
      </c>
      <c r="B1242">
        <v>2009</v>
      </c>
      <c r="C1242" t="s">
        <v>280</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COUNT(LifeExpectancyData[[#This Row],[Life expectancy]:[Schooling]])=19</f>
        <v>1</v>
      </c>
    </row>
    <row r="1243" spans="1:23" x14ac:dyDescent="0.25">
      <c r="A1243" t="s">
        <v>360</v>
      </c>
      <c r="B1243">
        <v>2008</v>
      </c>
      <c r="C1243" t="s">
        <v>280</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COUNT(LifeExpectancyData[[#This Row],[Life expectancy]:[Schooling]])=19</f>
        <v>1</v>
      </c>
    </row>
    <row r="1244" spans="1:23" x14ac:dyDescent="0.25">
      <c r="A1244" t="s">
        <v>360</v>
      </c>
      <c r="B1244">
        <v>2007</v>
      </c>
      <c r="C1244" t="s">
        <v>280</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COUNT(LifeExpectancyData[[#This Row],[Life expectancy]:[Schooling]])=19</f>
        <v>1</v>
      </c>
    </row>
    <row r="1245" spans="1:23" x14ac:dyDescent="0.25">
      <c r="A1245" t="s">
        <v>360</v>
      </c>
      <c r="B1245">
        <v>2006</v>
      </c>
      <c r="C1245" t="s">
        <v>280</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COUNT(LifeExpectancyData[[#This Row],[Life expectancy]:[Schooling]])=19</f>
        <v>1</v>
      </c>
    </row>
    <row r="1246" spans="1:23" x14ac:dyDescent="0.25">
      <c r="A1246" t="s">
        <v>360</v>
      </c>
      <c r="B1246">
        <v>2005</v>
      </c>
      <c r="C1246" t="s">
        <v>280</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COUNT(LifeExpectancyData[[#This Row],[Life expectancy]:[Schooling]])=19</f>
        <v>1</v>
      </c>
    </row>
    <row r="1247" spans="1:23" x14ac:dyDescent="0.25">
      <c r="A1247" t="s">
        <v>360</v>
      </c>
      <c r="B1247">
        <v>2004</v>
      </c>
      <c r="C1247" t="s">
        <v>280</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COUNT(LifeExpectancyData[[#This Row],[Life expectancy]:[Schooling]])=19</f>
        <v>1</v>
      </c>
    </row>
    <row r="1248" spans="1:23" x14ac:dyDescent="0.25">
      <c r="A1248" t="s">
        <v>360</v>
      </c>
      <c r="B1248">
        <v>2003</v>
      </c>
      <c r="C1248" t="s">
        <v>280</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COUNT(LifeExpectancyData[[#This Row],[Life expectancy]:[Schooling]])=19</f>
        <v>0</v>
      </c>
    </row>
    <row r="1249" spans="1:23" x14ac:dyDescent="0.25">
      <c r="A1249" t="s">
        <v>360</v>
      </c>
      <c r="B1249">
        <v>2002</v>
      </c>
      <c r="C1249" t="s">
        <v>280</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COUNT(LifeExpectancyData[[#This Row],[Life expectancy]:[Schooling]])=19</f>
        <v>0</v>
      </c>
    </row>
    <row r="1250" spans="1:23" x14ac:dyDescent="0.25">
      <c r="A1250" t="s">
        <v>360</v>
      </c>
      <c r="B1250">
        <v>2001</v>
      </c>
      <c r="C1250" t="s">
        <v>280</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COUNT(LifeExpectancyData[[#This Row],[Life expectancy]:[Schooling]])=19</f>
        <v>0</v>
      </c>
    </row>
    <row r="1251" spans="1:23" x14ac:dyDescent="0.25">
      <c r="A1251" t="s">
        <v>360</v>
      </c>
      <c r="B1251">
        <v>2000</v>
      </c>
      <c r="C1251" t="s">
        <v>280</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COUNT(LifeExpectancyData[[#This Row],[Life expectancy]:[Schooling]])=19</f>
        <v>0</v>
      </c>
    </row>
    <row r="1252" spans="1:23" x14ac:dyDescent="0.25">
      <c r="A1252" t="s">
        <v>361</v>
      </c>
      <c r="B1252">
        <v>2015</v>
      </c>
      <c r="C1252" t="s">
        <v>288</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COUNT(LifeExpectancyData[[#This Row],[Life expectancy]:[Schooling]])=19</f>
        <v>0</v>
      </c>
    </row>
    <row r="1253" spans="1:23" x14ac:dyDescent="0.25">
      <c r="A1253" t="s">
        <v>361</v>
      </c>
      <c r="B1253">
        <v>2014</v>
      </c>
      <c r="C1253" t="s">
        <v>288</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COUNT(LifeExpectancyData[[#This Row],[Life expectancy]:[Schooling]])=19</f>
        <v>1</v>
      </c>
    </row>
    <row r="1254" spans="1:23" x14ac:dyDescent="0.25">
      <c r="A1254" t="s">
        <v>361</v>
      </c>
      <c r="B1254">
        <v>2013</v>
      </c>
      <c r="C1254" t="s">
        <v>288</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COUNT(LifeExpectancyData[[#This Row],[Life expectancy]:[Schooling]])=19</f>
        <v>1</v>
      </c>
    </row>
    <row r="1255" spans="1:23" x14ac:dyDescent="0.25">
      <c r="A1255" t="s">
        <v>361</v>
      </c>
      <c r="B1255">
        <v>2012</v>
      </c>
      <c r="C1255" t="s">
        <v>288</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COUNT(LifeExpectancyData[[#This Row],[Life expectancy]:[Schooling]])=19</f>
        <v>1</v>
      </c>
    </row>
    <row r="1256" spans="1:23" x14ac:dyDescent="0.25">
      <c r="A1256" t="s">
        <v>361</v>
      </c>
      <c r="B1256">
        <v>2011</v>
      </c>
      <c r="C1256" t="s">
        <v>288</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COUNT(LifeExpectancyData[[#This Row],[Life expectancy]:[Schooling]])=19</f>
        <v>1</v>
      </c>
    </row>
    <row r="1257" spans="1:23" x14ac:dyDescent="0.25">
      <c r="A1257" t="s">
        <v>361</v>
      </c>
      <c r="B1257">
        <v>2010</v>
      </c>
      <c r="C1257" t="s">
        <v>288</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COUNT(LifeExpectancyData[[#This Row],[Life expectancy]:[Schooling]])=19</f>
        <v>1</v>
      </c>
    </row>
    <row r="1258" spans="1:23" x14ac:dyDescent="0.25">
      <c r="A1258" t="s">
        <v>361</v>
      </c>
      <c r="B1258">
        <v>2009</v>
      </c>
      <c r="C1258" t="s">
        <v>288</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COUNT(LifeExpectancyData[[#This Row],[Life expectancy]:[Schooling]])=19</f>
        <v>0</v>
      </c>
    </row>
    <row r="1259" spans="1:23" x14ac:dyDescent="0.25">
      <c r="A1259" t="s">
        <v>361</v>
      </c>
      <c r="B1259">
        <v>2008</v>
      </c>
      <c r="C1259" t="s">
        <v>288</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COUNT(LifeExpectancyData[[#This Row],[Life expectancy]:[Schooling]])=19</f>
        <v>0</v>
      </c>
    </row>
    <row r="1260" spans="1:23" x14ac:dyDescent="0.25">
      <c r="A1260" t="s">
        <v>361</v>
      </c>
      <c r="B1260">
        <v>2007</v>
      </c>
      <c r="C1260" t="s">
        <v>288</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COUNT(LifeExpectancyData[[#This Row],[Life expectancy]:[Schooling]])=19</f>
        <v>0</v>
      </c>
    </row>
    <row r="1261" spans="1:23" x14ac:dyDescent="0.25">
      <c r="A1261" t="s">
        <v>361</v>
      </c>
      <c r="B1261">
        <v>2006</v>
      </c>
      <c r="C1261" t="s">
        <v>288</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COUNT(LifeExpectancyData[[#This Row],[Life expectancy]:[Schooling]])=19</f>
        <v>0</v>
      </c>
    </row>
    <row r="1262" spans="1:23" x14ac:dyDescent="0.25">
      <c r="A1262" t="s">
        <v>361</v>
      </c>
      <c r="B1262">
        <v>2005</v>
      </c>
      <c r="C1262" t="s">
        <v>288</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COUNT(LifeExpectancyData[[#This Row],[Life expectancy]:[Schooling]])=19</f>
        <v>0</v>
      </c>
    </row>
    <row r="1263" spans="1:23" x14ac:dyDescent="0.25">
      <c r="A1263" t="s">
        <v>361</v>
      </c>
      <c r="B1263">
        <v>2004</v>
      </c>
      <c r="C1263" t="s">
        <v>288</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COUNT(LifeExpectancyData[[#This Row],[Life expectancy]:[Schooling]])=19</f>
        <v>0</v>
      </c>
    </row>
    <row r="1264" spans="1:23" x14ac:dyDescent="0.25">
      <c r="A1264" t="s">
        <v>361</v>
      </c>
      <c r="B1264">
        <v>2003</v>
      </c>
      <c r="C1264" t="s">
        <v>288</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COUNT(LifeExpectancyData[[#This Row],[Life expectancy]:[Schooling]])=19</f>
        <v>0</v>
      </c>
    </row>
    <row r="1265" spans="1:23" x14ac:dyDescent="0.25">
      <c r="A1265" t="s">
        <v>361</v>
      </c>
      <c r="B1265">
        <v>2002</v>
      </c>
      <c r="C1265" t="s">
        <v>288</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COUNT(LifeExpectancyData[[#This Row],[Life expectancy]:[Schooling]])=19</f>
        <v>0</v>
      </c>
    </row>
    <row r="1266" spans="1:23" x14ac:dyDescent="0.25">
      <c r="A1266" t="s">
        <v>361</v>
      </c>
      <c r="B1266">
        <v>2001</v>
      </c>
      <c r="C1266" t="s">
        <v>288</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COUNT(LifeExpectancyData[[#This Row],[Life expectancy]:[Schooling]])=19</f>
        <v>0</v>
      </c>
    </row>
    <row r="1267" spans="1:23" x14ac:dyDescent="0.25">
      <c r="A1267" t="s">
        <v>361</v>
      </c>
      <c r="B1267">
        <v>2000</v>
      </c>
      <c r="C1267" t="s">
        <v>288</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COUNT(LifeExpectancyData[[#This Row],[Life expectancy]:[Schooling]])=19</f>
        <v>0</v>
      </c>
    </row>
    <row r="1268" spans="1:23" x14ac:dyDescent="0.25">
      <c r="A1268" t="s">
        <v>362</v>
      </c>
      <c r="B1268">
        <v>2015</v>
      </c>
      <c r="C1268" t="s">
        <v>280</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COUNT(LifeExpectancyData[[#This Row],[Life expectancy]:[Schooling]])=19</f>
        <v>0</v>
      </c>
    </row>
    <row r="1269" spans="1:23" x14ac:dyDescent="0.25">
      <c r="A1269" t="s">
        <v>362</v>
      </c>
      <c r="B1269">
        <v>2014</v>
      </c>
      <c r="C1269" t="s">
        <v>280</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COUNT(LifeExpectancyData[[#This Row],[Life expectancy]:[Schooling]])=19</f>
        <v>1</v>
      </c>
    </row>
    <row r="1270" spans="1:23" x14ac:dyDescent="0.25">
      <c r="A1270" t="s">
        <v>362</v>
      </c>
      <c r="B1270">
        <v>2013</v>
      </c>
      <c r="C1270" t="s">
        <v>280</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COUNT(LifeExpectancyData[[#This Row],[Life expectancy]:[Schooling]])=19</f>
        <v>1</v>
      </c>
    </row>
    <row r="1271" spans="1:23" x14ac:dyDescent="0.25">
      <c r="A1271" t="s">
        <v>362</v>
      </c>
      <c r="B1271">
        <v>2012</v>
      </c>
      <c r="C1271" t="s">
        <v>280</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COUNT(LifeExpectancyData[[#This Row],[Life expectancy]:[Schooling]])=19</f>
        <v>1</v>
      </c>
    </row>
    <row r="1272" spans="1:23" x14ac:dyDescent="0.25">
      <c r="A1272" t="s">
        <v>362</v>
      </c>
      <c r="B1272">
        <v>2011</v>
      </c>
      <c r="C1272" t="s">
        <v>280</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COUNT(LifeExpectancyData[[#This Row],[Life expectancy]:[Schooling]])=19</f>
        <v>1</v>
      </c>
    </row>
    <row r="1273" spans="1:23" x14ac:dyDescent="0.25">
      <c r="A1273" t="s">
        <v>362</v>
      </c>
      <c r="B1273">
        <v>2010</v>
      </c>
      <c r="C1273" t="s">
        <v>280</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COUNT(LifeExpectancyData[[#This Row],[Life expectancy]:[Schooling]])=19</f>
        <v>1</v>
      </c>
    </row>
    <row r="1274" spans="1:23" x14ac:dyDescent="0.25">
      <c r="A1274" t="s">
        <v>362</v>
      </c>
      <c r="B1274">
        <v>2009</v>
      </c>
      <c r="C1274" t="s">
        <v>280</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COUNT(LifeExpectancyData[[#This Row],[Life expectancy]:[Schooling]])=19</f>
        <v>1</v>
      </c>
    </row>
    <row r="1275" spans="1:23" x14ac:dyDescent="0.25">
      <c r="A1275" t="s">
        <v>362</v>
      </c>
      <c r="B1275">
        <v>2008</v>
      </c>
      <c r="C1275" t="s">
        <v>280</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COUNT(LifeExpectancyData[[#This Row],[Life expectancy]:[Schooling]])=19</f>
        <v>1</v>
      </c>
    </row>
    <row r="1276" spans="1:23" x14ac:dyDescent="0.25">
      <c r="A1276" t="s">
        <v>362</v>
      </c>
      <c r="B1276">
        <v>2007</v>
      </c>
      <c r="C1276" t="s">
        <v>280</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COUNT(LifeExpectancyData[[#This Row],[Life expectancy]:[Schooling]])=19</f>
        <v>1</v>
      </c>
    </row>
    <row r="1277" spans="1:23" x14ac:dyDescent="0.25">
      <c r="A1277" t="s">
        <v>362</v>
      </c>
      <c r="B1277">
        <v>2006</v>
      </c>
      <c r="C1277" t="s">
        <v>280</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COUNT(LifeExpectancyData[[#This Row],[Life expectancy]:[Schooling]])=19</f>
        <v>1</v>
      </c>
    </row>
    <row r="1278" spans="1:23" x14ac:dyDescent="0.25">
      <c r="A1278" t="s">
        <v>362</v>
      </c>
      <c r="B1278">
        <v>2005</v>
      </c>
      <c r="C1278" t="s">
        <v>280</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COUNT(LifeExpectancyData[[#This Row],[Life expectancy]:[Schooling]])=19</f>
        <v>1</v>
      </c>
    </row>
    <row r="1279" spans="1:23" x14ac:dyDescent="0.25">
      <c r="A1279" t="s">
        <v>362</v>
      </c>
      <c r="B1279">
        <v>2004</v>
      </c>
      <c r="C1279" t="s">
        <v>280</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COUNT(LifeExpectancyData[[#This Row],[Life expectancy]:[Schooling]])=19</f>
        <v>1</v>
      </c>
    </row>
    <row r="1280" spans="1:23" x14ac:dyDescent="0.25">
      <c r="A1280" t="s">
        <v>362</v>
      </c>
      <c r="B1280">
        <v>2003</v>
      </c>
      <c r="C1280" t="s">
        <v>280</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COUNT(LifeExpectancyData[[#This Row],[Life expectancy]:[Schooling]])=19</f>
        <v>1</v>
      </c>
    </row>
    <row r="1281" spans="1:23" x14ac:dyDescent="0.25">
      <c r="A1281" t="s">
        <v>362</v>
      </c>
      <c r="B1281">
        <v>2002</v>
      </c>
      <c r="C1281" t="s">
        <v>280</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COUNT(LifeExpectancyData[[#This Row],[Life expectancy]:[Schooling]])=19</f>
        <v>1</v>
      </c>
    </row>
    <row r="1282" spans="1:23" x14ac:dyDescent="0.25">
      <c r="A1282" t="s">
        <v>362</v>
      </c>
      <c r="B1282">
        <v>2001</v>
      </c>
      <c r="C1282" t="s">
        <v>280</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COUNT(LifeExpectancyData[[#This Row],[Life expectancy]:[Schooling]])=19</f>
        <v>1</v>
      </c>
    </row>
    <row r="1283" spans="1:23" x14ac:dyDescent="0.25">
      <c r="A1283" t="s">
        <v>362</v>
      </c>
      <c r="B1283">
        <v>2000</v>
      </c>
      <c r="C1283" t="s">
        <v>280</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COUNT(LifeExpectancyData[[#This Row],[Life expectancy]:[Schooling]])=19</f>
        <v>1</v>
      </c>
    </row>
    <row r="1284" spans="1:23" x14ac:dyDescent="0.25">
      <c r="A1284" t="s">
        <v>363</v>
      </c>
      <c r="B1284">
        <v>2015</v>
      </c>
      <c r="C1284" t="s">
        <v>288</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COUNT(LifeExpectancyData[[#This Row],[Life expectancy]:[Schooling]])=19</f>
        <v>0</v>
      </c>
    </row>
    <row r="1285" spans="1:23" x14ac:dyDescent="0.25">
      <c r="A1285" t="s">
        <v>363</v>
      </c>
      <c r="B1285">
        <v>2014</v>
      </c>
      <c r="C1285" t="s">
        <v>288</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COUNT(LifeExpectancyData[[#This Row],[Life expectancy]:[Schooling]])=19</f>
        <v>1</v>
      </c>
    </row>
    <row r="1286" spans="1:23" x14ac:dyDescent="0.25">
      <c r="A1286" t="s">
        <v>363</v>
      </c>
      <c r="B1286">
        <v>2013</v>
      </c>
      <c r="C1286" t="s">
        <v>288</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COUNT(LifeExpectancyData[[#This Row],[Life expectancy]:[Schooling]])=19</f>
        <v>1</v>
      </c>
    </row>
    <row r="1287" spans="1:23" x14ac:dyDescent="0.25">
      <c r="A1287" t="s">
        <v>363</v>
      </c>
      <c r="B1287">
        <v>2012</v>
      </c>
      <c r="C1287" t="s">
        <v>288</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COUNT(LifeExpectancyData[[#This Row],[Life expectancy]:[Schooling]])=19</f>
        <v>1</v>
      </c>
    </row>
    <row r="1288" spans="1:23" x14ac:dyDescent="0.25">
      <c r="A1288" t="s">
        <v>363</v>
      </c>
      <c r="B1288">
        <v>2011</v>
      </c>
      <c r="C1288" t="s">
        <v>288</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COUNT(LifeExpectancyData[[#This Row],[Life expectancy]:[Schooling]])=19</f>
        <v>1</v>
      </c>
    </row>
    <row r="1289" spans="1:23" x14ac:dyDescent="0.25">
      <c r="A1289" t="s">
        <v>363</v>
      </c>
      <c r="B1289">
        <v>2010</v>
      </c>
      <c r="C1289" t="s">
        <v>288</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COUNT(LifeExpectancyData[[#This Row],[Life expectancy]:[Schooling]])=19</f>
        <v>1</v>
      </c>
    </row>
    <row r="1290" spans="1:23" x14ac:dyDescent="0.25">
      <c r="A1290" t="s">
        <v>363</v>
      </c>
      <c r="B1290">
        <v>2009</v>
      </c>
      <c r="C1290" t="s">
        <v>288</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COUNT(LifeExpectancyData[[#This Row],[Life expectancy]:[Schooling]])=19</f>
        <v>1</v>
      </c>
    </row>
    <row r="1291" spans="1:23" x14ac:dyDescent="0.25">
      <c r="A1291" t="s">
        <v>363</v>
      </c>
      <c r="B1291">
        <v>2008</v>
      </c>
      <c r="C1291" t="s">
        <v>288</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COUNT(LifeExpectancyData[[#This Row],[Life expectancy]:[Schooling]])=19</f>
        <v>1</v>
      </c>
    </row>
    <row r="1292" spans="1:23" x14ac:dyDescent="0.25">
      <c r="A1292" t="s">
        <v>363</v>
      </c>
      <c r="B1292">
        <v>2007</v>
      </c>
      <c r="C1292" t="s">
        <v>288</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COUNT(LifeExpectancyData[[#This Row],[Life expectancy]:[Schooling]])=19</f>
        <v>1</v>
      </c>
    </row>
    <row r="1293" spans="1:23" x14ac:dyDescent="0.25">
      <c r="A1293" t="s">
        <v>363</v>
      </c>
      <c r="B1293">
        <v>2006</v>
      </c>
      <c r="C1293" t="s">
        <v>288</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COUNT(LifeExpectancyData[[#This Row],[Life expectancy]:[Schooling]])=19</f>
        <v>1</v>
      </c>
    </row>
    <row r="1294" spans="1:23" x14ac:dyDescent="0.25">
      <c r="A1294" t="s">
        <v>363</v>
      </c>
      <c r="B1294">
        <v>2005</v>
      </c>
      <c r="C1294" t="s">
        <v>288</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COUNT(LifeExpectancyData[[#This Row],[Life expectancy]:[Schooling]])=19</f>
        <v>1</v>
      </c>
    </row>
    <row r="1295" spans="1:23" x14ac:dyDescent="0.25">
      <c r="A1295" t="s">
        <v>363</v>
      </c>
      <c r="B1295">
        <v>2004</v>
      </c>
      <c r="C1295" t="s">
        <v>288</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COUNT(LifeExpectancyData[[#This Row],[Life expectancy]:[Schooling]])=19</f>
        <v>1</v>
      </c>
    </row>
    <row r="1296" spans="1:23" x14ac:dyDescent="0.25">
      <c r="A1296" t="s">
        <v>363</v>
      </c>
      <c r="B1296">
        <v>2003</v>
      </c>
      <c r="C1296" t="s">
        <v>288</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COUNT(LifeExpectancyData[[#This Row],[Life expectancy]:[Schooling]])=19</f>
        <v>1</v>
      </c>
    </row>
    <row r="1297" spans="1:23" x14ac:dyDescent="0.25">
      <c r="A1297" t="s">
        <v>363</v>
      </c>
      <c r="B1297">
        <v>2002</v>
      </c>
      <c r="C1297" t="s">
        <v>288</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COUNT(LifeExpectancyData[[#This Row],[Life expectancy]:[Schooling]])=19</f>
        <v>1</v>
      </c>
    </row>
    <row r="1298" spans="1:23" x14ac:dyDescent="0.25">
      <c r="A1298" t="s">
        <v>363</v>
      </c>
      <c r="B1298">
        <v>2001</v>
      </c>
      <c r="C1298" t="s">
        <v>288</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COUNT(LifeExpectancyData[[#This Row],[Life expectancy]:[Schooling]])=19</f>
        <v>1</v>
      </c>
    </row>
    <row r="1299" spans="1:23" x14ac:dyDescent="0.25">
      <c r="A1299" t="s">
        <v>363</v>
      </c>
      <c r="B1299">
        <v>2000</v>
      </c>
      <c r="C1299" t="s">
        <v>288</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COUNT(LifeExpectancyData[[#This Row],[Life expectancy]:[Schooling]])=19</f>
        <v>1</v>
      </c>
    </row>
    <row r="1300" spans="1:23" x14ac:dyDescent="0.25">
      <c r="A1300" t="s">
        <v>364</v>
      </c>
      <c r="B1300">
        <v>2015</v>
      </c>
      <c r="C1300" t="s">
        <v>280</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COUNT(LifeExpectancyData[[#This Row],[Life expectancy]:[Schooling]])=19</f>
        <v>0</v>
      </c>
    </row>
    <row r="1301" spans="1:23" x14ac:dyDescent="0.25">
      <c r="A1301" t="s">
        <v>364</v>
      </c>
      <c r="B1301">
        <v>2014</v>
      </c>
      <c r="C1301" t="s">
        <v>280</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COUNT(LifeExpectancyData[[#This Row],[Life expectancy]:[Schooling]])=19</f>
        <v>1</v>
      </c>
    </row>
    <row r="1302" spans="1:23" x14ac:dyDescent="0.25">
      <c r="A1302" t="s">
        <v>364</v>
      </c>
      <c r="B1302">
        <v>2013</v>
      </c>
      <c r="C1302" t="s">
        <v>280</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COUNT(LifeExpectancyData[[#This Row],[Life expectancy]:[Schooling]])=19</f>
        <v>1</v>
      </c>
    </row>
    <row r="1303" spans="1:23" x14ac:dyDescent="0.25">
      <c r="A1303" t="s">
        <v>364</v>
      </c>
      <c r="B1303">
        <v>2012</v>
      </c>
      <c r="C1303" t="s">
        <v>280</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COUNT(LifeExpectancyData[[#This Row],[Life expectancy]:[Schooling]])=19</f>
        <v>1</v>
      </c>
    </row>
    <row r="1304" spans="1:23" x14ac:dyDescent="0.25">
      <c r="A1304" t="s">
        <v>364</v>
      </c>
      <c r="B1304">
        <v>2011</v>
      </c>
      <c r="C1304" t="s">
        <v>280</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COUNT(LifeExpectancyData[[#This Row],[Life expectancy]:[Schooling]])=19</f>
        <v>1</v>
      </c>
    </row>
    <row r="1305" spans="1:23" x14ac:dyDescent="0.25">
      <c r="A1305" t="s">
        <v>364</v>
      </c>
      <c r="B1305">
        <v>2010</v>
      </c>
      <c r="C1305" t="s">
        <v>280</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COUNT(LifeExpectancyData[[#This Row],[Life expectancy]:[Schooling]])=19</f>
        <v>1</v>
      </c>
    </row>
    <row r="1306" spans="1:23" x14ac:dyDescent="0.25">
      <c r="A1306" t="s">
        <v>364</v>
      </c>
      <c r="B1306">
        <v>2009</v>
      </c>
      <c r="C1306" t="s">
        <v>280</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COUNT(LifeExpectancyData[[#This Row],[Life expectancy]:[Schooling]])=19</f>
        <v>1</v>
      </c>
    </row>
    <row r="1307" spans="1:23" x14ac:dyDescent="0.25">
      <c r="A1307" t="s">
        <v>364</v>
      </c>
      <c r="B1307">
        <v>2008</v>
      </c>
      <c r="C1307" t="s">
        <v>280</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COUNT(LifeExpectancyData[[#This Row],[Life expectancy]:[Schooling]])=19</f>
        <v>1</v>
      </c>
    </row>
    <row r="1308" spans="1:23" x14ac:dyDescent="0.25">
      <c r="A1308" t="s">
        <v>364</v>
      </c>
      <c r="B1308">
        <v>2007</v>
      </c>
      <c r="C1308" t="s">
        <v>280</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COUNT(LifeExpectancyData[[#This Row],[Life expectancy]:[Schooling]])=19</f>
        <v>1</v>
      </c>
    </row>
    <row r="1309" spans="1:23" x14ac:dyDescent="0.25">
      <c r="A1309" t="s">
        <v>364</v>
      </c>
      <c r="B1309">
        <v>2006</v>
      </c>
      <c r="C1309" t="s">
        <v>280</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COUNT(LifeExpectancyData[[#This Row],[Life expectancy]:[Schooling]])=19</f>
        <v>1</v>
      </c>
    </row>
    <row r="1310" spans="1:23" x14ac:dyDescent="0.25">
      <c r="A1310" t="s">
        <v>364</v>
      </c>
      <c r="B1310">
        <v>2005</v>
      </c>
      <c r="C1310" t="s">
        <v>280</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COUNT(LifeExpectancyData[[#This Row],[Life expectancy]:[Schooling]])=19</f>
        <v>1</v>
      </c>
    </row>
    <row r="1311" spans="1:23" x14ac:dyDescent="0.25">
      <c r="A1311" t="s">
        <v>364</v>
      </c>
      <c r="B1311">
        <v>2004</v>
      </c>
      <c r="C1311" t="s">
        <v>280</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COUNT(LifeExpectancyData[[#This Row],[Life expectancy]:[Schooling]])=19</f>
        <v>1</v>
      </c>
    </row>
    <row r="1312" spans="1:23" x14ac:dyDescent="0.25">
      <c r="A1312" t="s">
        <v>364</v>
      </c>
      <c r="B1312">
        <v>2003</v>
      </c>
      <c r="C1312" t="s">
        <v>280</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COUNT(LifeExpectancyData[[#This Row],[Life expectancy]:[Schooling]])=19</f>
        <v>1</v>
      </c>
    </row>
    <row r="1313" spans="1:23" x14ac:dyDescent="0.25">
      <c r="A1313" t="s">
        <v>364</v>
      </c>
      <c r="B1313">
        <v>2002</v>
      </c>
      <c r="C1313" t="s">
        <v>280</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COUNT(LifeExpectancyData[[#This Row],[Life expectancy]:[Schooling]])=19</f>
        <v>0</v>
      </c>
    </row>
    <row r="1314" spans="1:23" x14ac:dyDescent="0.25">
      <c r="A1314" t="s">
        <v>364</v>
      </c>
      <c r="B1314">
        <v>2001</v>
      </c>
      <c r="C1314" t="s">
        <v>280</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COUNT(LifeExpectancyData[[#This Row],[Life expectancy]:[Schooling]])=19</f>
        <v>0</v>
      </c>
    </row>
    <row r="1315" spans="1:23" x14ac:dyDescent="0.25">
      <c r="A1315" t="s">
        <v>364</v>
      </c>
      <c r="B1315">
        <v>2000</v>
      </c>
      <c r="C1315" t="s">
        <v>280</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COUNT(LifeExpectancyData[[#This Row],[Life expectancy]:[Schooling]])=19</f>
        <v>0</v>
      </c>
    </row>
    <row r="1316" spans="1:23" x14ac:dyDescent="0.25">
      <c r="A1316" t="s">
        <v>365</v>
      </c>
      <c r="B1316">
        <v>2015</v>
      </c>
      <c r="C1316" t="s">
        <v>288</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COUNT(LifeExpectancyData[[#This Row],[Life expectancy]:[Schooling]])=19</f>
        <v>0</v>
      </c>
    </row>
    <row r="1317" spans="1:23" x14ac:dyDescent="0.25">
      <c r="A1317" t="s">
        <v>365</v>
      </c>
      <c r="B1317">
        <v>2014</v>
      </c>
      <c r="C1317" t="s">
        <v>288</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COUNT(LifeExpectancyData[[#This Row],[Life expectancy]:[Schooling]])=19</f>
        <v>0</v>
      </c>
    </row>
    <row r="1318" spans="1:23" x14ac:dyDescent="0.25">
      <c r="A1318" t="s">
        <v>365</v>
      </c>
      <c r="B1318">
        <v>2013</v>
      </c>
      <c r="C1318" t="s">
        <v>288</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COUNT(LifeExpectancyData[[#This Row],[Life expectancy]:[Schooling]])=19</f>
        <v>0</v>
      </c>
    </row>
    <row r="1319" spans="1:23" x14ac:dyDescent="0.25">
      <c r="A1319" t="s">
        <v>365</v>
      </c>
      <c r="B1319">
        <v>2012</v>
      </c>
      <c r="C1319" t="s">
        <v>288</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COUNT(LifeExpectancyData[[#This Row],[Life expectancy]:[Schooling]])=19</f>
        <v>0</v>
      </c>
    </row>
    <row r="1320" spans="1:23" x14ac:dyDescent="0.25">
      <c r="A1320" t="s">
        <v>365</v>
      </c>
      <c r="B1320">
        <v>2011</v>
      </c>
      <c r="C1320" t="s">
        <v>288</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COUNT(LifeExpectancyData[[#This Row],[Life expectancy]:[Schooling]])=19</f>
        <v>0</v>
      </c>
    </row>
    <row r="1321" spans="1:23" x14ac:dyDescent="0.25">
      <c r="A1321" t="s">
        <v>365</v>
      </c>
      <c r="B1321">
        <v>2010</v>
      </c>
      <c r="C1321" t="s">
        <v>288</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COUNT(LifeExpectancyData[[#This Row],[Life expectancy]:[Schooling]])=19</f>
        <v>0</v>
      </c>
    </row>
    <row r="1322" spans="1:23" x14ac:dyDescent="0.25">
      <c r="A1322" t="s">
        <v>365</v>
      </c>
      <c r="B1322">
        <v>2009</v>
      </c>
      <c r="C1322" t="s">
        <v>288</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COUNT(LifeExpectancyData[[#This Row],[Life expectancy]:[Schooling]])=19</f>
        <v>0</v>
      </c>
    </row>
    <row r="1323" spans="1:23" x14ac:dyDescent="0.25">
      <c r="A1323" t="s">
        <v>365</v>
      </c>
      <c r="B1323">
        <v>2008</v>
      </c>
      <c r="C1323" t="s">
        <v>288</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COUNT(LifeExpectancyData[[#This Row],[Life expectancy]:[Schooling]])=19</f>
        <v>0</v>
      </c>
    </row>
    <row r="1324" spans="1:23" x14ac:dyDescent="0.25">
      <c r="A1324" t="s">
        <v>365</v>
      </c>
      <c r="B1324">
        <v>2007</v>
      </c>
      <c r="C1324" t="s">
        <v>288</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COUNT(LifeExpectancyData[[#This Row],[Life expectancy]:[Schooling]])=19</f>
        <v>0</v>
      </c>
    </row>
    <row r="1325" spans="1:23" x14ac:dyDescent="0.25">
      <c r="A1325" t="s">
        <v>365</v>
      </c>
      <c r="B1325">
        <v>2006</v>
      </c>
      <c r="C1325" t="s">
        <v>288</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COUNT(LifeExpectancyData[[#This Row],[Life expectancy]:[Schooling]])=19</f>
        <v>0</v>
      </c>
    </row>
    <row r="1326" spans="1:23" x14ac:dyDescent="0.25">
      <c r="A1326" t="s">
        <v>365</v>
      </c>
      <c r="B1326">
        <v>2005</v>
      </c>
      <c r="C1326" t="s">
        <v>288</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COUNT(LifeExpectancyData[[#This Row],[Life expectancy]:[Schooling]])=19</f>
        <v>0</v>
      </c>
    </row>
    <row r="1327" spans="1:23" x14ac:dyDescent="0.25">
      <c r="A1327" t="s">
        <v>365</v>
      </c>
      <c r="B1327">
        <v>2004</v>
      </c>
      <c r="C1327" t="s">
        <v>288</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COUNT(LifeExpectancyData[[#This Row],[Life expectancy]:[Schooling]])=19</f>
        <v>0</v>
      </c>
    </row>
    <row r="1328" spans="1:23" x14ac:dyDescent="0.25">
      <c r="A1328" t="s">
        <v>365</v>
      </c>
      <c r="B1328">
        <v>2003</v>
      </c>
      <c r="C1328" t="s">
        <v>288</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COUNT(LifeExpectancyData[[#This Row],[Life expectancy]:[Schooling]])=19</f>
        <v>0</v>
      </c>
    </row>
    <row r="1329" spans="1:23" x14ac:dyDescent="0.25">
      <c r="A1329" t="s">
        <v>365</v>
      </c>
      <c r="B1329">
        <v>2002</v>
      </c>
      <c r="C1329" t="s">
        <v>288</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COUNT(LifeExpectancyData[[#This Row],[Life expectancy]:[Schooling]])=19</f>
        <v>0</v>
      </c>
    </row>
    <row r="1330" spans="1:23" x14ac:dyDescent="0.25">
      <c r="A1330" t="s">
        <v>365</v>
      </c>
      <c r="B1330">
        <v>2001</v>
      </c>
      <c r="C1330" t="s">
        <v>288</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COUNT(LifeExpectancyData[[#This Row],[Life expectancy]:[Schooling]])=19</f>
        <v>0</v>
      </c>
    </row>
    <row r="1331" spans="1:23" x14ac:dyDescent="0.25">
      <c r="A1331" t="s">
        <v>365</v>
      </c>
      <c r="B1331">
        <v>2000</v>
      </c>
      <c r="C1331" t="s">
        <v>288</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COUNT(LifeExpectancyData[[#This Row],[Life expectancy]:[Schooling]])=19</f>
        <v>0</v>
      </c>
    </row>
    <row r="1332" spans="1:23" x14ac:dyDescent="0.25">
      <c r="A1332" t="s">
        <v>366</v>
      </c>
      <c r="B1332">
        <v>2015</v>
      </c>
      <c r="C1332" t="s">
        <v>280</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COUNT(LifeExpectancyData[[#This Row],[Life expectancy]:[Schooling]])=19</f>
        <v>0</v>
      </c>
    </row>
    <row r="1333" spans="1:23" x14ac:dyDescent="0.25">
      <c r="A1333" t="s">
        <v>366</v>
      </c>
      <c r="B1333">
        <v>2014</v>
      </c>
      <c r="C1333" t="s">
        <v>280</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COUNT(LifeExpectancyData[[#This Row],[Life expectancy]:[Schooling]])=19</f>
        <v>1</v>
      </c>
    </row>
    <row r="1334" spans="1:23" x14ac:dyDescent="0.25">
      <c r="A1334" t="s">
        <v>366</v>
      </c>
      <c r="B1334">
        <v>2013</v>
      </c>
      <c r="C1334" t="s">
        <v>280</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COUNT(LifeExpectancyData[[#This Row],[Life expectancy]:[Schooling]])=19</f>
        <v>1</v>
      </c>
    </row>
    <row r="1335" spans="1:23" x14ac:dyDescent="0.25">
      <c r="A1335" t="s">
        <v>366</v>
      </c>
      <c r="B1335">
        <v>2012</v>
      </c>
      <c r="C1335" t="s">
        <v>280</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COUNT(LifeExpectancyData[[#This Row],[Life expectancy]:[Schooling]])=19</f>
        <v>1</v>
      </c>
    </row>
    <row r="1336" spans="1:23" x14ac:dyDescent="0.25">
      <c r="A1336" t="s">
        <v>366</v>
      </c>
      <c r="B1336">
        <v>2011</v>
      </c>
      <c r="C1336" t="s">
        <v>280</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COUNT(LifeExpectancyData[[#This Row],[Life expectancy]:[Schooling]])=19</f>
        <v>1</v>
      </c>
    </row>
    <row r="1337" spans="1:23" x14ac:dyDescent="0.25">
      <c r="A1337" t="s">
        <v>366</v>
      </c>
      <c r="B1337">
        <v>2010</v>
      </c>
      <c r="C1337" t="s">
        <v>280</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COUNT(LifeExpectancyData[[#This Row],[Life expectancy]:[Schooling]])=19</f>
        <v>1</v>
      </c>
    </row>
    <row r="1338" spans="1:23" x14ac:dyDescent="0.25">
      <c r="A1338" t="s">
        <v>366</v>
      </c>
      <c r="B1338">
        <v>2009</v>
      </c>
      <c r="C1338" t="s">
        <v>280</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COUNT(LifeExpectancyData[[#This Row],[Life expectancy]:[Schooling]])=19</f>
        <v>1</v>
      </c>
    </row>
    <row r="1339" spans="1:23" x14ac:dyDescent="0.25">
      <c r="A1339" t="s">
        <v>366</v>
      </c>
      <c r="B1339">
        <v>2008</v>
      </c>
      <c r="C1339" t="s">
        <v>280</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COUNT(LifeExpectancyData[[#This Row],[Life expectancy]:[Schooling]])=19</f>
        <v>1</v>
      </c>
    </row>
    <row r="1340" spans="1:23" x14ac:dyDescent="0.25">
      <c r="A1340" t="s">
        <v>366</v>
      </c>
      <c r="B1340">
        <v>2007</v>
      </c>
      <c r="C1340" t="s">
        <v>280</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COUNT(LifeExpectancyData[[#This Row],[Life expectancy]:[Schooling]])=19</f>
        <v>1</v>
      </c>
    </row>
    <row r="1341" spans="1:23" x14ac:dyDescent="0.25">
      <c r="A1341" t="s">
        <v>366</v>
      </c>
      <c r="B1341">
        <v>2006</v>
      </c>
      <c r="C1341" t="s">
        <v>280</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COUNT(LifeExpectancyData[[#This Row],[Life expectancy]:[Schooling]])=19</f>
        <v>1</v>
      </c>
    </row>
    <row r="1342" spans="1:23" x14ac:dyDescent="0.25">
      <c r="A1342" t="s">
        <v>366</v>
      </c>
      <c r="B1342">
        <v>2005</v>
      </c>
      <c r="C1342" t="s">
        <v>280</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COUNT(LifeExpectancyData[[#This Row],[Life expectancy]:[Schooling]])=19</f>
        <v>1</v>
      </c>
    </row>
    <row r="1343" spans="1:23" x14ac:dyDescent="0.25">
      <c r="A1343" t="s">
        <v>366</v>
      </c>
      <c r="B1343">
        <v>2004</v>
      </c>
      <c r="C1343" t="s">
        <v>280</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COUNT(LifeExpectancyData[[#This Row],[Life expectancy]:[Schooling]])=19</f>
        <v>1</v>
      </c>
    </row>
    <row r="1344" spans="1:23" x14ac:dyDescent="0.25">
      <c r="A1344" t="s">
        <v>366</v>
      </c>
      <c r="B1344">
        <v>2003</v>
      </c>
      <c r="C1344" t="s">
        <v>280</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COUNT(LifeExpectancyData[[#This Row],[Life expectancy]:[Schooling]])=19</f>
        <v>1</v>
      </c>
    </row>
    <row r="1345" spans="1:23" x14ac:dyDescent="0.25">
      <c r="A1345" t="s">
        <v>366</v>
      </c>
      <c r="B1345">
        <v>2002</v>
      </c>
      <c r="C1345" t="s">
        <v>280</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COUNT(LifeExpectancyData[[#This Row],[Life expectancy]:[Schooling]])=19</f>
        <v>1</v>
      </c>
    </row>
    <row r="1346" spans="1:23" x14ac:dyDescent="0.25">
      <c r="A1346" t="s">
        <v>366</v>
      </c>
      <c r="B1346">
        <v>2001</v>
      </c>
      <c r="C1346" t="s">
        <v>280</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COUNT(LifeExpectancyData[[#This Row],[Life expectancy]:[Schooling]])=19</f>
        <v>1</v>
      </c>
    </row>
    <row r="1347" spans="1:23" x14ac:dyDescent="0.25">
      <c r="A1347" t="s">
        <v>366</v>
      </c>
      <c r="B1347">
        <v>2000</v>
      </c>
      <c r="C1347" t="s">
        <v>280</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COUNT(LifeExpectancyData[[#This Row],[Life expectancy]:[Schooling]])=19</f>
        <v>1</v>
      </c>
    </row>
    <row r="1348" spans="1:23" x14ac:dyDescent="0.25">
      <c r="A1348" t="s">
        <v>367</v>
      </c>
      <c r="B1348">
        <v>2015</v>
      </c>
      <c r="C1348" t="s">
        <v>280</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COUNT(LifeExpectancyData[[#This Row],[Life expectancy]:[Schooling]])=19</f>
        <v>0</v>
      </c>
    </row>
    <row r="1349" spans="1:23" x14ac:dyDescent="0.25">
      <c r="A1349" t="s">
        <v>367</v>
      </c>
      <c r="B1349">
        <v>2014</v>
      </c>
      <c r="C1349" t="s">
        <v>280</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COUNT(LifeExpectancyData[[#This Row],[Life expectancy]:[Schooling]])=19</f>
        <v>1</v>
      </c>
    </row>
    <row r="1350" spans="1:23" x14ac:dyDescent="0.25">
      <c r="A1350" t="s">
        <v>367</v>
      </c>
      <c r="B1350">
        <v>2013</v>
      </c>
      <c r="C1350" t="s">
        <v>280</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COUNT(LifeExpectancyData[[#This Row],[Life expectancy]:[Schooling]])=19</f>
        <v>1</v>
      </c>
    </row>
    <row r="1351" spans="1:23" x14ac:dyDescent="0.25">
      <c r="A1351" t="s">
        <v>367</v>
      </c>
      <c r="B1351">
        <v>2012</v>
      </c>
      <c r="C1351" t="s">
        <v>280</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COUNT(LifeExpectancyData[[#This Row],[Life expectancy]:[Schooling]])=19</f>
        <v>1</v>
      </c>
    </row>
    <row r="1352" spans="1:23" x14ac:dyDescent="0.25">
      <c r="A1352" t="s">
        <v>367</v>
      </c>
      <c r="B1352">
        <v>2011</v>
      </c>
      <c r="C1352" t="s">
        <v>280</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COUNT(LifeExpectancyData[[#This Row],[Life expectancy]:[Schooling]])=19</f>
        <v>1</v>
      </c>
    </row>
    <row r="1353" spans="1:23" x14ac:dyDescent="0.25">
      <c r="A1353" t="s">
        <v>367</v>
      </c>
      <c r="B1353">
        <v>2010</v>
      </c>
      <c r="C1353" t="s">
        <v>280</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COUNT(LifeExpectancyData[[#This Row],[Life expectancy]:[Schooling]])=19</f>
        <v>1</v>
      </c>
    </row>
    <row r="1354" spans="1:23" x14ac:dyDescent="0.25">
      <c r="A1354" t="s">
        <v>367</v>
      </c>
      <c r="B1354">
        <v>2009</v>
      </c>
      <c r="C1354" t="s">
        <v>280</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COUNT(LifeExpectancyData[[#This Row],[Life expectancy]:[Schooling]])=19</f>
        <v>1</v>
      </c>
    </row>
    <row r="1355" spans="1:23" x14ac:dyDescent="0.25">
      <c r="A1355" t="s">
        <v>367</v>
      </c>
      <c r="B1355">
        <v>2008</v>
      </c>
      <c r="C1355" t="s">
        <v>280</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COUNT(LifeExpectancyData[[#This Row],[Life expectancy]:[Schooling]])=19</f>
        <v>1</v>
      </c>
    </row>
    <row r="1356" spans="1:23" x14ac:dyDescent="0.25">
      <c r="A1356" t="s">
        <v>367</v>
      </c>
      <c r="B1356">
        <v>2007</v>
      </c>
      <c r="C1356" t="s">
        <v>280</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COUNT(LifeExpectancyData[[#This Row],[Life expectancy]:[Schooling]])=19</f>
        <v>1</v>
      </c>
    </row>
    <row r="1357" spans="1:23" x14ac:dyDescent="0.25">
      <c r="A1357" t="s">
        <v>367</v>
      </c>
      <c r="B1357">
        <v>2006</v>
      </c>
      <c r="C1357" t="s">
        <v>280</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COUNT(LifeExpectancyData[[#This Row],[Life expectancy]:[Schooling]])=19</f>
        <v>1</v>
      </c>
    </row>
    <row r="1358" spans="1:23" x14ac:dyDescent="0.25">
      <c r="A1358" t="s">
        <v>367</v>
      </c>
      <c r="B1358">
        <v>2005</v>
      </c>
      <c r="C1358" t="s">
        <v>280</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COUNT(LifeExpectancyData[[#This Row],[Life expectancy]:[Schooling]])=19</f>
        <v>1</v>
      </c>
    </row>
    <row r="1359" spans="1:23" x14ac:dyDescent="0.25">
      <c r="A1359" t="s">
        <v>367</v>
      </c>
      <c r="B1359">
        <v>2004</v>
      </c>
      <c r="C1359" t="s">
        <v>280</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COUNT(LifeExpectancyData[[#This Row],[Life expectancy]:[Schooling]])=19</f>
        <v>1</v>
      </c>
    </row>
    <row r="1360" spans="1:23" x14ac:dyDescent="0.25">
      <c r="A1360" t="s">
        <v>367</v>
      </c>
      <c r="B1360">
        <v>2003</v>
      </c>
      <c r="C1360" t="s">
        <v>280</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COUNT(LifeExpectancyData[[#This Row],[Life expectancy]:[Schooling]])=19</f>
        <v>1</v>
      </c>
    </row>
    <row r="1361" spans="1:23" x14ac:dyDescent="0.25">
      <c r="A1361" t="s">
        <v>367</v>
      </c>
      <c r="B1361">
        <v>2002</v>
      </c>
      <c r="C1361" t="s">
        <v>280</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COUNT(LifeExpectancyData[[#This Row],[Life expectancy]:[Schooling]])=19</f>
        <v>1</v>
      </c>
    </row>
    <row r="1362" spans="1:23" x14ac:dyDescent="0.25">
      <c r="A1362" t="s">
        <v>367</v>
      </c>
      <c r="B1362">
        <v>2001</v>
      </c>
      <c r="C1362" t="s">
        <v>280</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COUNT(LifeExpectancyData[[#This Row],[Life expectancy]:[Schooling]])=19</f>
        <v>1</v>
      </c>
    </row>
    <row r="1363" spans="1:23" x14ac:dyDescent="0.25">
      <c r="A1363" t="s">
        <v>367</v>
      </c>
      <c r="B1363">
        <v>2000</v>
      </c>
      <c r="C1363" t="s">
        <v>280</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COUNT(LifeExpectancyData[[#This Row],[Life expectancy]:[Schooling]])=19</f>
        <v>1</v>
      </c>
    </row>
    <row r="1364" spans="1:23" x14ac:dyDescent="0.25">
      <c r="A1364" t="s">
        <v>368</v>
      </c>
      <c r="B1364">
        <v>2015</v>
      </c>
      <c r="C1364" t="s">
        <v>280</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COUNT(LifeExpectancyData[[#This Row],[Life expectancy]:[Schooling]])=19</f>
        <v>0</v>
      </c>
    </row>
    <row r="1365" spans="1:23" x14ac:dyDescent="0.25">
      <c r="A1365" t="s">
        <v>368</v>
      </c>
      <c r="B1365">
        <v>2014</v>
      </c>
      <c r="C1365" t="s">
        <v>280</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COUNT(LifeExpectancyData[[#This Row],[Life expectancy]:[Schooling]])=19</f>
        <v>1</v>
      </c>
    </row>
    <row r="1366" spans="1:23" x14ac:dyDescent="0.25">
      <c r="A1366" t="s">
        <v>368</v>
      </c>
      <c r="B1366">
        <v>2013</v>
      </c>
      <c r="C1366" t="s">
        <v>280</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COUNT(LifeExpectancyData[[#This Row],[Life expectancy]:[Schooling]])=19</f>
        <v>1</v>
      </c>
    </row>
    <row r="1367" spans="1:23" x14ac:dyDescent="0.25">
      <c r="A1367" t="s">
        <v>368</v>
      </c>
      <c r="B1367">
        <v>2012</v>
      </c>
      <c r="C1367" t="s">
        <v>280</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COUNT(LifeExpectancyData[[#This Row],[Life expectancy]:[Schooling]])=19</f>
        <v>1</v>
      </c>
    </row>
    <row r="1368" spans="1:23" x14ac:dyDescent="0.25">
      <c r="A1368" t="s">
        <v>368</v>
      </c>
      <c r="B1368">
        <v>2011</v>
      </c>
      <c r="C1368" t="s">
        <v>280</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COUNT(LifeExpectancyData[[#This Row],[Life expectancy]:[Schooling]])=19</f>
        <v>1</v>
      </c>
    </row>
    <row r="1369" spans="1:23" x14ac:dyDescent="0.25">
      <c r="A1369" t="s">
        <v>368</v>
      </c>
      <c r="B1369">
        <v>2010</v>
      </c>
      <c r="C1369" t="s">
        <v>280</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COUNT(LifeExpectancyData[[#This Row],[Life expectancy]:[Schooling]])=19</f>
        <v>1</v>
      </c>
    </row>
    <row r="1370" spans="1:23" x14ac:dyDescent="0.25">
      <c r="A1370" t="s">
        <v>368</v>
      </c>
      <c r="B1370">
        <v>2009</v>
      </c>
      <c r="C1370" t="s">
        <v>280</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COUNT(LifeExpectancyData[[#This Row],[Life expectancy]:[Schooling]])=19</f>
        <v>1</v>
      </c>
    </row>
    <row r="1371" spans="1:23" x14ac:dyDescent="0.25">
      <c r="A1371" t="s">
        <v>368</v>
      </c>
      <c r="B1371">
        <v>2008</v>
      </c>
      <c r="C1371" t="s">
        <v>280</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COUNT(LifeExpectancyData[[#This Row],[Life expectancy]:[Schooling]])=19</f>
        <v>1</v>
      </c>
    </row>
    <row r="1372" spans="1:23" x14ac:dyDescent="0.25">
      <c r="A1372" t="s">
        <v>368</v>
      </c>
      <c r="B1372">
        <v>2007</v>
      </c>
      <c r="C1372" t="s">
        <v>280</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COUNT(LifeExpectancyData[[#This Row],[Life expectancy]:[Schooling]])=19</f>
        <v>1</v>
      </c>
    </row>
    <row r="1373" spans="1:23" x14ac:dyDescent="0.25">
      <c r="A1373" t="s">
        <v>368</v>
      </c>
      <c r="B1373">
        <v>2006</v>
      </c>
      <c r="C1373" t="s">
        <v>280</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COUNT(LifeExpectancyData[[#This Row],[Life expectancy]:[Schooling]])=19</f>
        <v>1</v>
      </c>
    </row>
    <row r="1374" spans="1:23" x14ac:dyDescent="0.25">
      <c r="A1374" t="s">
        <v>368</v>
      </c>
      <c r="B1374">
        <v>2005</v>
      </c>
      <c r="C1374" t="s">
        <v>280</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COUNT(LifeExpectancyData[[#This Row],[Life expectancy]:[Schooling]])=19</f>
        <v>1</v>
      </c>
    </row>
    <row r="1375" spans="1:23" x14ac:dyDescent="0.25">
      <c r="A1375" t="s">
        <v>368</v>
      </c>
      <c r="B1375">
        <v>2004</v>
      </c>
      <c r="C1375" t="s">
        <v>280</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COUNT(LifeExpectancyData[[#This Row],[Life expectancy]:[Schooling]])=19</f>
        <v>1</v>
      </c>
    </row>
    <row r="1376" spans="1:23" x14ac:dyDescent="0.25">
      <c r="A1376" t="s">
        <v>368</v>
      </c>
      <c r="B1376">
        <v>2003</v>
      </c>
      <c r="C1376" t="s">
        <v>280</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COUNT(LifeExpectancyData[[#This Row],[Life expectancy]:[Schooling]])=19</f>
        <v>1</v>
      </c>
    </row>
    <row r="1377" spans="1:23" x14ac:dyDescent="0.25">
      <c r="A1377" t="s">
        <v>368</v>
      </c>
      <c r="B1377">
        <v>2002</v>
      </c>
      <c r="C1377" t="s">
        <v>280</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COUNT(LifeExpectancyData[[#This Row],[Life expectancy]:[Schooling]])=19</f>
        <v>1</v>
      </c>
    </row>
    <row r="1378" spans="1:23" x14ac:dyDescent="0.25">
      <c r="A1378" t="s">
        <v>368</v>
      </c>
      <c r="B1378">
        <v>2001</v>
      </c>
      <c r="C1378" t="s">
        <v>280</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COUNT(LifeExpectancyData[[#This Row],[Life expectancy]:[Schooling]])=19</f>
        <v>0</v>
      </c>
    </row>
    <row r="1379" spans="1:23" x14ac:dyDescent="0.25">
      <c r="A1379" t="s">
        <v>368</v>
      </c>
      <c r="B1379">
        <v>2000</v>
      </c>
      <c r="C1379" t="s">
        <v>280</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COUNT(LifeExpectancyData[[#This Row],[Life expectancy]:[Schooling]])=19</f>
        <v>0</v>
      </c>
    </row>
    <row r="1380" spans="1:23" x14ac:dyDescent="0.25">
      <c r="A1380" t="s">
        <v>369</v>
      </c>
      <c r="B1380">
        <v>2015</v>
      </c>
      <c r="C1380" t="s">
        <v>280</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COUNT(LifeExpectancyData[[#This Row],[Life expectancy]:[Schooling]])=19</f>
        <v>0</v>
      </c>
    </row>
    <row r="1381" spans="1:23" x14ac:dyDescent="0.25">
      <c r="A1381" t="s">
        <v>369</v>
      </c>
      <c r="B1381">
        <v>2014</v>
      </c>
      <c r="C1381" t="s">
        <v>280</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COUNT(LifeExpectancyData[[#This Row],[Life expectancy]:[Schooling]])=19</f>
        <v>1</v>
      </c>
    </row>
    <row r="1382" spans="1:23" x14ac:dyDescent="0.25">
      <c r="A1382" t="s">
        <v>369</v>
      </c>
      <c r="B1382">
        <v>2013</v>
      </c>
      <c r="C1382" t="s">
        <v>280</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COUNT(LifeExpectancyData[[#This Row],[Life expectancy]:[Schooling]])=19</f>
        <v>1</v>
      </c>
    </row>
    <row r="1383" spans="1:23" x14ac:dyDescent="0.25">
      <c r="A1383" t="s">
        <v>369</v>
      </c>
      <c r="B1383">
        <v>2012</v>
      </c>
      <c r="C1383" t="s">
        <v>280</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COUNT(LifeExpectancyData[[#This Row],[Life expectancy]:[Schooling]])=19</f>
        <v>1</v>
      </c>
    </row>
    <row r="1384" spans="1:23" x14ac:dyDescent="0.25">
      <c r="A1384" t="s">
        <v>369</v>
      </c>
      <c r="B1384">
        <v>2011</v>
      </c>
      <c r="C1384" t="s">
        <v>280</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COUNT(LifeExpectancyData[[#This Row],[Life expectancy]:[Schooling]])=19</f>
        <v>1</v>
      </c>
    </row>
    <row r="1385" spans="1:23" x14ac:dyDescent="0.25">
      <c r="A1385" t="s">
        <v>369</v>
      </c>
      <c r="B1385">
        <v>2010</v>
      </c>
      <c r="C1385" t="s">
        <v>280</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COUNT(LifeExpectancyData[[#This Row],[Life expectancy]:[Schooling]])=19</f>
        <v>1</v>
      </c>
    </row>
    <row r="1386" spans="1:23" x14ac:dyDescent="0.25">
      <c r="A1386" t="s">
        <v>369</v>
      </c>
      <c r="B1386">
        <v>2009</v>
      </c>
      <c r="C1386" t="s">
        <v>280</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COUNT(LifeExpectancyData[[#This Row],[Life expectancy]:[Schooling]])=19</f>
        <v>1</v>
      </c>
    </row>
    <row r="1387" spans="1:23" x14ac:dyDescent="0.25">
      <c r="A1387" t="s">
        <v>369</v>
      </c>
      <c r="B1387">
        <v>2008</v>
      </c>
      <c r="C1387" t="s">
        <v>280</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COUNT(LifeExpectancyData[[#This Row],[Life expectancy]:[Schooling]])=19</f>
        <v>1</v>
      </c>
    </row>
    <row r="1388" spans="1:23" x14ac:dyDescent="0.25">
      <c r="A1388" t="s">
        <v>369</v>
      </c>
      <c r="B1388">
        <v>2007</v>
      </c>
      <c r="C1388" t="s">
        <v>280</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COUNT(LifeExpectancyData[[#This Row],[Life expectancy]:[Schooling]])=19</f>
        <v>1</v>
      </c>
    </row>
    <row r="1389" spans="1:23" x14ac:dyDescent="0.25">
      <c r="A1389" t="s">
        <v>369</v>
      </c>
      <c r="B1389">
        <v>2006</v>
      </c>
      <c r="C1389" t="s">
        <v>280</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COUNT(LifeExpectancyData[[#This Row],[Life expectancy]:[Schooling]])=19</f>
        <v>1</v>
      </c>
    </row>
    <row r="1390" spans="1:23" x14ac:dyDescent="0.25">
      <c r="A1390" t="s">
        <v>369</v>
      </c>
      <c r="B1390">
        <v>2005</v>
      </c>
      <c r="C1390" t="s">
        <v>280</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COUNT(LifeExpectancyData[[#This Row],[Life expectancy]:[Schooling]])=19</f>
        <v>1</v>
      </c>
    </row>
    <row r="1391" spans="1:23" x14ac:dyDescent="0.25">
      <c r="A1391" t="s">
        <v>369</v>
      </c>
      <c r="B1391">
        <v>2004</v>
      </c>
      <c r="C1391" t="s">
        <v>280</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COUNT(LifeExpectancyData[[#This Row],[Life expectancy]:[Schooling]])=19</f>
        <v>1</v>
      </c>
    </row>
    <row r="1392" spans="1:23" x14ac:dyDescent="0.25">
      <c r="A1392" t="s">
        <v>369</v>
      </c>
      <c r="B1392">
        <v>2003</v>
      </c>
      <c r="C1392" t="s">
        <v>280</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COUNT(LifeExpectancyData[[#This Row],[Life expectancy]:[Schooling]])=19</f>
        <v>1</v>
      </c>
    </row>
    <row r="1393" spans="1:23" x14ac:dyDescent="0.25">
      <c r="A1393" t="s">
        <v>369</v>
      </c>
      <c r="B1393">
        <v>2002</v>
      </c>
      <c r="C1393" t="s">
        <v>280</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COUNT(LifeExpectancyData[[#This Row],[Life expectancy]:[Schooling]])=19</f>
        <v>1</v>
      </c>
    </row>
    <row r="1394" spans="1:23" x14ac:dyDescent="0.25">
      <c r="A1394" t="s">
        <v>369</v>
      </c>
      <c r="B1394">
        <v>2001</v>
      </c>
      <c r="C1394" t="s">
        <v>280</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COUNT(LifeExpectancyData[[#This Row],[Life expectancy]:[Schooling]])=19</f>
        <v>1</v>
      </c>
    </row>
    <row r="1395" spans="1:23" x14ac:dyDescent="0.25">
      <c r="A1395" t="s">
        <v>369</v>
      </c>
      <c r="B1395">
        <v>2000</v>
      </c>
      <c r="C1395" t="s">
        <v>280</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COUNT(LifeExpectancyData[[#This Row],[Life expectancy]:[Schooling]])=19</f>
        <v>1</v>
      </c>
    </row>
    <row r="1396" spans="1:23" x14ac:dyDescent="0.25">
      <c r="A1396" t="s">
        <v>370</v>
      </c>
      <c r="B1396">
        <v>2015</v>
      </c>
      <c r="C1396" t="s">
        <v>280</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COUNT(LifeExpectancyData[[#This Row],[Life expectancy]:[Schooling]])=19</f>
        <v>0</v>
      </c>
    </row>
    <row r="1397" spans="1:23" x14ac:dyDescent="0.25">
      <c r="A1397" t="s">
        <v>370</v>
      </c>
      <c r="B1397">
        <v>2014</v>
      </c>
      <c r="C1397" t="s">
        <v>280</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COUNT(LifeExpectancyData[[#This Row],[Life expectancy]:[Schooling]])=19</f>
        <v>0</v>
      </c>
    </row>
    <row r="1398" spans="1:23" x14ac:dyDescent="0.25">
      <c r="A1398" t="s">
        <v>370</v>
      </c>
      <c r="B1398">
        <v>2013</v>
      </c>
      <c r="C1398" t="s">
        <v>280</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COUNT(LifeExpectancyData[[#This Row],[Life expectancy]:[Schooling]])=19</f>
        <v>0</v>
      </c>
    </row>
    <row r="1399" spans="1:23" x14ac:dyDescent="0.25">
      <c r="A1399" t="s">
        <v>370</v>
      </c>
      <c r="B1399">
        <v>2012</v>
      </c>
      <c r="C1399" t="s">
        <v>280</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COUNT(LifeExpectancyData[[#This Row],[Life expectancy]:[Schooling]])=19</f>
        <v>0</v>
      </c>
    </row>
    <row r="1400" spans="1:23" x14ac:dyDescent="0.25">
      <c r="A1400" t="s">
        <v>370</v>
      </c>
      <c r="B1400">
        <v>2011</v>
      </c>
      <c r="C1400" t="s">
        <v>280</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COUNT(LifeExpectancyData[[#This Row],[Life expectancy]:[Schooling]])=19</f>
        <v>0</v>
      </c>
    </row>
    <row r="1401" spans="1:23" x14ac:dyDescent="0.25">
      <c r="A1401" t="s">
        <v>370</v>
      </c>
      <c r="B1401">
        <v>2010</v>
      </c>
      <c r="C1401" t="s">
        <v>280</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COUNT(LifeExpectancyData[[#This Row],[Life expectancy]:[Schooling]])=19</f>
        <v>0</v>
      </c>
    </row>
    <row r="1402" spans="1:23" x14ac:dyDescent="0.25">
      <c r="A1402" t="s">
        <v>370</v>
      </c>
      <c r="B1402">
        <v>2009</v>
      </c>
      <c r="C1402" t="s">
        <v>280</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COUNT(LifeExpectancyData[[#This Row],[Life expectancy]:[Schooling]])=19</f>
        <v>0</v>
      </c>
    </row>
    <row r="1403" spans="1:23" x14ac:dyDescent="0.25">
      <c r="A1403" t="s">
        <v>370</v>
      </c>
      <c r="B1403">
        <v>2008</v>
      </c>
      <c r="C1403" t="s">
        <v>280</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COUNT(LifeExpectancyData[[#This Row],[Life expectancy]:[Schooling]])=19</f>
        <v>0</v>
      </c>
    </row>
    <row r="1404" spans="1:23" x14ac:dyDescent="0.25">
      <c r="A1404" t="s">
        <v>370</v>
      </c>
      <c r="B1404">
        <v>2007</v>
      </c>
      <c r="C1404" t="s">
        <v>280</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COUNT(LifeExpectancyData[[#This Row],[Life expectancy]:[Schooling]])=19</f>
        <v>0</v>
      </c>
    </row>
    <row r="1405" spans="1:23" x14ac:dyDescent="0.25">
      <c r="A1405" t="s">
        <v>370</v>
      </c>
      <c r="B1405">
        <v>2006</v>
      </c>
      <c r="C1405" t="s">
        <v>280</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COUNT(LifeExpectancyData[[#This Row],[Life expectancy]:[Schooling]])=19</f>
        <v>0</v>
      </c>
    </row>
    <row r="1406" spans="1:23" x14ac:dyDescent="0.25">
      <c r="A1406" t="s">
        <v>370</v>
      </c>
      <c r="B1406">
        <v>2005</v>
      </c>
      <c r="C1406" t="s">
        <v>280</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COUNT(LifeExpectancyData[[#This Row],[Life expectancy]:[Schooling]])=19</f>
        <v>0</v>
      </c>
    </row>
    <row r="1407" spans="1:23" x14ac:dyDescent="0.25">
      <c r="A1407" t="s">
        <v>370</v>
      </c>
      <c r="B1407">
        <v>2004</v>
      </c>
      <c r="C1407" t="s">
        <v>280</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COUNT(LifeExpectancyData[[#This Row],[Life expectancy]:[Schooling]])=19</f>
        <v>0</v>
      </c>
    </row>
    <row r="1408" spans="1:23" x14ac:dyDescent="0.25">
      <c r="A1408" t="s">
        <v>370</v>
      </c>
      <c r="B1408">
        <v>2003</v>
      </c>
      <c r="C1408" t="s">
        <v>280</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COUNT(LifeExpectancyData[[#This Row],[Life expectancy]:[Schooling]])=19</f>
        <v>0</v>
      </c>
    </row>
    <row r="1409" spans="1:23" x14ac:dyDescent="0.25">
      <c r="A1409" t="s">
        <v>370</v>
      </c>
      <c r="B1409">
        <v>2002</v>
      </c>
      <c r="C1409" t="s">
        <v>280</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COUNT(LifeExpectancyData[[#This Row],[Life expectancy]:[Schooling]])=19</f>
        <v>0</v>
      </c>
    </row>
    <row r="1410" spans="1:23" x14ac:dyDescent="0.25">
      <c r="A1410" t="s">
        <v>370</v>
      </c>
      <c r="B1410">
        <v>2001</v>
      </c>
      <c r="C1410" t="s">
        <v>280</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COUNT(LifeExpectancyData[[#This Row],[Life expectancy]:[Schooling]])=19</f>
        <v>0</v>
      </c>
    </row>
    <row r="1411" spans="1:23" x14ac:dyDescent="0.25">
      <c r="A1411" t="s">
        <v>370</v>
      </c>
      <c r="B1411">
        <v>2000</v>
      </c>
      <c r="C1411" t="s">
        <v>280</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COUNT(LifeExpectancyData[[#This Row],[Life expectancy]:[Schooling]])=19</f>
        <v>0</v>
      </c>
    </row>
    <row r="1412" spans="1:23" x14ac:dyDescent="0.25">
      <c r="A1412" t="s">
        <v>371</v>
      </c>
      <c r="B1412">
        <v>2015</v>
      </c>
      <c r="C1412" t="s">
        <v>280</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COUNT(LifeExpectancyData[[#This Row],[Life expectancy]:[Schooling]])=19</f>
        <v>0</v>
      </c>
    </row>
    <row r="1413" spans="1:23" x14ac:dyDescent="0.25">
      <c r="A1413" t="s">
        <v>371</v>
      </c>
      <c r="B1413">
        <v>2014</v>
      </c>
      <c r="C1413" t="s">
        <v>280</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COUNT(LifeExpectancyData[[#This Row],[Life expectancy]:[Schooling]])=19</f>
        <v>0</v>
      </c>
    </row>
    <row r="1414" spans="1:23" x14ac:dyDescent="0.25">
      <c r="A1414" t="s">
        <v>371</v>
      </c>
      <c r="B1414">
        <v>2013</v>
      </c>
      <c r="C1414" t="s">
        <v>280</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COUNT(LifeExpectancyData[[#This Row],[Life expectancy]:[Schooling]])=19</f>
        <v>0</v>
      </c>
    </row>
    <row r="1415" spans="1:23" x14ac:dyDescent="0.25">
      <c r="A1415" t="s">
        <v>371</v>
      </c>
      <c r="B1415">
        <v>2012</v>
      </c>
      <c r="C1415" t="s">
        <v>280</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COUNT(LifeExpectancyData[[#This Row],[Life expectancy]:[Schooling]])=19</f>
        <v>0</v>
      </c>
    </row>
    <row r="1416" spans="1:23" x14ac:dyDescent="0.25">
      <c r="A1416" t="s">
        <v>371</v>
      </c>
      <c r="B1416">
        <v>2011</v>
      </c>
      <c r="C1416" t="s">
        <v>280</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COUNT(LifeExpectancyData[[#This Row],[Life expectancy]:[Schooling]])=19</f>
        <v>0</v>
      </c>
    </row>
    <row r="1417" spans="1:23" x14ac:dyDescent="0.25">
      <c r="A1417" t="s">
        <v>371</v>
      </c>
      <c r="B1417">
        <v>2010</v>
      </c>
      <c r="C1417" t="s">
        <v>280</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COUNT(LifeExpectancyData[[#This Row],[Life expectancy]:[Schooling]])=19</f>
        <v>0</v>
      </c>
    </row>
    <row r="1418" spans="1:23" x14ac:dyDescent="0.25">
      <c r="A1418" t="s">
        <v>371</v>
      </c>
      <c r="B1418">
        <v>2009</v>
      </c>
      <c r="C1418" t="s">
        <v>280</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COUNT(LifeExpectancyData[[#This Row],[Life expectancy]:[Schooling]])=19</f>
        <v>0</v>
      </c>
    </row>
    <row r="1419" spans="1:23" x14ac:dyDescent="0.25">
      <c r="A1419" t="s">
        <v>371</v>
      </c>
      <c r="B1419">
        <v>2008</v>
      </c>
      <c r="C1419" t="s">
        <v>280</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COUNT(LifeExpectancyData[[#This Row],[Life expectancy]:[Schooling]])=19</f>
        <v>0</v>
      </c>
    </row>
    <row r="1420" spans="1:23" x14ac:dyDescent="0.25">
      <c r="A1420" t="s">
        <v>371</v>
      </c>
      <c r="B1420">
        <v>2007</v>
      </c>
      <c r="C1420" t="s">
        <v>280</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COUNT(LifeExpectancyData[[#This Row],[Life expectancy]:[Schooling]])=19</f>
        <v>0</v>
      </c>
    </row>
    <row r="1421" spans="1:23" x14ac:dyDescent="0.25">
      <c r="A1421" t="s">
        <v>371</v>
      </c>
      <c r="B1421">
        <v>2006</v>
      </c>
      <c r="C1421" t="s">
        <v>280</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COUNT(LifeExpectancyData[[#This Row],[Life expectancy]:[Schooling]])=19</f>
        <v>0</v>
      </c>
    </row>
    <row r="1422" spans="1:23" x14ac:dyDescent="0.25">
      <c r="A1422" t="s">
        <v>371</v>
      </c>
      <c r="B1422">
        <v>2005</v>
      </c>
      <c r="C1422" t="s">
        <v>280</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COUNT(LifeExpectancyData[[#This Row],[Life expectancy]:[Schooling]])=19</f>
        <v>0</v>
      </c>
    </row>
    <row r="1423" spans="1:23" x14ac:dyDescent="0.25">
      <c r="A1423" t="s">
        <v>371</v>
      </c>
      <c r="B1423">
        <v>2004</v>
      </c>
      <c r="C1423" t="s">
        <v>280</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COUNT(LifeExpectancyData[[#This Row],[Life expectancy]:[Schooling]])=19</f>
        <v>0</v>
      </c>
    </row>
    <row r="1424" spans="1:23" x14ac:dyDescent="0.25">
      <c r="A1424" t="s">
        <v>371</v>
      </c>
      <c r="B1424">
        <v>2003</v>
      </c>
      <c r="C1424" t="s">
        <v>280</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COUNT(LifeExpectancyData[[#This Row],[Life expectancy]:[Schooling]])=19</f>
        <v>0</v>
      </c>
    </row>
    <row r="1425" spans="1:23" x14ac:dyDescent="0.25">
      <c r="A1425" t="s">
        <v>371</v>
      </c>
      <c r="B1425">
        <v>2002</v>
      </c>
      <c r="C1425" t="s">
        <v>280</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COUNT(LifeExpectancyData[[#This Row],[Life expectancy]:[Schooling]])=19</f>
        <v>0</v>
      </c>
    </row>
    <row r="1426" spans="1:23" x14ac:dyDescent="0.25">
      <c r="A1426" t="s">
        <v>371</v>
      </c>
      <c r="B1426">
        <v>2001</v>
      </c>
      <c r="C1426" t="s">
        <v>280</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COUNT(LifeExpectancyData[[#This Row],[Life expectancy]:[Schooling]])=19</f>
        <v>0</v>
      </c>
    </row>
    <row r="1427" spans="1:23" x14ac:dyDescent="0.25">
      <c r="A1427" t="s">
        <v>371</v>
      </c>
      <c r="B1427">
        <v>2000</v>
      </c>
      <c r="C1427" t="s">
        <v>280</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COUNT(LifeExpectancyData[[#This Row],[Life expectancy]:[Schooling]])=19</f>
        <v>0</v>
      </c>
    </row>
    <row r="1428" spans="1:23" x14ac:dyDescent="0.25">
      <c r="A1428" t="s">
        <v>372</v>
      </c>
      <c r="B1428">
        <v>2015</v>
      </c>
      <c r="C1428" t="s">
        <v>280</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COUNT(LifeExpectancyData[[#This Row],[Life expectancy]:[Schooling]])=19</f>
        <v>0</v>
      </c>
    </row>
    <row r="1429" spans="1:23" x14ac:dyDescent="0.25">
      <c r="A1429" t="s">
        <v>372</v>
      </c>
      <c r="B1429">
        <v>2014</v>
      </c>
      <c r="C1429" t="s">
        <v>280</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COUNT(LifeExpectancyData[[#This Row],[Life expectancy]:[Schooling]])=19</f>
        <v>0</v>
      </c>
    </row>
    <row r="1430" spans="1:23" x14ac:dyDescent="0.25">
      <c r="A1430" t="s">
        <v>372</v>
      </c>
      <c r="B1430">
        <v>2013</v>
      </c>
      <c r="C1430" t="s">
        <v>280</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COUNT(LifeExpectancyData[[#This Row],[Life expectancy]:[Schooling]])=19</f>
        <v>0</v>
      </c>
    </row>
    <row r="1431" spans="1:23" x14ac:dyDescent="0.25">
      <c r="A1431" t="s">
        <v>372</v>
      </c>
      <c r="B1431">
        <v>2012</v>
      </c>
      <c r="C1431" t="s">
        <v>280</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COUNT(LifeExpectancyData[[#This Row],[Life expectancy]:[Schooling]])=19</f>
        <v>0</v>
      </c>
    </row>
    <row r="1432" spans="1:23" x14ac:dyDescent="0.25">
      <c r="A1432" t="s">
        <v>372</v>
      </c>
      <c r="B1432">
        <v>2011</v>
      </c>
      <c r="C1432" t="s">
        <v>280</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COUNT(LifeExpectancyData[[#This Row],[Life expectancy]:[Schooling]])=19</f>
        <v>0</v>
      </c>
    </row>
    <row r="1433" spans="1:23" x14ac:dyDescent="0.25">
      <c r="A1433" t="s">
        <v>372</v>
      </c>
      <c r="B1433">
        <v>2010</v>
      </c>
      <c r="C1433" t="s">
        <v>280</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COUNT(LifeExpectancyData[[#This Row],[Life expectancy]:[Schooling]])=19</f>
        <v>0</v>
      </c>
    </row>
    <row r="1434" spans="1:23" x14ac:dyDescent="0.25">
      <c r="A1434" t="s">
        <v>372</v>
      </c>
      <c r="B1434">
        <v>2009</v>
      </c>
      <c r="C1434" t="s">
        <v>280</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COUNT(LifeExpectancyData[[#This Row],[Life expectancy]:[Schooling]])=19</f>
        <v>0</v>
      </c>
    </row>
    <row r="1435" spans="1:23" x14ac:dyDescent="0.25">
      <c r="A1435" t="s">
        <v>372</v>
      </c>
      <c r="B1435">
        <v>2008</v>
      </c>
      <c r="C1435" t="s">
        <v>280</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COUNT(LifeExpectancyData[[#This Row],[Life expectancy]:[Schooling]])=19</f>
        <v>0</v>
      </c>
    </row>
    <row r="1436" spans="1:23" x14ac:dyDescent="0.25">
      <c r="A1436" t="s">
        <v>372</v>
      </c>
      <c r="B1436">
        <v>2007</v>
      </c>
      <c r="C1436" t="s">
        <v>280</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COUNT(LifeExpectancyData[[#This Row],[Life expectancy]:[Schooling]])=19</f>
        <v>0</v>
      </c>
    </row>
    <row r="1437" spans="1:23" x14ac:dyDescent="0.25">
      <c r="A1437" t="s">
        <v>372</v>
      </c>
      <c r="B1437">
        <v>2006</v>
      </c>
      <c r="C1437" t="s">
        <v>280</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COUNT(LifeExpectancyData[[#This Row],[Life expectancy]:[Schooling]])=19</f>
        <v>0</v>
      </c>
    </row>
    <row r="1438" spans="1:23" x14ac:dyDescent="0.25">
      <c r="A1438" t="s">
        <v>372</v>
      </c>
      <c r="B1438">
        <v>2005</v>
      </c>
      <c r="C1438" t="s">
        <v>280</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COUNT(LifeExpectancyData[[#This Row],[Life expectancy]:[Schooling]])=19</f>
        <v>0</v>
      </c>
    </row>
    <row r="1439" spans="1:23" x14ac:dyDescent="0.25">
      <c r="A1439" t="s">
        <v>372</v>
      </c>
      <c r="B1439">
        <v>2004</v>
      </c>
      <c r="C1439" t="s">
        <v>280</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COUNT(LifeExpectancyData[[#This Row],[Life expectancy]:[Schooling]])=19</f>
        <v>0</v>
      </c>
    </row>
    <row r="1440" spans="1:23" x14ac:dyDescent="0.25">
      <c r="A1440" t="s">
        <v>372</v>
      </c>
      <c r="B1440">
        <v>2003</v>
      </c>
      <c r="C1440" t="s">
        <v>280</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COUNT(LifeExpectancyData[[#This Row],[Life expectancy]:[Schooling]])=19</f>
        <v>0</v>
      </c>
    </row>
    <row r="1441" spans="1:23" x14ac:dyDescent="0.25">
      <c r="A1441" t="s">
        <v>372</v>
      </c>
      <c r="B1441">
        <v>2002</v>
      </c>
      <c r="C1441" t="s">
        <v>280</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COUNT(LifeExpectancyData[[#This Row],[Life expectancy]:[Schooling]])=19</f>
        <v>0</v>
      </c>
    </row>
    <row r="1442" spans="1:23" x14ac:dyDescent="0.25">
      <c r="A1442" t="s">
        <v>372</v>
      </c>
      <c r="B1442">
        <v>2001</v>
      </c>
      <c r="C1442" t="s">
        <v>280</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COUNT(LifeExpectancyData[[#This Row],[Life expectancy]:[Schooling]])=19</f>
        <v>0</v>
      </c>
    </row>
    <row r="1443" spans="1:23" x14ac:dyDescent="0.25">
      <c r="A1443" t="s">
        <v>372</v>
      </c>
      <c r="B1443">
        <v>2000</v>
      </c>
      <c r="C1443" t="s">
        <v>280</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COUNT(LifeExpectancyData[[#This Row],[Life expectancy]:[Schooling]])=19</f>
        <v>0</v>
      </c>
    </row>
    <row r="1444" spans="1:23" x14ac:dyDescent="0.25">
      <c r="A1444" t="s">
        <v>373</v>
      </c>
      <c r="B1444">
        <v>2015</v>
      </c>
      <c r="C1444" t="s">
        <v>288</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COUNT(LifeExpectancyData[[#This Row],[Life expectancy]:[Schooling]])=19</f>
        <v>0</v>
      </c>
    </row>
    <row r="1445" spans="1:23" x14ac:dyDescent="0.25">
      <c r="A1445" t="s">
        <v>373</v>
      </c>
      <c r="B1445">
        <v>2014</v>
      </c>
      <c r="C1445" t="s">
        <v>288</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COUNT(LifeExpectancyData[[#This Row],[Life expectancy]:[Schooling]])=19</f>
        <v>1</v>
      </c>
    </row>
    <row r="1446" spans="1:23" x14ac:dyDescent="0.25">
      <c r="A1446" t="s">
        <v>373</v>
      </c>
      <c r="B1446">
        <v>2013</v>
      </c>
      <c r="C1446" t="s">
        <v>288</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COUNT(LifeExpectancyData[[#This Row],[Life expectancy]:[Schooling]])=19</f>
        <v>1</v>
      </c>
    </row>
    <row r="1447" spans="1:23" x14ac:dyDescent="0.25">
      <c r="A1447" t="s">
        <v>373</v>
      </c>
      <c r="B1447">
        <v>2012</v>
      </c>
      <c r="C1447" t="s">
        <v>288</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COUNT(LifeExpectancyData[[#This Row],[Life expectancy]:[Schooling]])=19</f>
        <v>1</v>
      </c>
    </row>
    <row r="1448" spans="1:23" x14ac:dyDescent="0.25">
      <c r="A1448" t="s">
        <v>373</v>
      </c>
      <c r="B1448">
        <v>2011</v>
      </c>
      <c r="C1448" t="s">
        <v>288</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COUNT(LifeExpectancyData[[#This Row],[Life expectancy]:[Schooling]])=19</f>
        <v>1</v>
      </c>
    </row>
    <row r="1449" spans="1:23" x14ac:dyDescent="0.25">
      <c r="A1449" t="s">
        <v>373</v>
      </c>
      <c r="B1449">
        <v>2010</v>
      </c>
      <c r="C1449" t="s">
        <v>288</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COUNT(LifeExpectancyData[[#This Row],[Life expectancy]:[Schooling]])=19</f>
        <v>1</v>
      </c>
    </row>
    <row r="1450" spans="1:23" x14ac:dyDescent="0.25">
      <c r="A1450" t="s">
        <v>373</v>
      </c>
      <c r="B1450">
        <v>2009</v>
      </c>
      <c r="C1450" t="s">
        <v>288</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COUNT(LifeExpectancyData[[#This Row],[Life expectancy]:[Schooling]])=19</f>
        <v>1</v>
      </c>
    </row>
    <row r="1451" spans="1:23" x14ac:dyDescent="0.25">
      <c r="A1451" t="s">
        <v>373</v>
      </c>
      <c r="B1451">
        <v>2008</v>
      </c>
      <c r="C1451" t="s">
        <v>288</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COUNT(LifeExpectancyData[[#This Row],[Life expectancy]:[Schooling]])=19</f>
        <v>1</v>
      </c>
    </row>
    <row r="1452" spans="1:23" x14ac:dyDescent="0.25">
      <c r="A1452" t="s">
        <v>373</v>
      </c>
      <c r="B1452">
        <v>2007</v>
      </c>
      <c r="C1452" t="s">
        <v>288</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COUNT(LifeExpectancyData[[#This Row],[Life expectancy]:[Schooling]])=19</f>
        <v>1</v>
      </c>
    </row>
    <row r="1453" spans="1:23" x14ac:dyDescent="0.25">
      <c r="A1453" t="s">
        <v>373</v>
      </c>
      <c r="B1453">
        <v>2006</v>
      </c>
      <c r="C1453" t="s">
        <v>288</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COUNT(LifeExpectancyData[[#This Row],[Life expectancy]:[Schooling]])=19</f>
        <v>1</v>
      </c>
    </row>
    <row r="1454" spans="1:23" x14ac:dyDescent="0.25">
      <c r="A1454" t="s">
        <v>373</v>
      </c>
      <c r="B1454">
        <v>2005</v>
      </c>
      <c r="C1454" t="s">
        <v>288</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COUNT(LifeExpectancyData[[#This Row],[Life expectancy]:[Schooling]])=19</f>
        <v>1</v>
      </c>
    </row>
    <row r="1455" spans="1:23" x14ac:dyDescent="0.25">
      <c r="A1455" t="s">
        <v>373</v>
      </c>
      <c r="B1455">
        <v>2004</v>
      </c>
      <c r="C1455" t="s">
        <v>288</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COUNT(LifeExpectancyData[[#This Row],[Life expectancy]:[Schooling]])=19</f>
        <v>1</v>
      </c>
    </row>
    <row r="1456" spans="1:23" x14ac:dyDescent="0.25">
      <c r="A1456" t="s">
        <v>373</v>
      </c>
      <c r="B1456">
        <v>2003</v>
      </c>
      <c r="C1456" t="s">
        <v>288</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COUNT(LifeExpectancyData[[#This Row],[Life expectancy]:[Schooling]])=19</f>
        <v>1</v>
      </c>
    </row>
    <row r="1457" spans="1:23" x14ac:dyDescent="0.25">
      <c r="A1457" t="s">
        <v>373</v>
      </c>
      <c r="B1457">
        <v>2002</v>
      </c>
      <c r="C1457" t="s">
        <v>288</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COUNT(LifeExpectancyData[[#This Row],[Life expectancy]:[Schooling]])=19</f>
        <v>1</v>
      </c>
    </row>
    <row r="1458" spans="1:23" x14ac:dyDescent="0.25">
      <c r="A1458" t="s">
        <v>373</v>
      </c>
      <c r="B1458">
        <v>2001</v>
      </c>
      <c r="C1458" t="s">
        <v>288</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COUNT(LifeExpectancyData[[#This Row],[Life expectancy]:[Schooling]])=19</f>
        <v>1</v>
      </c>
    </row>
    <row r="1459" spans="1:23" x14ac:dyDescent="0.25">
      <c r="A1459" t="s">
        <v>373</v>
      </c>
      <c r="B1459">
        <v>2000</v>
      </c>
      <c r="C1459" t="s">
        <v>288</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COUNT(LifeExpectancyData[[#This Row],[Life expectancy]:[Schooling]])=19</f>
        <v>1</v>
      </c>
    </row>
    <row r="1460" spans="1:23" x14ac:dyDescent="0.25">
      <c r="A1460" t="s">
        <v>374</v>
      </c>
      <c r="B1460">
        <v>2015</v>
      </c>
      <c r="C1460" t="s">
        <v>280</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COUNT(LifeExpectancyData[[#This Row],[Life expectancy]:[Schooling]])=19</f>
        <v>0</v>
      </c>
    </row>
    <row r="1461" spans="1:23" x14ac:dyDescent="0.25">
      <c r="A1461" t="s">
        <v>374</v>
      </c>
      <c r="B1461">
        <v>2014</v>
      </c>
      <c r="C1461" t="s">
        <v>280</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COUNT(LifeExpectancyData[[#This Row],[Life expectancy]:[Schooling]])=19</f>
        <v>1</v>
      </c>
    </row>
    <row r="1462" spans="1:23" x14ac:dyDescent="0.25">
      <c r="A1462" t="s">
        <v>374</v>
      </c>
      <c r="B1462">
        <v>2013</v>
      </c>
      <c r="C1462" t="s">
        <v>280</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COUNT(LifeExpectancyData[[#This Row],[Life expectancy]:[Schooling]])=19</f>
        <v>1</v>
      </c>
    </row>
    <row r="1463" spans="1:23" x14ac:dyDescent="0.25">
      <c r="A1463" t="s">
        <v>374</v>
      </c>
      <c r="B1463">
        <v>2012</v>
      </c>
      <c r="C1463" t="s">
        <v>280</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COUNT(LifeExpectancyData[[#This Row],[Life expectancy]:[Schooling]])=19</f>
        <v>1</v>
      </c>
    </row>
    <row r="1464" spans="1:23" x14ac:dyDescent="0.25">
      <c r="A1464" t="s">
        <v>374</v>
      </c>
      <c r="B1464">
        <v>2011</v>
      </c>
      <c r="C1464" t="s">
        <v>280</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COUNT(LifeExpectancyData[[#This Row],[Life expectancy]:[Schooling]])=19</f>
        <v>1</v>
      </c>
    </row>
    <row r="1465" spans="1:23" x14ac:dyDescent="0.25">
      <c r="A1465" t="s">
        <v>374</v>
      </c>
      <c r="B1465">
        <v>2010</v>
      </c>
      <c r="C1465" t="s">
        <v>280</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COUNT(LifeExpectancyData[[#This Row],[Life expectancy]:[Schooling]])=19</f>
        <v>1</v>
      </c>
    </row>
    <row r="1466" spans="1:23" x14ac:dyDescent="0.25">
      <c r="A1466" t="s">
        <v>374</v>
      </c>
      <c r="B1466">
        <v>2009</v>
      </c>
      <c r="C1466" t="s">
        <v>280</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COUNT(LifeExpectancyData[[#This Row],[Life expectancy]:[Schooling]])=19</f>
        <v>1</v>
      </c>
    </row>
    <row r="1467" spans="1:23" x14ac:dyDescent="0.25">
      <c r="A1467" t="s">
        <v>374</v>
      </c>
      <c r="B1467">
        <v>2008</v>
      </c>
      <c r="C1467" t="s">
        <v>280</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COUNT(LifeExpectancyData[[#This Row],[Life expectancy]:[Schooling]])=19</f>
        <v>1</v>
      </c>
    </row>
    <row r="1468" spans="1:23" x14ac:dyDescent="0.25">
      <c r="A1468" t="s">
        <v>374</v>
      </c>
      <c r="B1468">
        <v>2007</v>
      </c>
      <c r="C1468" t="s">
        <v>280</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COUNT(LifeExpectancyData[[#This Row],[Life expectancy]:[Schooling]])=19</f>
        <v>1</v>
      </c>
    </row>
    <row r="1469" spans="1:23" x14ac:dyDescent="0.25">
      <c r="A1469" t="s">
        <v>374</v>
      </c>
      <c r="B1469">
        <v>2006</v>
      </c>
      <c r="C1469" t="s">
        <v>280</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COUNT(LifeExpectancyData[[#This Row],[Life expectancy]:[Schooling]])=19</f>
        <v>1</v>
      </c>
    </row>
    <row r="1470" spans="1:23" x14ac:dyDescent="0.25">
      <c r="A1470" t="s">
        <v>374</v>
      </c>
      <c r="B1470">
        <v>2005</v>
      </c>
      <c r="C1470" t="s">
        <v>280</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COUNT(LifeExpectancyData[[#This Row],[Life expectancy]:[Schooling]])=19</f>
        <v>1</v>
      </c>
    </row>
    <row r="1471" spans="1:23" x14ac:dyDescent="0.25">
      <c r="A1471" t="s">
        <v>374</v>
      </c>
      <c r="B1471">
        <v>2004</v>
      </c>
      <c r="C1471" t="s">
        <v>280</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COUNT(LifeExpectancyData[[#This Row],[Life expectancy]:[Schooling]])=19</f>
        <v>1</v>
      </c>
    </row>
    <row r="1472" spans="1:23" x14ac:dyDescent="0.25">
      <c r="A1472" t="s">
        <v>374</v>
      </c>
      <c r="B1472">
        <v>2003</v>
      </c>
      <c r="C1472" t="s">
        <v>280</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COUNT(LifeExpectancyData[[#This Row],[Life expectancy]:[Schooling]])=19</f>
        <v>1</v>
      </c>
    </row>
    <row r="1473" spans="1:23" x14ac:dyDescent="0.25">
      <c r="A1473" t="s">
        <v>374</v>
      </c>
      <c r="B1473">
        <v>2002</v>
      </c>
      <c r="C1473" t="s">
        <v>280</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COUNT(LifeExpectancyData[[#This Row],[Life expectancy]:[Schooling]])=19</f>
        <v>1</v>
      </c>
    </row>
    <row r="1474" spans="1:23" x14ac:dyDescent="0.25">
      <c r="A1474" t="s">
        <v>374</v>
      </c>
      <c r="B1474">
        <v>2001</v>
      </c>
      <c r="C1474" t="s">
        <v>280</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COUNT(LifeExpectancyData[[#This Row],[Life expectancy]:[Schooling]])=19</f>
        <v>1</v>
      </c>
    </row>
    <row r="1475" spans="1:23" x14ac:dyDescent="0.25">
      <c r="A1475" t="s">
        <v>374</v>
      </c>
      <c r="B1475">
        <v>2000</v>
      </c>
      <c r="C1475" t="s">
        <v>280</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COUNT(LifeExpectancyData[[#This Row],[Life expectancy]:[Schooling]])=19</f>
        <v>1</v>
      </c>
    </row>
    <row r="1476" spans="1:23" x14ac:dyDescent="0.25">
      <c r="A1476" t="s">
        <v>375</v>
      </c>
      <c r="B1476">
        <v>2015</v>
      </c>
      <c r="C1476" t="s">
        <v>280</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COUNT(LifeExpectancyData[[#This Row],[Life expectancy]:[Schooling]])=19</f>
        <v>0</v>
      </c>
    </row>
    <row r="1477" spans="1:23" x14ac:dyDescent="0.25">
      <c r="A1477" t="s">
        <v>375</v>
      </c>
      <c r="B1477">
        <v>2014</v>
      </c>
      <c r="C1477" t="s">
        <v>280</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COUNT(LifeExpectancyData[[#This Row],[Life expectancy]:[Schooling]])=19</f>
        <v>1</v>
      </c>
    </row>
    <row r="1478" spans="1:23" x14ac:dyDescent="0.25">
      <c r="A1478" t="s">
        <v>375</v>
      </c>
      <c r="B1478">
        <v>2013</v>
      </c>
      <c r="C1478" t="s">
        <v>280</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COUNT(LifeExpectancyData[[#This Row],[Life expectancy]:[Schooling]])=19</f>
        <v>1</v>
      </c>
    </row>
    <row r="1479" spans="1:23" x14ac:dyDescent="0.25">
      <c r="A1479" t="s">
        <v>375</v>
      </c>
      <c r="B1479">
        <v>2012</v>
      </c>
      <c r="C1479" t="s">
        <v>280</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COUNT(LifeExpectancyData[[#This Row],[Life expectancy]:[Schooling]])=19</f>
        <v>1</v>
      </c>
    </row>
    <row r="1480" spans="1:23" x14ac:dyDescent="0.25">
      <c r="A1480" t="s">
        <v>375</v>
      </c>
      <c r="B1480">
        <v>2011</v>
      </c>
      <c r="C1480" t="s">
        <v>280</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COUNT(LifeExpectancyData[[#This Row],[Life expectancy]:[Schooling]])=19</f>
        <v>1</v>
      </c>
    </row>
    <row r="1481" spans="1:23" x14ac:dyDescent="0.25">
      <c r="A1481" t="s">
        <v>375</v>
      </c>
      <c r="B1481">
        <v>2010</v>
      </c>
      <c r="C1481" t="s">
        <v>280</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COUNT(LifeExpectancyData[[#This Row],[Life expectancy]:[Schooling]])=19</f>
        <v>1</v>
      </c>
    </row>
    <row r="1482" spans="1:23" x14ac:dyDescent="0.25">
      <c r="A1482" t="s">
        <v>375</v>
      </c>
      <c r="B1482">
        <v>2009</v>
      </c>
      <c r="C1482" t="s">
        <v>280</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COUNT(LifeExpectancyData[[#This Row],[Life expectancy]:[Schooling]])=19</f>
        <v>1</v>
      </c>
    </row>
    <row r="1483" spans="1:23" x14ac:dyDescent="0.25">
      <c r="A1483" t="s">
        <v>375</v>
      </c>
      <c r="B1483">
        <v>2008</v>
      </c>
      <c r="C1483" t="s">
        <v>280</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COUNT(LifeExpectancyData[[#This Row],[Life expectancy]:[Schooling]])=19</f>
        <v>1</v>
      </c>
    </row>
    <row r="1484" spans="1:23" x14ac:dyDescent="0.25">
      <c r="A1484" t="s">
        <v>375</v>
      </c>
      <c r="B1484">
        <v>2007</v>
      </c>
      <c r="C1484" t="s">
        <v>280</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COUNT(LifeExpectancyData[[#This Row],[Life expectancy]:[Schooling]])=19</f>
        <v>1</v>
      </c>
    </row>
    <row r="1485" spans="1:23" x14ac:dyDescent="0.25">
      <c r="A1485" t="s">
        <v>375</v>
      </c>
      <c r="B1485">
        <v>2006</v>
      </c>
      <c r="C1485" t="s">
        <v>280</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COUNT(LifeExpectancyData[[#This Row],[Life expectancy]:[Schooling]])=19</f>
        <v>1</v>
      </c>
    </row>
    <row r="1486" spans="1:23" x14ac:dyDescent="0.25">
      <c r="A1486" t="s">
        <v>375</v>
      </c>
      <c r="B1486">
        <v>2005</v>
      </c>
      <c r="C1486" t="s">
        <v>280</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COUNT(LifeExpectancyData[[#This Row],[Life expectancy]:[Schooling]])=19</f>
        <v>1</v>
      </c>
    </row>
    <row r="1487" spans="1:23" x14ac:dyDescent="0.25">
      <c r="A1487" t="s">
        <v>375</v>
      </c>
      <c r="B1487">
        <v>2004</v>
      </c>
      <c r="C1487" t="s">
        <v>280</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COUNT(LifeExpectancyData[[#This Row],[Life expectancy]:[Schooling]])=19</f>
        <v>1</v>
      </c>
    </row>
    <row r="1488" spans="1:23" x14ac:dyDescent="0.25">
      <c r="A1488" t="s">
        <v>375</v>
      </c>
      <c r="B1488">
        <v>2003</v>
      </c>
      <c r="C1488" t="s">
        <v>280</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COUNT(LifeExpectancyData[[#This Row],[Life expectancy]:[Schooling]])=19</f>
        <v>1</v>
      </c>
    </row>
    <row r="1489" spans="1:23" x14ac:dyDescent="0.25">
      <c r="A1489" t="s">
        <v>375</v>
      </c>
      <c r="B1489">
        <v>2002</v>
      </c>
      <c r="C1489" t="s">
        <v>280</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COUNT(LifeExpectancyData[[#This Row],[Life expectancy]:[Schooling]])=19</f>
        <v>0</v>
      </c>
    </row>
    <row r="1490" spans="1:23" x14ac:dyDescent="0.25">
      <c r="A1490" t="s">
        <v>375</v>
      </c>
      <c r="B1490">
        <v>2001</v>
      </c>
      <c r="C1490" t="s">
        <v>280</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COUNT(LifeExpectancyData[[#This Row],[Life expectancy]:[Schooling]])=19</f>
        <v>0</v>
      </c>
    </row>
    <row r="1491" spans="1:23" x14ac:dyDescent="0.25">
      <c r="A1491" t="s">
        <v>375</v>
      </c>
      <c r="B1491">
        <v>2000</v>
      </c>
      <c r="C1491" t="s">
        <v>280</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COUNT(LifeExpectancyData[[#This Row],[Life expectancy]:[Schooling]])=19</f>
        <v>0</v>
      </c>
    </row>
    <row r="1492" spans="1:23" x14ac:dyDescent="0.25">
      <c r="A1492" t="s">
        <v>376</v>
      </c>
      <c r="B1492">
        <v>2015</v>
      </c>
      <c r="C1492" t="s">
        <v>280</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COUNT(LifeExpectancyData[[#This Row],[Life expectancy]:[Schooling]])=19</f>
        <v>0</v>
      </c>
    </row>
    <row r="1493" spans="1:23" x14ac:dyDescent="0.25">
      <c r="A1493" t="s">
        <v>376</v>
      </c>
      <c r="B1493">
        <v>2014</v>
      </c>
      <c r="C1493" t="s">
        <v>280</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COUNT(LifeExpectancyData[[#This Row],[Life expectancy]:[Schooling]])=19</f>
        <v>1</v>
      </c>
    </row>
    <row r="1494" spans="1:23" x14ac:dyDescent="0.25">
      <c r="A1494" t="s">
        <v>376</v>
      </c>
      <c r="B1494">
        <v>2013</v>
      </c>
      <c r="C1494" t="s">
        <v>280</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COUNT(LifeExpectancyData[[#This Row],[Life expectancy]:[Schooling]])=19</f>
        <v>1</v>
      </c>
    </row>
    <row r="1495" spans="1:23" x14ac:dyDescent="0.25">
      <c r="A1495" t="s">
        <v>376</v>
      </c>
      <c r="B1495">
        <v>2012</v>
      </c>
      <c r="C1495" t="s">
        <v>280</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COUNT(LifeExpectancyData[[#This Row],[Life expectancy]:[Schooling]])=19</f>
        <v>1</v>
      </c>
    </row>
    <row r="1496" spans="1:23" x14ac:dyDescent="0.25">
      <c r="A1496" t="s">
        <v>376</v>
      </c>
      <c r="B1496">
        <v>2011</v>
      </c>
      <c r="C1496" t="s">
        <v>280</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COUNT(LifeExpectancyData[[#This Row],[Life expectancy]:[Schooling]])=19</f>
        <v>1</v>
      </c>
    </row>
    <row r="1497" spans="1:23" x14ac:dyDescent="0.25">
      <c r="A1497" t="s">
        <v>376</v>
      </c>
      <c r="B1497">
        <v>2010</v>
      </c>
      <c r="C1497" t="s">
        <v>280</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COUNT(LifeExpectancyData[[#This Row],[Life expectancy]:[Schooling]])=19</f>
        <v>1</v>
      </c>
    </row>
    <row r="1498" spans="1:23" x14ac:dyDescent="0.25">
      <c r="A1498" t="s">
        <v>376</v>
      </c>
      <c r="B1498">
        <v>2009</v>
      </c>
      <c r="C1498" t="s">
        <v>280</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COUNT(LifeExpectancyData[[#This Row],[Life expectancy]:[Schooling]])=19</f>
        <v>1</v>
      </c>
    </row>
    <row r="1499" spans="1:23" x14ac:dyDescent="0.25">
      <c r="A1499" t="s">
        <v>376</v>
      </c>
      <c r="B1499">
        <v>2008</v>
      </c>
      <c r="C1499" t="s">
        <v>280</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COUNT(LifeExpectancyData[[#This Row],[Life expectancy]:[Schooling]])=19</f>
        <v>1</v>
      </c>
    </row>
    <row r="1500" spans="1:23" x14ac:dyDescent="0.25">
      <c r="A1500" t="s">
        <v>376</v>
      </c>
      <c r="B1500">
        <v>2007</v>
      </c>
      <c r="C1500" t="s">
        <v>280</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COUNT(LifeExpectancyData[[#This Row],[Life expectancy]:[Schooling]])=19</f>
        <v>0</v>
      </c>
    </row>
    <row r="1501" spans="1:23" x14ac:dyDescent="0.25">
      <c r="A1501" t="s">
        <v>376</v>
      </c>
      <c r="B1501">
        <v>2006</v>
      </c>
      <c r="C1501" t="s">
        <v>280</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COUNT(LifeExpectancyData[[#This Row],[Life expectancy]:[Schooling]])=19</f>
        <v>0</v>
      </c>
    </row>
    <row r="1502" spans="1:23" x14ac:dyDescent="0.25">
      <c r="A1502" t="s">
        <v>376</v>
      </c>
      <c r="B1502">
        <v>2005</v>
      </c>
      <c r="C1502" t="s">
        <v>280</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COUNT(LifeExpectancyData[[#This Row],[Life expectancy]:[Schooling]])=19</f>
        <v>0</v>
      </c>
    </row>
    <row r="1503" spans="1:23" x14ac:dyDescent="0.25">
      <c r="A1503" t="s">
        <v>376</v>
      </c>
      <c r="B1503">
        <v>2004</v>
      </c>
      <c r="C1503" t="s">
        <v>280</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COUNT(LifeExpectancyData[[#This Row],[Life expectancy]:[Schooling]])=19</f>
        <v>0</v>
      </c>
    </row>
    <row r="1504" spans="1:23" x14ac:dyDescent="0.25">
      <c r="A1504" t="s">
        <v>376</v>
      </c>
      <c r="B1504">
        <v>2003</v>
      </c>
      <c r="C1504" t="s">
        <v>280</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COUNT(LifeExpectancyData[[#This Row],[Life expectancy]:[Schooling]])=19</f>
        <v>0</v>
      </c>
    </row>
    <row r="1505" spans="1:23" x14ac:dyDescent="0.25">
      <c r="A1505" t="s">
        <v>376</v>
      </c>
      <c r="B1505">
        <v>2002</v>
      </c>
      <c r="C1505" t="s">
        <v>280</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COUNT(LifeExpectancyData[[#This Row],[Life expectancy]:[Schooling]])=19</f>
        <v>0</v>
      </c>
    </row>
    <row r="1506" spans="1:23" x14ac:dyDescent="0.25">
      <c r="A1506" t="s">
        <v>376</v>
      </c>
      <c r="B1506">
        <v>2001</v>
      </c>
      <c r="C1506" t="s">
        <v>280</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COUNT(LifeExpectancyData[[#This Row],[Life expectancy]:[Schooling]])=19</f>
        <v>0</v>
      </c>
    </row>
    <row r="1507" spans="1:23" x14ac:dyDescent="0.25">
      <c r="A1507" t="s">
        <v>376</v>
      </c>
      <c r="B1507">
        <v>2000</v>
      </c>
      <c r="C1507" t="s">
        <v>280</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COUNT(LifeExpectancyData[[#This Row],[Life expectancy]:[Schooling]])=19</f>
        <v>0</v>
      </c>
    </row>
    <row r="1508" spans="1:23" x14ac:dyDescent="0.25">
      <c r="A1508" t="s">
        <v>377</v>
      </c>
      <c r="B1508">
        <v>2015</v>
      </c>
      <c r="C1508" t="s">
        <v>280</v>
      </c>
      <c r="D1508">
        <v>72.7</v>
      </c>
      <c r="E1508">
        <v>138</v>
      </c>
      <c r="F1508">
        <v>1</v>
      </c>
      <c r="H1508">
        <v>0</v>
      </c>
      <c r="I1508">
        <v>97</v>
      </c>
      <c r="J1508">
        <v>82</v>
      </c>
      <c r="K1508">
        <v>64.8</v>
      </c>
      <c r="L1508">
        <v>2</v>
      </c>
      <c r="M1508">
        <v>97</v>
      </c>
      <c r="O1508">
        <v>97</v>
      </c>
      <c r="P1508">
        <v>0.1</v>
      </c>
      <c r="S1508">
        <v>5.8</v>
      </c>
      <c r="T1508">
        <v>5.5</v>
      </c>
      <c r="U1508">
        <v>0.71899999999999997</v>
      </c>
      <c r="V1508">
        <v>13.4</v>
      </c>
      <c r="W1508" t="b">
        <f>COUNT(LifeExpectancyData[[#This Row],[Life expectancy]:[Schooling]])=19</f>
        <v>0</v>
      </c>
    </row>
    <row r="1509" spans="1:23" x14ac:dyDescent="0.25">
      <c r="A1509" t="s">
        <v>377</v>
      </c>
      <c r="B1509">
        <v>2014</v>
      </c>
      <c r="C1509" t="s">
        <v>280</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COUNT(LifeExpectancyData[[#This Row],[Life expectancy]:[Schooling]])=19</f>
        <v>0</v>
      </c>
    </row>
    <row r="1510" spans="1:23" x14ac:dyDescent="0.25">
      <c r="A1510" t="s">
        <v>377</v>
      </c>
      <c r="B1510">
        <v>2013</v>
      </c>
      <c r="C1510" t="s">
        <v>280</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COUNT(LifeExpectancyData[[#This Row],[Life expectancy]:[Schooling]])=19</f>
        <v>0</v>
      </c>
    </row>
    <row r="1511" spans="1:23" x14ac:dyDescent="0.25">
      <c r="A1511" t="s">
        <v>377</v>
      </c>
      <c r="B1511">
        <v>2012</v>
      </c>
      <c r="C1511" t="s">
        <v>280</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COUNT(LifeExpectancyData[[#This Row],[Life expectancy]:[Schooling]])=19</f>
        <v>0</v>
      </c>
    </row>
    <row r="1512" spans="1:23" x14ac:dyDescent="0.25">
      <c r="A1512" t="s">
        <v>377</v>
      </c>
      <c r="B1512">
        <v>2011</v>
      </c>
      <c r="C1512" t="s">
        <v>280</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COUNT(LifeExpectancyData[[#This Row],[Life expectancy]:[Schooling]])=19</f>
        <v>0</v>
      </c>
    </row>
    <row r="1513" spans="1:23" x14ac:dyDescent="0.25">
      <c r="A1513" t="s">
        <v>377</v>
      </c>
      <c r="B1513">
        <v>2010</v>
      </c>
      <c r="C1513" t="s">
        <v>280</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COUNT(LifeExpectancyData[[#This Row],[Life expectancy]:[Schooling]])=19</f>
        <v>0</v>
      </c>
    </row>
    <row r="1514" spans="1:23" x14ac:dyDescent="0.25">
      <c r="A1514" t="s">
        <v>377</v>
      </c>
      <c r="B1514">
        <v>2009</v>
      </c>
      <c r="C1514" t="s">
        <v>280</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COUNT(LifeExpectancyData[[#This Row],[Life expectancy]:[Schooling]])=19</f>
        <v>0</v>
      </c>
    </row>
    <row r="1515" spans="1:23" x14ac:dyDescent="0.25">
      <c r="A1515" t="s">
        <v>377</v>
      </c>
      <c r="B1515">
        <v>2008</v>
      </c>
      <c r="C1515" t="s">
        <v>280</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COUNT(LifeExpectancyData[[#This Row],[Life expectancy]:[Schooling]])=19</f>
        <v>0</v>
      </c>
    </row>
    <row r="1516" spans="1:23" x14ac:dyDescent="0.25">
      <c r="A1516" t="s">
        <v>377</v>
      </c>
      <c r="B1516">
        <v>2007</v>
      </c>
      <c r="C1516" t="s">
        <v>280</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COUNT(LifeExpectancyData[[#This Row],[Life expectancy]:[Schooling]])=19</f>
        <v>0</v>
      </c>
    </row>
    <row r="1517" spans="1:23" x14ac:dyDescent="0.25">
      <c r="A1517" t="s">
        <v>377</v>
      </c>
      <c r="B1517">
        <v>2006</v>
      </c>
      <c r="C1517" t="s">
        <v>280</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COUNT(LifeExpectancyData[[#This Row],[Life expectancy]:[Schooling]])=19</f>
        <v>0</v>
      </c>
    </row>
    <row r="1518" spans="1:23" x14ac:dyDescent="0.25">
      <c r="A1518" t="s">
        <v>377</v>
      </c>
      <c r="B1518">
        <v>2005</v>
      </c>
      <c r="C1518" t="s">
        <v>280</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COUNT(LifeExpectancyData[[#This Row],[Life expectancy]:[Schooling]])=19</f>
        <v>0</v>
      </c>
    </row>
    <row r="1519" spans="1:23" x14ac:dyDescent="0.25">
      <c r="A1519" t="s">
        <v>377</v>
      </c>
      <c r="B1519">
        <v>2004</v>
      </c>
      <c r="C1519" t="s">
        <v>280</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COUNT(LifeExpectancyData[[#This Row],[Life expectancy]:[Schooling]])=19</f>
        <v>0</v>
      </c>
    </row>
    <row r="1520" spans="1:23" x14ac:dyDescent="0.25">
      <c r="A1520" t="s">
        <v>377</v>
      </c>
      <c r="B1520">
        <v>2003</v>
      </c>
      <c r="C1520" t="s">
        <v>280</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COUNT(LifeExpectancyData[[#This Row],[Life expectancy]:[Schooling]])=19</f>
        <v>0</v>
      </c>
    </row>
    <row r="1521" spans="1:23" x14ac:dyDescent="0.25">
      <c r="A1521" t="s">
        <v>377</v>
      </c>
      <c r="B1521">
        <v>2002</v>
      </c>
      <c r="C1521" t="s">
        <v>280</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COUNT(LifeExpectancyData[[#This Row],[Life expectancy]:[Schooling]])=19</f>
        <v>0</v>
      </c>
    </row>
    <row r="1522" spans="1:23" x14ac:dyDescent="0.25">
      <c r="A1522" t="s">
        <v>377</v>
      </c>
      <c r="B1522">
        <v>2001</v>
      </c>
      <c r="C1522" t="s">
        <v>280</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COUNT(LifeExpectancyData[[#This Row],[Life expectancy]:[Schooling]])=19</f>
        <v>0</v>
      </c>
    </row>
    <row r="1523" spans="1:23" x14ac:dyDescent="0.25">
      <c r="A1523" t="s">
        <v>377</v>
      </c>
      <c r="B1523">
        <v>2000</v>
      </c>
      <c r="C1523" t="s">
        <v>280</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COUNT(LifeExpectancyData[[#This Row],[Life expectancy]:[Schooling]])=19</f>
        <v>0</v>
      </c>
    </row>
    <row r="1524" spans="1:23" x14ac:dyDescent="0.25">
      <c r="A1524" t="s">
        <v>378</v>
      </c>
      <c r="B1524">
        <v>2015</v>
      </c>
      <c r="C1524" t="s">
        <v>288</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COUNT(LifeExpectancyData[[#This Row],[Life expectancy]:[Schooling]])=19</f>
        <v>0</v>
      </c>
    </row>
    <row r="1525" spans="1:23" x14ac:dyDescent="0.25">
      <c r="A1525" t="s">
        <v>378</v>
      </c>
      <c r="B1525">
        <v>2014</v>
      </c>
      <c r="C1525" t="s">
        <v>288</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COUNT(LifeExpectancyData[[#This Row],[Life expectancy]:[Schooling]])=19</f>
        <v>1</v>
      </c>
    </row>
    <row r="1526" spans="1:23" x14ac:dyDescent="0.25">
      <c r="A1526" t="s">
        <v>378</v>
      </c>
      <c r="B1526">
        <v>2013</v>
      </c>
      <c r="C1526" t="s">
        <v>288</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COUNT(LifeExpectancyData[[#This Row],[Life expectancy]:[Schooling]])=19</f>
        <v>1</v>
      </c>
    </row>
    <row r="1527" spans="1:23" x14ac:dyDescent="0.25">
      <c r="A1527" t="s">
        <v>378</v>
      </c>
      <c r="B1527">
        <v>2012</v>
      </c>
      <c r="C1527" t="s">
        <v>288</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COUNT(LifeExpectancyData[[#This Row],[Life expectancy]:[Schooling]])=19</f>
        <v>1</v>
      </c>
    </row>
    <row r="1528" spans="1:23" x14ac:dyDescent="0.25">
      <c r="A1528" t="s">
        <v>378</v>
      </c>
      <c r="B1528">
        <v>2011</v>
      </c>
      <c r="C1528" t="s">
        <v>288</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COUNT(LifeExpectancyData[[#This Row],[Life expectancy]:[Schooling]])=19</f>
        <v>1</v>
      </c>
    </row>
    <row r="1529" spans="1:23" x14ac:dyDescent="0.25">
      <c r="A1529" t="s">
        <v>378</v>
      </c>
      <c r="B1529">
        <v>2010</v>
      </c>
      <c r="C1529" t="s">
        <v>288</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COUNT(LifeExpectancyData[[#This Row],[Life expectancy]:[Schooling]])=19</f>
        <v>1</v>
      </c>
    </row>
    <row r="1530" spans="1:23" x14ac:dyDescent="0.25">
      <c r="A1530" t="s">
        <v>378</v>
      </c>
      <c r="B1530">
        <v>2009</v>
      </c>
      <c r="C1530" t="s">
        <v>288</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COUNT(LifeExpectancyData[[#This Row],[Life expectancy]:[Schooling]])=19</f>
        <v>1</v>
      </c>
    </row>
    <row r="1531" spans="1:23" x14ac:dyDescent="0.25">
      <c r="A1531" t="s">
        <v>378</v>
      </c>
      <c r="B1531">
        <v>2008</v>
      </c>
      <c r="C1531" t="s">
        <v>288</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COUNT(LifeExpectancyData[[#This Row],[Life expectancy]:[Schooling]])=19</f>
        <v>1</v>
      </c>
    </row>
    <row r="1532" spans="1:23" x14ac:dyDescent="0.25">
      <c r="A1532" t="s">
        <v>378</v>
      </c>
      <c r="B1532">
        <v>2007</v>
      </c>
      <c r="C1532" t="s">
        <v>288</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COUNT(LifeExpectancyData[[#This Row],[Life expectancy]:[Schooling]])=19</f>
        <v>1</v>
      </c>
    </row>
    <row r="1533" spans="1:23" x14ac:dyDescent="0.25">
      <c r="A1533" t="s">
        <v>378</v>
      </c>
      <c r="B1533">
        <v>2006</v>
      </c>
      <c r="C1533" t="s">
        <v>288</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COUNT(LifeExpectancyData[[#This Row],[Life expectancy]:[Schooling]])=19</f>
        <v>1</v>
      </c>
    </row>
    <row r="1534" spans="1:23" x14ac:dyDescent="0.25">
      <c r="A1534" t="s">
        <v>378</v>
      </c>
      <c r="B1534">
        <v>2005</v>
      </c>
      <c r="C1534" t="s">
        <v>288</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COUNT(LifeExpectancyData[[#This Row],[Life expectancy]:[Schooling]])=19</f>
        <v>1</v>
      </c>
    </row>
    <row r="1535" spans="1:23" x14ac:dyDescent="0.25">
      <c r="A1535" t="s">
        <v>378</v>
      </c>
      <c r="B1535">
        <v>2004</v>
      </c>
      <c r="C1535" t="s">
        <v>288</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COUNT(LifeExpectancyData[[#This Row],[Life expectancy]:[Schooling]])=19</f>
        <v>1</v>
      </c>
    </row>
    <row r="1536" spans="1:23" x14ac:dyDescent="0.25">
      <c r="A1536" t="s">
        <v>378</v>
      </c>
      <c r="B1536">
        <v>2003</v>
      </c>
      <c r="C1536" t="s">
        <v>288</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COUNT(LifeExpectancyData[[#This Row],[Life expectancy]:[Schooling]])=19</f>
        <v>1</v>
      </c>
    </row>
    <row r="1537" spans="1:23" x14ac:dyDescent="0.25">
      <c r="A1537" t="s">
        <v>378</v>
      </c>
      <c r="B1537">
        <v>2002</v>
      </c>
      <c r="C1537" t="s">
        <v>288</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COUNT(LifeExpectancyData[[#This Row],[Life expectancy]:[Schooling]])=19</f>
        <v>1</v>
      </c>
    </row>
    <row r="1538" spans="1:23" x14ac:dyDescent="0.25">
      <c r="A1538" t="s">
        <v>378</v>
      </c>
      <c r="B1538">
        <v>2001</v>
      </c>
      <c r="C1538" t="s">
        <v>288</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COUNT(LifeExpectancyData[[#This Row],[Life expectancy]:[Schooling]])=19</f>
        <v>1</v>
      </c>
    </row>
    <row r="1539" spans="1:23" x14ac:dyDescent="0.25">
      <c r="A1539" t="s">
        <v>378</v>
      </c>
      <c r="B1539">
        <v>2000</v>
      </c>
      <c r="C1539" t="s">
        <v>288</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COUNT(LifeExpectancyData[[#This Row],[Life expectancy]:[Schooling]])=19</f>
        <v>1</v>
      </c>
    </row>
    <row r="1540" spans="1:23" x14ac:dyDescent="0.25">
      <c r="A1540" t="s">
        <v>379</v>
      </c>
      <c r="B1540">
        <v>2015</v>
      </c>
      <c r="C1540" t="s">
        <v>288</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COUNT(LifeExpectancyData[[#This Row],[Life expectancy]:[Schooling]])=19</f>
        <v>0</v>
      </c>
    </row>
    <row r="1541" spans="1:23" x14ac:dyDescent="0.25">
      <c r="A1541" t="s">
        <v>379</v>
      </c>
      <c r="B1541">
        <v>2014</v>
      </c>
      <c r="C1541" t="s">
        <v>288</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COUNT(LifeExpectancyData[[#This Row],[Life expectancy]:[Schooling]])=19</f>
        <v>1</v>
      </c>
    </row>
    <row r="1542" spans="1:23" x14ac:dyDescent="0.25">
      <c r="A1542" t="s">
        <v>379</v>
      </c>
      <c r="B1542">
        <v>2013</v>
      </c>
      <c r="C1542" t="s">
        <v>288</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COUNT(LifeExpectancyData[[#This Row],[Life expectancy]:[Schooling]])=19</f>
        <v>1</v>
      </c>
    </row>
    <row r="1543" spans="1:23" x14ac:dyDescent="0.25">
      <c r="A1543" t="s">
        <v>379</v>
      </c>
      <c r="B1543">
        <v>2012</v>
      </c>
      <c r="C1543" t="s">
        <v>288</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COUNT(LifeExpectancyData[[#This Row],[Life expectancy]:[Schooling]])=19</f>
        <v>1</v>
      </c>
    </row>
    <row r="1544" spans="1:23" x14ac:dyDescent="0.25">
      <c r="A1544" t="s">
        <v>379</v>
      </c>
      <c r="B1544">
        <v>2011</v>
      </c>
      <c r="C1544" t="s">
        <v>288</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COUNT(LifeExpectancyData[[#This Row],[Life expectancy]:[Schooling]])=19</f>
        <v>1</v>
      </c>
    </row>
    <row r="1545" spans="1:23" x14ac:dyDescent="0.25">
      <c r="A1545" t="s">
        <v>379</v>
      </c>
      <c r="B1545">
        <v>2010</v>
      </c>
      <c r="C1545" t="s">
        <v>288</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COUNT(LifeExpectancyData[[#This Row],[Life expectancy]:[Schooling]])=19</f>
        <v>1</v>
      </c>
    </row>
    <row r="1546" spans="1:23" x14ac:dyDescent="0.25">
      <c r="A1546" t="s">
        <v>379</v>
      </c>
      <c r="B1546">
        <v>2009</v>
      </c>
      <c r="C1546" t="s">
        <v>288</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COUNT(LifeExpectancyData[[#This Row],[Life expectancy]:[Schooling]])=19</f>
        <v>1</v>
      </c>
    </row>
    <row r="1547" spans="1:23" x14ac:dyDescent="0.25">
      <c r="A1547" t="s">
        <v>379</v>
      </c>
      <c r="B1547">
        <v>2008</v>
      </c>
      <c r="C1547" t="s">
        <v>288</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COUNT(LifeExpectancyData[[#This Row],[Life expectancy]:[Schooling]])=19</f>
        <v>1</v>
      </c>
    </row>
    <row r="1548" spans="1:23" x14ac:dyDescent="0.25">
      <c r="A1548" t="s">
        <v>379</v>
      </c>
      <c r="B1548">
        <v>2007</v>
      </c>
      <c r="C1548" t="s">
        <v>288</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COUNT(LifeExpectancyData[[#This Row],[Life expectancy]:[Schooling]])=19</f>
        <v>1</v>
      </c>
    </row>
    <row r="1549" spans="1:23" x14ac:dyDescent="0.25">
      <c r="A1549" t="s">
        <v>379</v>
      </c>
      <c r="B1549">
        <v>2006</v>
      </c>
      <c r="C1549" t="s">
        <v>288</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COUNT(LifeExpectancyData[[#This Row],[Life expectancy]:[Schooling]])=19</f>
        <v>1</v>
      </c>
    </row>
    <row r="1550" spans="1:23" x14ac:dyDescent="0.25">
      <c r="A1550" t="s">
        <v>379</v>
      </c>
      <c r="B1550">
        <v>2005</v>
      </c>
      <c r="C1550" t="s">
        <v>288</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COUNT(LifeExpectancyData[[#This Row],[Life expectancy]:[Schooling]])=19</f>
        <v>1</v>
      </c>
    </row>
    <row r="1551" spans="1:23" x14ac:dyDescent="0.25">
      <c r="A1551" t="s">
        <v>379</v>
      </c>
      <c r="B1551">
        <v>2004</v>
      </c>
      <c r="C1551" t="s">
        <v>288</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COUNT(LifeExpectancyData[[#This Row],[Life expectancy]:[Schooling]])=19</f>
        <v>1</v>
      </c>
    </row>
    <row r="1552" spans="1:23" x14ac:dyDescent="0.25">
      <c r="A1552" t="s">
        <v>379</v>
      </c>
      <c r="B1552">
        <v>2003</v>
      </c>
      <c r="C1552" t="s">
        <v>288</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COUNT(LifeExpectancyData[[#This Row],[Life expectancy]:[Schooling]])=19</f>
        <v>1</v>
      </c>
    </row>
    <row r="1553" spans="1:23" x14ac:dyDescent="0.25">
      <c r="A1553" t="s">
        <v>379</v>
      </c>
      <c r="B1553">
        <v>2002</v>
      </c>
      <c r="C1553" t="s">
        <v>288</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COUNT(LifeExpectancyData[[#This Row],[Life expectancy]:[Schooling]])=19</f>
        <v>1</v>
      </c>
    </row>
    <row r="1554" spans="1:23" x14ac:dyDescent="0.25">
      <c r="A1554" t="s">
        <v>379</v>
      </c>
      <c r="B1554">
        <v>2001</v>
      </c>
      <c r="C1554" t="s">
        <v>288</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COUNT(LifeExpectancyData[[#This Row],[Life expectancy]:[Schooling]])=19</f>
        <v>1</v>
      </c>
    </row>
    <row r="1555" spans="1:23" x14ac:dyDescent="0.25">
      <c r="A1555" t="s">
        <v>379</v>
      </c>
      <c r="B1555">
        <v>2000</v>
      </c>
      <c r="C1555" t="s">
        <v>288</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COUNT(LifeExpectancyData[[#This Row],[Life expectancy]:[Schooling]])=19</f>
        <v>1</v>
      </c>
    </row>
    <row r="1556" spans="1:23" x14ac:dyDescent="0.25">
      <c r="A1556" t="s">
        <v>380</v>
      </c>
      <c r="B1556">
        <v>2015</v>
      </c>
      <c r="C1556" t="s">
        <v>280</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COUNT(LifeExpectancyData[[#This Row],[Life expectancy]:[Schooling]])=19</f>
        <v>0</v>
      </c>
    </row>
    <row r="1557" spans="1:23" x14ac:dyDescent="0.25">
      <c r="A1557" t="s">
        <v>380</v>
      </c>
      <c r="B1557">
        <v>2014</v>
      </c>
      <c r="C1557" t="s">
        <v>280</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COUNT(LifeExpectancyData[[#This Row],[Life expectancy]:[Schooling]])=19</f>
        <v>1</v>
      </c>
    </row>
    <row r="1558" spans="1:23" x14ac:dyDescent="0.25">
      <c r="A1558" t="s">
        <v>380</v>
      </c>
      <c r="B1558">
        <v>2013</v>
      </c>
      <c r="C1558" t="s">
        <v>280</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COUNT(LifeExpectancyData[[#This Row],[Life expectancy]:[Schooling]])=19</f>
        <v>1</v>
      </c>
    </row>
    <row r="1559" spans="1:23" x14ac:dyDescent="0.25">
      <c r="A1559" t="s">
        <v>380</v>
      </c>
      <c r="B1559">
        <v>2012</v>
      </c>
      <c r="C1559" t="s">
        <v>280</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COUNT(LifeExpectancyData[[#This Row],[Life expectancy]:[Schooling]])=19</f>
        <v>1</v>
      </c>
    </row>
    <row r="1560" spans="1:23" x14ac:dyDescent="0.25">
      <c r="A1560" t="s">
        <v>380</v>
      </c>
      <c r="B1560">
        <v>2011</v>
      </c>
      <c r="C1560" t="s">
        <v>280</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COUNT(LifeExpectancyData[[#This Row],[Life expectancy]:[Schooling]])=19</f>
        <v>1</v>
      </c>
    </row>
    <row r="1561" spans="1:23" x14ac:dyDescent="0.25">
      <c r="A1561" t="s">
        <v>380</v>
      </c>
      <c r="B1561">
        <v>2010</v>
      </c>
      <c r="C1561" t="s">
        <v>280</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COUNT(LifeExpectancyData[[#This Row],[Life expectancy]:[Schooling]])=19</f>
        <v>1</v>
      </c>
    </row>
    <row r="1562" spans="1:23" x14ac:dyDescent="0.25">
      <c r="A1562" t="s">
        <v>380</v>
      </c>
      <c r="B1562">
        <v>2009</v>
      </c>
      <c r="C1562" t="s">
        <v>280</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COUNT(LifeExpectancyData[[#This Row],[Life expectancy]:[Schooling]])=19</f>
        <v>1</v>
      </c>
    </row>
    <row r="1563" spans="1:23" x14ac:dyDescent="0.25">
      <c r="A1563" t="s">
        <v>380</v>
      </c>
      <c r="B1563">
        <v>2008</v>
      </c>
      <c r="C1563" t="s">
        <v>280</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COUNT(LifeExpectancyData[[#This Row],[Life expectancy]:[Schooling]])=19</f>
        <v>1</v>
      </c>
    </row>
    <row r="1564" spans="1:23" x14ac:dyDescent="0.25">
      <c r="A1564" t="s">
        <v>380</v>
      </c>
      <c r="B1564">
        <v>2007</v>
      </c>
      <c r="C1564" t="s">
        <v>280</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COUNT(LifeExpectancyData[[#This Row],[Life expectancy]:[Schooling]])=19</f>
        <v>1</v>
      </c>
    </row>
    <row r="1565" spans="1:23" x14ac:dyDescent="0.25">
      <c r="A1565" t="s">
        <v>380</v>
      </c>
      <c r="B1565">
        <v>2006</v>
      </c>
      <c r="C1565" t="s">
        <v>280</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COUNT(LifeExpectancyData[[#This Row],[Life expectancy]:[Schooling]])=19</f>
        <v>1</v>
      </c>
    </row>
    <row r="1566" spans="1:23" x14ac:dyDescent="0.25">
      <c r="A1566" t="s">
        <v>380</v>
      </c>
      <c r="B1566">
        <v>2005</v>
      </c>
      <c r="C1566" t="s">
        <v>280</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COUNT(LifeExpectancyData[[#This Row],[Life expectancy]:[Schooling]])=19</f>
        <v>1</v>
      </c>
    </row>
    <row r="1567" spans="1:23" x14ac:dyDescent="0.25">
      <c r="A1567" t="s">
        <v>380</v>
      </c>
      <c r="B1567">
        <v>2004</v>
      </c>
      <c r="C1567" t="s">
        <v>280</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COUNT(LifeExpectancyData[[#This Row],[Life expectancy]:[Schooling]])=19</f>
        <v>1</v>
      </c>
    </row>
    <row r="1568" spans="1:23" x14ac:dyDescent="0.25">
      <c r="A1568" t="s">
        <v>380</v>
      </c>
      <c r="B1568">
        <v>2003</v>
      </c>
      <c r="C1568" t="s">
        <v>280</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COUNT(LifeExpectancyData[[#This Row],[Life expectancy]:[Schooling]])=19</f>
        <v>1</v>
      </c>
    </row>
    <row r="1569" spans="1:23" x14ac:dyDescent="0.25">
      <c r="A1569" t="s">
        <v>380</v>
      </c>
      <c r="B1569">
        <v>2002</v>
      </c>
      <c r="C1569" t="s">
        <v>280</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COUNT(LifeExpectancyData[[#This Row],[Life expectancy]:[Schooling]])=19</f>
        <v>1</v>
      </c>
    </row>
    <row r="1570" spans="1:23" x14ac:dyDescent="0.25">
      <c r="A1570" t="s">
        <v>380</v>
      </c>
      <c r="B1570">
        <v>2001</v>
      </c>
      <c r="C1570" t="s">
        <v>280</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COUNT(LifeExpectancyData[[#This Row],[Life expectancy]:[Schooling]])=19</f>
        <v>0</v>
      </c>
    </row>
    <row r="1571" spans="1:23" x14ac:dyDescent="0.25">
      <c r="A1571" t="s">
        <v>380</v>
      </c>
      <c r="B1571">
        <v>2000</v>
      </c>
      <c r="C1571" t="s">
        <v>280</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COUNT(LifeExpectancyData[[#This Row],[Life expectancy]:[Schooling]])=19</f>
        <v>0</v>
      </c>
    </row>
    <row r="1572" spans="1:23" x14ac:dyDescent="0.25">
      <c r="A1572" t="s">
        <v>381</v>
      </c>
      <c r="B1572">
        <v>2015</v>
      </c>
      <c r="C1572" t="s">
        <v>280</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COUNT(LifeExpectancyData[[#This Row],[Life expectancy]:[Schooling]])=19</f>
        <v>0</v>
      </c>
    </row>
    <row r="1573" spans="1:23" x14ac:dyDescent="0.25">
      <c r="A1573" t="s">
        <v>381</v>
      </c>
      <c r="B1573">
        <v>2014</v>
      </c>
      <c r="C1573" t="s">
        <v>280</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COUNT(LifeExpectancyData[[#This Row],[Life expectancy]:[Schooling]])=19</f>
        <v>1</v>
      </c>
    </row>
    <row r="1574" spans="1:23" x14ac:dyDescent="0.25">
      <c r="A1574" t="s">
        <v>381</v>
      </c>
      <c r="B1574">
        <v>2013</v>
      </c>
      <c r="C1574" t="s">
        <v>280</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COUNT(LifeExpectancyData[[#This Row],[Life expectancy]:[Schooling]])=19</f>
        <v>1</v>
      </c>
    </row>
    <row r="1575" spans="1:23" x14ac:dyDescent="0.25">
      <c r="A1575" t="s">
        <v>381</v>
      </c>
      <c r="B1575">
        <v>2012</v>
      </c>
      <c r="C1575" t="s">
        <v>280</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COUNT(LifeExpectancyData[[#This Row],[Life expectancy]:[Schooling]])=19</f>
        <v>1</v>
      </c>
    </row>
    <row r="1576" spans="1:23" x14ac:dyDescent="0.25">
      <c r="A1576" t="s">
        <v>381</v>
      </c>
      <c r="B1576">
        <v>2011</v>
      </c>
      <c r="C1576" t="s">
        <v>280</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COUNT(LifeExpectancyData[[#This Row],[Life expectancy]:[Schooling]])=19</f>
        <v>1</v>
      </c>
    </row>
    <row r="1577" spans="1:23" x14ac:dyDescent="0.25">
      <c r="A1577" t="s">
        <v>381</v>
      </c>
      <c r="B1577">
        <v>2010</v>
      </c>
      <c r="C1577" t="s">
        <v>280</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COUNT(LifeExpectancyData[[#This Row],[Life expectancy]:[Schooling]])=19</f>
        <v>1</v>
      </c>
    </row>
    <row r="1578" spans="1:23" x14ac:dyDescent="0.25">
      <c r="A1578" t="s">
        <v>381</v>
      </c>
      <c r="B1578">
        <v>2009</v>
      </c>
      <c r="C1578" t="s">
        <v>280</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COUNT(LifeExpectancyData[[#This Row],[Life expectancy]:[Schooling]])=19</f>
        <v>1</v>
      </c>
    </row>
    <row r="1579" spans="1:23" x14ac:dyDescent="0.25">
      <c r="A1579" t="s">
        <v>381</v>
      </c>
      <c r="B1579">
        <v>2008</v>
      </c>
      <c r="C1579" t="s">
        <v>280</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COUNT(LifeExpectancyData[[#This Row],[Life expectancy]:[Schooling]])=19</f>
        <v>1</v>
      </c>
    </row>
    <row r="1580" spans="1:23" x14ac:dyDescent="0.25">
      <c r="A1580" t="s">
        <v>381</v>
      </c>
      <c r="B1580">
        <v>2007</v>
      </c>
      <c r="C1580" t="s">
        <v>280</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COUNT(LifeExpectancyData[[#This Row],[Life expectancy]:[Schooling]])=19</f>
        <v>1</v>
      </c>
    </row>
    <row r="1581" spans="1:23" x14ac:dyDescent="0.25">
      <c r="A1581" t="s">
        <v>381</v>
      </c>
      <c r="B1581">
        <v>2006</v>
      </c>
      <c r="C1581" t="s">
        <v>280</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COUNT(LifeExpectancyData[[#This Row],[Life expectancy]:[Schooling]])=19</f>
        <v>1</v>
      </c>
    </row>
    <row r="1582" spans="1:23" x14ac:dyDescent="0.25">
      <c r="A1582" t="s">
        <v>381</v>
      </c>
      <c r="B1582">
        <v>2005</v>
      </c>
      <c r="C1582" t="s">
        <v>280</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COUNT(LifeExpectancyData[[#This Row],[Life expectancy]:[Schooling]])=19</f>
        <v>1</v>
      </c>
    </row>
    <row r="1583" spans="1:23" x14ac:dyDescent="0.25">
      <c r="A1583" t="s">
        <v>381</v>
      </c>
      <c r="B1583">
        <v>2004</v>
      </c>
      <c r="C1583" t="s">
        <v>280</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COUNT(LifeExpectancyData[[#This Row],[Life expectancy]:[Schooling]])=19</f>
        <v>1</v>
      </c>
    </row>
    <row r="1584" spans="1:23" x14ac:dyDescent="0.25">
      <c r="A1584" t="s">
        <v>381</v>
      </c>
      <c r="B1584">
        <v>2003</v>
      </c>
      <c r="C1584" t="s">
        <v>280</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COUNT(LifeExpectancyData[[#This Row],[Life expectancy]:[Schooling]])=19</f>
        <v>1</v>
      </c>
    </row>
    <row r="1585" spans="1:23" x14ac:dyDescent="0.25">
      <c r="A1585" t="s">
        <v>381</v>
      </c>
      <c r="B1585">
        <v>2002</v>
      </c>
      <c r="C1585" t="s">
        <v>280</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COUNT(LifeExpectancyData[[#This Row],[Life expectancy]:[Schooling]])=19</f>
        <v>1</v>
      </c>
    </row>
    <row r="1586" spans="1:23" x14ac:dyDescent="0.25">
      <c r="A1586" t="s">
        <v>381</v>
      </c>
      <c r="B1586">
        <v>2001</v>
      </c>
      <c r="C1586" t="s">
        <v>280</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COUNT(LifeExpectancyData[[#This Row],[Life expectancy]:[Schooling]])=19</f>
        <v>0</v>
      </c>
    </row>
    <row r="1587" spans="1:23" x14ac:dyDescent="0.25">
      <c r="A1587" t="s">
        <v>381</v>
      </c>
      <c r="B1587">
        <v>2000</v>
      </c>
      <c r="C1587" t="s">
        <v>280</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COUNT(LifeExpectancyData[[#This Row],[Life expectancy]:[Schooling]])=19</f>
        <v>0</v>
      </c>
    </row>
    <row r="1588" spans="1:23" x14ac:dyDescent="0.25">
      <c r="A1588" t="s">
        <v>382</v>
      </c>
      <c r="B1588">
        <v>2015</v>
      </c>
      <c r="C1588" t="s">
        <v>280</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COUNT(LifeExpectancyData[[#This Row],[Life expectancy]:[Schooling]])=19</f>
        <v>0</v>
      </c>
    </row>
    <row r="1589" spans="1:23" x14ac:dyDescent="0.25">
      <c r="A1589" t="s">
        <v>382</v>
      </c>
      <c r="B1589">
        <v>2014</v>
      </c>
      <c r="C1589" t="s">
        <v>280</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COUNT(LifeExpectancyData[[#This Row],[Life expectancy]:[Schooling]])=19</f>
        <v>1</v>
      </c>
    </row>
    <row r="1590" spans="1:23" x14ac:dyDescent="0.25">
      <c r="A1590" t="s">
        <v>382</v>
      </c>
      <c r="B1590">
        <v>2013</v>
      </c>
      <c r="C1590" t="s">
        <v>280</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COUNT(LifeExpectancyData[[#This Row],[Life expectancy]:[Schooling]])=19</f>
        <v>1</v>
      </c>
    </row>
    <row r="1591" spans="1:23" x14ac:dyDescent="0.25">
      <c r="A1591" t="s">
        <v>382</v>
      </c>
      <c r="B1591">
        <v>2012</v>
      </c>
      <c r="C1591" t="s">
        <v>280</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COUNT(LifeExpectancyData[[#This Row],[Life expectancy]:[Schooling]])=19</f>
        <v>1</v>
      </c>
    </row>
    <row r="1592" spans="1:23" x14ac:dyDescent="0.25">
      <c r="A1592" t="s">
        <v>382</v>
      </c>
      <c r="B1592">
        <v>2011</v>
      </c>
      <c r="C1592" t="s">
        <v>280</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COUNT(LifeExpectancyData[[#This Row],[Life expectancy]:[Schooling]])=19</f>
        <v>1</v>
      </c>
    </row>
    <row r="1593" spans="1:23" x14ac:dyDescent="0.25">
      <c r="A1593" t="s">
        <v>382</v>
      </c>
      <c r="B1593">
        <v>2010</v>
      </c>
      <c r="C1593" t="s">
        <v>280</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COUNT(LifeExpectancyData[[#This Row],[Life expectancy]:[Schooling]])=19</f>
        <v>1</v>
      </c>
    </row>
    <row r="1594" spans="1:23" x14ac:dyDescent="0.25">
      <c r="A1594" t="s">
        <v>382</v>
      </c>
      <c r="B1594">
        <v>2009</v>
      </c>
      <c r="C1594" t="s">
        <v>280</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COUNT(LifeExpectancyData[[#This Row],[Life expectancy]:[Schooling]])=19</f>
        <v>1</v>
      </c>
    </row>
    <row r="1595" spans="1:23" x14ac:dyDescent="0.25">
      <c r="A1595" t="s">
        <v>382</v>
      </c>
      <c r="B1595">
        <v>2008</v>
      </c>
      <c r="C1595" t="s">
        <v>280</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COUNT(LifeExpectancyData[[#This Row],[Life expectancy]:[Schooling]])=19</f>
        <v>1</v>
      </c>
    </row>
    <row r="1596" spans="1:23" x14ac:dyDescent="0.25">
      <c r="A1596" t="s">
        <v>382</v>
      </c>
      <c r="B1596">
        <v>2007</v>
      </c>
      <c r="C1596" t="s">
        <v>280</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COUNT(LifeExpectancyData[[#This Row],[Life expectancy]:[Schooling]])=19</f>
        <v>1</v>
      </c>
    </row>
    <row r="1597" spans="1:23" x14ac:dyDescent="0.25">
      <c r="A1597" t="s">
        <v>382</v>
      </c>
      <c r="B1597">
        <v>2006</v>
      </c>
      <c r="C1597" t="s">
        <v>280</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COUNT(LifeExpectancyData[[#This Row],[Life expectancy]:[Schooling]])=19</f>
        <v>1</v>
      </c>
    </row>
    <row r="1598" spans="1:23" x14ac:dyDescent="0.25">
      <c r="A1598" t="s">
        <v>382</v>
      </c>
      <c r="B1598">
        <v>2005</v>
      </c>
      <c r="C1598" t="s">
        <v>280</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COUNT(LifeExpectancyData[[#This Row],[Life expectancy]:[Schooling]])=19</f>
        <v>1</v>
      </c>
    </row>
    <row r="1599" spans="1:23" x14ac:dyDescent="0.25">
      <c r="A1599" t="s">
        <v>382</v>
      </c>
      <c r="B1599">
        <v>2004</v>
      </c>
      <c r="C1599" t="s">
        <v>280</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COUNT(LifeExpectancyData[[#This Row],[Life expectancy]:[Schooling]])=19</f>
        <v>1</v>
      </c>
    </row>
    <row r="1600" spans="1:23" x14ac:dyDescent="0.25">
      <c r="A1600" t="s">
        <v>382</v>
      </c>
      <c r="B1600">
        <v>2003</v>
      </c>
      <c r="C1600" t="s">
        <v>280</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COUNT(LifeExpectancyData[[#This Row],[Life expectancy]:[Schooling]])=19</f>
        <v>1</v>
      </c>
    </row>
    <row r="1601" spans="1:23" x14ac:dyDescent="0.25">
      <c r="A1601" t="s">
        <v>382</v>
      </c>
      <c r="B1601">
        <v>2002</v>
      </c>
      <c r="C1601" t="s">
        <v>280</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COUNT(LifeExpectancyData[[#This Row],[Life expectancy]:[Schooling]])=19</f>
        <v>1</v>
      </c>
    </row>
    <row r="1602" spans="1:23" x14ac:dyDescent="0.25">
      <c r="A1602" t="s">
        <v>382</v>
      </c>
      <c r="B1602">
        <v>2001</v>
      </c>
      <c r="C1602" t="s">
        <v>280</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COUNT(LifeExpectancyData[[#This Row],[Life expectancy]:[Schooling]])=19</f>
        <v>1</v>
      </c>
    </row>
    <row r="1603" spans="1:23" x14ac:dyDescent="0.25">
      <c r="A1603" t="s">
        <v>382</v>
      </c>
      <c r="B1603">
        <v>2000</v>
      </c>
      <c r="C1603" t="s">
        <v>280</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COUNT(LifeExpectancyData[[#This Row],[Life expectancy]:[Schooling]])=19</f>
        <v>1</v>
      </c>
    </row>
    <row r="1604" spans="1:23" x14ac:dyDescent="0.25">
      <c r="A1604" t="s">
        <v>383</v>
      </c>
      <c r="B1604">
        <v>2015</v>
      </c>
      <c r="C1604" t="s">
        <v>280</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COUNT(LifeExpectancyData[[#This Row],[Life expectancy]:[Schooling]])=19</f>
        <v>0</v>
      </c>
    </row>
    <row r="1605" spans="1:23" x14ac:dyDescent="0.25">
      <c r="A1605" t="s">
        <v>383</v>
      </c>
      <c r="B1605">
        <v>2014</v>
      </c>
      <c r="C1605" t="s">
        <v>280</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COUNT(LifeExpectancyData[[#This Row],[Life expectancy]:[Schooling]])=19</f>
        <v>1</v>
      </c>
    </row>
    <row r="1606" spans="1:23" x14ac:dyDescent="0.25">
      <c r="A1606" t="s">
        <v>383</v>
      </c>
      <c r="B1606">
        <v>2013</v>
      </c>
      <c r="C1606" t="s">
        <v>280</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COUNT(LifeExpectancyData[[#This Row],[Life expectancy]:[Schooling]])=19</f>
        <v>1</v>
      </c>
    </row>
    <row r="1607" spans="1:23" x14ac:dyDescent="0.25">
      <c r="A1607" t="s">
        <v>383</v>
      </c>
      <c r="B1607">
        <v>2012</v>
      </c>
      <c r="C1607" t="s">
        <v>280</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COUNT(LifeExpectancyData[[#This Row],[Life expectancy]:[Schooling]])=19</f>
        <v>1</v>
      </c>
    </row>
    <row r="1608" spans="1:23" x14ac:dyDescent="0.25">
      <c r="A1608" t="s">
        <v>383</v>
      </c>
      <c r="B1608">
        <v>2011</v>
      </c>
      <c r="C1608" t="s">
        <v>280</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COUNT(LifeExpectancyData[[#This Row],[Life expectancy]:[Schooling]])=19</f>
        <v>1</v>
      </c>
    </row>
    <row r="1609" spans="1:23" x14ac:dyDescent="0.25">
      <c r="A1609" t="s">
        <v>383</v>
      </c>
      <c r="B1609">
        <v>2010</v>
      </c>
      <c r="C1609" t="s">
        <v>280</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COUNT(LifeExpectancyData[[#This Row],[Life expectancy]:[Schooling]])=19</f>
        <v>1</v>
      </c>
    </row>
    <row r="1610" spans="1:23" x14ac:dyDescent="0.25">
      <c r="A1610" t="s">
        <v>383</v>
      </c>
      <c r="B1610">
        <v>2009</v>
      </c>
      <c r="C1610" t="s">
        <v>280</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COUNT(LifeExpectancyData[[#This Row],[Life expectancy]:[Schooling]])=19</f>
        <v>1</v>
      </c>
    </row>
    <row r="1611" spans="1:23" x14ac:dyDescent="0.25">
      <c r="A1611" t="s">
        <v>383</v>
      </c>
      <c r="B1611">
        <v>2008</v>
      </c>
      <c r="C1611" t="s">
        <v>280</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COUNT(LifeExpectancyData[[#This Row],[Life expectancy]:[Schooling]])=19</f>
        <v>1</v>
      </c>
    </row>
    <row r="1612" spans="1:23" x14ac:dyDescent="0.25">
      <c r="A1612" t="s">
        <v>383</v>
      </c>
      <c r="B1612">
        <v>2007</v>
      </c>
      <c r="C1612" t="s">
        <v>280</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COUNT(LifeExpectancyData[[#This Row],[Life expectancy]:[Schooling]])=19</f>
        <v>1</v>
      </c>
    </row>
    <row r="1613" spans="1:23" x14ac:dyDescent="0.25">
      <c r="A1613" t="s">
        <v>383</v>
      </c>
      <c r="B1613">
        <v>2006</v>
      </c>
      <c r="C1613" t="s">
        <v>280</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COUNT(LifeExpectancyData[[#This Row],[Life expectancy]:[Schooling]])=19</f>
        <v>1</v>
      </c>
    </row>
    <row r="1614" spans="1:23" x14ac:dyDescent="0.25">
      <c r="A1614" t="s">
        <v>383</v>
      </c>
      <c r="B1614">
        <v>2005</v>
      </c>
      <c r="C1614" t="s">
        <v>280</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COUNT(LifeExpectancyData[[#This Row],[Life expectancy]:[Schooling]])=19</f>
        <v>1</v>
      </c>
    </row>
    <row r="1615" spans="1:23" x14ac:dyDescent="0.25">
      <c r="A1615" t="s">
        <v>383</v>
      </c>
      <c r="B1615">
        <v>2004</v>
      </c>
      <c r="C1615" t="s">
        <v>280</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COUNT(LifeExpectancyData[[#This Row],[Life expectancy]:[Schooling]])=19</f>
        <v>1</v>
      </c>
    </row>
    <row r="1616" spans="1:23" x14ac:dyDescent="0.25">
      <c r="A1616" t="s">
        <v>383</v>
      </c>
      <c r="B1616">
        <v>2003</v>
      </c>
      <c r="C1616" t="s">
        <v>280</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COUNT(LifeExpectancyData[[#This Row],[Life expectancy]:[Schooling]])=19</f>
        <v>1</v>
      </c>
    </row>
    <row r="1617" spans="1:23" x14ac:dyDescent="0.25">
      <c r="A1617" t="s">
        <v>383</v>
      </c>
      <c r="B1617">
        <v>2002</v>
      </c>
      <c r="C1617" t="s">
        <v>280</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COUNT(LifeExpectancyData[[#This Row],[Life expectancy]:[Schooling]])=19</f>
        <v>1</v>
      </c>
    </row>
    <row r="1618" spans="1:23" x14ac:dyDescent="0.25">
      <c r="A1618" t="s">
        <v>383</v>
      </c>
      <c r="B1618">
        <v>2001</v>
      </c>
      <c r="C1618" t="s">
        <v>280</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COUNT(LifeExpectancyData[[#This Row],[Life expectancy]:[Schooling]])=19</f>
        <v>1</v>
      </c>
    </row>
    <row r="1619" spans="1:23" x14ac:dyDescent="0.25">
      <c r="A1619" t="s">
        <v>383</v>
      </c>
      <c r="B1619">
        <v>2000</v>
      </c>
      <c r="C1619" t="s">
        <v>280</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COUNT(LifeExpectancyData[[#This Row],[Life expectancy]:[Schooling]])=19</f>
        <v>1</v>
      </c>
    </row>
    <row r="1620" spans="1:23" x14ac:dyDescent="0.25">
      <c r="A1620" t="s">
        <v>384</v>
      </c>
      <c r="B1620">
        <v>2015</v>
      </c>
      <c r="C1620" t="s">
        <v>280</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COUNT(LifeExpectancyData[[#This Row],[Life expectancy]:[Schooling]])=19</f>
        <v>0</v>
      </c>
    </row>
    <row r="1621" spans="1:23" x14ac:dyDescent="0.25">
      <c r="A1621" t="s">
        <v>384</v>
      </c>
      <c r="B1621">
        <v>2014</v>
      </c>
      <c r="C1621" t="s">
        <v>280</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COUNT(LifeExpectancyData[[#This Row],[Life expectancy]:[Schooling]])=19</f>
        <v>1</v>
      </c>
    </row>
    <row r="1622" spans="1:23" x14ac:dyDescent="0.25">
      <c r="A1622" t="s">
        <v>384</v>
      </c>
      <c r="B1622">
        <v>2013</v>
      </c>
      <c r="C1622" t="s">
        <v>280</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COUNT(LifeExpectancyData[[#This Row],[Life expectancy]:[Schooling]])=19</f>
        <v>1</v>
      </c>
    </row>
    <row r="1623" spans="1:23" x14ac:dyDescent="0.25">
      <c r="A1623" t="s">
        <v>384</v>
      </c>
      <c r="B1623">
        <v>2012</v>
      </c>
      <c r="C1623" t="s">
        <v>280</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COUNT(LifeExpectancyData[[#This Row],[Life expectancy]:[Schooling]])=19</f>
        <v>1</v>
      </c>
    </row>
    <row r="1624" spans="1:23" x14ac:dyDescent="0.25">
      <c r="A1624" t="s">
        <v>384</v>
      </c>
      <c r="B1624">
        <v>2011</v>
      </c>
      <c r="C1624" t="s">
        <v>280</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COUNT(LifeExpectancyData[[#This Row],[Life expectancy]:[Schooling]])=19</f>
        <v>1</v>
      </c>
    </row>
    <row r="1625" spans="1:23" x14ac:dyDescent="0.25">
      <c r="A1625" t="s">
        <v>384</v>
      </c>
      <c r="B1625">
        <v>2010</v>
      </c>
      <c r="C1625" t="s">
        <v>280</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COUNT(LifeExpectancyData[[#This Row],[Life expectancy]:[Schooling]])=19</f>
        <v>1</v>
      </c>
    </row>
    <row r="1626" spans="1:23" x14ac:dyDescent="0.25">
      <c r="A1626" t="s">
        <v>384</v>
      </c>
      <c r="B1626">
        <v>2009</v>
      </c>
      <c r="C1626" t="s">
        <v>280</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COUNT(LifeExpectancyData[[#This Row],[Life expectancy]:[Schooling]])=19</f>
        <v>1</v>
      </c>
    </row>
    <row r="1627" spans="1:23" x14ac:dyDescent="0.25">
      <c r="A1627" t="s">
        <v>384</v>
      </c>
      <c r="B1627">
        <v>2008</v>
      </c>
      <c r="C1627" t="s">
        <v>280</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COUNT(LifeExpectancyData[[#This Row],[Life expectancy]:[Schooling]])=19</f>
        <v>1</v>
      </c>
    </row>
    <row r="1628" spans="1:23" x14ac:dyDescent="0.25">
      <c r="A1628" t="s">
        <v>384</v>
      </c>
      <c r="B1628">
        <v>2007</v>
      </c>
      <c r="C1628" t="s">
        <v>280</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COUNT(LifeExpectancyData[[#This Row],[Life expectancy]:[Schooling]])=19</f>
        <v>1</v>
      </c>
    </row>
    <row r="1629" spans="1:23" x14ac:dyDescent="0.25">
      <c r="A1629" t="s">
        <v>384</v>
      </c>
      <c r="B1629">
        <v>2006</v>
      </c>
      <c r="C1629" t="s">
        <v>280</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COUNT(LifeExpectancyData[[#This Row],[Life expectancy]:[Schooling]])=19</f>
        <v>1</v>
      </c>
    </row>
    <row r="1630" spans="1:23" x14ac:dyDescent="0.25">
      <c r="A1630" t="s">
        <v>384</v>
      </c>
      <c r="B1630">
        <v>2005</v>
      </c>
      <c r="C1630" t="s">
        <v>280</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COUNT(LifeExpectancyData[[#This Row],[Life expectancy]:[Schooling]])=19</f>
        <v>1</v>
      </c>
    </row>
    <row r="1631" spans="1:23" x14ac:dyDescent="0.25">
      <c r="A1631" t="s">
        <v>384</v>
      </c>
      <c r="B1631">
        <v>2004</v>
      </c>
      <c r="C1631" t="s">
        <v>280</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COUNT(LifeExpectancyData[[#This Row],[Life expectancy]:[Schooling]])=19</f>
        <v>1</v>
      </c>
    </row>
    <row r="1632" spans="1:23" x14ac:dyDescent="0.25">
      <c r="A1632" t="s">
        <v>384</v>
      </c>
      <c r="B1632">
        <v>2003</v>
      </c>
      <c r="C1632" t="s">
        <v>280</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COUNT(LifeExpectancyData[[#This Row],[Life expectancy]:[Schooling]])=19</f>
        <v>1</v>
      </c>
    </row>
    <row r="1633" spans="1:23" x14ac:dyDescent="0.25">
      <c r="A1633" t="s">
        <v>384</v>
      </c>
      <c r="B1633">
        <v>2002</v>
      </c>
      <c r="C1633" t="s">
        <v>280</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COUNT(LifeExpectancyData[[#This Row],[Life expectancy]:[Schooling]])=19</f>
        <v>0</v>
      </c>
    </row>
    <row r="1634" spans="1:23" x14ac:dyDescent="0.25">
      <c r="A1634" t="s">
        <v>384</v>
      </c>
      <c r="B1634">
        <v>2001</v>
      </c>
      <c r="C1634" t="s">
        <v>280</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COUNT(LifeExpectancyData[[#This Row],[Life expectancy]:[Schooling]])=19</f>
        <v>0</v>
      </c>
    </row>
    <row r="1635" spans="1:23" x14ac:dyDescent="0.25">
      <c r="A1635" t="s">
        <v>384</v>
      </c>
      <c r="B1635">
        <v>2000</v>
      </c>
      <c r="C1635" t="s">
        <v>280</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COUNT(LifeExpectancyData[[#This Row],[Life expectancy]:[Schooling]])=19</f>
        <v>0</v>
      </c>
    </row>
    <row r="1636" spans="1:23" x14ac:dyDescent="0.25">
      <c r="A1636" t="s">
        <v>385</v>
      </c>
      <c r="B1636">
        <v>2015</v>
      </c>
      <c r="C1636" t="s">
        <v>288</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COUNT(LifeExpectancyData[[#This Row],[Life expectancy]:[Schooling]])=19</f>
        <v>0</v>
      </c>
    </row>
    <row r="1637" spans="1:23" x14ac:dyDescent="0.25">
      <c r="A1637" t="s">
        <v>385</v>
      </c>
      <c r="B1637">
        <v>2014</v>
      </c>
      <c r="C1637" t="s">
        <v>288</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COUNT(LifeExpectancyData[[#This Row],[Life expectancy]:[Schooling]])=19</f>
        <v>1</v>
      </c>
    </row>
    <row r="1638" spans="1:23" x14ac:dyDescent="0.25">
      <c r="A1638" t="s">
        <v>385</v>
      </c>
      <c r="B1638">
        <v>2013</v>
      </c>
      <c r="C1638" t="s">
        <v>288</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COUNT(LifeExpectancyData[[#This Row],[Life expectancy]:[Schooling]])=19</f>
        <v>1</v>
      </c>
    </row>
    <row r="1639" spans="1:23" x14ac:dyDescent="0.25">
      <c r="A1639" t="s">
        <v>385</v>
      </c>
      <c r="B1639">
        <v>2012</v>
      </c>
      <c r="C1639" t="s">
        <v>288</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COUNT(LifeExpectancyData[[#This Row],[Life expectancy]:[Schooling]])=19</f>
        <v>1</v>
      </c>
    </row>
    <row r="1640" spans="1:23" x14ac:dyDescent="0.25">
      <c r="A1640" t="s">
        <v>385</v>
      </c>
      <c r="B1640">
        <v>2011</v>
      </c>
      <c r="C1640" t="s">
        <v>288</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COUNT(LifeExpectancyData[[#This Row],[Life expectancy]:[Schooling]])=19</f>
        <v>1</v>
      </c>
    </row>
    <row r="1641" spans="1:23" x14ac:dyDescent="0.25">
      <c r="A1641" t="s">
        <v>385</v>
      </c>
      <c r="B1641">
        <v>2010</v>
      </c>
      <c r="C1641" t="s">
        <v>288</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COUNT(LifeExpectancyData[[#This Row],[Life expectancy]:[Schooling]])=19</f>
        <v>1</v>
      </c>
    </row>
    <row r="1642" spans="1:23" x14ac:dyDescent="0.25">
      <c r="A1642" t="s">
        <v>385</v>
      </c>
      <c r="B1642">
        <v>2009</v>
      </c>
      <c r="C1642" t="s">
        <v>288</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COUNT(LifeExpectancyData[[#This Row],[Life expectancy]:[Schooling]])=19</f>
        <v>1</v>
      </c>
    </row>
    <row r="1643" spans="1:23" x14ac:dyDescent="0.25">
      <c r="A1643" t="s">
        <v>385</v>
      </c>
      <c r="B1643">
        <v>2008</v>
      </c>
      <c r="C1643" t="s">
        <v>288</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COUNT(LifeExpectancyData[[#This Row],[Life expectancy]:[Schooling]])=19</f>
        <v>1</v>
      </c>
    </row>
    <row r="1644" spans="1:23" x14ac:dyDescent="0.25">
      <c r="A1644" t="s">
        <v>385</v>
      </c>
      <c r="B1644">
        <v>2007</v>
      </c>
      <c r="C1644" t="s">
        <v>288</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COUNT(LifeExpectancyData[[#This Row],[Life expectancy]:[Schooling]])=19</f>
        <v>1</v>
      </c>
    </row>
    <row r="1645" spans="1:23" x14ac:dyDescent="0.25">
      <c r="A1645" t="s">
        <v>385</v>
      </c>
      <c r="B1645">
        <v>2006</v>
      </c>
      <c r="C1645" t="s">
        <v>288</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COUNT(LifeExpectancyData[[#This Row],[Life expectancy]:[Schooling]])=19</f>
        <v>1</v>
      </c>
    </row>
    <row r="1646" spans="1:23" x14ac:dyDescent="0.25">
      <c r="A1646" t="s">
        <v>385</v>
      </c>
      <c r="B1646">
        <v>2005</v>
      </c>
      <c r="C1646" t="s">
        <v>288</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COUNT(LifeExpectancyData[[#This Row],[Life expectancy]:[Schooling]])=19</f>
        <v>1</v>
      </c>
    </row>
    <row r="1647" spans="1:23" x14ac:dyDescent="0.25">
      <c r="A1647" t="s">
        <v>385</v>
      </c>
      <c r="B1647">
        <v>2004</v>
      </c>
      <c r="C1647" t="s">
        <v>288</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COUNT(LifeExpectancyData[[#This Row],[Life expectancy]:[Schooling]])=19</f>
        <v>1</v>
      </c>
    </row>
    <row r="1648" spans="1:23" x14ac:dyDescent="0.25">
      <c r="A1648" t="s">
        <v>385</v>
      </c>
      <c r="B1648">
        <v>2003</v>
      </c>
      <c r="C1648" t="s">
        <v>288</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COUNT(LifeExpectancyData[[#This Row],[Life expectancy]:[Schooling]])=19</f>
        <v>1</v>
      </c>
    </row>
    <row r="1649" spans="1:23" x14ac:dyDescent="0.25">
      <c r="A1649" t="s">
        <v>385</v>
      </c>
      <c r="B1649">
        <v>2002</v>
      </c>
      <c r="C1649" t="s">
        <v>288</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COUNT(LifeExpectancyData[[#This Row],[Life expectancy]:[Schooling]])=19</f>
        <v>0</v>
      </c>
    </row>
    <row r="1650" spans="1:23" x14ac:dyDescent="0.25">
      <c r="A1650" t="s">
        <v>385</v>
      </c>
      <c r="B1650">
        <v>2001</v>
      </c>
      <c r="C1650" t="s">
        <v>288</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COUNT(LifeExpectancyData[[#This Row],[Life expectancy]:[Schooling]])=19</f>
        <v>0</v>
      </c>
    </row>
    <row r="1651" spans="1:23" x14ac:dyDescent="0.25">
      <c r="A1651" t="s">
        <v>385</v>
      </c>
      <c r="B1651">
        <v>2000</v>
      </c>
      <c r="C1651" t="s">
        <v>288</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COUNT(LifeExpectancyData[[#This Row],[Life expectancy]:[Schooling]])=19</f>
        <v>0</v>
      </c>
    </row>
    <row r="1652" spans="1:23" x14ac:dyDescent="0.25">
      <c r="A1652" t="s">
        <v>386</v>
      </c>
      <c r="B1652">
        <v>2013</v>
      </c>
      <c r="C1652" t="s">
        <v>280</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COUNT(LifeExpectancyData[[#This Row],[Life expectancy]:[Schooling]])=19</f>
        <v>0</v>
      </c>
    </row>
    <row r="1653" spans="1:23" x14ac:dyDescent="0.25">
      <c r="A1653" t="s">
        <v>387</v>
      </c>
      <c r="B1653">
        <v>2015</v>
      </c>
      <c r="C1653" t="s">
        <v>280</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COUNT(LifeExpectancyData[[#This Row],[Life expectancy]:[Schooling]])=19</f>
        <v>0</v>
      </c>
    </row>
    <row r="1654" spans="1:23" x14ac:dyDescent="0.25">
      <c r="A1654" t="s">
        <v>387</v>
      </c>
      <c r="B1654">
        <v>2014</v>
      </c>
      <c r="C1654" t="s">
        <v>280</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COUNT(LifeExpectancyData[[#This Row],[Life expectancy]:[Schooling]])=19</f>
        <v>1</v>
      </c>
    </row>
    <row r="1655" spans="1:23" x14ac:dyDescent="0.25">
      <c r="A1655" t="s">
        <v>387</v>
      </c>
      <c r="B1655">
        <v>2013</v>
      </c>
      <c r="C1655" t="s">
        <v>280</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COUNT(LifeExpectancyData[[#This Row],[Life expectancy]:[Schooling]])=19</f>
        <v>1</v>
      </c>
    </row>
    <row r="1656" spans="1:23" x14ac:dyDescent="0.25">
      <c r="A1656" t="s">
        <v>387</v>
      </c>
      <c r="B1656">
        <v>2012</v>
      </c>
      <c r="C1656" t="s">
        <v>280</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COUNT(LifeExpectancyData[[#This Row],[Life expectancy]:[Schooling]])=19</f>
        <v>1</v>
      </c>
    </row>
    <row r="1657" spans="1:23" x14ac:dyDescent="0.25">
      <c r="A1657" t="s">
        <v>387</v>
      </c>
      <c r="B1657">
        <v>2011</v>
      </c>
      <c r="C1657" t="s">
        <v>280</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COUNT(LifeExpectancyData[[#This Row],[Life expectancy]:[Schooling]])=19</f>
        <v>1</v>
      </c>
    </row>
    <row r="1658" spans="1:23" x14ac:dyDescent="0.25">
      <c r="A1658" t="s">
        <v>387</v>
      </c>
      <c r="B1658">
        <v>2010</v>
      </c>
      <c r="C1658" t="s">
        <v>280</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COUNT(LifeExpectancyData[[#This Row],[Life expectancy]:[Schooling]])=19</f>
        <v>1</v>
      </c>
    </row>
    <row r="1659" spans="1:23" x14ac:dyDescent="0.25">
      <c r="A1659" t="s">
        <v>387</v>
      </c>
      <c r="B1659">
        <v>2009</v>
      </c>
      <c r="C1659" t="s">
        <v>280</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COUNT(LifeExpectancyData[[#This Row],[Life expectancy]:[Schooling]])=19</f>
        <v>1</v>
      </c>
    </row>
    <row r="1660" spans="1:23" x14ac:dyDescent="0.25">
      <c r="A1660" t="s">
        <v>387</v>
      </c>
      <c r="B1660">
        <v>2008</v>
      </c>
      <c r="C1660" t="s">
        <v>280</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COUNT(LifeExpectancyData[[#This Row],[Life expectancy]:[Schooling]])=19</f>
        <v>1</v>
      </c>
    </row>
    <row r="1661" spans="1:23" x14ac:dyDescent="0.25">
      <c r="A1661" t="s">
        <v>387</v>
      </c>
      <c r="B1661">
        <v>2007</v>
      </c>
      <c r="C1661" t="s">
        <v>280</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COUNT(LifeExpectancyData[[#This Row],[Life expectancy]:[Schooling]])=19</f>
        <v>1</v>
      </c>
    </row>
    <row r="1662" spans="1:23" x14ac:dyDescent="0.25">
      <c r="A1662" t="s">
        <v>387</v>
      </c>
      <c r="B1662">
        <v>2006</v>
      </c>
      <c r="C1662" t="s">
        <v>280</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COUNT(LifeExpectancyData[[#This Row],[Life expectancy]:[Schooling]])=19</f>
        <v>1</v>
      </c>
    </row>
    <row r="1663" spans="1:23" x14ac:dyDescent="0.25">
      <c r="A1663" t="s">
        <v>387</v>
      </c>
      <c r="B1663">
        <v>2005</v>
      </c>
      <c r="C1663" t="s">
        <v>280</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COUNT(LifeExpectancyData[[#This Row],[Life expectancy]:[Schooling]])=19</f>
        <v>1</v>
      </c>
    </row>
    <row r="1664" spans="1:23" x14ac:dyDescent="0.25">
      <c r="A1664" t="s">
        <v>387</v>
      </c>
      <c r="B1664">
        <v>2004</v>
      </c>
      <c r="C1664" t="s">
        <v>280</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COUNT(LifeExpectancyData[[#This Row],[Life expectancy]:[Schooling]])=19</f>
        <v>0</v>
      </c>
    </row>
    <row r="1665" spans="1:23" x14ac:dyDescent="0.25">
      <c r="A1665" t="s">
        <v>387</v>
      </c>
      <c r="B1665">
        <v>2003</v>
      </c>
      <c r="C1665" t="s">
        <v>280</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COUNT(LifeExpectancyData[[#This Row],[Life expectancy]:[Schooling]])=19</f>
        <v>0</v>
      </c>
    </row>
    <row r="1666" spans="1:23" x14ac:dyDescent="0.25">
      <c r="A1666" t="s">
        <v>387</v>
      </c>
      <c r="B1666">
        <v>2002</v>
      </c>
      <c r="C1666" t="s">
        <v>280</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COUNT(LifeExpectancyData[[#This Row],[Life expectancy]:[Schooling]])=19</f>
        <v>0</v>
      </c>
    </row>
    <row r="1667" spans="1:23" x14ac:dyDescent="0.25">
      <c r="A1667" t="s">
        <v>387</v>
      </c>
      <c r="B1667">
        <v>2001</v>
      </c>
      <c r="C1667" t="s">
        <v>280</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COUNT(LifeExpectancyData[[#This Row],[Life expectancy]:[Schooling]])=19</f>
        <v>0</v>
      </c>
    </row>
    <row r="1668" spans="1:23" x14ac:dyDescent="0.25">
      <c r="A1668" t="s">
        <v>387</v>
      </c>
      <c r="B1668">
        <v>2000</v>
      </c>
      <c r="C1668" t="s">
        <v>280</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COUNT(LifeExpectancyData[[#This Row],[Life expectancy]:[Schooling]])=19</f>
        <v>0</v>
      </c>
    </row>
    <row r="1669" spans="1:23" x14ac:dyDescent="0.25">
      <c r="A1669" t="s">
        <v>388</v>
      </c>
      <c r="B1669">
        <v>2015</v>
      </c>
      <c r="C1669" t="s">
        <v>280</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COUNT(LifeExpectancyData[[#This Row],[Life expectancy]:[Schooling]])=19</f>
        <v>0</v>
      </c>
    </row>
    <row r="1670" spans="1:23" x14ac:dyDescent="0.25">
      <c r="A1670" t="s">
        <v>388</v>
      </c>
      <c r="B1670">
        <v>2014</v>
      </c>
      <c r="C1670" t="s">
        <v>280</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COUNT(LifeExpectancyData[[#This Row],[Life expectancy]:[Schooling]])=19</f>
        <v>1</v>
      </c>
    </row>
    <row r="1671" spans="1:23" x14ac:dyDescent="0.25">
      <c r="A1671" t="s">
        <v>388</v>
      </c>
      <c r="B1671">
        <v>2013</v>
      </c>
      <c r="C1671" t="s">
        <v>280</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COUNT(LifeExpectancyData[[#This Row],[Life expectancy]:[Schooling]])=19</f>
        <v>1</v>
      </c>
    </row>
    <row r="1672" spans="1:23" x14ac:dyDescent="0.25">
      <c r="A1672" t="s">
        <v>388</v>
      </c>
      <c r="B1672">
        <v>2012</v>
      </c>
      <c r="C1672" t="s">
        <v>280</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COUNT(LifeExpectancyData[[#This Row],[Life expectancy]:[Schooling]])=19</f>
        <v>1</v>
      </c>
    </row>
    <row r="1673" spans="1:23" x14ac:dyDescent="0.25">
      <c r="A1673" t="s">
        <v>388</v>
      </c>
      <c r="B1673">
        <v>2011</v>
      </c>
      <c r="C1673" t="s">
        <v>280</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COUNT(LifeExpectancyData[[#This Row],[Life expectancy]:[Schooling]])=19</f>
        <v>1</v>
      </c>
    </row>
    <row r="1674" spans="1:23" x14ac:dyDescent="0.25">
      <c r="A1674" t="s">
        <v>388</v>
      </c>
      <c r="B1674">
        <v>2010</v>
      </c>
      <c r="C1674" t="s">
        <v>280</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COUNT(LifeExpectancyData[[#This Row],[Life expectancy]:[Schooling]])=19</f>
        <v>1</v>
      </c>
    </row>
    <row r="1675" spans="1:23" x14ac:dyDescent="0.25">
      <c r="A1675" t="s">
        <v>388</v>
      </c>
      <c r="B1675">
        <v>2009</v>
      </c>
      <c r="C1675" t="s">
        <v>280</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COUNT(LifeExpectancyData[[#This Row],[Life expectancy]:[Schooling]])=19</f>
        <v>1</v>
      </c>
    </row>
    <row r="1676" spans="1:23" x14ac:dyDescent="0.25">
      <c r="A1676" t="s">
        <v>388</v>
      </c>
      <c r="B1676">
        <v>2008</v>
      </c>
      <c r="C1676" t="s">
        <v>280</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COUNT(LifeExpectancyData[[#This Row],[Life expectancy]:[Schooling]])=19</f>
        <v>1</v>
      </c>
    </row>
    <row r="1677" spans="1:23" x14ac:dyDescent="0.25">
      <c r="A1677" t="s">
        <v>388</v>
      </c>
      <c r="B1677">
        <v>2007</v>
      </c>
      <c r="C1677" t="s">
        <v>280</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COUNT(LifeExpectancyData[[#This Row],[Life expectancy]:[Schooling]])=19</f>
        <v>1</v>
      </c>
    </row>
    <row r="1678" spans="1:23" x14ac:dyDescent="0.25">
      <c r="A1678" t="s">
        <v>388</v>
      </c>
      <c r="B1678">
        <v>2006</v>
      </c>
      <c r="C1678" t="s">
        <v>280</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COUNT(LifeExpectancyData[[#This Row],[Life expectancy]:[Schooling]])=19</f>
        <v>1</v>
      </c>
    </row>
    <row r="1679" spans="1:23" x14ac:dyDescent="0.25">
      <c r="A1679" t="s">
        <v>388</v>
      </c>
      <c r="B1679">
        <v>2005</v>
      </c>
      <c r="C1679" t="s">
        <v>280</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COUNT(LifeExpectancyData[[#This Row],[Life expectancy]:[Schooling]])=19</f>
        <v>1</v>
      </c>
    </row>
    <row r="1680" spans="1:23" x14ac:dyDescent="0.25">
      <c r="A1680" t="s">
        <v>388</v>
      </c>
      <c r="B1680">
        <v>2004</v>
      </c>
      <c r="C1680" t="s">
        <v>280</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COUNT(LifeExpectancyData[[#This Row],[Life expectancy]:[Schooling]])=19</f>
        <v>1</v>
      </c>
    </row>
    <row r="1681" spans="1:23" x14ac:dyDescent="0.25">
      <c r="A1681" t="s">
        <v>388</v>
      </c>
      <c r="B1681">
        <v>2003</v>
      </c>
      <c r="C1681" t="s">
        <v>280</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COUNT(LifeExpectancyData[[#This Row],[Life expectancy]:[Schooling]])=19</f>
        <v>1</v>
      </c>
    </row>
    <row r="1682" spans="1:23" x14ac:dyDescent="0.25">
      <c r="A1682" t="s">
        <v>388</v>
      </c>
      <c r="B1682">
        <v>2002</v>
      </c>
      <c r="C1682" t="s">
        <v>280</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COUNT(LifeExpectancyData[[#This Row],[Life expectancy]:[Schooling]])=19</f>
        <v>1</v>
      </c>
    </row>
    <row r="1683" spans="1:23" x14ac:dyDescent="0.25">
      <c r="A1683" t="s">
        <v>388</v>
      </c>
      <c r="B1683">
        <v>2001</v>
      </c>
      <c r="C1683" t="s">
        <v>280</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COUNT(LifeExpectancyData[[#This Row],[Life expectancy]:[Schooling]])=19</f>
        <v>1</v>
      </c>
    </row>
    <row r="1684" spans="1:23" x14ac:dyDescent="0.25">
      <c r="A1684" t="s">
        <v>388</v>
      </c>
      <c r="B1684">
        <v>2000</v>
      </c>
      <c r="C1684" t="s">
        <v>280</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COUNT(LifeExpectancyData[[#This Row],[Life expectancy]:[Schooling]])=19</f>
        <v>1</v>
      </c>
    </row>
    <row r="1685" spans="1:23" x14ac:dyDescent="0.25">
      <c r="A1685" t="s">
        <v>389</v>
      </c>
      <c r="B1685">
        <v>2015</v>
      </c>
      <c r="C1685" t="s">
        <v>280</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COUNT(LifeExpectancyData[[#This Row],[Life expectancy]:[Schooling]])=19</f>
        <v>0</v>
      </c>
    </row>
    <row r="1686" spans="1:23" x14ac:dyDescent="0.25">
      <c r="A1686" t="s">
        <v>389</v>
      </c>
      <c r="B1686">
        <v>2014</v>
      </c>
      <c r="C1686" t="s">
        <v>280</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COUNT(LifeExpectancyData[[#This Row],[Life expectancy]:[Schooling]])=19</f>
        <v>1</v>
      </c>
    </row>
    <row r="1687" spans="1:23" x14ac:dyDescent="0.25">
      <c r="A1687" t="s">
        <v>389</v>
      </c>
      <c r="B1687">
        <v>2013</v>
      </c>
      <c r="C1687" t="s">
        <v>280</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COUNT(LifeExpectancyData[[#This Row],[Life expectancy]:[Schooling]])=19</f>
        <v>1</v>
      </c>
    </row>
    <row r="1688" spans="1:23" x14ac:dyDescent="0.25">
      <c r="A1688" t="s">
        <v>389</v>
      </c>
      <c r="B1688">
        <v>2012</v>
      </c>
      <c r="C1688" t="s">
        <v>280</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COUNT(LifeExpectancyData[[#This Row],[Life expectancy]:[Schooling]])=19</f>
        <v>1</v>
      </c>
    </row>
    <row r="1689" spans="1:23" x14ac:dyDescent="0.25">
      <c r="A1689" t="s">
        <v>389</v>
      </c>
      <c r="B1689">
        <v>2011</v>
      </c>
      <c r="C1689" t="s">
        <v>280</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COUNT(LifeExpectancyData[[#This Row],[Life expectancy]:[Schooling]])=19</f>
        <v>1</v>
      </c>
    </row>
    <row r="1690" spans="1:23" x14ac:dyDescent="0.25">
      <c r="A1690" t="s">
        <v>389</v>
      </c>
      <c r="B1690">
        <v>2010</v>
      </c>
      <c r="C1690" t="s">
        <v>280</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COUNT(LifeExpectancyData[[#This Row],[Life expectancy]:[Schooling]])=19</f>
        <v>1</v>
      </c>
    </row>
    <row r="1691" spans="1:23" x14ac:dyDescent="0.25">
      <c r="A1691" t="s">
        <v>389</v>
      </c>
      <c r="B1691">
        <v>2009</v>
      </c>
      <c r="C1691" t="s">
        <v>280</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COUNT(LifeExpectancyData[[#This Row],[Life expectancy]:[Schooling]])=19</f>
        <v>1</v>
      </c>
    </row>
    <row r="1692" spans="1:23" x14ac:dyDescent="0.25">
      <c r="A1692" t="s">
        <v>389</v>
      </c>
      <c r="B1692">
        <v>2008</v>
      </c>
      <c r="C1692" t="s">
        <v>280</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COUNT(LifeExpectancyData[[#This Row],[Life expectancy]:[Schooling]])=19</f>
        <v>1</v>
      </c>
    </row>
    <row r="1693" spans="1:23" x14ac:dyDescent="0.25">
      <c r="A1693" t="s">
        <v>389</v>
      </c>
      <c r="B1693">
        <v>2007</v>
      </c>
      <c r="C1693" t="s">
        <v>280</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COUNT(LifeExpectancyData[[#This Row],[Life expectancy]:[Schooling]])=19</f>
        <v>1</v>
      </c>
    </row>
    <row r="1694" spans="1:23" x14ac:dyDescent="0.25">
      <c r="A1694" t="s">
        <v>389</v>
      </c>
      <c r="B1694">
        <v>2006</v>
      </c>
      <c r="C1694" t="s">
        <v>280</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COUNT(LifeExpectancyData[[#This Row],[Life expectancy]:[Schooling]])=19</f>
        <v>1</v>
      </c>
    </row>
    <row r="1695" spans="1:23" x14ac:dyDescent="0.25">
      <c r="A1695" t="s">
        <v>389</v>
      </c>
      <c r="B1695">
        <v>2005</v>
      </c>
      <c r="C1695" t="s">
        <v>280</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COUNT(LifeExpectancyData[[#This Row],[Life expectancy]:[Schooling]])=19</f>
        <v>1</v>
      </c>
    </row>
    <row r="1696" spans="1:23" x14ac:dyDescent="0.25">
      <c r="A1696" t="s">
        <v>389</v>
      </c>
      <c r="B1696">
        <v>2004</v>
      </c>
      <c r="C1696" t="s">
        <v>280</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COUNT(LifeExpectancyData[[#This Row],[Life expectancy]:[Schooling]])=19</f>
        <v>1</v>
      </c>
    </row>
    <row r="1697" spans="1:23" x14ac:dyDescent="0.25">
      <c r="A1697" t="s">
        <v>389</v>
      </c>
      <c r="B1697">
        <v>2003</v>
      </c>
      <c r="C1697" t="s">
        <v>280</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COUNT(LifeExpectancyData[[#This Row],[Life expectancy]:[Schooling]])=19</f>
        <v>1</v>
      </c>
    </row>
    <row r="1698" spans="1:23" x14ac:dyDescent="0.25">
      <c r="A1698" t="s">
        <v>389</v>
      </c>
      <c r="B1698">
        <v>2002</v>
      </c>
      <c r="C1698" t="s">
        <v>280</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COUNT(LifeExpectancyData[[#This Row],[Life expectancy]:[Schooling]])=19</f>
        <v>1</v>
      </c>
    </row>
    <row r="1699" spans="1:23" x14ac:dyDescent="0.25">
      <c r="A1699" t="s">
        <v>389</v>
      </c>
      <c r="B1699">
        <v>2001</v>
      </c>
      <c r="C1699" t="s">
        <v>280</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COUNT(LifeExpectancyData[[#This Row],[Life expectancy]:[Schooling]])=19</f>
        <v>1</v>
      </c>
    </row>
    <row r="1700" spans="1:23" x14ac:dyDescent="0.25">
      <c r="A1700" t="s">
        <v>389</v>
      </c>
      <c r="B1700">
        <v>2000</v>
      </c>
      <c r="C1700" t="s">
        <v>280</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COUNT(LifeExpectancyData[[#This Row],[Life expectancy]:[Schooling]])=19</f>
        <v>1</v>
      </c>
    </row>
    <row r="1701" spans="1:23" x14ac:dyDescent="0.25">
      <c r="A1701" t="s">
        <v>390</v>
      </c>
      <c r="B1701">
        <v>2015</v>
      </c>
      <c r="C1701" t="s">
        <v>280</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COUNT(LifeExpectancyData[[#This Row],[Life expectancy]:[Schooling]])=19</f>
        <v>0</v>
      </c>
    </row>
    <row r="1702" spans="1:23" x14ac:dyDescent="0.25">
      <c r="A1702" t="s">
        <v>390</v>
      </c>
      <c r="B1702">
        <v>2014</v>
      </c>
      <c r="C1702" t="s">
        <v>280</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COUNT(LifeExpectancyData[[#This Row],[Life expectancy]:[Schooling]])=19</f>
        <v>0</v>
      </c>
    </row>
    <row r="1703" spans="1:23" x14ac:dyDescent="0.25">
      <c r="A1703" t="s">
        <v>390</v>
      </c>
      <c r="B1703">
        <v>2013</v>
      </c>
      <c r="C1703" t="s">
        <v>280</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COUNT(LifeExpectancyData[[#This Row],[Life expectancy]:[Schooling]])=19</f>
        <v>0</v>
      </c>
    </row>
    <row r="1704" spans="1:23" x14ac:dyDescent="0.25">
      <c r="A1704" t="s">
        <v>390</v>
      </c>
      <c r="B1704">
        <v>2012</v>
      </c>
      <c r="C1704" t="s">
        <v>280</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COUNT(LifeExpectancyData[[#This Row],[Life expectancy]:[Schooling]])=19</f>
        <v>0</v>
      </c>
    </row>
    <row r="1705" spans="1:23" x14ac:dyDescent="0.25">
      <c r="A1705" t="s">
        <v>390</v>
      </c>
      <c r="B1705">
        <v>2011</v>
      </c>
      <c r="C1705" t="s">
        <v>280</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COUNT(LifeExpectancyData[[#This Row],[Life expectancy]:[Schooling]])=19</f>
        <v>0</v>
      </c>
    </row>
    <row r="1706" spans="1:23" x14ac:dyDescent="0.25">
      <c r="A1706" t="s">
        <v>390</v>
      </c>
      <c r="B1706">
        <v>2010</v>
      </c>
      <c r="C1706" t="s">
        <v>280</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COUNT(LifeExpectancyData[[#This Row],[Life expectancy]:[Schooling]])=19</f>
        <v>0</v>
      </c>
    </row>
    <row r="1707" spans="1:23" x14ac:dyDescent="0.25">
      <c r="A1707" t="s">
        <v>390</v>
      </c>
      <c r="B1707">
        <v>2009</v>
      </c>
      <c r="C1707" t="s">
        <v>280</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COUNT(LifeExpectancyData[[#This Row],[Life expectancy]:[Schooling]])=19</f>
        <v>0</v>
      </c>
    </row>
    <row r="1708" spans="1:23" x14ac:dyDescent="0.25">
      <c r="A1708" t="s">
        <v>390</v>
      </c>
      <c r="B1708">
        <v>2008</v>
      </c>
      <c r="C1708" t="s">
        <v>280</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COUNT(LifeExpectancyData[[#This Row],[Life expectancy]:[Schooling]])=19</f>
        <v>0</v>
      </c>
    </row>
    <row r="1709" spans="1:23" x14ac:dyDescent="0.25">
      <c r="A1709" t="s">
        <v>390</v>
      </c>
      <c r="B1709">
        <v>2007</v>
      </c>
      <c r="C1709" t="s">
        <v>280</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COUNT(LifeExpectancyData[[#This Row],[Life expectancy]:[Schooling]])=19</f>
        <v>0</v>
      </c>
    </row>
    <row r="1710" spans="1:23" x14ac:dyDescent="0.25">
      <c r="A1710" t="s">
        <v>390</v>
      </c>
      <c r="B1710">
        <v>2006</v>
      </c>
      <c r="C1710" t="s">
        <v>280</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COUNT(LifeExpectancyData[[#This Row],[Life expectancy]:[Schooling]])=19</f>
        <v>0</v>
      </c>
    </row>
    <row r="1711" spans="1:23" x14ac:dyDescent="0.25">
      <c r="A1711" t="s">
        <v>390</v>
      </c>
      <c r="B1711">
        <v>2005</v>
      </c>
      <c r="C1711" t="s">
        <v>280</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COUNT(LifeExpectancyData[[#This Row],[Life expectancy]:[Schooling]])=19</f>
        <v>0</v>
      </c>
    </row>
    <row r="1712" spans="1:23" x14ac:dyDescent="0.25">
      <c r="A1712" t="s">
        <v>390</v>
      </c>
      <c r="B1712">
        <v>2004</v>
      </c>
      <c r="C1712" t="s">
        <v>280</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COUNT(LifeExpectancyData[[#This Row],[Life expectancy]:[Schooling]])=19</f>
        <v>0</v>
      </c>
    </row>
    <row r="1713" spans="1:23" x14ac:dyDescent="0.25">
      <c r="A1713" t="s">
        <v>390</v>
      </c>
      <c r="B1713">
        <v>2003</v>
      </c>
      <c r="C1713" t="s">
        <v>280</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COUNT(LifeExpectancyData[[#This Row],[Life expectancy]:[Schooling]])=19</f>
        <v>0</v>
      </c>
    </row>
    <row r="1714" spans="1:23" x14ac:dyDescent="0.25">
      <c r="A1714" t="s">
        <v>390</v>
      </c>
      <c r="B1714">
        <v>2002</v>
      </c>
      <c r="C1714" t="s">
        <v>280</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COUNT(LifeExpectancyData[[#This Row],[Life expectancy]:[Schooling]])=19</f>
        <v>0</v>
      </c>
    </row>
    <row r="1715" spans="1:23" x14ac:dyDescent="0.25">
      <c r="A1715" t="s">
        <v>390</v>
      </c>
      <c r="B1715">
        <v>2001</v>
      </c>
      <c r="C1715" t="s">
        <v>280</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COUNT(LifeExpectancyData[[#This Row],[Life expectancy]:[Schooling]])=19</f>
        <v>0</v>
      </c>
    </row>
    <row r="1716" spans="1:23" x14ac:dyDescent="0.25">
      <c r="A1716" t="s">
        <v>390</v>
      </c>
      <c r="B1716">
        <v>2000</v>
      </c>
      <c r="C1716" t="s">
        <v>280</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COUNT(LifeExpectancyData[[#This Row],[Life expectancy]:[Schooling]])=19</f>
        <v>0</v>
      </c>
    </row>
    <row r="1717" spans="1:23" x14ac:dyDescent="0.25">
      <c r="A1717" t="s">
        <v>391</v>
      </c>
      <c r="B1717">
        <v>2013</v>
      </c>
      <c r="C1717" t="s">
        <v>280</v>
      </c>
      <c r="F1717">
        <v>0</v>
      </c>
      <c r="G1717">
        <v>0.01</v>
      </c>
      <c r="H1717">
        <v>0</v>
      </c>
      <c r="I1717">
        <v>99</v>
      </c>
      <c r="J1717">
        <v>0</v>
      </c>
      <c r="L1717">
        <v>0</v>
      </c>
      <c r="M1717">
        <v>99</v>
      </c>
      <c r="N1717">
        <v>4.3</v>
      </c>
      <c r="O1717">
        <v>99</v>
      </c>
      <c r="P1717">
        <v>0.1</v>
      </c>
      <c r="W1717" t="b">
        <f>COUNT(LifeExpectancyData[[#This Row],[Life expectancy]:[Schooling]])=19</f>
        <v>0</v>
      </c>
    </row>
    <row r="1718" spans="1:23" x14ac:dyDescent="0.25">
      <c r="A1718" t="s">
        <v>392</v>
      </c>
      <c r="B1718">
        <v>2015</v>
      </c>
      <c r="C1718" t="s">
        <v>280</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COUNT(LifeExpectancyData[[#This Row],[Life expectancy]:[Schooling]])=19</f>
        <v>0</v>
      </c>
    </row>
    <row r="1719" spans="1:23" x14ac:dyDescent="0.25">
      <c r="A1719" t="s">
        <v>392</v>
      </c>
      <c r="B1719">
        <v>2014</v>
      </c>
      <c r="C1719" t="s">
        <v>280</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COUNT(LifeExpectancyData[[#This Row],[Life expectancy]:[Schooling]])=19</f>
        <v>1</v>
      </c>
    </row>
    <row r="1720" spans="1:23" x14ac:dyDescent="0.25">
      <c r="A1720" t="s">
        <v>392</v>
      </c>
      <c r="B1720">
        <v>2013</v>
      </c>
      <c r="C1720" t="s">
        <v>280</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COUNT(LifeExpectancyData[[#This Row],[Life expectancy]:[Schooling]])=19</f>
        <v>1</v>
      </c>
    </row>
    <row r="1721" spans="1:23" x14ac:dyDescent="0.25">
      <c r="A1721" t="s">
        <v>392</v>
      </c>
      <c r="B1721">
        <v>2012</v>
      </c>
      <c r="C1721" t="s">
        <v>280</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COUNT(LifeExpectancyData[[#This Row],[Life expectancy]:[Schooling]])=19</f>
        <v>1</v>
      </c>
    </row>
    <row r="1722" spans="1:23" x14ac:dyDescent="0.25">
      <c r="A1722" t="s">
        <v>392</v>
      </c>
      <c r="B1722">
        <v>2011</v>
      </c>
      <c r="C1722" t="s">
        <v>280</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COUNT(LifeExpectancyData[[#This Row],[Life expectancy]:[Schooling]])=19</f>
        <v>1</v>
      </c>
    </row>
    <row r="1723" spans="1:23" x14ac:dyDescent="0.25">
      <c r="A1723" t="s">
        <v>392</v>
      </c>
      <c r="B1723">
        <v>2010</v>
      </c>
      <c r="C1723" t="s">
        <v>280</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COUNT(LifeExpectancyData[[#This Row],[Life expectancy]:[Schooling]])=19</f>
        <v>1</v>
      </c>
    </row>
    <row r="1724" spans="1:23" x14ac:dyDescent="0.25">
      <c r="A1724" t="s">
        <v>392</v>
      </c>
      <c r="B1724">
        <v>2009</v>
      </c>
      <c r="C1724" t="s">
        <v>280</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COUNT(LifeExpectancyData[[#This Row],[Life expectancy]:[Schooling]])=19</f>
        <v>1</v>
      </c>
    </row>
    <row r="1725" spans="1:23" x14ac:dyDescent="0.25">
      <c r="A1725" t="s">
        <v>392</v>
      </c>
      <c r="B1725">
        <v>2008</v>
      </c>
      <c r="C1725" t="s">
        <v>280</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COUNT(LifeExpectancyData[[#This Row],[Life expectancy]:[Schooling]])=19</f>
        <v>1</v>
      </c>
    </row>
    <row r="1726" spans="1:23" x14ac:dyDescent="0.25">
      <c r="A1726" t="s">
        <v>392</v>
      </c>
      <c r="B1726">
        <v>2007</v>
      </c>
      <c r="C1726" t="s">
        <v>280</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COUNT(LifeExpectancyData[[#This Row],[Life expectancy]:[Schooling]])=19</f>
        <v>1</v>
      </c>
    </row>
    <row r="1727" spans="1:23" x14ac:dyDescent="0.25">
      <c r="A1727" t="s">
        <v>392</v>
      </c>
      <c r="B1727">
        <v>2006</v>
      </c>
      <c r="C1727" t="s">
        <v>280</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COUNT(LifeExpectancyData[[#This Row],[Life expectancy]:[Schooling]])=19</f>
        <v>1</v>
      </c>
    </row>
    <row r="1728" spans="1:23" x14ac:dyDescent="0.25">
      <c r="A1728" t="s">
        <v>392</v>
      </c>
      <c r="B1728">
        <v>2005</v>
      </c>
      <c r="C1728" t="s">
        <v>280</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COUNT(LifeExpectancyData[[#This Row],[Life expectancy]:[Schooling]])=19</f>
        <v>1</v>
      </c>
    </row>
    <row r="1729" spans="1:23" x14ac:dyDescent="0.25">
      <c r="A1729" t="s">
        <v>392</v>
      </c>
      <c r="B1729">
        <v>2004</v>
      </c>
      <c r="C1729" t="s">
        <v>280</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COUNT(LifeExpectancyData[[#This Row],[Life expectancy]:[Schooling]])=19</f>
        <v>1</v>
      </c>
    </row>
    <row r="1730" spans="1:23" x14ac:dyDescent="0.25">
      <c r="A1730" t="s">
        <v>392</v>
      </c>
      <c r="B1730">
        <v>2003</v>
      </c>
      <c r="C1730" t="s">
        <v>280</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COUNT(LifeExpectancyData[[#This Row],[Life expectancy]:[Schooling]])=19</f>
        <v>1</v>
      </c>
    </row>
    <row r="1731" spans="1:23" x14ac:dyDescent="0.25">
      <c r="A1731" t="s">
        <v>392</v>
      </c>
      <c r="B1731">
        <v>2002</v>
      </c>
      <c r="C1731" t="s">
        <v>280</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COUNT(LifeExpectancyData[[#This Row],[Life expectancy]:[Schooling]])=19</f>
        <v>1</v>
      </c>
    </row>
    <row r="1732" spans="1:23" x14ac:dyDescent="0.25">
      <c r="A1732" t="s">
        <v>392</v>
      </c>
      <c r="B1732">
        <v>2001</v>
      </c>
      <c r="C1732" t="s">
        <v>280</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COUNT(LifeExpectancyData[[#This Row],[Life expectancy]:[Schooling]])=19</f>
        <v>1</v>
      </c>
    </row>
    <row r="1733" spans="1:23" x14ac:dyDescent="0.25">
      <c r="A1733" t="s">
        <v>392</v>
      </c>
      <c r="B1733">
        <v>2000</v>
      </c>
      <c r="C1733" t="s">
        <v>280</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COUNT(LifeExpectancyData[[#This Row],[Life expectancy]:[Schooling]])=19</f>
        <v>1</v>
      </c>
    </row>
    <row r="1734" spans="1:23" x14ac:dyDescent="0.25">
      <c r="A1734" t="s">
        <v>393</v>
      </c>
      <c r="B1734">
        <v>2015</v>
      </c>
      <c r="C1734" t="s">
        <v>280</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COUNT(LifeExpectancyData[[#This Row],[Life expectancy]:[Schooling]])=19</f>
        <v>0</v>
      </c>
    </row>
    <row r="1735" spans="1:23" x14ac:dyDescent="0.25">
      <c r="A1735" t="s">
        <v>393</v>
      </c>
      <c r="B1735">
        <v>2014</v>
      </c>
      <c r="C1735" t="s">
        <v>280</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COUNT(LifeExpectancyData[[#This Row],[Life expectancy]:[Schooling]])=19</f>
        <v>1</v>
      </c>
    </row>
    <row r="1736" spans="1:23" x14ac:dyDescent="0.25">
      <c r="A1736" t="s">
        <v>393</v>
      </c>
      <c r="B1736">
        <v>2013</v>
      </c>
      <c r="C1736" t="s">
        <v>280</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COUNT(LifeExpectancyData[[#This Row],[Life expectancy]:[Schooling]])=19</f>
        <v>1</v>
      </c>
    </row>
    <row r="1737" spans="1:23" x14ac:dyDescent="0.25">
      <c r="A1737" t="s">
        <v>393</v>
      </c>
      <c r="B1737">
        <v>2012</v>
      </c>
      <c r="C1737" t="s">
        <v>280</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COUNT(LifeExpectancyData[[#This Row],[Life expectancy]:[Schooling]])=19</f>
        <v>1</v>
      </c>
    </row>
    <row r="1738" spans="1:23" x14ac:dyDescent="0.25">
      <c r="A1738" t="s">
        <v>393</v>
      </c>
      <c r="B1738">
        <v>2011</v>
      </c>
      <c r="C1738" t="s">
        <v>280</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COUNT(LifeExpectancyData[[#This Row],[Life expectancy]:[Schooling]])=19</f>
        <v>1</v>
      </c>
    </row>
    <row r="1739" spans="1:23" x14ac:dyDescent="0.25">
      <c r="A1739" t="s">
        <v>393</v>
      </c>
      <c r="B1739">
        <v>2010</v>
      </c>
      <c r="C1739" t="s">
        <v>280</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COUNT(LifeExpectancyData[[#This Row],[Life expectancy]:[Schooling]])=19</f>
        <v>1</v>
      </c>
    </row>
    <row r="1740" spans="1:23" x14ac:dyDescent="0.25">
      <c r="A1740" t="s">
        <v>393</v>
      </c>
      <c r="B1740">
        <v>2009</v>
      </c>
      <c r="C1740" t="s">
        <v>280</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COUNT(LifeExpectancyData[[#This Row],[Life expectancy]:[Schooling]])=19</f>
        <v>1</v>
      </c>
    </row>
    <row r="1741" spans="1:23" x14ac:dyDescent="0.25">
      <c r="A1741" t="s">
        <v>393</v>
      </c>
      <c r="B1741">
        <v>2008</v>
      </c>
      <c r="C1741" t="s">
        <v>280</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COUNT(LifeExpectancyData[[#This Row],[Life expectancy]:[Schooling]])=19</f>
        <v>1</v>
      </c>
    </row>
    <row r="1742" spans="1:23" x14ac:dyDescent="0.25">
      <c r="A1742" t="s">
        <v>393</v>
      </c>
      <c r="B1742">
        <v>2007</v>
      </c>
      <c r="C1742" t="s">
        <v>280</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COUNT(LifeExpectancyData[[#This Row],[Life expectancy]:[Schooling]])=19</f>
        <v>1</v>
      </c>
    </row>
    <row r="1743" spans="1:23" x14ac:dyDescent="0.25">
      <c r="A1743" t="s">
        <v>393</v>
      </c>
      <c r="B1743">
        <v>2006</v>
      </c>
      <c r="C1743" t="s">
        <v>280</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COUNT(LifeExpectancyData[[#This Row],[Life expectancy]:[Schooling]])=19</f>
        <v>1</v>
      </c>
    </row>
    <row r="1744" spans="1:23" x14ac:dyDescent="0.25">
      <c r="A1744" t="s">
        <v>393</v>
      </c>
      <c r="B1744">
        <v>2005</v>
      </c>
      <c r="C1744" t="s">
        <v>280</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COUNT(LifeExpectancyData[[#This Row],[Life expectancy]:[Schooling]])=19</f>
        <v>0</v>
      </c>
    </row>
    <row r="1745" spans="1:23" x14ac:dyDescent="0.25">
      <c r="A1745" t="s">
        <v>393</v>
      </c>
      <c r="B1745">
        <v>2004</v>
      </c>
      <c r="C1745" t="s">
        <v>280</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COUNT(LifeExpectancyData[[#This Row],[Life expectancy]:[Schooling]])=19</f>
        <v>0</v>
      </c>
    </row>
    <row r="1746" spans="1:23" x14ac:dyDescent="0.25">
      <c r="A1746" t="s">
        <v>393</v>
      </c>
      <c r="B1746">
        <v>2003</v>
      </c>
      <c r="C1746" t="s">
        <v>280</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COUNT(LifeExpectancyData[[#This Row],[Life expectancy]:[Schooling]])=19</f>
        <v>0</v>
      </c>
    </row>
    <row r="1747" spans="1:23" x14ac:dyDescent="0.25">
      <c r="A1747" t="s">
        <v>393</v>
      </c>
      <c r="B1747">
        <v>2002</v>
      </c>
      <c r="C1747" t="s">
        <v>280</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COUNT(LifeExpectancyData[[#This Row],[Life expectancy]:[Schooling]])=19</f>
        <v>0</v>
      </c>
    </row>
    <row r="1748" spans="1:23" x14ac:dyDescent="0.25">
      <c r="A1748" t="s">
        <v>393</v>
      </c>
      <c r="B1748">
        <v>2001</v>
      </c>
      <c r="C1748" t="s">
        <v>280</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COUNT(LifeExpectancyData[[#This Row],[Life expectancy]:[Schooling]])=19</f>
        <v>0</v>
      </c>
    </row>
    <row r="1749" spans="1:23" x14ac:dyDescent="0.25">
      <c r="A1749" t="s">
        <v>393</v>
      </c>
      <c r="B1749">
        <v>2000</v>
      </c>
      <c r="C1749" t="s">
        <v>280</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COUNT(LifeExpectancyData[[#This Row],[Life expectancy]:[Schooling]])=19</f>
        <v>0</v>
      </c>
    </row>
    <row r="1750" spans="1:23" x14ac:dyDescent="0.25">
      <c r="A1750" t="s">
        <v>394</v>
      </c>
      <c r="B1750">
        <v>2015</v>
      </c>
      <c r="C1750" t="s">
        <v>280</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COUNT(LifeExpectancyData[[#This Row],[Life expectancy]:[Schooling]])=19</f>
        <v>0</v>
      </c>
    </row>
    <row r="1751" spans="1:23" x14ac:dyDescent="0.25">
      <c r="A1751" t="s">
        <v>394</v>
      </c>
      <c r="B1751">
        <v>2014</v>
      </c>
      <c r="C1751" t="s">
        <v>280</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COUNT(LifeExpectancyData[[#This Row],[Life expectancy]:[Schooling]])=19</f>
        <v>1</v>
      </c>
    </row>
    <row r="1752" spans="1:23" x14ac:dyDescent="0.25">
      <c r="A1752" t="s">
        <v>394</v>
      </c>
      <c r="B1752">
        <v>2013</v>
      </c>
      <c r="C1752" t="s">
        <v>280</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COUNT(LifeExpectancyData[[#This Row],[Life expectancy]:[Schooling]])=19</f>
        <v>1</v>
      </c>
    </row>
    <row r="1753" spans="1:23" x14ac:dyDescent="0.25">
      <c r="A1753" t="s">
        <v>394</v>
      </c>
      <c r="B1753">
        <v>2012</v>
      </c>
      <c r="C1753" t="s">
        <v>280</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COUNT(LifeExpectancyData[[#This Row],[Life expectancy]:[Schooling]])=19</f>
        <v>1</v>
      </c>
    </row>
    <row r="1754" spans="1:23" x14ac:dyDescent="0.25">
      <c r="A1754" t="s">
        <v>394</v>
      </c>
      <c r="B1754">
        <v>2011</v>
      </c>
      <c r="C1754" t="s">
        <v>280</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COUNT(LifeExpectancyData[[#This Row],[Life expectancy]:[Schooling]])=19</f>
        <v>1</v>
      </c>
    </row>
    <row r="1755" spans="1:23" x14ac:dyDescent="0.25">
      <c r="A1755" t="s">
        <v>394</v>
      </c>
      <c r="B1755">
        <v>2010</v>
      </c>
      <c r="C1755" t="s">
        <v>280</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COUNT(LifeExpectancyData[[#This Row],[Life expectancy]:[Schooling]])=19</f>
        <v>1</v>
      </c>
    </row>
    <row r="1756" spans="1:23" x14ac:dyDescent="0.25">
      <c r="A1756" t="s">
        <v>394</v>
      </c>
      <c r="B1756">
        <v>2009</v>
      </c>
      <c r="C1756" t="s">
        <v>280</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COUNT(LifeExpectancyData[[#This Row],[Life expectancy]:[Schooling]])=19</f>
        <v>1</v>
      </c>
    </row>
    <row r="1757" spans="1:23" x14ac:dyDescent="0.25">
      <c r="A1757" t="s">
        <v>394</v>
      </c>
      <c r="B1757">
        <v>2008</v>
      </c>
      <c r="C1757" t="s">
        <v>280</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COUNT(LifeExpectancyData[[#This Row],[Life expectancy]:[Schooling]])=19</f>
        <v>1</v>
      </c>
    </row>
    <row r="1758" spans="1:23" x14ac:dyDescent="0.25">
      <c r="A1758" t="s">
        <v>394</v>
      </c>
      <c r="B1758">
        <v>2007</v>
      </c>
      <c r="C1758" t="s">
        <v>280</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COUNT(LifeExpectancyData[[#This Row],[Life expectancy]:[Schooling]])=19</f>
        <v>1</v>
      </c>
    </row>
    <row r="1759" spans="1:23" x14ac:dyDescent="0.25">
      <c r="A1759" t="s">
        <v>394</v>
      </c>
      <c r="B1759">
        <v>2006</v>
      </c>
      <c r="C1759" t="s">
        <v>280</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COUNT(LifeExpectancyData[[#This Row],[Life expectancy]:[Schooling]])=19</f>
        <v>1</v>
      </c>
    </row>
    <row r="1760" spans="1:23" x14ac:dyDescent="0.25">
      <c r="A1760" t="s">
        <v>394</v>
      </c>
      <c r="B1760">
        <v>2005</v>
      </c>
      <c r="C1760" t="s">
        <v>280</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COUNT(LifeExpectancyData[[#This Row],[Life expectancy]:[Schooling]])=19</f>
        <v>1</v>
      </c>
    </row>
    <row r="1761" spans="1:23" x14ac:dyDescent="0.25">
      <c r="A1761" t="s">
        <v>394</v>
      </c>
      <c r="B1761">
        <v>2004</v>
      </c>
      <c r="C1761" t="s">
        <v>280</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COUNT(LifeExpectancyData[[#This Row],[Life expectancy]:[Schooling]])=19</f>
        <v>1</v>
      </c>
    </row>
    <row r="1762" spans="1:23" x14ac:dyDescent="0.25">
      <c r="A1762" t="s">
        <v>394</v>
      </c>
      <c r="B1762">
        <v>2003</v>
      </c>
      <c r="C1762" t="s">
        <v>280</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COUNT(LifeExpectancyData[[#This Row],[Life expectancy]:[Schooling]])=19</f>
        <v>1</v>
      </c>
    </row>
    <row r="1763" spans="1:23" x14ac:dyDescent="0.25">
      <c r="A1763" t="s">
        <v>394</v>
      </c>
      <c r="B1763">
        <v>2002</v>
      </c>
      <c r="C1763" t="s">
        <v>280</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COUNT(LifeExpectancyData[[#This Row],[Life expectancy]:[Schooling]])=19</f>
        <v>1</v>
      </c>
    </row>
    <row r="1764" spans="1:23" x14ac:dyDescent="0.25">
      <c r="A1764" t="s">
        <v>394</v>
      </c>
      <c r="B1764">
        <v>2001</v>
      </c>
      <c r="C1764" t="s">
        <v>280</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COUNT(LifeExpectancyData[[#This Row],[Life expectancy]:[Schooling]])=19</f>
        <v>1</v>
      </c>
    </row>
    <row r="1765" spans="1:23" x14ac:dyDescent="0.25">
      <c r="A1765" t="s">
        <v>394</v>
      </c>
      <c r="B1765">
        <v>2000</v>
      </c>
      <c r="C1765" t="s">
        <v>280</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COUNT(LifeExpectancyData[[#This Row],[Life expectancy]:[Schooling]])=19</f>
        <v>1</v>
      </c>
    </row>
    <row r="1766" spans="1:23" x14ac:dyDescent="0.25">
      <c r="A1766" t="s">
        <v>395</v>
      </c>
      <c r="B1766">
        <v>2015</v>
      </c>
      <c r="C1766" t="s">
        <v>280</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COUNT(LifeExpectancyData[[#This Row],[Life expectancy]:[Schooling]])=19</f>
        <v>0</v>
      </c>
    </row>
    <row r="1767" spans="1:23" x14ac:dyDescent="0.25">
      <c r="A1767" t="s">
        <v>395</v>
      </c>
      <c r="B1767">
        <v>2014</v>
      </c>
      <c r="C1767" t="s">
        <v>280</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COUNT(LifeExpectancyData[[#This Row],[Life expectancy]:[Schooling]])=19</f>
        <v>1</v>
      </c>
    </row>
    <row r="1768" spans="1:23" x14ac:dyDescent="0.25">
      <c r="A1768" t="s">
        <v>395</v>
      </c>
      <c r="B1768">
        <v>2013</v>
      </c>
      <c r="C1768" t="s">
        <v>280</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COUNT(LifeExpectancyData[[#This Row],[Life expectancy]:[Schooling]])=19</f>
        <v>1</v>
      </c>
    </row>
    <row r="1769" spans="1:23" x14ac:dyDescent="0.25">
      <c r="A1769" t="s">
        <v>395</v>
      </c>
      <c r="B1769">
        <v>2012</v>
      </c>
      <c r="C1769" t="s">
        <v>280</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COUNT(LifeExpectancyData[[#This Row],[Life expectancy]:[Schooling]])=19</f>
        <v>1</v>
      </c>
    </row>
    <row r="1770" spans="1:23" x14ac:dyDescent="0.25">
      <c r="A1770" t="s">
        <v>395</v>
      </c>
      <c r="B1770">
        <v>2011</v>
      </c>
      <c r="C1770" t="s">
        <v>280</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COUNT(LifeExpectancyData[[#This Row],[Life expectancy]:[Schooling]])=19</f>
        <v>1</v>
      </c>
    </row>
    <row r="1771" spans="1:23" x14ac:dyDescent="0.25">
      <c r="A1771" t="s">
        <v>395</v>
      </c>
      <c r="B1771">
        <v>2010</v>
      </c>
      <c r="C1771" t="s">
        <v>280</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COUNT(LifeExpectancyData[[#This Row],[Life expectancy]:[Schooling]])=19</f>
        <v>1</v>
      </c>
    </row>
    <row r="1772" spans="1:23" x14ac:dyDescent="0.25">
      <c r="A1772" t="s">
        <v>395</v>
      </c>
      <c r="B1772">
        <v>2009</v>
      </c>
      <c r="C1772" t="s">
        <v>280</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COUNT(LifeExpectancyData[[#This Row],[Life expectancy]:[Schooling]])=19</f>
        <v>1</v>
      </c>
    </row>
    <row r="1773" spans="1:23" x14ac:dyDescent="0.25">
      <c r="A1773" t="s">
        <v>395</v>
      </c>
      <c r="B1773">
        <v>2008</v>
      </c>
      <c r="C1773" t="s">
        <v>280</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COUNT(LifeExpectancyData[[#This Row],[Life expectancy]:[Schooling]])=19</f>
        <v>1</v>
      </c>
    </row>
    <row r="1774" spans="1:23" x14ac:dyDescent="0.25">
      <c r="A1774" t="s">
        <v>395</v>
      </c>
      <c r="B1774">
        <v>2007</v>
      </c>
      <c r="C1774" t="s">
        <v>280</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COUNT(LifeExpectancyData[[#This Row],[Life expectancy]:[Schooling]])=19</f>
        <v>1</v>
      </c>
    </row>
    <row r="1775" spans="1:23" x14ac:dyDescent="0.25">
      <c r="A1775" t="s">
        <v>395</v>
      </c>
      <c r="B1775">
        <v>2006</v>
      </c>
      <c r="C1775" t="s">
        <v>280</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COUNT(LifeExpectancyData[[#This Row],[Life expectancy]:[Schooling]])=19</f>
        <v>1</v>
      </c>
    </row>
    <row r="1776" spans="1:23" x14ac:dyDescent="0.25">
      <c r="A1776" t="s">
        <v>395</v>
      </c>
      <c r="B1776">
        <v>2005</v>
      </c>
      <c r="C1776" t="s">
        <v>280</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COUNT(LifeExpectancyData[[#This Row],[Life expectancy]:[Schooling]])=19</f>
        <v>1</v>
      </c>
    </row>
    <row r="1777" spans="1:23" x14ac:dyDescent="0.25">
      <c r="A1777" t="s">
        <v>395</v>
      </c>
      <c r="B1777">
        <v>2004</v>
      </c>
      <c r="C1777" t="s">
        <v>280</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COUNT(LifeExpectancyData[[#This Row],[Life expectancy]:[Schooling]])=19</f>
        <v>1</v>
      </c>
    </row>
    <row r="1778" spans="1:23" x14ac:dyDescent="0.25">
      <c r="A1778" t="s">
        <v>395</v>
      </c>
      <c r="B1778">
        <v>2003</v>
      </c>
      <c r="C1778" t="s">
        <v>280</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COUNT(LifeExpectancyData[[#This Row],[Life expectancy]:[Schooling]])=19</f>
        <v>1</v>
      </c>
    </row>
    <row r="1779" spans="1:23" x14ac:dyDescent="0.25">
      <c r="A1779" t="s">
        <v>395</v>
      </c>
      <c r="B1779">
        <v>2002</v>
      </c>
      <c r="C1779" t="s">
        <v>280</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COUNT(LifeExpectancyData[[#This Row],[Life expectancy]:[Schooling]])=19</f>
        <v>1</v>
      </c>
    </row>
    <row r="1780" spans="1:23" x14ac:dyDescent="0.25">
      <c r="A1780" t="s">
        <v>395</v>
      </c>
      <c r="B1780">
        <v>2001</v>
      </c>
      <c r="C1780" t="s">
        <v>280</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COUNT(LifeExpectancyData[[#This Row],[Life expectancy]:[Schooling]])=19</f>
        <v>1</v>
      </c>
    </row>
    <row r="1781" spans="1:23" x14ac:dyDescent="0.25">
      <c r="A1781" t="s">
        <v>395</v>
      </c>
      <c r="B1781">
        <v>2000</v>
      </c>
      <c r="C1781" t="s">
        <v>280</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COUNT(LifeExpectancyData[[#This Row],[Life expectancy]:[Schooling]])=19</f>
        <v>0</v>
      </c>
    </row>
    <row r="1782" spans="1:23" x14ac:dyDescent="0.25">
      <c r="A1782" t="s">
        <v>396</v>
      </c>
      <c r="B1782">
        <v>2015</v>
      </c>
      <c r="C1782" t="s">
        <v>280</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COUNT(LifeExpectancyData[[#This Row],[Life expectancy]:[Schooling]])=19</f>
        <v>0</v>
      </c>
    </row>
    <row r="1783" spans="1:23" x14ac:dyDescent="0.25">
      <c r="A1783" t="s">
        <v>396</v>
      </c>
      <c r="B1783">
        <v>2014</v>
      </c>
      <c r="C1783" t="s">
        <v>280</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COUNT(LifeExpectancyData[[#This Row],[Life expectancy]:[Schooling]])=19</f>
        <v>1</v>
      </c>
    </row>
    <row r="1784" spans="1:23" x14ac:dyDescent="0.25">
      <c r="A1784" t="s">
        <v>396</v>
      </c>
      <c r="B1784">
        <v>2013</v>
      </c>
      <c r="C1784" t="s">
        <v>280</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COUNT(LifeExpectancyData[[#This Row],[Life expectancy]:[Schooling]])=19</f>
        <v>1</v>
      </c>
    </row>
    <row r="1785" spans="1:23" x14ac:dyDescent="0.25">
      <c r="A1785" t="s">
        <v>396</v>
      </c>
      <c r="B1785">
        <v>2012</v>
      </c>
      <c r="C1785" t="s">
        <v>280</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COUNT(LifeExpectancyData[[#This Row],[Life expectancy]:[Schooling]])=19</f>
        <v>1</v>
      </c>
    </row>
    <row r="1786" spans="1:23" x14ac:dyDescent="0.25">
      <c r="A1786" t="s">
        <v>396</v>
      </c>
      <c r="B1786">
        <v>2011</v>
      </c>
      <c r="C1786" t="s">
        <v>280</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COUNT(LifeExpectancyData[[#This Row],[Life expectancy]:[Schooling]])=19</f>
        <v>1</v>
      </c>
    </row>
    <row r="1787" spans="1:23" x14ac:dyDescent="0.25">
      <c r="A1787" t="s">
        <v>396</v>
      </c>
      <c r="B1787">
        <v>2010</v>
      </c>
      <c r="C1787" t="s">
        <v>280</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COUNT(LifeExpectancyData[[#This Row],[Life expectancy]:[Schooling]])=19</f>
        <v>1</v>
      </c>
    </row>
    <row r="1788" spans="1:23" x14ac:dyDescent="0.25">
      <c r="A1788" t="s">
        <v>396</v>
      </c>
      <c r="B1788">
        <v>2009</v>
      </c>
      <c r="C1788" t="s">
        <v>280</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COUNT(LifeExpectancyData[[#This Row],[Life expectancy]:[Schooling]])=19</f>
        <v>1</v>
      </c>
    </row>
    <row r="1789" spans="1:23" x14ac:dyDescent="0.25">
      <c r="A1789" t="s">
        <v>396</v>
      </c>
      <c r="B1789">
        <v>2008</v>
      </c>
      <c r="C1789" t="s">
        <v>280</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COUNT(LifeExpectancyData[[#This Row],[Life expectancy]:[Schooling]])=19</f>
        <v>1</v>
      </c>
    </row>
    <row r="1790" spans="1:23" x14ac:dyDescent="0.25">
      <c r="A1790" t="s">
        <v>396</v>
      </c>
      <c r="B1790">
        <v>2007</v>
      </c>
      <c r="C1790" t="s">
        <v>280</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COUNT(LifeExpectancyData[[#This Row],[Life expectancy]:[Schooling]])=19</f>
        <v>1</v>
      </c>
    </row>
    <row r="1791" spans="1:23" x14ac:dyDescent="0.25">
      <c r="A1791" t="s">
        <v>396</v>
      </c>
      <c r="B1791">
        <v>2006</v>
      </c>
      <c r="C1791" t="s">
        <v>280</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COUNT(LifeExpectancyData[[#This Row],[Life expectancy]:[Schooling]])=19</f>
        <v>1</v>
      </c>
    </row>
    <row r="1792" spans="1:23" x14ac:dyDescent="0.25">
      <c r="A1792" t="s">
        <v>396</v>
      </c>
      <c r="B1792">
        <v>2005</v>
      </c>
      <c r="C1792" t="s">
        <v>280</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COUNT(LifeExpectancyData[[#This Row],[Life expectancy]:[Schooling]])=19</f>
        <v>1</v>
      </c>
    </row>
    <row r="1793" spans="1:23" x14ac:dyDescent="0.25">
      <c r="A1793" t="s">
        <v>396</v>
      </c>
      <c r="B1793">
        <v>2004</v>
      </c>
      <c r="C1793" t="s">
        <v>280</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COUNT(LifeExpectancyData[[#This Row],[Life expectancy]:[Schooling]])=19</f>
        <v>1</v>
      </c>
    </row>
    <row r="1794" spans="1:23" x14ac:dyDescent="0.25">
      <c r="A1794" t="s">
        <v>396</v>
      </c>
      <c r="B1794">
        <v>2003</v>
      </c>
      <c r="C1794" t="s">
        <v>280</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COUNT(LifeExpectancyData[[#This Row],[Life expectancy]:[Schooling]])=19</f>
        <v>1</v>
      </c>
    </row>
    <row r="1795" spans="1:23" x14ac:dyDescent="0.25">
      <c r="A1795" t="s">
        <v>396</v>
      </c>
      <c r="B1795">
        <v>2002</v>
      </c>
      <c r="C1795" t="s">
        <v>280</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COUNT(LifeExpectancyData[[#This Row],[Life expectancy]:[Schooling]])=19</f>
        <v>0</v>
      </c>
    </row>
    <row r="1796" spans="1:23" x14ac:dyDescent="0.25">
      <c r="A1796" t="s">
        <v>396</v>
      </c>
      <c r="B1796">
        <v>2001</v>
      </c>
      <c r="C1796" t="s">
        <v>280</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COUNT(LifeExpectancyData[[#This Row],[Life expectancy]:[Schooling]])=19</f>
        <v>0</v>
      </c>
    </row>
    <row r="1797" spans="1:23" x14ac:dyDescent="0.25">
      <c r="A1797" t="s">
        <v>396</v>
      </c>
      <c r="B1797">
        <v>2000</v>
      </c>
      <c r="C1797" t="s">
        <v>280</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COUNT(LifeExpectancyData[[#This Row],[Life expectancy]:[Schooling]])=19</f>
        <v>0</v>
      </c>
    </row>
    <row r="1798" spans="1:23" x14ac:dyDescent="0.25">
      <c r="A1798" t="s">
        <v>397</v>
      </c>
      <c r="B1798">
        <v>2015</v>
      </c>
      <c r="C1798" t="s">
        <v>280</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COUNT(LifeExpectancyData[[#This Row],[Life expectancy]:[Schooling]])=19</f>
        <v>0</v>
      </c>
    </row>
    <row r="1799" spans="1:23" x14ac:dyDescent="0.25">
      <c r="A1799" t="s">
        <v>397</v>
      </c>
      <c r="B1799">
        <v>2014</v>
      </c>
      <c r="C1799" t="s">
        <v>280</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COUNT(LifeExpectancyData[[#This Row],[Life expectancy]:[Schooling]])=19</f>
        <v>1</v>
      </c>
    </row>
    <row r="1800" spans="1:23" x14ac:dyDescent="0.25">
      <c r="A1800" t="s">
        <v>397</v>
      </c>
      <c r="B1800">
        <v>2013</v>
      </c>
      <c r="C1800" t="s">
        <v>280</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COUNT(LifeExpectancyData[[#This Row],[Life expectancy]:[Schooling]])=19</f>
        <v>1</v>
      </c>
    </row>
    <row r="1801" spans="1:23" x14ac:dyDescent="0.25">
      <c r="A1801" t="s">
        <v>397</v>
      </c>
      <c r="B1801">
        <v>2012</v>
      </c>
      <c r="C1801" t="s">
        <v>280</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COUNT(LifeExpectancyData[[#This Row],[Life expectancy]:[Schooling]])=19</f>
        <v>1</v>
      </c>
    </row>
    <row r="1802" spans="1:23" x14ac:dyDescent="0.25">
      <c r="A1802" t="s">
        <v>397</v>
      </c>
      <c r="B1802">
        <v>2011</v>
      </c>
      <c r="C1802" t="s">
        <v>280</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COUNT(LifeExpectancyData[[#This Row],[Life expectancy]:[Schooling]])=19</f>
        <v>1</v>
      </c>
    </row>
    <row r="1803" spans="1:23" x14ac:dyDescent="0.25">
      <c r="A1803" t="s">
        <v>397</v>
      </c>
      <c r="B1803">
        <v>2010</v>
      </c>
      <c r="C1803" t="s">
        <v>280</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COUNT(LifeExpectancyData[[#This Row],[Life expectancy]:[Schooling]])=19</f>
        <v>1</v>
      </c>
    </row>
    <row r="1804" spans="1:23" x14ac:dyDescent="0.25">
      <c r="A1804" t="s">
        <v>397</v>
      </c>
      <c r="B1804">
        <v>2009</v>
      </c>
      <c r="C1804" t="s">
        <v>280</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COUNT(LifeExpectancyData[[#This Row],[Life expectancy]:[Schooling]])=19</f>
        <v>0</v>
      </c>
    </row>
    <row r="1805" spans="1:23" x14ac:dyDescent="0.25">
      <c r="A1805" t="s">
        <v>397</v>
      </c>
      <c r="B1805">
        <v>2008</v>
      </c>
      <c r="C1805" t="s">
        <v>280</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COUNT(LifeExpectancyData[[#This Row],[Life expectancy]:[Schooling]])=19</f>
        <v>0</v>
      </c>
    </row>
    <row r="1806" spans="1:23" x14ac:dyDescent="0.25">
      <c r="A1806" t="s">
        <v>397</v>
      </c>
      <c r="B1806">
        <v>2007</v>
      </c>
      <c r="C1806" t="s">
        <v>280</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COUNT(LifeExpectancyData[[#This Row],[Life expectancy]:[Schooling]])=19</f>
        <v>0</v>
      </c>
    </row>
    <row r="1807" spans="1:23" x14ac:dyDescent="0.25">
      <c r="A1807" t="s">
        <v>397</v>
      </c>
      <c r="B1807">
        <v>2006</v>
      </c>
      <c r="C1807" t="s">
        <v>280</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COUNT(LifeExpectancyData[[#This Row],[Life expectancy]:[Schooling]])=19</f>
        <v>0</v>
      </c>
    </row>
    <row r="1808" spans="1:23" x14ac:dyDescent="0.25">
      <c r="A1808" t="s">
        <v>397</v>
      </c>
      <c r="B1808">
        <v>2005</v>
      </c>
      <c r="C1808" t="s">
        <v>280</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COUNT(LifeExpectancyData[[#This Row],[Life expectancy]:[Schooling]])=19</f>
        <v>0</v>
      </c>
    </row>
    <row r="1809" spans="1:23" x14ac:dyDescent="0.25">
      <c r="A1809" t="s">
        <v>397</v>
      </c>
      <c r="B1809">
        <v>2004</v>
      </c>
      <c r="C1809" t="s">
        <v>280</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COUNT(LifeExpectancyData[[#This Row],[Life expectancy]:[Schooling]])=19</f>
        <v>0</v>
      </c>
    </row>
    <row r="1810" spans="1:23" x14ac:dyDescent="0.25">
      <c r="A1810" t="s">
        <v>397</v>
      </c>
      <c r="B1810">
        <v>2003</v>
      </c>
      <c r="C1810" t="s">
        <v>280</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COUNT(LifeExpectancyData[[#This Row],[Life expectancy]:[Schooling]])=19</f>
        <v>0</v>
      </c>
    </row>
    <row r="1811" spans="1:23" x14ac:dyDescent="0.25">
      <c r="A1811" t="s">
        <v>397</v>
      </c>
      <c r="B1811">
        <v>2002</v>
      </c>
      <c r="C1811" t="s">
        <v>280</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COUNT(LifeExpectancyData[[#This Row],[Life expectancy]:[Schooling]])=19</f>
        <v>0</v>
      </c>
    </row>
    <row r="1812" spans="1:23" x14ac:dyDescent="0.25">
      <c r="A1812" t="s">
        <v>397</v>
      </c>
      <c r="B1812">
        <v>2001</v>
      </c>
      <c r="C1812" t="s">
        <v>280</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COUNT(LifeExpectancyData[[#This Row],[Life expectancy]:[Schooling]])=19</f>
        <v>0</v>
      </c>
    </row>
    <row r="1813" spans="1:23" x14ac:dyDescent="0.25">
      <c r="A1813" t="s">
        <v>397</v>
      </c>
      <c r="B1813">
        <v>2000</v>
      </c>
      <c r="C1813" t="s">
        <v>280</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COUNT(LifeExpectancyData[[#This Row],[Life expectancy]:[Schooling]])=19</f>
        <v>0</v>
      </c>
    </row>
    <row r="1814" spans="1:23" x14ac:dyDescent="0.25">
      <c r="A1814" t="s">
        <v>398</v>
      </c>
      <c r="B1814">
        <v>2013</v>
      </c>
      <c r="C1814" t="s">
        <v>280</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COUNT(LifeExpectancyData[[#This Row],[Life expectancy]:[Schooling]])=19</f>
        <v>0</v>
      </c>
    </row>
    <row r="1815" spans="1:23" x14ac:dyDescent="0.25">
      <c r="A1815" t="s">
        <v>399</v>
      </c>
      <c r="B1815">
        <v>2015</v>
      </c>
      <c r="C1815" t="s">
        <v>280</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COUNT(LifeExpectancyData[[#This Row],[Life expectancy]:[Schooling]])=19</f>
        <v>0</v>
      </c>
    </row>
    <row r="1816" spans="1:23" x14ac:dyDescent="0.25">
      <c r="A1816" t="s">
        <v>399</v>
      </c>
      <c r="B1816">
        <v>2014</v>
      </c>
      <c r="C1816" t="s">
        <v>280</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COUNT(LifeExpectancyData[[#This Row],[Life expectancy]:[Schooling]])=19</f>
        <v>1</v>
      </c>
    </row>
    <row r="1817" spans="1:23" x14ac:dyDescent="0.25">
      <c r="A1817" t="s">
        <v>399</v>
      </c>
      <c r="B1817">
        <v>2013</v>
      </c>
      <c r="C1817" t="s">
        <v>280</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COUNT(LifeExpectancyData[[#This Row],[Life expectancy]:[Schooling]])=19</f>
        <v>1</v>
      </c>
    </row>
    <row r="1818" spans="1:23" x14ac:dyDescent="0.25">
      <c r="A1818" t="s">
        <v>399</v>
      </c>
      <c r="B1818">
        <v>2012</v>
      </c>
      <c r="C1818" t="s">
        <v>280</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COUNT(LifeExpectancyData[[#This Row],[Life expectancy]:[Schooling]])=19</f>
        <v>1</v>
      </c>
    </row>
    <row r="1819" spans="1:23" x14ac:dyDescent="0.25">
      <c r="A1819" t="s">
        <v>399</v>
      </c>
      <c r="B1819">
        <v>2011</v>
      </c>
      <c r="C1819" t="s">
        <v>280</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COUNT(LifeExpectancyData[[#This Row],[Life expectancy]:[Schooling]])=19</f>
        <v>1</v>
      </c>
    </row>
    <row r="1820" spans="1:23" x14ac:dyDescent="0.25">
      <c r="A1820" t="s">
        <v>399</v>
      </c>
      <c r="B1820">
        <v>2010</v>
      </c>
      <c r="C1820" t="s">
        <v>280</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COUNT(LifeExpectancyData[[#This Row],[Life expectancy]:[Schooling]])=19</f>
        <v>1</v>
      </c>
    </row>
    <row r="1821" spans="1:23" x14ac:dyDescent="0.25">
      <c r="A1821" t="s">
        <v>399</v>
      </c>
      <c r="B1821">
        <v>2009</v>
      </c>
      <c r="C1821" t="s">
        <v>280</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COUNT(LifeExpectancyData[[#This Row],[Life expectancy]:[Schooling]])=19</f>
        <v>1</v>
      </c>
    </row>
    <row r="1822" spans="1:23" x14ac:dyDescent="0.25">
      <c r="A1822" t="s">
        <v>399</v>
      </c>
      <c r="B1822">
        <v>2008</v>
      </c>
      <c r="C1822" t="s">
        <v>280</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COUNT(LifeExpectancyData[[#This Row],[Life expectancy]:[Schooling]])=19</f>
        <v>1</v>
      </c>
    </row>
    <row r="1823" spans="1:23" x14ac:dyDescent="0.25">
      <c r="A1823" t="s">
        <v>399</v>
      </c>
      <c r="B1823">
        <v>2007</v>
      </c>
      <c r="C1823" t="s">
        <v>280</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COUNT(LifeExpectancyData[[#This Row],[Life expectancy]:[Schooling]])=19</f>
        <v>1</v>
      </c>
    </row>
    <row r="1824" spans="1:23" x14ac:dyDescent="0.25">
      <c r="A1824" t="s">
        <v>399</v>
      </c>
      <c r="B1824">
        <v>2006</v>
      </c>
      <c r="C1824" t="s">
        <v>280</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COUNT(LifeExpectancyData[[#This Row],[Life expectancy]:[Schooling]])=19</f>
        <v>1</v>
      </c>
    </row>
    <row r="1825" spans="1:23" x14ac:dyDescent="0.25">
      <c r="A1825" t="s">
        <v>399</v>
      </c>
      <c r="B1825">
        <v>2005</v>
      </c>
      <c r="C1825" t="s">
        <v>280</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COUNT(LifeExpectancyData[[#This Row],[Life expectancy]:[Schooling]])=19</f>
        <v>1</v>
      </c>
    </row>
    <row r="1826" spans="1:23" x14ac:dyDescent="0.25">
      <c r="A1826" t="s">
        <v>399</v>
      </c>
      <c r="B1826">
        <v>2004</v>
      </c>
      <c r="C1826" t="s">
        <v>280</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COUNT(LifeExpectancyData[[#This Row],[Life expectancy]:[Schooling]])=19</f>
        <v>1</v>
      </c>
    </row>
    <row r="1827" spans="1:23" x14ac:dyDescent="0.25">
      <c r="A1827" t="s">
        <v>399</v>
      </c>
      <c r="B1827">
        <v>2003</v>
      </c>
      <c r="C1827" t="s">
        <v>280</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COUNT(LifeExpectancyData[[#This Row],[Life expectancy]:[Schooling]])=19</f>
        <v>1</v>
      </c>
    </row>
    <row r="1828" spans="1:23" x14ac:dyDescent="0.25">
      <c r="A1828" t="s">
        <v>399</v>
      </c>
      <c r="B1828">
        <v>2002</v>
      </c>
      <c r="C1828" t="s">
        <v>280</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COUNT(LifeExpectancyData[[#This Row],[Life expectancy]:[Schooling]])=19</f>
        <v>0</v>
      </c>
    </row>
    <row r="1829" spans="1:23" x14ac:dyDescent="0.25">
      <c r="A1829" t="s">
        <v>399</v>
      </c>
      <c r="B1829">
        <v>2001</v>
      </c>
      <c r="C1829" t="s">
        <v>280</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COUNT(LifeExpectancyData[[#This Row],[Life expectancy]:[Schooling]])=19</f>
        <v>0</v>
      </c>
    </row>
    <row r="1830" spans="1:23" x14ac:dyDescent="0.25">
      <c r="A1830" t="s">
        <v>399</v>
      </c>
      <c r="B1830">
        <v>2000</v>
      </c>
      <c r="C1830" t="s">
        <v>280</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COUNT(LifeExpectancyData[[#This Row],[Life expectancy]:[Schooling]])=19</f>
        <v>0</v>
      </c>
    </row>
    <row r="1831" spans="1:23" x14ac:dyDescent="0.25">
      <c r="A1831" t="s">
        <v>400</v>
      </c>
      <c r="B1831">
        <v>2015</v>
      </c>
      <c r="C1831" t="s">
        <v>288</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COUNT(LifeExpectancyData[[#This Row],[Life expectancy]:[Schooling]])=19</f>
        <v>0</v>
      </c>
    </row>
    <row r="1832" spans="1:23" x14ac:dyDescent="0.25">
      <c r="A1832" t="s">
        <v>400</v>
      </c>
      <c r="B1832">
        <v>2014</v>
      </c>
      <c r="C1832" t="s">
        <v>288</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COUNT(LifeExpectancyData[[#This Row],[Life expectancy]:[Schooling]])=19</f>
        <v>1</v>
      </c>
    </row>
    <row r="1833" spans="1:23" x14ac:dyDescent="0.25">
      <c r="A1833" t="s">
        <v>400</v>
      </c>
      <c r="B1833">
        <v>2013</v>
      </c>
      <c r="C1833" t="s">
        <v>288</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COUNT(LifeExpectancyData[[#This Row],[Life expectancy]:[Schooling]])=19</f>
        <v>1</v>
      </c>
    </row>
    <row r="1834" spans="1:23" x14ac:dyDescent="0.25">
      <c r="A1834" t="s">
        <v>400</v>
      </c>
      <c r="B1834">
        <v>2012</v>
      </c>
      <c r="C1834" t="s">
        <v>288</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COUNT(LifeExpectancyData[[#This Row],[Life expectancy]:[Schooling]])=19</f>
        <v>1</v>
      </c>
    </row>
    <row r="1835" spans="1:23" x14ac:dyDescent="0.25">
      <c r="A1835" t="s">
        <v>400</v>
      </c>
      <c r="B1835">
        <v>2011</v>
      </c>
      <c r="C1835" t="s">
        <v>288</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COUNT(LifeExpectancyData[[#This Row],[Life expectancy]:[Schooling]])=19</f>
        <v>1</v>
      </c>
    </row>
    <row r="1836" spans="1:23" x14ac:dyDescent="0.25">
      <c r="A1836" t="s">
        <v>400</v>
      </c>
      <c r="B1836">
        <v>2010</v>
      </c>
      <c r="C1836" t="s">
        <v>288</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COUNT(LifeExpectancyData[[#This Row],[Life expectancy]:[Schooling]])=19</f>
        <v>0</v>
      </c>
    </row>
    <row r="1837" spans="1:23" x14ac:dyDescent="0.25">
      <c r="A1837" t="s">
        <v>400</v>
      </c>
      <c r="B1837">
        <v>2009</v>
      </c>
      <c r="C1837" t="s">
        <v>288</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COUNT(LifeExpectancyData[[#This Row],[Life expectancy]:[Schooling]])=19</f>
        <v>0</v>
      </c>
    </row>
    <row r="1838" spans="1:23" x14ac:dyDescent="0.25">
      <c r="A1838" t="s">
        <v>400</v>
      </c>
      <c r="B1838">
        <v>2008</v>
      </c>
      <c r="C1838" t="s">
        <v>288</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COUNT(LifeExpectancyData[[#This Row],[Life expectancy]:[Schooling]])=19</f>
        <v>0</v>
      </c>
    </row>
    <row r="1839" spans="1:23" x14ac:dyDescent="0.25">
      <c r="A1839" t="s">
        <v>400</v>
      </c>
      <c r="B1839">
        <v>2007</v>
      </c>
      <c r="C1839" t="s">
        <v>288</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COUNT(LifeExpectancyData[[#This Row],[Life expectancy]:[Schooling]])=19</f>
        <v>0</v>
      </c>
    </row>
    <row r="1840" spans="1:23" x14ac:dyDescent="0.25">
      <c r="A1840" t="s">
        <v>400</v>
      </c>
      <c r="B1840">
        <v>2006</v>
      </c>
      <c r="C1840" t="s">
        <v>288</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COUNT(LifeExpectancyData[[#This Row],[Life expectancy]:[Schooling]])=19</f>
        <v>0</v>
      </c>
    </row>
    <row r="1841" spans="1:23" x14ac:dyDescent="0.25">
      <c r="A1841" t="s">
        <v>400</v>
      </c>
      <c r="B1841">
        <v>2005</v>
      </c>
      <c r="C1841" t="s">
        <v>288</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COUNT(LifeExpectancyData[[#This Row],[Life expectancy]:[Schooling]])=19</f>
        <v>0</v>
      </c>
    </row>
    <row r="1842" spans="1:23" x14ac:dyDescent="0.25">
      <c r="A1842" t="s">
        <v>400</v>
      </c>
      <c r="B1842">
        <v>2004</v>
      </c>
      <c r="C1842" t="s">
        <v>288</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COUNT(LifeExpectancyData[[#This Row],[Life expectancy]:[Schooling]])=19</f>
        <v>0</v>
      </c>
    </row>
    <row r="1843" spans="1:23" x14ac:dyDescent="0.25">
      <c r="A1843" t="s">
        <v>400</v>
      </c>
      <c r="B1843">
        <v>2003</v>
      </c>
      <c r="C1843" t="s">
        <v>288</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COUNT(LifeExpectancyData[[#This Row],[Life expectancy]:[Schooling]])=19</f>
        <v>0</v>
      </c>
    </row>
    <row r="1844" spans="1:23" x14ac:dyDescent="0.25">
      <c r="A1844" t="s">
        <v>400</v>
      </c>
      <c r="B1844">
        <v>2002</v>
      </c>
      <c r="C1844" t="s">
        <v>288</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COUNT(LifeExpectancyData[[#This Row],[Life expectancy]:[Schooling]])=19</f>
        <v>0</v>
      </c>
    </row>
    <row r="1845" spans="1:23" x14ac:dyDescent="0.25">
      <c r="A1845" t="s">
        <v>400</v>
      </c>
      <c r="B1845">
        <v>2001</v>
      </c>
      <c r="C1845" t="s">
        <v>288</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COUNT(LifeExpectancyData[[#This Row],[Life expectancy]:[Schooling]])=19</f>
        <v>0</v>
      </c>
    </row>
    <row r="1846" spans="1:23" x14ac:dyDescent="0.25">
      <c r="A1846" t="s">
        <v>400</v>
      </c>
      <c r="B1846">
        <v>2000</v>
      </c>
      <c r="C1846" t="s">
        <v>288</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COUNT(LifeExpectancyData[[#This Row],[Life expectancy]:[Schooling]])=19</f>
        <v>0</v>
      </c>
    </row>
    <row r="1847" spans="1:23" x14ac:dyDescent="0.25">
      <c r="A1847" t="s">
        <v>401</v>
      </c>
      <c r="B1847">
        <v>2015</v>
      </c>
      <c r="C1847" t="s">
        <v>288</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COUNT(LifeExpectancyData[[#This Row],[Life expectancy]:[Schooling]])=19</f>
        <v>0</v>
      </c>
    </row>
    <row r="1848" spans="1:23" x14ac:dyDescent="0.25">
      <c r="A1848" t="s">
        <v>401</v>
      </c>
      <c r="B1848">
        <v>2014</v>
      </c>
      <c r="C1848" t="s">
        <v>288</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COUNT(LifeExpectancyData[[#This Row],[Life expectancy]:[Schooling]])=19</f>
        <v>0</v>
      </c>
    </row>
    <row r="1849" spans="1:23" x14ac:dyDescent="0.25">
      <c r="A1849" t="s">
        <v>401</v>
      </c>
      <c r="B1849">
        <v>2013</v>
      </c>
      <c r="C1849" t="s">
        <v>288</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COUNT(LifeExpectancyData[[#This Row],[Life expectancy]:[Schooling]])=19</f>
        <v>0</v>
      </c>
    </row>
    <row r="1850" spans="1:23" x14ac:dyDescent="0.25">
      <c r="A1850" t="s">
        <v>401</v>
      </c>
      <c r="B1850">
        <v>2012</v>
      </c>
      <c r="C1850" t="s">
        <v>288</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COUNT(LifeExpectancyData[[#This Row],[Life expectancy]:[Schooling]])=19</f>
        <v>0</v>
      </c>
    </row>
    <row r="1851" spans="1:23" x14ac:dyDescent="0.25">
      <c r="A1851" t="s">
        <v>401</v>
      </c>
      <c r="B1851">
        <v>2011</v>
      </c>
      <c r="C1851" t="s">
        <v>288</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COUNT(LifeExpectancyData[[#This Row],[Life expectancy]:[Schooling]])=19</f>
        <v>0</v>
      </c>
    </row>
    <row r="1852" spans="1:23" x14ac:dyDescent="0.25">
      <c r="A1852" t="s">
        <v>401</v>
      </c>
      <c r="B1852">
        <v>2010</v>
      </c>
      <c r="C1852" t="s">
        <v>288</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COUNT(LifeExpectancyData[[#This Row],[Life expectancy]:[Schooling]])=19</f>
        <v>0</v>
      </c>
    </row>
    <row r="1853" spans="1:23" x14ac:dyDescent="0.25">
      <c r="A1853" t="s">
        <v>401</v>
      </c>
      <c r="B1853">
        <v>2009</v>
      </c>
      <c r="C1853" t="s">
        <v>288</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COUNT(LifeExpectancyData[[#This Row],[Life expectancy]:[Schooling]])=19</f>
        <v>0</v>
      </c>
    </row>
    <row r="1854" spans="1:23" x14ac:dyDescent="0.25">
      <c r="A1854" t="s">
        <v>401</v>
      </c>
      <c r="B1854">
        <v>2008</v>
      </c>
      <c r="C1854" t="s">
        <v>288</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COUNT(LifeExpectancyData[[#This Row],[Life expectancy]:[Schooling]])=19</f>
        <v>0</v>
      </c>
    </row>
    <row r="1855" spans="1:23" x14ac:dyDescent="0.25">
      <c r="A1855" t="s">
        <v>401</v>
      </c>
      <c r="B1855">
        <v>2007</v>
      </c>
      <c r="C1855" t="s">
        <v>288</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COUNT(LifeExpectancyData[[#This Row],[Life expectancy]:[Schooling]])=19</f>
        <v>0</v>
      </c>
    </row>
    <row r="1856" spans="1:23" x14ac:dyDescent="0.25">
      <c r="A1856" t="s">
        <v>401</v>
      </c>
      <c r="B1856">
        <v>2006</v>
      </c>
      <c r="C1856" t="s">
        <v>288</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COUNT(LifeExpectancyData[[#This Row],[Life expectancy]:[Schooling]])=19</f>
        <v>0</v>
      </c>
    </row>
    <row r="1857" spans="1:23" x14ac:dyDescent="0.25">
      <c r="A1857" t="s">
        <v>401</v>
      </c>
      <c r="B1857">
        <v>2005</v>
      </c>
      <c r="C1857" t="s">
        <v>288</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COUNT(LifeExpectancyData[[#This Row],[Life expectancy]:[Schooling]])=19</f>
        <v>0</v>
      </c>
    </row>
    <row r="1858" spans="1:23" x14ac:dyDescent="0.25">
      <c r="A1858" t="s">
        <v>401</v>
      </c>
      <c r="B1858">
        <v>2004</v>
      </c>
      <c r="C1858" t="s">
        <v>288</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COUNT(LifeExpectancyData[[#This Row],[Life expectancy]:[Schooling]])=19</f>
        <v>0</v>
      </c>
    </row>
    <row r="1859" spans="1:23" x14ac:dyDescent="0.25">
      <c r="A1859" t="s">
        <v>401</v>
      </c>
      <c r="B1859">
        <v>2003</v>
      </c>
      <c r="C1859" t="s">
        <v>288</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COUNT(LifeExpectancyData[[#This Row],[Life expectancy]:[Schooling]])=19</f>
        <v>0</v>
      </c>
    </row>
    <row r="1860" spans="1:23" x14ac:dyDescent="0.25">
      <c r="A1860" t="s">
        <v>401</v>
      </c>
      <c r="B1860">
        <v>2002</v>
      </c>
      <c r="C1860" t="s">
        <v>288</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COUNT(LifeExpectancyData[[#This Row],[Life expectancy]:[Schooling]])=19</f>
        <v>0</v>
      </c>
    </row>
    <row r="1861" spans="1:23" x14ac:dyDescent="0.25">
      <c r="A1861" t="s">
        <v>401</v>
      </c>
      <c r="B1861">
        <v>2001</v>
      </c>
      <c r="C1861" t="s">
        <v>288</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COUNT(LifeExpectancyData[[#This Row],[Life expectancy]:[Schooling]])=19</f>
        <v>0</v>
      </c>
    </row>
    <row r="1862" spans="1:23" x14ac:dyDescent="0.25">
      <c r="A1862" t="s">
        <v>401</v>
      </c>
      <c r="B1862">
        <v>2000</v>
      </c>
      <c r="C1862" t="s">
        <v>288</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COUNT(LifeExpectancyData[[#This Row],[Life expectancy]:[Schooling]])=19</f>
        <v>0</v>
      </c>
    </row>
    <row r="1863" spans="1:23" x14ac:dyDescent="0.25">
      <c r="A1863" t="s">
        <v>402</v>
      </c>
      <c r="B1863">
        <v>2015</v>
      </c>
      <c r="C1863" t="s">
        <v>280</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COUNT(LifeExpectancyData[[#This Row],[Life expectancy]:[Schooling]])=19</f>
        <v>0</v>
      </c>
    </row>
    <row r="1864" spans="1:23" x14ac:dyDescent="0.25">
      <c r="A1864" t="s">
        <v>402</v>
      </c>
      <c r="B1864">
        <v>2014</v>
      </c>
      <c r="C1864" t="s">
        <v>280</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COUNT(LifeExpectancyData[[#This Row],[Life expectancy]:[Schooling]])=19</f>
        <v>1</v>
      </c>
    </row>
    <row r="1865" spans="1:23" x14ac:dyDescent="0.25">
      <c r="A1865" t="s">
        <v>402</v>
      </c>
      <c r="B1865">
        <v>2013</v>
      </c>
      <c r="C1865" t="s">
        <v>280</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COUNT(LifeExpectancyData[[#This Row],[Life expectancy]:[Schooling]])=19</f>
        <v>1</v>
      </c>
    </row>
    <row r="1866" spans="1:23" x14ac:dyDescent="0.25">
      <c r="A1866" t="s">
        <v>402</v>
      </c>
      <c r="B1866">
        <v>2012</v>
      </c>
      <c r="C1866" t="s">
        <v>280</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COUNT(LifeExpectancyData[[#This Row],[Life expectancy]:[Schooling]])=19</f>
        <v>1</v>
      </c>
    </row>
    <row r="1867" spans="1:23" x14ac:dyDescent="0.25">
      <c r="A1867" t="s">
        <v>402</v>
      </c>
      <c r="B1867">
        <v>2011</v>
      </c>
      <c r="C1867" t="s">
        <v>280</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COUNT(LifeExpectancyData[[#This Row],[Life expectancy]:[Schooling]])=19</f>
        <v>1</v>
      </c>
    </row>
    <row r="1868" spans="1:23" x14ac:dyDescent="0.25">
      <c r="A1868" t="s">
        <v>402</v>
      </c>
      <c r="B1868">
        <v>2010</v>
      </c>
      <c r="C1868" t="s">
        <v>280</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COUNT(LifeExpectancyData[[#This Row],[Life expectancy]:[Schooling]])=19</f>
        <v>1</v>
      </c>
    </row>
    <row r="1869" spans="1:23" x14ac:dyDescent="0.25">
      <c r="A1869" t="s">
        <v>402</v>
      </c>
      <c r="B1869">
        <v>2009</v>
      </c>
      <c r="C1869" t="s">
        <v>280</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COUNT(LifeExpectancyData[[#This Row],[Life expectancy]:[Schooling]])=19</f>
        <v>1</v>
      </c>
    </row>
    <row r="1870" spans="1:23" x14ac:dyDescent="0.25">
      <c r="A1870" t="s">
        <v>402</v>
      </c>
      <c r="B1870">
        <v>2008</v>
      </c>
      <c r="C1870" t="s">
        <v>280</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COUNT(LifeExpectancyData[[#This Row],[Life expectancy]:[Schooling]])=19</f>
        <v>1</v>
      </c>
    </row>
    <row r="1871" spans="1:23" x14ac:dyDescent="0.25">
      <c r="A1871" t="s">
        <v>402</v>
      </c>
      <c r="B1871">
        <v>2007</v>
      </c>
      <c r="C1871" t="s">
        <v>280</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COUNT(LifeExpectancyData[[#This Row],[Life expectancy]:[Schooling]])=19</f>
        <v>1</v>
      </c>
    </row>
    <row r="1872" spans="1:23" x14ac:dyDescent="0.25">
      <c r="A1872" t="s">
        <v>402</v>
      </c>
      <c r="B1872">
        <v>2006</v>
      </c>
      <c r="C1872" t="s">
        <v>280</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COUNT(LifeExpectancyData[[#This Row],[Life expectancy]:[Schooling]])=19</f>
        <v>1</v>
      </c>
    </row>
    <row r="1873" spans="1:23" x14ac:dyDescent="0.25">
      <c r="A1873" t="s">
        <v>402</v>
      </c>
      <c r="B1873">
        <v>2005</v>
      </c>
      <c r="C1873" t="s">
        <v>280</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COUNT(LifeExpectancyData[[#This Row],[Life expectancy]:[Schooling]])=19</f>
        <v>1</v>
      </c>
    </row>
    <row r="1874" spans="1:23" x14ac:dyDescent="0.25">
      <c r="A1874" t="s">
        <v>402</v>
      </c>
      <c r="B1874">
        <v>2004</v>
      </c>
      <c r="C1874" t="s">
        <v>280</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COUNT(LifeExpectancyData[[#This Row],[Life expectancy]:[Schooling]])=19</f>
        <v>1</v>
      </c>
    </row>
    <row r="1875" spans="1:23" x14ac:dyDescent="0.25">
      <c r="A1875" t="s">
        <v>402</v>
      </c>
      <c r="B1875">
        <v>2003</v>
      </c>
      <c r="C1875" t="s">
        <v>280</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COUNT(LifeExpectancyData[[#This Row],[Life expectancy]:[Schooling]])=19</f>
        <v>1</v>
      </c>
    </row>
    <row r="1876" spans="1:23" x14ac:dyDescent="0.25">
      <c r="A1876" t="s">
        <v>402</v>
      </c>
      <c r="B1876">
        <v>2002</v>
      </c>
      <c r="C1876" t="s">
        <v>280</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COUNT(LifeExpectancyData[[#This Row],[Life expectancy]:[Schooling]])=19</f>
        <v>1</v>
      </c>
    </row>
    <row r="1877" spans="1:23" x14ac:dyDescent="0.25">
      <c r="A1877" t="s">
        <v>402</v>
      </c>
      <c r="B1877">
        <v>2001</v>
      </c>
      <c r="C1877" t="s">
        <v>280</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COUNT(LifeExpectancyData[[#This Row],[Life expectancy]:[Schooling]])=19</f>
        <v>1</v>
      </c>
    </row>
    <row r="1878" spans="1:23" x14ac:dyDescent="0.25">
      <c r="A1878" t="s">
        <v>402</v>
      </c>
      <c r="B1878">
        <v>2000</v>
      </c>
      <c r="C1878" t="s">
        <v>280</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COUNT(LifeExpectancyData[[#This Row],[Life expectancy]:[Schooling]])=19</f>
        <v>1</v>
      </c>
    </row>
    <row r="1879" spans="1:23" x14ac:dyDescent="0.25">
      <c r="A1879" t="s">
        <v>403</v>
      </c>
      <c r="B1879">
        <v>2015</v>
      </c>
      <c r="C1879" t="s">
        <v>280</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COUNT(LifeExpectancyData[[#This Row],[Life expectancy]:[Schooling]])=19</f>
        <v>0</v>
      </c>
    </row>
    <row r="1880" spans="1:23" x14ac:dyDescent="0.25">
      <c r="A1880" t="s">
        <v>403</v>
      </c>
      <c r="B1880">
        <v>2014</v>
      </c>
      <c r="C1880" t="s">
        <v>280</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COUNT(LifeExpectancyData[[#This Row],[Life expectancy]:[Schooling]])=19</f>
        <v>1</v>
      </c>
    </row>
    <row r="1881" spans="1:23" x14ac:dyDescent="0.25">
      <c r="A1881" t="s">
        <v>403</v>
      </c>
      <c r="B1881">
        <v>2013</v>
      </c>
      <c r="C1881" t="s">
        <v>280</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COUNT(LifeExpectancyData[[#This Row],[Life expectancy]:[Schooling]])=19</f>
        <v>1</v>
      </c>
    </row>
    <row r="1882" spans="1:23" x14ac:dyDescent="0.25">
      <c r="A1882" t="s">
        <v>403</v>
      </c>
      <c r="B1882">
        <v>2012</v>
      </c>
      <c r="C1882" t="s">
        <v>280</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COUNT(LifeExpectancyData[[#This Row],[Life expectancy]:[Schooling]])=19</f>
        <v>1</v>
      </c>
    </row>
    <row r="1883" spans="1:23" x14ac:dyDescent="0.25">
      <c r="A1883" t="s">
        <v>403</v>
      </c>
      <c r="B1883">
        <v>2011</v>
      </c>
      <c r="C1883" t="s">
        <v>280</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COUNT(LifeExpectancyData[[#This Row],[Life expectancy]:[Schooling]])=19</f>
        <v>1</v>
      </c>
    </row>
    <row r="1884" spans="1:23" x14ac:dyDescent="0.25">
      <c r="A1884" t="s">
        <v>403</v>
      </c>
      <c r="B1884">
        <v>2010</v>
      </c>
      <c r="C1884" t="s">
        <v>280</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COUNT(LifeExpectancyData[[#This Row],[Life expectancy]:[Schooling]])=19</f>
        <v>1</v>
      </c>
    </row>
    <row r="1885" spans="1:23" x14ac:dyDescent="0.25">
      <c r="A1885" t="s">
        <v>403</v>
      </c>
      <c r="B1885">
        <v>2009</v>
      </c>
      <c r="C1885" t="s">
        <v>280</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COUNT(LifeExpectancyData[[#This Row],[Life expectancy]:[Schooling]])=19</f>
        <v>1</v>
      </c>
    </row>
    <row r="1886" spans="1:23" x14ac:dyDescent="0.25">
      <c r="A1886" t="s">
        <v>403</v>
      </c>
      <c r="B1886">
        <v>2008</v>
      </c>
      <c r="C1886" t="s">
        <v>280</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COUNT(LifeExpectancyData[[#This Row],[Life expectancy]:[Schooling]])=19</f>
        <v>0</v>
      </c>
    </row>
    <row r="1887" spans="1:23" x14ac:dyDescent="0.25">
      <c r="A1887" t="s">
        <v>403</v>
      </c>
      <c r="B1887">
        <v>2007</v>
      </c>
      <c r="C1887" t="s">
        <v>280</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COUNT(LifeExpectancyData[[#This Row],[Life expectancy]:[Schooling]])=19</f>
        <v>0</v>
      </c>
    </row>
    <row r="1888" spans="1:23" x14ac:dyDescent="0.25">
      <c r="A1888" t="s">
        <v>403</v>
      </c>
      <c r="B1888">
        <v>2006</v>
      </c>
      <c r="C1888" t="s">
        <v>280</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COUNT(LifeExpectancyData[[#This Row],[Life expectancy]:[Schooling]])=19</f>
        <v>0</v>
      </c>
    </row>
    <row r="1889" spans="1:23" x14ac:dyDescent="0.25">
      <c r="A1889" t="s">
        <v>403</v>
      </c>
      <c r="B1889">
        <v>2005</v>
      </c>
      <c r="C1889" t="s">
        <v>280</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COUNT(LifeExpectancyData[[#This Row],[Life expectancy]:[Schooling]])=19</f>
        <v>0</v>
      </c>
    </row>
    <row r="1890" spans="1:23" x14ac:dyDescent="0.25">
      <c r="A1890" t="s">
        <v>403</v>
      </c>
      <c r="B1890">
        <v>2004</v>
      </c>
      <c r="C1890" t="s">
        <v>280</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COUNT(LifeExpectancyData[[#This Row],[Life expectancy]:[Schooling]])=19</f>
        <v>0</v>
      </c>
    </row>
    <row r="1891" spans="1:23" x14ac:dyDescent="0.25">
      <c r="A1891" t="s">
        <v>403</v>
      </c>
      <c r="B1891">
        <v>2003</v>
      </c>
      <c r="C1891" t="s">
        <v>280</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COUNT(LifeExpectancyData[[#This Row],[Life expectancy]:[Schooling]])=19</f>
        <v>0</v>
      </c>
    </row>
    <row r="1892" spans="1:23" x14ac:dyDescent="0.25">
      <c r="A1892" t="s">
        <v>403</v>
      </c>
      <c r="B1892">
        <v>2002</v>
      </c>
      <c r="C1892" t="s">
        <v>280</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COUNT(LifeExpectancyData[[#This Row],[Life expectancy]:[Schooling]])=19</f>
        <v>0</v>
      </c>
    </row>
    <row r="1893" spans="1:23" x14ac:dyDescent="0.25">
      <c r="A1893" t="s">
        <v>403</v>
      </c>
      <c r="B1893">
        <v>2001</v>
      </c>
      <c r="C1893" t="s">
        <v>280</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COUNT(LifeExpectancyData[[#This Row],[Life expectancy]:[Schooling]])=19</f>
        <v>0</v>
      </c>
    </row>
    <row r="1894" spans="1:23" x14ac:dyDescent="0.25">
      <c r="A1894" t="s">
        <v>403</v>
      </c>
      <c r="B1894">
        <v>2000</v>
      </c>
      <c r="C1894" t="s">
        <v>280</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COUNT(LifeExpectancyData[[#This Row],[Life expectancy]:[Schooling]])=19</f>
        <v>0</v>
      </c>
    </row>
    <row r="1895" spans="1:23" x14ac:dyDescent="0.25">
      <c r="A1895" t="s">
        <v>404</v>
      </c>
      <c r="B1895">
        <v>2015</v>
      </c>
      <c r="C1895" t="s">
        <v>280</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COUNT(LifeExpectancyData[[#This Row],[Life expectancy]:[Schooling]])=19</f>
        <v>0</v>
      </c>
    </row>
    <row r="1896" spans="1:23" x14ac:dyDescent="0.25">
      <c r="A1896" t="s">
        <v>404</v>
      </c>
      <c r="B1896">
        <v>2014</v>
      </c>
      <c r="C1896" t="s">
        <v>280</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COUNT(LifeExpectancyData[[#This Row],[Life expectancy]:[Schooling]])=19</f>
        <v>1</v>
      </c>
    </row>
    <row r="1897" spans="1:23" x14ac:dyDescent="0.25">
      <c r="A1897" t="s">
        <v>404</v>
      </c>
      <c r="B1897">
        <v>2013</v>
      </c>
      <c r="C1897" t="s">
        <v>280</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COUNT(LifeExpectancyData[[#This Row],[Life expectancy]:[Schooling]])=19</f>
        <v>1</v>
      </c>
    </row>
    <row r="1898" spans="1:23" x14ac:dyDescent="0.25">
      <c r="A1898" t="s">
        <v>404</v>
      </c>
      <c r="B1898">
        <v>2012</v>
      </c>
      <c r="C1898" t="s">
        <v>280</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COUNT(LifeExpectancyData[[#This Row],[Life expectancy]:[Schooling]])=19</f>
        <v>1</v>
      </c>
    </row>
    <row r="1899" spans="1:23" x14ac:dyDescent="0.25">
      <c r="A1899" t="s">
        <v>404</v>
      </c>
      <c r="B1899">
        <v>2011</v>
      </c>
      <c r="C1899" t="s">
        <v>280</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COUNT(LifeExpectancyData[[#This Row],[Life expectancy]:[Schooling]])=19</f>
        <v>1</v>
      </c>
    </row>
    <row r="1900" spans="1:23" x14ac:dyDescent="0.25">
      <c r="A1900" t="s">
        <v>404</v>
      </c>
      <c r="B1900">
        <v>2010</v>
      </c>
      <c r="C1900" t="s">
        <v>280</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COUNT(LifeExpectancyData[[#This Row],[Life expectancy]:[Schooling]])=19</f>
        <v>1</v>
      </c>
    </row>
    <row r="1901" spans="1:23" x14ac:dyDescent="0.25">
      <c r="A1901" t="s">
        <v>404</v>
      </c>
      <c r="B1901">
        <v>2009</v>
      </c>
      <c r="C1901" t="s">
        <v>280</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COUNT(LifeExpectancyData[[#This Row],[Life expectancy]:[Schooling]])=19</f>
        <v>1</v>
      </c>
    </row>
    <row r="1902" spans="1:23" x14ac:dyDescent="0.25">
      <c r="A1902" t="s">
        <v>404</v>
      </c>
      <c r="B1902">
        <v>2008</v>
      </c>
      <c r="C1902" t="s">
        <v>280</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COUNT(LifeExpectancyData[[#This Row],[Life expectancy]:[Schooling]])=19</f>
        <v>1</v>
      </c>
    </row>
    <row r="1903" spans="1:23" x14ac:dyDescent="0.25">
      <c r="A1903" t="s">
        <v>404</v>
      </c>
      <c r="B1903">
        <v>2007</v>
      </c>
      <c r="C1903" t="s">
        <v>280</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COUNT(LifeExpectancyData[[#This Row],[Life expectancy]:[Schooling]])=19</f>
        <v>1</v>
      </c>
    </row>
    <row r="1904" spans="1:23" x14ac:dyDescent="0.25">
      <c r="A1904" t="s">
        <v>404</v>
      </c>
      <c r="B1904">
        <v>2006</v>
      </c>
      <c r="C1904" t="s">
        <v>280</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COUNT(LifeExpectancyData[[#This Row],[Life expectancy]:[Schooling]])=19</f>
        <v>1</v>
      </c>
    </row>
    <row r="1905" spans="1:23" x14ac:dyDescent="0.25">
      <c r="A1905" t="s">
        <v>404</v>
      </c>
      <c r="B1905">
        <v>2005</v>
      </c>
      <c r="C1905" t="s">
        <v>280</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COUNT(LifeExpectancyData[[#This Row],[Life expectancy]:[Schooling]])=19</f>
        <v>1</v>
      </c>
    </row>
    <row r="1906" spans="1:23" x14ac:dyDescent="0.25">
      <c r="A1906" t="s">
        <v>404</v>
      </c>
      <c r="B1906">
        <v>2004</v>
      </c>
      <c r="C1906" t="s">
        <v>280</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COUNT(LifeExpectancyData[[#This Row],[Life expectancy]:[Schooling]])=19</f>
        <v>0</v>
      </c>
    </row>
    <row r="1907" spans="1:23" x14ac:dyDescent="0.25">
      <c r="A1907" t="s">
        <v>404</v>
      </c>
      <c r="B1907">
        <v>2003</v>
      </c>
      <c r="C1907" t="s">
        <v>280</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COUNT(LifeExpectancyData[[#This Row],[Life expectancy]:[Schooling]])=19</f>
        <v>0</v>
      </c>
    </row>
    <row r="1908" spans="1:23" x14ac:dyDescent="0.25">
      <c r="A1908" t="s">
        <v>404</v>
      </c>
      <c r="B1908">
        <v>2002</v>
      </c>
      <c r="C1908" t="s">
        <v>280</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COUNT(LifeExpectancyData[[#This Row],[Life expectancy]:[Schooling]])=19</f>
        <v>0</v>
      </c>
    </row>
    <row r="1909" spans="1:23" x14ac:dyDescent="0.25">
      <c r="A1909" t="s">
        <v>404</v>
      </c>
      <c r="B1909">
        <v>2001</v>
      </c>
      <c r="C1909" t="s">
        <v>280</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COUNT(LifeExpectancyData[[#This Row],[Life expectancy]:[Schooling]])=19</f>
        <v>0</v>
      </c>
    </row>
    <row r="1910" spans="1:23" x14ac:dyDescent="0.25">
      <c r="A1910" t="s">
        <v>404</v>
      </c>
      <c r="B1910">
        <v>2000</v>
      </c>
      <c r="C1910" t="s">
        <v>280</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COUNT(LifeExpectancyData[[#This Row],[Life expectancy]:[Schooling]])=19</f>
        <v>0</v>
      </c>
    </row>
    <row r="1911" spans="1:23" x14ac:dyDescent="0.25">
      <c r="A1911" t="s">
        <v>405</v>
      </c>
      <c r="B1911">
        <v>2013</v>
      </c>
      <c r="C1911" t="s">
        <v>280</v>
      </c>
      <c r="F1911">
        <v>0</v>
      </c>
      <c r="G1911">
        <v>0.01</v>
      </c>
      <c r="H1911">
        <v>0</v>
      </c>
      <c r="I1911">
        <v>99</v>
      </c>
      <c r="J1911">
        <v>0</v>
      </c>
      <c r="K1911">
        <v>77.3</v>
      </c>
      <c r="L1911">
        <v>0</v>
      </c>
      <c r="M1911">
        <v>99</v>
      </c>
      <c r="N1911">
        <v>7.2</v>
      </c>
      <c r="O1911">
        <v>99</v>
      </c>
      <c r="P1911">
        <v>0.1</v>
      </c>
      <c r="S1911">
        <v>0.1</v>
      </c>
      <c r="T1911">
        <v>0.1</v>
      </c>
      <c r="W1911" t="b">
        <f>COUNT(LifeExpectancyData[[#This Row],[Life expectancy]:[Schooling]])=19</f>
        <v>0</v>
      </c>
    </row>
    <row r="1912" spans="1:23" x14ac:dyDescent="0.25">
      <c r="A1912" t="s">
        <v>406</v>
      </c>
      <c r="B1912">
        <v>2015</v>
      </c>
      <c r="C1912" t="s">
        <v>288</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COUNT(LifeExpectancyData[[#This Row],[Life expectancy]:[Schooling]])=19</f>
        <v>0</v>
      </c>
    </row>
    <row r="1913" spans="1:23" x14ac:dyDescent="0.25">
      <c r="A1913" t="s">
        <v>406</v>
      </c>
      <c r="B1913">
        <v>2014</v>
      </c>
      <c r="C1913" t="s">
        <v>288</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COUNT(LifeExpectancyData[[#This Row],[Life expectancy]:[Schooling]])=19</f>
        <v>0</v>
      </c>
    </row>
    <row r="1914" spans="1:23" x14ac:dyDescent="0.25">
      <c r="A1914" t="s">
        <v>406</v>
      </c>
      <c r="B1914">
        <v>2013</v>
      </c>
      <c r="C1914" t="s">
        <v>288</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COUNT(LifeExpectancyData[[#This Row],[Life expectancy]:[Schooling]])=19</f>
        <v>0</v>
      </c>
    </row>
    <row r="1915" spans="1:23" x14ac:dyDescent="0.25">
      <c r="A1915" t="s">
        <v>406</v>
      </c>
      <c r="B1915">
        <v>2012</v>
      </c>
      <c r="C1915" t="s">
        <v>288</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COUNT(LifeExpectancyData[[#This Row],[Life expectancy]:[Schooling]])=19</f>
        <v>0</v>
      </c>
    </row>
    <row r="1916" spans="1:23" x14ac:dyDescent="0.25">
      <c r="A1916" t="s">
        <v>406</v>
      </c>
      <c r="B1916">
        <v>2011</v>
      </c>
      <c r="C1916" t="s">
        <v>288</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COUNT(LifeExpectancyData[[#This Row],[Life expectancy]:[Schooling]])=19</f>
        <v>0</v>
      </c>
    </row>
    <row r="1917" spans="1:23" x14ac:dyDescent="0.25">
      <c r="A1917" t="s">
        <v>406</v>
      </c>
      <c r="B1917">
        <v>2010</v>
      </c>
      <c r="C1917" t="s">
        <v>288</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COUNT(LifeExpectancyData[[#This Row],[Life expectancy]:[Schooling]])=19</f>
        <v>0</v>
      </c>
    </row>
    <row r="1918" spans="1:23" x14ac:dyDescent="0.25">
      <c r="A1918" t="s">
        <v>406</v>
      </c>
      <c r="B1918">
        <v>2009</v>
      </c>
      <c r="C1918" t="s">
        <v>288</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COUNT(LifeExpectancyData[[#This Row],[Life expectancy]:[Schooling]])=19</f>
        <v>0</v>
      </c>
    </row>
    <row r="1919" spans="1:23" x14ac:dyDescent="0.25">
      <c r="A1919" t="s">
        <v>406</v>
      </c>
      <c r="B1919">
        <v>2008</v>
      </c>
      <c r="C1919" t="s">
        <v>288</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COUNT(LifeExpectancyData[[#This Row],[Life expectancy]:[Schooling]])=19</f>
        <v>0</v>
      </c>
    </row>
    <row r="1920" spans="1:23" x14ac:dyDescent="0.25">
      <c r="A1920" t="s">
        <v>406</v>
      </c>
      <c r="B1920">
        <v>2007</v>
      </c>
      <c r="C1920" t="s">
        <v>288</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COUNT(LifeExpectancyData[[#This Row],[Life expectancy]:[Schooling]])=19</f>
        <v>0</v>
      </c>
    </row>
    <row r="1921" spans="1:23" x14ac:dyDescent="0.25">
      <c r="A1921" t="s">
        <v>406</v>
      </c>
      <c r="B1921">
        <v>2006</v>
      </c>
      <c r="C1921" t="s">
        <v>288</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COUNT(LifeExpectancyData[[#This Row],[Life expectancy]:[Schooling]])=19</f>
        <v>0</v>
      </c>
    </row>
    <row r="1922" spans="1:23" x14ac:dyDescent="0.25">
      <c r="A1922" t="s">
        <v>406</v>
      </c>
      <c r="B1922">
        <v>2005</v>
      </c>
      <c r="C1922" t="s">
        <v>288</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COUNT(LifeExpectancyData[[#This Row],[Life expectancy]:[Schooling]])=19</f>
        <v>0</v>
      </c>
    </row>
    <row r="1923" spans="1:23" x14ac:dyDescent="0.25">
      <c r="A1923" t="s">
        <v>406</v>
      </c>
      <c r="B1923">
        <v>2004</v>
      </c>
      <c r="C1923" t="s">
        <v>288</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COUNT(LifeExpectancyData[[#This Row],[Life expectancy]:[Schooling]])=19</f>
        <v>0</v>
      </c>
    </row>
    <row r="1924" spans="1:23" x14ac:dyDescent="0.25">
      <c r="A1924" t="s">
        <v>406</v>
      </c>
      <c r="B1924">
        <v>2003</v>
      </c>
      <c r="C1924" t="s">
        <v>288</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COUNT(LifeExpectancyData[[#This Row],[Life expectancy]:[Schooling]])=19</f>
        <v>0</v>
      </c>
    </row>
    <row r="1925" spans="1:23" x14ac:dyDescent="0.25">
      <c r="A1925" t="s">
        <v>406</v>
      </c>
      <c r="B1925">
        <v>2002</v>
      </c>
      <c r="C1925" t="s">
        <v>288</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COUNT(LifeExpectancyData[[#This Row],[Life expectancy]:[Schooling]])=19</f>
        <v>0</v>
      </c>
    </row>
    <row r="1926" spans="1:23" x14ac:dyDescent="0.25">
      <c r="A1926" t="s">
        <v>406</v>
      </c>
      <c r="B1926">
        <v>2001</v>
      </c>
      <c r="C1926" t="s">
        <v>288</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COUNT(LifeExpectancyData[[#This Row],[Life expectancy]:[Schooling]])=19</f>
        <v>0</v>
      </c>
    </row>
    <row r="1927" spans="1:23" x14ac:dyDescent="0.25">
      <c r="A1927" t="s">
        <v>406</v>
      </c>
      <c r="B1927">
        <v>2000</v>
      </c>
      <c r="C1927" t="s">
        <v>288</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COUNT(LifeExpectancyData[[#This Row],[Life expectancy]:[Schooling]])=19</f>
        <v>0</v>
      </c>
    </row>
    <row r="1928" spans="1:23" x14ac:dyDescent="0.25">
      <c r="A1928" t="s">
        <v>407</v>
      </c>
      <c r="B1928">
        <v>2015</v>
      </c>
      <c r="C1928" t="s">
        <v>280</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COUNT(LifeExpectancyData[[#This Row],[Life expectancy]:[Schooling]])=19</f>
        <v>0</v>
      </c>
    </row>
    <row r="1929" spans="1:23" x14ac:dyDescent="0.25">
      <c r="A1929" t="s">
        <v>407</v>
      </c>
      <c r="B1929">
        <v>2014</v>
      </c>
      <c r="C1929" t="s">
        <v>280</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COUNT(LifeExpectancyData[[#This Row],[Life expectancy]:[Schooling]])=19</f>
        <v>0</v>
      </c>
    </row>
    <row r="1930" spans="1:23" x14ac:dyDescent="0.25">
      <c r="A1930" t="s">
        <v>407</v>
      </c>
      <c r="B1930">
        <v>2013</v>
      </c>
      <c r="C1930" t="s">
        <v>280</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COUNT(LifeExpectancyData[[#This Row],[Life expectancy]:[Schooling]])=19</f>
        <v>0</v>
      </c>
    </row>
    <row r="1931" spans="1:23" x14ac:dyDescent="0.25">
      <c r="A1931" t="s">
        <v>407</v>
      </c>
      <c r="B1931">
        <v>2012</v>
      </c>
      <c r="C1931" t="s">
        <v>280</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COUNT(LifeExpectancyData[[#This Row],[Life expectancy]:[Schooling]])=19</f>
        <v>0</v>
      </c>
    </row>
    <row r="1932" spans="1:23" x14ac:dyDescent="0.25">
      <c r="A1932" t="s">
        <v>407</v>
      </c>
      <c r="B1932">
        <v>2011</v>
      </c>
      <c r="C1932" t="s">
        <v>280</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COUNT(LifeExpectancyData[[#This Row],[Life expectancy]:[Schooling]])=19</f>
        <v>0</v>
      </c>
    </row>
    <row r="1933" spans="1:23" x14ac:dyDescent="0.25">
      <c r="A1933" t="s">
        <v>407</v>
      </c>
      <c r="B1933">
        <v>2010</v>
      </c>
      <c r="C1933" t="s">
        <v>280</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COUNT(LifeExpectancyData[[#This Row],[Life expectancy]:[Schooling]])=19</f>
        <v>0</v>
      </c>
    </row>
    <row r="1934" spans="1:23" x14ac:dyDescent="0.25">
      <c r="A1934" t="s">
        <v>407</v>
      </c>
      <c r="B1934">
        <v>2009</v>
      </c>
      <c r="C1934" t="s">
        <v>280</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COUNT(LifeExpectancyData[[#This Row],[Life expectancy]:[Schooling]])=19</f>
        <v>0</v>
      </c>
    </row>
    <row r="1935" spans="1:23" x14ac:dyDescent="0.25">
      <c r="A1935" t="s">
        <v>407</v>
      </c>
      <c r="B1935">
        <v>2008</v>
      </c>
      <c r="C1935" t="s">
        <v>280</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COUNT(LifeExpectancyData[[#This Row],[Life expectancy]:[Schooling]])=19</f>
        <v>0</v>
      </c>
    </row>
    <row r="1936" spans="1:23" x14ac:dyDescent="0.25">
      <c r="A1936" t="s">
        <v>407</v>
      </c>
      <c r="B1936">
        <v>2007</v>
      </c>
      <c r="C1936" t="s">
        <v>280</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COUNT(LifeExpectancyData[[#This Row],[Life expectancy]:[Schooling]])=19</f>
        <v>0</v>
      </c>
    </row>
    <row r="1937" spans="1:23" x14ac:dyDescent="0.25">
      <c r="A1937" t="s">
        <v>407</v>
      </c>
      <c r="B1937">
        <v>2006</v>
      </c>
      <c r="C1937" t="s">
        <v>280</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COUNT(LifeExpectancyData[[#This Row],[Life expectancy]:[Schooling]])=19</f>
        <v>0</v>
      </c>
    </row>
    <row r="1938" spans="1:23" x14ac:dyDescent="0.25">
      <c r="A1938" t="s">
        <v>407</v>
      </c>
      <c r="B1938">
        <v>2005</v>
      </c>
      <c r="C1938" t="s">
        <v>280</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COUNT(LifeExpectancyData[[#This Row],[Life expectancy]:[Schooling]])=19</f>
        <v>0</v>
      </c>
    </row>
    <row r="1939" spans="1:23" x14ac:dyDescent="0.25">
      <c r="A1939" t="s">
        <v>407</v>
      </c>
      <c r="B1939">
        <v>2004</v>
      </c>
      <c r="C1939" t="s">
        <v>280</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COUNT(LifeExpectancyData[[#This Row],[Life expectancy]:[Schooling]])=19</f>
        <v>0</v>
      </c>
    </row>
    <row r="1940" spans="1:23" x14ac:dyDescent="0.25">
      <c r="A1940" t="s">
        <v>407</v>
      </c>
      <c r="B1940">
        <v>2003</v>
      </c>
      <c r="C1940" t="s">
        <v>280</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COUNT(LifeExpectancyData[[#This Row],[Life expectancy]:[Schooling]])=19</f>
        <v>0</v>
      </c>
    </row>
    <row r="1941" spans="1:23" x14ac:dyDescent="0.25">
      <c r="A1941" t="s">
        <v>407</v>
      </c>
      <c r="B1941">
        <v>2002</v>
      </c>
      <c r="C1941" t="s">
        <v>280</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COUNT(LifeExpectancyData[[#This Row],[Life expectancy]:[Schooling]])=19</f>
        <v>0</v>
      </c>
    </row>
    <row r="1942" spans="1:23" x14ac:dyDescent="0.25">
      <c r="A1942" t="s">
        <v>407</v>
      </c>
      <c r="B1942">
        <v>2001</v>
      </c>
      <c r="C1942" t="s">
        <v>280</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COUNT(LifeExpectancyData[[#This Row],[Life expectancy]:[Schooling]])=19</f>
        <v>0</v>
      </c>
    </row>
    <row r="1943" spans="1:23" x14ac:dyDescent="0.25">
      <c r="A1943" t="s">
        <v>407</v>
      </c>
      <c r="B1943">
        <v>2000</v>
      </c>
      <c r="C1943" t="s">
        <v>280</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COUNT(LifeExpectancyData[[#This Row],[Life expectancy]:[Schooling]])=19</f>
        <v>0</v>
      </c>
    </row>
    <row r="1944" spans="1:23" x14ac:dyDescent="0.25">
      <c r="A1944" t="s">
        <v>408</v>
      </c>
      <c r="B1944">
        <v>2015</v>
      </c>
      <c r="C1944" t="s">
        <v>280</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COUNT(LifeExpectancyData[[#This Row],[Life expectancy]:[Schooling]])=19</f>
        <v>0</v>
      </c>
    </row>
    <row r="1945" spans="1:23" x14ac:dyDescent="0.25">
      <c r="A1945" t="s">
        <v>408</v>
      </c>
      <c r="B1945">
        <v>2014</v>
      </c>
      <c r="C1945" t="s">
        <v>280</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COUNT(LifeExpectancyData[[#This Row],[Life expectancy]:[Schooling]])=19</f>
        <v>1</v>
      </c>
    </row>
    <row r="1946" spans="1:23" x14ac:dyDescent="0.25">
      <c r="A1946" t="s">
        <v>408</v>
      </c>
      <c r="B1946">
        <v>2013</v>
      </c>
      <c r="C1946" t="s">
        <v>280</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COUNT(LifeExpectancyData[[#This Row],[Life expectancy]:[Schooling]])=19</f>
        <v>1</v>
      </c>
    </row>
    <row r="1947" spans="1:23" x14ac:dyDescent="0.25">
      <c r="A1947" t="s">
        <v>408</v>
      </c>
      <c r="B1947">
        <v>2012</v>
      </c>
      <c r="C1947" t="s">
        <v>280</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COUNT(LifeExpectancyData[[#This Row],[Life expectancy]:[Schooling]])=19</f>
        <v>1</v>
      </c>
    </row>
    <row r="1948" spans="1:23" x14ac:dyDescent="0.25">
      <c r="A1948" t="s">
        <v>408</v>
      </c>
      <c r="B1948">
        <v>2011</v>
      </c>
      <c r="C1948" t="s">
        <v>280</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COUNT(LifeExpectancyData[[#This Row],[Life expectancy]:[Schooling]])=19</f>
        <v>1</v>
      </c>
    </row>
    <row r="1949" spans="1:23" x14ac:dyDescent="0.25">
      <c r="A1949" t="s">
        <v>408</v>
      </c>
      <c r="B1949">
        <v>2010</v>
      </c>
      <c r="C1949" t="s">
        <v>280</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COUNT(LifeExpectancyData[[#This Row],[Life expectancy]:[Schooling]])=19</f>
        <v>1</v>
      </c>
    </row>
    <row r="1950" spans="1:23" x14ac:dyDescent="0.25">
      <c r="A1950" t="s">
        <v>408</v>
      </c>
      <c r="B1950">
        <v>2009</v>
      </c>
      <c r="C1950" t="s">
        <v>280</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COUNT(LifeExpectancyData[[#This Row],[Life expectancy]:[Schooling]])=19</f>
        <v>1</v>
      </c>
    </row>
    <row r="1951" spans="1:23" x14ac:dyDescent="0.25">
      <c r="A1951" t="s">
        <v>408</v>
      </c>
      <c r="B1951">
        <v>2008</v>
      </c>
      <c r="C1951" t="s">
        <v>280</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COUNT(LifeExpectancyData[[#This Row],[Life expectancy]:[Schooling]])=19</f>
        <v>1</v>
      </c>
    </row>
    <row r="1952" spans="1:23" x14ac:dyDescent="0.25">
      <c r="A1952" t="s">
        <v>408</v>
      </c>
      <c r="B1952">
        <v>2007</v>
      </c>
      <c r="C1952" t="s">
        <v>280</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COUNT(LifeExpectancyData[[#This Row],[Life expectancy]:[Schooling]])=19</f>
        <v>1</v>
      </c>
    </row>
    <row r="1953" spans="1:23" x14ac:dyDescent="0.25">
      <c r="A1953" t="s">
        <v>408</v>
      </c>
      <c r="B1953">
        <v>2006</v>
      </c>
      <c r="C1953" t="s">
        <v>280</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COUNT(LifeExpectancyData[[#This Row],[Life expectancy]:[Schooling]])=19</f>
        <v>1</v>
      </c>
    </row>
    <row r="1954" spans="1:23" x14ac:dyDescent="0.25">
      <c r="A1954" t="s">
        <v>408</v>
      </c>
      <c r="B1954">
        <v>2005</v>
      </c>
      <c r="C1954" t="s">
        <v>280</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COUNT(LifeExpectancyData[[#This Row],[Life expectancy]:[Schooling]])=19</f>
        <v>1</v>
      </c>
    </row>
    <row r="1955" spans="1:23" x14ac:dyDescent="0.25">
      <c r="A1955" t="s">
        <v>408</v>
      </c>
      <c r="B1955">
        <v>2004</v>
      </c>
      <c r="C1955" t="s">
        <v>280</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COUNT(LifeExpectancyData[[#This Row],[Life expectancy]:[Schooling]])=19</f>
        <v>1</v>
      </c>
    </row>
    <row r="1956" spans="1:23" x14ac:dyDescent="0.25">
      <c r="A1956" t="s">
        <v>408</v>
      </c>
      <c r="B1956">
        <v>2003</v>
      </c>
      <c r="C1956" t="s">
        <v>280</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COUNT(LifeExpectancyData[[#This Row],[Life expectancy]:[Schooling]])=19</f>
        <v>1</v>
      </c>
    </row>
    <row r="1957" spans="1:23" x14ac:dyDescent="0.25">
      <c r="A1957" t="s">
        <v>408</v>
      </c>
      <c r="B1957">
        <v>2002</v>
      </c>
      <c r="C1957" t="s">
        <v>280</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COUNT(LifeExpectancyData[[#This Row],[Life expectancy]:[Schooling]])=19</f>
        <v>0</v>
      </c>
    </row>
    <row r="1958" spans="1:23" x14ac:dyDescent="0.25">
      <c r="A1958" t="s">
        <v>408</v>
      </c>
      <c r="B1958">
        <v>2001</v>
      </c>
      <c r="C1958" t="s">
        <v>280</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COUNT(LifeExpectancyData[[#This Row],[Life expectancy]:[Schooling]])=19</f>
        <v>0</v>
      </c>
    </row>
    <row r="1959" spans="1:23" x14ac:dyDescent="0.25">
      <c r="A1959" t="s">
        <v>408</v>
      </c>
      <c r="B1959">
        <v>2000</v>
      </c>
      <c r="C1959" t="s">
        <v>280</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COUNT(LifeExpectancyData[[#This Row],[Life expectancy]:[Schooling]])=19</f>
        <v>0</v>
      </c>
    </row>
    <row r="1960" spans="1:23" x14ac:dyDescent="0.25">
      <c r="A1960" t="s">
        <v>409</v>
      </c>
      <c r="B1960">
        <v>2013</v>
      </c>
      <c r="C1960" t="s">
        <v>280</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COUNT(LifeExpectancyData[[#This Row],[Life expectancy]:[Schooling]])=19</f>
        <v>0</v>
      </c>
    </row>
    <row r="1961" spans="1:23" x14ac:dyDescent="0.25">
      <c r="A1961" t="s">
        <v>410</v>
      </c>
      <c r="B1961">
        <v>2015</v>
      </c>
      <c r="C1961" t="s">
        <v>280</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COUNT(LifeExpectancyData[[#This Row],[Life expectancy]:[Schooling]])=19</f>
        <v>0</v>
      </c>
    </row>
    <row r="1962" spans="1:23" x14ac:dyDescent="0.25">
      <c r="A1962" t="s">
        <v>410</v>
      </c>
      <c r="B1962">
        <v>2014</v>
      </c>
      <c r="C1962" t="s">
        <v>280</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COUNT(LifeExpectancyData[[#This Row],[Life expectancy]:[Schooling]])=19</f>
        <v>1</v>
      </c>
    </row>
    <row r="1963" spans="1:23" x14ac:dyDescent="0.25">
      <c r="A1963" t="s">
        <v>410</v>
      </c>
      <c r="B1963">
        <v>2013</v>
      </c>
      <c r="C1963" t="s">
        <v>280</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COUNT(LifeExpectancyData[[#This Row],[Life expectancy]:[Schooling]])=19</f>
        <v>1</v>
      </c>
    </row>
    <row r="1964" spans="1:23" x14ac:dyDescent="0.25">
      <c r="A1964" t="s">
        <v>410</v>
      </c>
      <c r="B1964">
        <v>2012</v>
      </c>
      <c r="C1964" t="s">
        <v>280</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COUNT(LifeExpectancyData[[#This Row],[Life expectancy]:[Schooling]])=19</f>
        <v>1</v>
      </c>
    </row>
    <row r="1965" spans="1:23" x14ac:dyDescent="0.25">
      <c r="A1965" t="s">
        <v>410</v>
      </c>
      <c r="B1965">
        <v>2011</v>
      </c>
      <c r="C1965" t="s">
        <v>280</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COUNT(LifeExpectancyData[[#This Row],[Life expectancy]:[Schooling]])=19</f>
        <v>1</v>
      </c>
    </row>
    <row r="1966" spans="1:23" x14ac:dyDescent="0.25">
      <c r="A1966" t="s">
        <v>410</v>
      </c>
      <c r="B1966">
        <v>2010</v>
      </c>
      <c r="C1966" t="s">
        <v>280</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COUNT(LifeExpectancyData[[#This Row],[Life expectancy]:[Schooling]])=19</f>
        <v>1</v>
      </c>
    </row>
    <row r="1967" spans="1:23" x14ac:dyDescent="0.25">
      <c r="A1967" t="s">
        <v>410</v>
      </c>
      <c r="B1967">
        <v>2009</v>
      </c>
      <c r="C1967" t="s">
        <v>280</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COUNT(LifeExpectancyData[[#This Row],[Life expectancy]:[Schooling]])=19</f>
        <v>1</v>
      </c>
    </row>
    <row r="1968" spans="1:23" x14ac:dyDescent="0.25">
      <c r="A1968" t="s">
        <v>410</v>
      </c>
      <c r="B1968">
        <v>2008</v>
      </c>
      <c r="C1968" t="s">
        <v>280</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COUNT(LifeExpectancyData[[#This Row],[Life expectancy]:[Schooling]])=19</f>
        <v>1</v>
      </c>
    </row>
    <row r="1969" spans="1:23" x14ac:dyDescent="0.25">
      <c r="A1969" t="s">
        <v>410</v>
      </c>
      <c r="B1969">
        <v>2007</v>
      </c>
      <c r="C1969" t="s">
        <v>280</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COUNT(LifeExpectancyData[[#This Row],[Life expectancy]:[Schooling]])=19</f>
        <v>1</v>
      </c>
    </row>
    <row r="1970" spans="1:23" x14ac:dyDescent="0.25">
      <c r="A1970" t="s">
        <v>410</v>
      </c>
      <c r="B1970">
        <v>2006</v>
      </c>
      <c r="C1970" t="s">
        <v>280</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COUNT(LifeExpectancyData[[#This Row],[Life expectancy]:[Schooling]])=19</f>
        <v>1</v>
      </c>
    </row>
    <row r="1971" spans="1:23" x14ac:dyDescent="0.25">
      <c r="A1971" t="s">
        <v>410</v>
      </c>
      <c r="B1971">
        <v>2005</v>
      </c>
      <c r="C1971" t="s">
        <v>280</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COUNT(LifeExpectancyData[[#This Row],[Life expectancy]:[Schooling]])=19</f>
        <v>1</v>
      </c>
    </row>
    <row r="1972" spans="1:23" x14ac:dyDescent="0.25">
      <c r="A1972" t="s">
        <v>410</v>
      </c>
      <c r="B1972">
        <v>2004</v>
      </c>
      <c r="C1972" t="s">
        <v>280</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COUNT(LifeExpectancyData[[#This Row],[Life expectancy]:[Schooling]])=19</f>
        <v>1</v>
      </c>
    </row>
    <row r="1973" spans="1:23" x14ac:dyDescent="0.25">
      <c r="A1973" t="s">
        <v>410</v>
      </c>
      <c r="B1973">
        <v>2003</v>
      </c>
      <c r="C1973" t="s">
        <v>280</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COUNT(LifeExpectancyData[[#This Row],[Life expectancy]:[Schooling]])=19</f>
        <v>1</v>
      </c>
    </row>
    <row r="1974" spans="1:23" x14ac:dyDescent="0.25">
      <c r="A1974" t="s">
        <v>410</v>
      </c>
      <c r="B1974">
        <v>2002</v>
      </c>
      <c r="C1974" t="s">
        <v>280</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COUNT(LifeExpectancyData[[#This Row],[Life expectancy]:[Schooling]])=19</f>
        <v>1</v>
      </c>
    </row>
    <row r="1975" spans="1:23" x14ac:dyDescent="0.25">
      <c r="A1975" t="s">
        <v>410</v>
      </c>
      <c r="B1975">
        <v>2001</v>
      </c>
      <c r="C1975" t="s">
        <v>280</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COUNT(LifeExpectancyData[[#This Row],[Life expectancy]:[Schooling]])=19</f>
        <v>1</v>
      </c>
    </row>
    <row r="1976" spans="1:23" x14ac:dyDescent="0.25">
      <c r="A1976" t="s">
        <v>410</v>
      </c>
      <c r="B1976">
        <v>2000</v>
      </c>
      <c r="C1976" t="s">
        <v>280</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COUNT(LifeExpectancyData[[#This Row],[Life expectancy]:[Schooling]])=19</f>
        <v>0</v>
      </c>
    </row>
    <row r="1977" spans="1:23" x14ac:dyDescent="0.25">
      <c r="A1977" t="s">
        <v>411</v>
      </c>
      <c r="B1977">
        <v>2015</v>
      </c>
      <c r="C1977" t="s">
        <v>280</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COUNT(LifeExpectancyData[[#This Row],[Life expectancy]:[Schooling]])=19</f>
        <v>0</v>
      </c>
    </row>
    <row r="1978" spans="1:23" x14ac:dyDescent="0.25">
      <c r="A1978" t="s">
        <v>411</v>
      </c>
      <c r="B1978">
        <v>2014</v>
      </c>
      <c r="C1978" t="s">
        <v>280</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COUNT(LifeExpectancyData[[#This Row],[Life expectancy]:[Schooling]])=19</f>
        <v>1</v>
      </c>
    </row>
    <row r="1979" spans="1:23" x14ac:dyDescent="0.25">
      <c r="A1979" t="s">
        <v>411</v>
      </c>
      <c r="B1979">
        <v>2013</v>
      </c>
      <c r="C1979" t="s">
        <v>280</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COUNT(LifeExpectancyData[[#This Row],[Life expectancy]:[Schooling]])=19</f>
        <v>1</v>
      </c>
    </row>
    <row r="1980" spans="1:23" x14ac:dyDescent="0.25">
      <c r="A1980" t="s">
        <v>411</v>
      </c>
      <c r="B1980">
        <v>2012</v>
      </c>
      <c r="C1980" t="s">
        <v>280</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COUNT(LifeExpectancyData[[#This Row],[Life expectancy]:[Schooling]])=19</f>
        <v>1</v>
      </c>
    </row>
    <row r="1981" spans="1:23" x14ac:dyDescent="0.25">
      <c r="A1981" t="s">
        <v>411</v>
      </c>
      <c r="B1981">
        <v>2011</v>
      </c>
      <c r="C1981" t="s">
        <v>280</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COUNT(LifeExpectancyData[[#This Row],[Life expectancy]:[Schooling]])=19</f>
        <v>1</v>
      </c>
    </row>
    <row r="1982" spans="1:23" x14ac:dyDescent="0.25">
      <c r="A1982" t="s">
        <v>411</v>
      </c>
      <c r="B1982">
        <v>2010</v>
      </c>
      <c r="C1982" t="s">
        <v>280</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COUNT(LifeExpectancyData[[#This Row],[Life expectancy]:[Schooling]])=19</f>
        <v>1</v>
      </c>
    </row>
    <row r="1983" spans="1:23" x14ac:dyDescent="0.25">
      <c r="A1983" t="s">
        <v>411</v>
      </c>
      <c r="B1983">
        <v>2009</v>
      </c>
      <c r="C1983" t="s">
        <v>280</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COUNT(LifeExpectancyData[[#This Row],[Life expectancy]:[Schooling]])=19</f>
        <v>1</v>
      </c>
    </row>
    <row r="1984" spans="1:23" x14ac:dyDescent="0.25">
      <c r="A1984" t="s">
        <v>411</v>
      </c>
      <c r="B1984">
        <v>2008</v>
      </c>
      <c r="C1984" t="s">
        <v>280</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COUNT(LifeExpectancyData[[#This Row],[Life expectancy]:[Schooling]])=19</f>
        <v>1</v>
      </c>
    </row>
    <row r="1985" spans="1:23" x14ac:dyDescent="0.25">
      <c r="A1985" t="s">
        <v>411</v>
      </c>
      <c r="B1985">
        <v>2007</v>
      </c>
      <c r="C1985" t="s">
        <v>280</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COUNT(LifeExpectancyData[[#This Row],[Life expectancy]:[Schooling]])=19</f>
        <v>1</v>
      </c>
    </row>
    <row r="1986" spans="1:23" x14ac:dyDescent="0.25">
      <c r="A1986" t="s">
        <v>411</v>
      </c>
      <c r="B1986">
        <v>2006</v>
      </c>
      <c r="C1986" t="s">
        <v>280</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COUNT(LifeExpectancyData[[#This Row],[Life expectancy]:[Schooling]])=19</f>
        <v>1</v>
      </c>
    </row>
    <row r="1987" spans="1:23" x14ac:dyDescent="0.25">
      <c r="A1987" t="s">
        <v>411</v>
      </c>
      <c r="B1987">
        <v>2005</v>
      </c>
      <c r="C1987" t="s">
        <v>280</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COUNT(LifeExpectancyData[[#This Row],[Life expectancy]:[Schooling]])=19</f>
        <v>1</v>
      </c>
    </row>
    <row r="1988" spans="1:23" x14ac:dyDescent="0.25">
      <c r="A1988" t="s">
        <v>411</v>
      </c>
      <c r="B1988">
        <v>2004</v>
      </c>
      <c r="C1988" t="s">
        <v>280</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COUNT(LifeExpectancyData[[#This Row],[Life expectancy]:[Schooling]])=19</f>
        <v>1</v>
      </c>
    </row>
    <row r="1989" spans="1:23" x14ac:dyDescent="0.25">
      <c r="A1989" t="s">
        <v>411</v>
      </c>
      <c r="B1989">
        <v>2003</v>
      </c>
      <c r="C1989" t="s">
        <v>280</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COUNT(LifeExpectancyData[[#This Row],[Life expectancy]:[Schooling]])=19</f>
        <v>1</v>
      </c>
    </row>
    <row r="1990" spans="1:23" x14ac:dyDescent="0.25">
      <c r="A1990" t="s">
        <v>411</v>
      </c>
      <c r="B1990">
        <v>2002</v>
      </c>
      <c r="C1990" t="s">
        <v>280</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COUNT(LifeExpectancyData[[#This Row],[Life expectancy]:[Schooling]])=19</f>
        <v>1</v>
      </c>
    </row>
    <row r="1991" spans="1:23" x14ac:dyDescent="0.25">
      <c r="A1991" t="s">
        <v>411</v>
      </c>
      <c r="B1991">
        <v>2001</v>
      </c>
      <c r="C1991" t="s">
        <v>280</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COUNT(LifeExpectancyData[[#This Row],[Life expectancy]:[Schooling]])=19</f>
        <v>1</v>
      </c>
    </row>
    <row r="1992" spans="1:23" x14ac:dyDescent="0.25">
      <c r="A1992" t="s">
        <v>411</v>
      </c>
      <c r="B1992">
        <v>2000</v>
      </c>
      <c r="C1992" t="s">
        <v>280</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COUNT(LifeExpectancyData[[#This Row],[Life expectancy]:[Schooling]])=19</f>
        <v>1</v>
      </c>
    </row>
    <row r="1993" spans="1:23" x14ac:dyDescent="0.25">
      <c r="A1993" t="s">
        <v>412</v>
      </c>
      <c r="B1993">
        <v>2015</v>
      </c>
      <c r="C1993" t="s">
        <v>280</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COUNT(LifeExpectancyData[[#This Row],[Life expectancy]:[Schooling]])=19</f>
        <v>0</v>
      </c>
    </row>
    <row r="1994" spans="1:23" x14ac:dyDescent="0.25">
      <c r="A1994" t="s">
        <v>412</v>
      </c>
      <c r="B1994">
        <v>2014</v>
      </c>
      <c r="C1994" t="s">
        <v>280</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COUNT(LifeExpectancyData[[#This Row],[Life expectancy]:[Schooling]])=19</f>
        <v>1</v>
      </c>
    </row>
    <row r="1995" spans="1:23" x14ac:dyDescent="0.25">
      <c r="A1995" t="s">
        <v>412</v>
      </c>
      <c r="B1995">
        <v>2013</v>
      </c>
      <c r="C1995" t="s">
        <v>280</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COUNT(LifeExpectancyData[[#This Row],[Life expectancy]:[Schooling]])=19</f>
        <v>1</v>
      </c>
    </row>
    <row r="1996" spans="1:23" x14ac:dyDescent="0.25">
      <c r="A1996" t="s">
        <v>412</v>
      </c>
      <c r="B1996">
        <v>2012</v>
      </c>
      <c r="C1996" t="s">
        <v>280</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COUNT(LifeExpectancyData[[#This Row],[Life expectancy]:[Schooling]])=19</f>
        <v>1</v>
      </c>
    </row>
    <row r="1997" spans="1:23" x14ac:dyDescent="0.25">
      <c r="A1997" t="s">
        <v>412</v>
      </c>
      <c r="B1997">
        <v>2011</v>
      </c>
      <c r="C1997" t="s">
        <v>280</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COUNT(LifeExpectancyData[[#This Row],[Life expectancy]:[Schooling]])=19</f>
        <v>1</v>
      </c>
    </row>
    <row r="1998" spans="1:23" x14ac:dyDescent="0.25">
      <c r="A1998" t="s">
        <v>412</v>
      </c>
      <c r="B1998">
        <v>2010</v>
      </c>
      <c r="C1998" t="s">
        <v>280</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COUNT(LifeExpectancyData[[#This Row],[Life expectancy]:[Schooling]])=19</f>
        <v>1</v>
      </c>
    </row>
    <row r="1999" spans="1:23" x14ac:dyDescent="0.25">
      <c r="A1999" t="s">
        <v>412</v>
      </c>
      <c r="B1999">
        <v>2009</v>
      </c>
      <c r="C1999" t="s">
        <v>280</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COUNT(LifeExpectancyData[[#This Row],[Life expectancy]:[Schooling]])=19</f>
        <v>1</v>
      </c>
    </row>
    <row r="2000" spans="1:23" x14ac:dyDescent="0.25">
      <c r="A2000" t="s">
        <v>412</v>
      </c>
      <c r="B2000">
        <v>2008</v>
      </c>
      <c r="C2000" t="s">
        <v>280</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COUNT(LifeExpectancyData[[#This Row],[Life expectancy]:[Schooling]])=19</f>
        <v>1</v>
      </c>
    </row>
    <row r="2001" spans="1:23" x14ac:dyDescent="0.25">
      <c r="A2001" t="s">
        <v>412</v>
      </c>
      <c r="B2001">
        <v>2007</v>
      </c>
      <c r="C2001" t="s">
        <v>280</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COUNT(LifeExpectancyData[[#This Row],[Life expectancy]:[Schooling]])=19</f>
        <v>1</v>
      </c>
    </row>
    <row r="2002" spans="1:23" x14ac:dyDescent="0.25">
      <c r="A2002" t="s">
        <v>412</v>
      </c>
      <c r="B2002">
        <v>2006</v>
      </c>
      <c r="C2002" t="s">
        <v>280</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COUNT(LifeExpectancyData[[#This Row],[Life expectancy]:[Schooling]])=19</f>
        <v>1</v>
      </c>
    </row>
    <row r="2003" spans="1:23" x14ac:dyDescent="0.25">
      <c r="A2003" t="s">
        <v>412</v>
      </c>
      <c r="B2003">
        <v>2005</v>
      </c>
      <c r="C2003" t="s">
        <v>280</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COUNT(LifeExpectancyData[[#This Row],[Life expectancy]:[Schooling]])=19</f>
        <v>1</v>
      </c>
    </row>
    <row r="2004" spans="1:23" x14ac:dyDescent="0.25">
      <c r="A2004" t="s">
        <v>412</v>
      </c>
      <c r="B2004">
        <v>2004</v>
      </c>
      <c r="C2004" t="s">
        <v>280</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COUNT(LifeExpectancyData[[#This Row],[Life expectancy]:[Schooling]])=19</f>
        <v>1</v>
      </c>
    </row>
    <row r="2005" spans="1:23" x14ac:dyDescent="0.25">
      <c r="A2005" t="s">
        <v>412</v>
      </c>
      <c r="B2005">
        <v>2003</v>
      </c>
      <c r="C2005" t="s">
        <v>280</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COUNT(LifeExpectancyData[[#This Row],[Life expectancy]:[Schooling]])=19</f>
        <v>1</v>
      </c>
    </row>
    <row r="2006" spans="1:23" x14ac:dyDescent="0.25">
      <c r="A2006" t="s">
        <v>412</v>
      </c>
      <c r="B2006">
        <v>2002</v>
      </c>
      <c r="C2006" t="s">
        <v>280</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COUNT(LifeExpectancyData[[#This Row],[Life expectancy]:[Schooling]])=19</f>
        <v>0</v>
      </c>
    </row>
    <row r="2007" spans="1:23" x14ac:dyDescent="0.25">
      <c r="A2007" t="s">
        <v>412</v>
      </c>
      <c r="B2007">
        <v>2001</v>
      </c>
      <c r="C2007" t="s">
        <v>280</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COUNT(LifeExpectancyData[[#This Row],[Life expectancy]:[Schooling]])=19</f>
        <v>0</v>
      </c>
    </row>
    <row r="2008" spans="1:23" x14ac:dyDescent="0.25">
      <c r="A2008" t="s">
        <v>412</v>
      </c>
      <c r="B2008">
        <v>2000</v>
      </c>
      <c r="C2008" t="s">
        <v>280</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COUNT(LifeExpectancyData[[#This Row],[Life expectancy]:[Schooling]])=19</f>
        <v>0</v>
      </c>
    </row>
    <row r="2009" spans="1:23" x14ac:dyDescent="0.25">
      <c r="A2009" t="s">
        <v>413</v>
      </c>
      <c r="B2009">
        <v>2015</v>
      </c>
      <c r="C2009" t="s">
        <v>280</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COUNT(LifeExpectancyData[[#This Row],[Life expectancy]:[Schooling]])=19</f>
        <v>0</v>
      </c>
    </row>
    <row r="2010" spans="1:23" x14ac:dyDescent="0.25">
      <c r="A2010" t="s">
        <v>413</v>
      </c>
      <c r="B2010">
        <v>2014</v>
      </c>
      <c r="C2010" t="s">
        <v>280</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COUNT(LifeExpectancyData[[#This Row],[Life expectancy]:[Schooling]])=19</f>
        <v>1</v>
      </c>
    </row>
    <row r="2011" spans="1:23" x14ac:dyDescent="0.25">
      <c r="A2011" t="s">
        <v>413</v>
      </c>
      <c r="B2011">
        <v>2013</v>
      </c>
      <c r="C2011" t="s">
        <v>280</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COUNT(LifeExpectancyData[[#This Row],[Life expectancy]:[Schooling]])=19</f>
        <v>1</v>
      </c>
    </row>
    <row r="2012" spans="1:23" x14ac:dyDescent="0.25">
      <c r="A2012" t="s">
        <v>413</v>
      </c>
      <c r="B2012">
        <v>2012</v>
      </c>
      <c r="C2012" t="s">
        <v>280</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COUNT(LifeExpectancyData[[#This Row],[Life expectancy]:[Schooling]])=19</f>
        <v>1</v>
      </c>
    </row>
    <row r="2013" spans="1:23" x14ac:dyDescent="0.25">
      <c r="A2013" t="s">
        <v>413</v>
      </c>
      <c r="B2013">
        <v>2011</v>
      </c>
      <c r="C2013" t="s">
        <v>280</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COUNT(LifeExpectancyData[[#This Row],[Life expectancy]:[Schooling]])=19</f>
        <v>1</v>
      </c>
    </row>
    <row r="2014" spans="1:23" x14ac:dyDescent="0.25">
      <c r="A2014" t="s">
        <v>413</v>
      </c>
      <c r="B2014">
        <v>2010</v>
      </c>
      <c r="C2014" t="s">
        <v>280</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COUNT(LifeExpectancyData[[#This Row],[Life expectancy]:[Schooling]])=19</f>
        <v>1</v>
      </c>
    </row>
    <row r="2015" spans="1:23" x14ac:dyDescent="0.25">
      <c r="A2015" t="s">
        <v>413</v>
      </c>
      <c r="B2015">
        <v>2009</v>
      </c>
      <c r="C2015" t="s">
        <v>280</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COUNT(LifeExpectancyData[[#This Row],[Life expectancy]:[Schooling]])=19</f>
        <v>1</v>
      </c>
    </row>
    <row r="2016" spans="1:23" x14ac:dyDescent="0.25">
      <c r="A2016" t="s">
        <v>413</v>
      </c>
      <c r="B2016">
        <v>2008</v>
      </c>
      <c r="C2016" t="s">
        <v>280</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COUNT(LifeExpectancyData[[#This Row],[Life expectancy]:[Schooling]])=19</f>
        <v>1</v>
      </c>
    </row>
    <row r="2017" spans="1:23" x14ac:dyDescent="0.25">
      <c r="A2017" t="s">
        <v>413</v>
      </c>
      <c r="B2017">
        <v>2007</v>
      </c>
      <c r="C2017" t="s">
        <v>280</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COUNT(LifeExpectancyData[[#This Row],[Life expectancy]:[Schooling]])=19</f>
        <v>1</v>
      </c>
    </row>
    <row r="2018" spans="1:23" x14ac:dyDescent="0.25">
      <c r="A2018" t="s">
        <v>413</v>
      </c>
      <c r="B2018">
        <v>2006</v>
      </c>
      <c r="C2018" t="s">
        <v>280</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COUNT(LifeExpectancyData[[#This Row],[Life expectancy]:[Schooling]])=19</f>
        <v>1</v>
      </c>
    </row>
    <row r="2019" spans="1:23" x14ac:dyDescent="0.25">
      <c r="A2019" t="s">
        <v>413</v>
      </c>
      <c r="B2019">
        <v>2005</v>
      </c>
      <c r="C2019" t="s">
        <v>280</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COUNT(LifeExpectancyData[[#This Row],[Life expectancy]:[Schooling]])=19</f>
        <v>1</v>
      </c>
    </row>
    <row r="2020" spans="1:23" x14ac:dyDescent="0.25">
      <c r="A2020" t="s">
        <v>413</v>
      </c>
      <c r="B2020">
        <v>2004</v>
      </c>
      <c r="C2020" t="s">
        <v>280</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COUNT(LifeExpectancyData[[#This Row],[Life expectancy]:[Schooling]])=19</f>
        <v>1</v>
      </c>
    </row>
    <row r="2021" spans="1:23" x14ac:dyDescent="0.25">
      <c r="A2021" t="s">
        <v>413</v>
      </c>
      <c r="B2021">
        <v>2003</v>
      </c>
      <c r="C2021" t="s">
        <v>280</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COUNT(LifeExpectancyData[[#This Row],[Life expectancy]:[Schooling]])=19</f>
        <v>1</v>
      </c>
    </row>
    <row r="2022" spans="1:23" x14ac:dyDescent="0.25">
      <c r="A2022" t="s">
        <v>413</v>
      </c>
      <c r="B2022">
        <v>2002</v>
      </c>
      <c r="C2022" t="s">
        <v>280</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COUNT(LifeExpectancyData[[#This Row],[Life expectancy]:[Schooling]])=19</f>
        <v>0</v>
      </c>
    </row>
    <row r="2023" spans="1:23" x14ac:dyDescent="0.25">
      <c r="A2023" t="s">
        <v>413</v>
      </c>
      <c r="B2023">
        <v>2001</v>
      </c>
      <c r="C2023" t="s">
        <v>280</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COUNT(LifeExpectancyData[[#This Row],[Life expectancy]:[Schooling]])=19</f>
        <v>0</v>
      </c>
    </row>
    <row r="2024" spans="1:23" x14ac:dyDescent="0.25">
      <c r="A2024" t="s">
        <v>413</v>
      </c>
      <c r="B2024">
        <v>2000</v>
      </c>
      <c r="C2024" t="s">
        <v>280</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COUNT(LifeExpectancyData[[#This Row],[Life expectancy]:[Schooling]])=19</f>
        <v>0</v>
      </c>
    </row>
    <row r="2025" spans="1:23" x14ac:dyDescent="0.25">
      <c r="A2025" t="s">
        <v>414</v>
      </c>
      <c r="B2025">
        <v>2015</v>
      </c>
      <c r="C2025" t="s">
        <v>280</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COUNT(LifeExpectancyData[[#This Row],[Life expectancy]:[Schooling]])=19</f>
        <v>0</v>
      </c>
    </row>
    <row r="2026" spans="1:23" x14ac:dyDescent="0.25">
      <c r="A2026" t="s">
        <v>414</v>
      </c>
      <c r="B2026">
        <v>2014</v>
      </c>
      <c r="C2026" t="s">
        <v>280</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COUNT(LifeExpectancyData[[#This Row],[Life expectancy]:[Schooling]])=19</f>
        <v>1</v>
      </c>
    </row>
    <row r="2027" spans="1:23" x14ac:dyDescent="0.25">
      <c r="A2027" t="s">
        <v>414</v>
      </c>
      <c r="B2027">
        <v>2013</v>
      </c>
      <c r="C2027" t="s">
        <v>280</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COUNT(LifeExpectancyData[[#This Row],[Life expectancy]:[Schooling]])=19</f>
        <v>1</v>
      </c>
    </row>
    <row r="2028" spans="1:23" x14ac:dyDescent="0.25">
      <c r="A2028" t="s">
        <v>414</v>
      </c>
      <c r="B2028">
        <v>2012</v>
      </c>
      <c r="C2028" t="s">
        <v>280</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COUNT(LifeExpectancyData[[#This Row],[Life expectancy]:[Schooling]])=19</f>
        <v>1</v>
      </c>
    </row>
    <row r="2029" spans="1:23" x14ac:dyDescent="0.25">
      <c r="A2029" t="s">
        <v>414</v>
      </c>
      <c r="B2029">
        <v>2011</v>
      </c>
      <c r="C2029" t="s">
        <v>280</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COUNT(LifeExpectancyData[[#This Row],[Life expectancy]:[Schooling]])=19</f>
        <v>1</v>
      </c>
    </row>
    <row r="2030" spans="1:23" x14ac:dyDescent="0.25">
      <c r="A2030" t="s">
        <v>414</v>
      </c>
      <c r="B2030">
        <v>2010</v>
      </c>
      <c r="C2030" t="s">
        <v>280</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COUNT(LifeExpectancyData[[#This Row],[Life expectancy]:[Schooling]])=19</f>
        <v>1</v>
      </c>
    </row>
    <row r="2031" spans="1:23" x14ac:dyDescent="0.25">
      <c r="A2031" t="s">
        <v>414</v>
      </c>
      <c r="B2031">
        <v>2009</v>
      </c>
      <c r="C2031" t="s">
        <v>280</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COUNT(LifeExpectancyData[[#This Row],[Life expectancy]:[Schooling]])=19</f>
        <v>1</v>
      </c>
    </row>
    <row r="2032" spans="1:23" x14ac:dyDescent="0.25">
      <c r="A2032" t="s">
        <v>414</v>
      </c>
      <c r="B2032">
        <v>2008</v>
      </c>
      <c r="C2032" t="s">
        <v>280</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COUNT(LifeExpectancyData[[#This Row],[Life expectancy]:[Schooling]])=19</f>
        <v>1</v>
      </c>
    </row>
    <row r="2033" spans="1:23" x14ac:dyDescent="0.25">
      <c r="A2033" t="s">
        <v>414</v>
      </c>
      <c r="B2033">
        <v>2007</v>
      </c>
      <c r="C2033" t="s">
        <v>280</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COUNT(LifeExpectancyData[[#This Row],[Life expectancy]:[Schooling]])=19</f>
        <v>1</v>
      </c>
    </row>
    <row r="2034" spans="1:23" x14ac:dyDescent="0.25">
      <c r="A2034" t="s">
        <v>414</v>
      </c>
      <c r="B2034">
        <v>2006</v>
      </c>
      <c r="C2034" t="s">
        <v>280</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COUNT(LifeExpectancyData[[#This Row],[Life expectancy]:[Schooling]])=19</f>
        <v>1</v>
      </c>
    </row>
    <row r="2035" spans="1:23" x14ac:dyDescent="0.25">
      <c r="A2035" t="s">
        <v>414</v>
      </c>
      <c r="B2035">
        <v>2005</v>
      </c>
      <c r="C2035" t="s">
        <v>280</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COUNT(LifeExpectancyData[[#This Row],[Life expectancy]:[Schooling]])=19</f>
        <v>1</v>
      </c>
    </row>
    <row r="2036" spans="1:23" x14ac:dyDescent="0.25">
      <c r="A2036" t="s">
        <v>414</v>
      </c>
      <c r="B2036">
        <v>2004</v>
      </c>
      <c r="C2036" t="s">
        <v>280</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COUNT(LifeExpectancyData[[#This Row],[Life expectancy]:[Schooling]])=19</f>
        <v>1</v>
      </c>
    </row>
    <row r="2037" spans="1:23" x14ac:dyDescent="0.25">
      <c r="A2037" t="s">
        <v>414</v>
      </c>
      <c r="B2037">
        <v>2003</v>
      </c>
      <c r="C2037" t="s">
        <v>280</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COUNT(LifeExpectancyData[[#This Row],[Life expectancy]:[Schooling]])=19</f>
        <v>1</v>
      </c>
    </row>
    <row r="2038" spans="1:23" x14ac:dyDescent="0.25">
      <c r="A2038" t="s">
        <v>414</v>
      </c>
      <c r="B2038">
        <v>2002</v>
      </c>
      <c r="C2038" t="s">
        <v>280</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COUNT(LifeExpectancyData[[#This Row],[Life expectancy]:[Schooling]])=19</f>
        <v>1</v>
      </c>
    </row>
    <row r="2039" spans="1:23" x14ac:dyDescent="0.25">
      <c r="A2039" t="s">
        <v>414</v>
      </c>
      <c r="B2039">
        <v>2001</v>
      </c>
      <c r="C2039" t="s">
        <v>280</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COUNT(LifeExpectancyData[[#This Row],[Life expectancy]:[Schooling]])=19</f>
        <v>1</v>
      </c>
    </row>
    <row r="2040" spans="1:23" x14ac:dyDescent="0.25">
      <c r="A2040" t="s">
        <v>414</v>
      </c>
      <c r="B2040">
        <v>2000</v>
      </c>
      <c r="C2040" t="s">
        <v>280</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COUNT(LifeExpectancyData[[#This Row],[Life expectancy]:[Schooling]])=19</f>
        <v>1</v>
      </c>
    </row>
    <row r="2041" spans="1:23" x14ac:dyDescent="0.25">
      <c r="A2041" t="s">
        <v>415</v>
      </c>
      <c r="B2041">
        <v>2015</v>
      </c>
      <c r="C2041" t="s">
        <v>288</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COUNT(LifeExpectancyData[[#This Row],[Life expectancy]:[Schooling]])=19</f>
        <v>0</v>
      </c>
    </row>
    <row r="2042" spans="1:23" x14ac:dyDescent="0.25">
      <c r="A2042" t="s">
        <v>415</v>
      </c>
      <c r="B2042">
        <v>2014</v>
      </c>
      <c r="C2042" t="s">
        <v>288</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COUNT(LifeExpectancyData[[#This Row],[Life expectancy]:[Schooling]])=19</f>
        <v>1</v>
      </c>
    </row>
    <row r="2043" spans="1:23" x14ac:dyDescent="0.25">
      <c r="A2043" t="s">
        <v>415</v>
      </c>
      <c r="B2043">
        <v>2013</v>
      </c>
      <c r="C2043" t="s">
        <v>288</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COUNT(LifeExpectancyData[[#This Row],[Life expectancy]:[Schooling]])=19</f>
        <v>1</v>
      </c>
    </row>
    <row r="2044" spans="1:23" x14ac:dyDescent="0.25">
      <c r="A2044" t="s">
        <v>415</v>
      </c>
      <c r="B2044">
        <v>2012</v>
      </c>
      <c r="C2044" t="s">
        <v>288</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COUNT(LifeExpectancyData[[#This Row],[Life expectancy]:[Schooling]])=19</f>
        <v>1</v>
      </c>
    </row>
    <row r="2045" spans="1:23" x14ac:dyDescent="0.25">
      <c r="A2045" t="s">
        <v>415</v>
      </c>
      <c r="B2045">
        <v>2011</v>
      </c>
      <c r="C2045" t="s">
        <v>288</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COUNT(LifeExpectancyData[[#This Row],[Life expectancy]:[Schooling]])=19</f>
        <v>1</v>
      </c>
    </row>
    <row r="2046" spans="1:23" x14ac:dyDescent="0.25">
      <c r="A2046" t="s">
        <v>415</v>
      </c>
      <c r="B2046">
        <v>2010</v>
      </c>
      <c r="C2046" t="s">
        <v>288</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COUNT(LifeExpectancyData[[#This Row],[Life expectancy]:[Schooling]])=19</f>
        <v>1</v>
      </c>
    </row>
    <row r="2047" spans="1:23" x14ac:dyDescent="0.25">
      <c r="A2047" t="s">
        <v>415</v>
      </c>
      <c r="B2047">
        <v>2009</v>
      </c>
      <c r="C2047" t="s">
        <v>288</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COUNT(LifeExpectancyData[[#This Row],[Life expectancy]:[Schooling]])=19</f>
        <v>1</v>
      </c>
    </row>
    <row r="2048" spans="1:23" x14ac:dyDescent="0.25">
      <c r="A2048" t="s">
        <v>415</v>
      </c>
      <c r="B2048">
        <v>2008</v>
      </c>
      <c r="C2048" t="s">
        <v>288</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COUNT(LifeExpectancyData[[#This Row],[Life expectancy]:[Schooling]])=19</f>
        <v>1</v>
      </c>
    </row>
    <row r="2049" spans="1:23" x14ac:dyDescent="0.25">
      <c r="A2049" t="s">
        <v>415</v>
      </c>
      <c r="B2049">
        <v>2007</v>
      </c>
      <c r="C2049" t="s">
        <v>288</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COUNT(LifeExpectancyData[[#This Row],[Life expectancy]:[Schooling]])=19</f>
        <v>1</v>
      </c>
    </row>
    <row r="2050" spans="1:23" x14ac:dyDescent="0.25">
      <c r="A2050" t="s">
        <v>415</v>
      </c>
      <c r="B2050">
        <v>2006</v>
      </c>
      <c r="C2050" t="s">
        <v>288</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COUNT(LifeExpectancyData[[#This Row],[Life expectancy]:[Schooling]])=19</f>
        <v>1</v>
      </c>
    </row>
    <row r="2051" spans="1:23" x14ac:dyDescent="0.25">
      <c r="A2051" t="s">
        <v>415</v>
      </c>
      <c r="B2051">
        <v>2005</v>
      </c>
      <c r="C2051" t="s">
        <v>288</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COUNT(LifeExpectancyData[[#This Row],[Life expectancy]:[Schooling]])=19</f>
        <v>1</v>
      </c>
    </row>
    <row r="2052" spans="1:23" x14ac:dyDescent="0.25">
      <c r="A2052" t="s">
        <v>415</v>
      </c>
      <c r="B2052">
        <v>2004</v>
      </c>
      <c r="C2052" t="s">
        <v>288</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COUNT(LifeExpectancyData[[#This Row],[Life expectancy]:[Schooling]])=19</f>
        <v>1</v>
      </c>
    </row>
    <row r="2053" spans="1:23" x14ac:dyDescent="0.25">
      <c r="A2053" t="s">
        <v>415</v>
      </c>
      <c r="B2053">
        <v>2003</v>
      </c>
      <c r="C2053" t="s">
        <v>288</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COUNT(LifeExpectancyData[[#This Row],[Life expectancy]:[Schooling]])=19</f>
        <v>1</v>
      </c>
    </row>
    <row r="2054" spans="1:23" x14ac:dyDescent="0.25">
      <c r="A2054" t="s">
        <v>415</v>
      </c>
      <c r="B2054">
        <v>2002</v>
      </c>
      <c r="C2054" t="s">
        <v>288</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COUNT(LifeExpectancyData[[#This Row],[Life expectancy]:[Schooling]])=19</f>
        <v>1</v>
      </c>
    </row>
    <row r="2055" spans="1:23" x14ac:dyDescent="0.25">
      <c r="A2055" t="s">
        <v>415</v>
      </c>
      <c r="B2055">
        <v>2001</v>
      </c>
      <c r="C2055" t="s">
        <v>288</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COUNT(LifeExpectancyData[[#This Row],[Life expectancy]:[Schooling]])=19</f>
        <v>1</v>
      </c>
    </row>
    <row r="2056" spans="1:23" x14ac:dyDescent="0.25">
      <c r="A2056" t="s">
        <v>415</v>
      </c>
      <c r="B2056">
        <v>2000</v>
      </c>
      <c r="C2056" t="s">
        <v>288</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COUNT(LifeExpectancyData[[#This Row],[Life expectancy]:[Schooling]])=19</f>
        <v>1</v>
      </c>
    </row>
    <row r="2057" spans="1:23" x14ac:dyDescent="0.25">
      <c r="A2057" t="s">
        <v>416</v>
      </c>
      <c r="B2057">
        <v>2015</v>
      </c>
      <c r="C2057" t="s">
        <v>288</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COUNT(LifeExpectancyData[[#This Row],[Life expectancy]:[Schooling]])=19</f>
        <v>0</v>
      </c>
    </row>
    <row r="2058" spans="1:23" x14ac:dyDescent="0.25">
      <c r="A2058" t="s">
        <v>416</v>
      </c>
      <c r="B2058">
        <v>2014</v>
      </c>
      <c r="C2058" t="s">
        <v>288</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COUNT(LifeExpectancyData[[#This Row],[Life expectancy]:[Schooling]])=19</f>
        <v>1</v>
      </c>
    </row>
    <row r="2059" spans="1:23" x14ac:dyDescent="0.25">
      <c r="A2059" t="s">
        <v>416</v>
      </c>
      <c r="B2059">
        <v>2013</v>
      </c>
      <c r="C2059" t="s">
        <v>288</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COUNT(LifeExpectancyData[[#This Row],[Life expectancy]:[Schooling]])=19</f>
        <v>1</v>
      </c>
    </row>
    <row r="2060" spans="1:23" x14ac:dyDescent="0.25">
      <c r="A2060" t="s">
        <v>416</v>
      </c>
      <c r="B2060">
        <v>2012</v>
      </c>
      <c r="C2060" t="s">
        <v>288</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COUNT(LifeExpectancyData[[#This Row],[Life expectancy]:[Schooling]])=19</f>
        <v>1</v>
      </c>
    </row>
    <row r="2061" spans="1:23" x14ac:dyDescent="0.25">
      <c r="A2061" t="s">
        <v>416</v>
      </c>
      <c r="B2061">
        <v>2011</v>
      </c>
      <c r="C2061" t="s">
        <v>288</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COUNT(LifeExpectancyData[[#This Row],[Life expectancy]:[Schooling]])=19</f>
        <v>1</v>
      </c>
    </row>
    <row r="2062" spans="1:23" x14ac:dyDescent="0.25">
      <c r="A2062" t="s">
        <v>416</v>
      </c>
      <c r="B2062">
        <v>2010</v>
      </c>
      <c r="C2062" t="s">
        <v>288</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COUNT(LifeExpectancyData[[#This Row],[Life expectancy]:[Schooling]])=19</f>
        <v>1</v>
      </c>
    </row>
    <row r="2063" spans="1:23" x14ac:dyDescent="0.25">
      <c r="A2063" t="s">
        <v>416</v>
      </c>
      <c r="B2063">
        <v>2009</v>
      </c>
      <c r="C2063" t="s">
        <v>288</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COUNT(LifeExpectancyData[[#This Row],[Life expectancy]:[Schooling]])=19</f>
        <v>1</v>
      </c>
    </row>
    <row r="2064" spans="1:23" x14ac:dyDescent="0.25">
      <c r="A2064" t="s">
        <v>416</v>
      </c>
      <c r="B2064">
        <v>2008</v>
      </c>
      <c r="C2064" t="s">
        <v>288</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COUNT(LifeExpectancyData[[#This Row],[Life expectancy]:[Schooling]])=19</f>
        <v>1</v>
      </c>
    </row>
    <row r="2065" spans="1:23" x14ac:dyDescent="0.25">
      <c r="A2065" t="s">
        <v>416</v>
      </c>
      <c r="B2065">
        <v>2007</v>
      </c>
      <c r="C2065" t="s">
        <v>288</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COUNT(LifeExpectancyData[[#This Row],[Life expectancy]:[Schooling]])=19</f>
        <v>1</v>
      </c>
    </row>
    <row r="2066" spans="1:23" x14ac:dyDescent="0.25">
      <c r="A2066" t="s">
        <v>416</v>
      </c>
      <c r="B2066">
        <v>2006</v>
      </c>
      <c r="C2066" t="s">
        <v>288</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COUNT(LifeExpectancyData[[#This Row],[Life expectancy]:[Schooling]])=19</f>
        <v>1</v>
      </c>
    </row>
    <row r="2067" spans="1:23" x14ac:dyDescent="0.25">
      <c r="A2067" t="s">
        <v>416</v>
      </c>
      <c r="B2067">
        <v>2005</v>
      </c>
      <c r="C2067" t="s">
        <v>288</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COUNT(LifeExpectancyData[[#This Row],[Life expectancy]:[Schooling]])=19</f>
        <v>1</v>
      </c>
    </row>
    <row r="2068" spans="1:23" x14ac:dyDescent="0.25">
      <c r="A2068" t="s">
        <v>416</v>
      </c>
      <c r="B2068">
        <v>2004</v>
      </c>
      <c r="C2068" t="s">
        <v>288</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COUNT(LifeExpectancyData[[#This Row],[Life expectancy]:[Schooling]])=19</f>
        <v>1</v>
      </c>
    </row>
    <row r="2069" spans="1:23" x14ac:dyDescent="0.25">
      <c r="A2069" t="s">
        <v>416</v>
      </c>
      <c r="B2069">
        <v>2003</v>
      </c>
      <c r="C2069" t="s">
        <v>288</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COUNT(LifeExpectancyData[[#This Row],[Life expectancy]:[Schooling]])=19</f>
        <v>1</v>
      </c>
    </row>
    <row r="2070" spans="1:23" x14ac:dyDescent="0.25">
      <c r="A2070" t="s">
        <v>416</v>
      </c>
      <c r="B2070">
        <v>2002</v>
      </c>
      <c r="C2070" t="s">
        <v>288</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COUNT(LifeExpectancyData[[#This Row],[Life expectancy]:[Schooling]])=19</f>
        <v>1</v>
      </c>
    </row>
    <row r="2071" spans="1:23" x14ac:dyDescent="0.25">
      <c r="A2071" t="s">
        <v>416</v>
      </c>
      <c r="B2071">
        <v>2001</v>
      </c>
      <c r="C2071" t="s">
        <v>288</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COUNT(LifeExpectancyData[[#This Row],[Life expectancy]:[Schooling]])=19</f>
        <v>1</v>
      </c>
    </row>
    <row r="2072" spans="1:23" x14ac:dyDescent="0.25">
      <c r="A2072" t="s">
        <v>416</v>
      </c>
      <c r="B2072">
        <v>2000</v>
      </c>
      <c r="C2072" t="s">
        <v>288</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COUNT(LifeExpectancyData[[#This Row],[Life expectancy]:[Schooling]])=19</f>
        <v>1</v>
      </c>
    </row>
    <row r="2073" spans="1:23" x14ac:dyDescent="0.25">
      <c r="A2073" t="s">
        <v>417</v>
      </c>
      <c r="B2073">
        <v>2015</v>
      </c>
      <c r="C2073" t="s">
        <v>280</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COUNT(LifeExpectancyData[[#This Row],[Life expectancy]:[Schooling]])=19</f>
        <v>0</v>
      </c>
    </row>
    <row r="2074" spans="1:23" x14ac:dyDescent="0.25">
      <c r="A2074" t="s">
        <v>417</v>
      </c>
      <c r="B2074">
        <v>2014</v>
      </c>
      <c r="C2074" t="s">
        <v>280</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COUNT(LifeExpectancyData[[#This Row],[Life expectancy]:[Schooling]])=19</f>
        <v>0</v>
      </c>
    </row>
    <row r="2075" spans="1:23" x14ac:dyDescent="0.25">
      <c r="A2075" t="s">
        <v>417</v>
      </c>
      <c r="B2075">
        <v>2013</v>
      </c>
      <c r="C2075" t="s">
        <v>280</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COUNT(LifeExpectancyData[[#This Row],[Life expectancy]:[Schooling]])=19</f>
        <v>0</v>
      </c>
    </row>
    <row r="2076" spans="1:23" x14ac:dyDescent="0.25">
      <c r="A2076" t="s">
        <v>417</v>
      </c>
      <c r="B2076">
        <v>2012</v>
      </c>
      <c r="C2076" t="s">
        <v>280</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COUNT(LifeExpectancyData[[#This Row],[Life expectancy]:[Schooling]])=19</f>
        <v>0</v>
      </c>
    </row>
    <row r="2077" spans="1:23" x14ac:dyDescent="0.25">
      <c r="A2077" t="s">
        <v>417</v>
      </c>
      <c r="B2077">
        <v>2011</v>
      </c>
      <c r="C2077" t="s">
        <v>280</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COUNT(LifeExpectancyData[[#This Row],[Life expectancy]:[Schooling]])=19</f>
        <v>0</v>
      </c>
    </row>
    <row r="2078" spans="1:23" x14ac:dyDescent="0.25">
      <c r="A2078" t="s">
        <v>417</v>
      </c>
      <c r="B2078">
        <v>2010</v>
      </c>
      <c r="C2078" t="s">
        <v>280</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COUNT(LifeExpectancyData[[#This Row],[Life expectancy]:[Schooling]])=19</f>
        <v>0</v>
      </c>
    </row>
    <row r="2079" spans="1:23" x14ac:dyDescent="0.25">
      <c r="A2079" t="s">
        <v>417</v>
      </c>
      <c r="B2079">
        <v>2009</v>
      </c>
      <c r="C2079" t="s">
        <v>280</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COUNT(LifeExpectancyData[[#This Row],[Life expectancy]:[Schooling]])=19</f>
        <v>0</v>
      </c>
    </row>
    <row r="2080" spans="1:23" x14ac:dyDescent="0.25">
      <c r="A2080" t="s">
        <v>417</v>
      </c>
      <c r="B2080">
        <v>2008</v>
      </c>
      <c r="C2080" t="s">
        <v>280</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COUNT(LifeExpectancyData[[#This Row],[Life expectancy]:[Schooling]])=19</f>
        <v>0</v>
      </c>
    </row>
    <row r="2081" spans="1:23" x14ac:dyDescent="0.25">
      <c r="A2081" t="s">
        <v>417</v>
      </c>
      <c r="B2081">
        <v>2007</v>
      </c>
      <c r="C2081" t="s">
        <v>280</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COUNT(LifeExpectancyData[[#This Row],[Life expectancy]:[Schooling]])=19</f>
        <v>0</v>
      </c>
    </row>
    <row r="2082" spans="1:23" x14ac:dyDescent="0.25">
      <c r="A2082" t="s">
        <v>417</v>
      </c>
      <c r="B2082">
        <v>2006</v>
      </c>
      <c r="C2082" t="s">
        <v>280</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COUNT(LifeExpectancyData[[#This Row],[Life expectancy]:[Schooling]])=19</f>
        <v>0</v>
      </c>
    </row>
    <row r="2083" spans="1:23" x14ac:dyDescent="0.25">
      <c r="A2083" t="s">
        <v>417</v>
      </c>
      <c r="B2083">
        <v>2005</v>
      </c>
      <c r="C2083" t="s">
        <v>280</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COUNT(LifeExpectancyData[[#This Row],[Life expectancy]:[Schooling]])=19</f>
        <v>0</v>
      </c>
    </row>
    <row r="2084" spans="1:23" x14ac:dyDescent="0.25">
      <c r="A2084" t="s">
        <v>417</v>
      </c>
      <c r="B2084">
        <v>2004</v>
      </c>
      <c r="C2084" t="s">
        <v>280</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COUNT(LifeExpectancyData[[#This Row],[Life expectancy]:[Schooling]])=19</f>
        <v>0</v>
      </c>
    </row>
    <row r="2085" spans="1:23" x14ac:dyDescent="0.25">
      <c r="A2085" t="s">
        <v>417</v>
      </c>
      <c r="B2085">
        <v>2003</v>
      </c>
      <c r="C2085" t="s">
        <v>280</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COUNT(LifeExpectancyData[[#This Row],[Life expectancy]:[Schooling]])=19</f>
        <v>0</v>
      </c>
    </row>
    <row r="2086" spans="1:23" x14ac:dyDescent="0.25">
      <c r="A2086" t="s">
        <v>417</v>
      </c>
      <c r="B2086">
        <v>2002</v>
      </c>
      <c r="C2086" t="s">
        <v>280</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COUNT(LifeExpectancyData[[#This Row],[Life expectancy]:[Schooling]])=19</f>
        <v>0</v>
      </c>
    </row>
    <row r="2087" spans="1:23" x14ac:dyDescent="0.25">
      <c r="A2087" t="s">
        <v>417</v>
      </c>
      <c r="B2087">
        <v>2001</v>
      </c>
      <c r="C2087" t="s">
        <v>280</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COUNT(LifeExpectancyData[[#This Row],[Life expectancy]:[Schooling]])=19</f>
        <v>0</v>
      </c>
    </row>
    <row r="2088" spans="1:23" x14ac:dyDescent="0.25">
      <c r="A2088" t="s">
        <v>417</v>
      </c>
      <c r="B2088">
        <v>2000</v>
      </c>
      <c r="C2088" t="s">
        <v>280</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COUNT(LifeExpectancyData[[#This Row],[Life expectancy]:[Schooling]])=19</f>
        <v>0</v>
      </c>
    </row>
    <row r="2089" spans="1:23" x14ac:dyDescent="0.25">
      <c r="A2089" t="s">
        <v>418</v>
      </c>
      <c r="B2089">
        <v>2015</v>
      </c>
      <c r="C2089" t="s">
        <v>280</v>
      </c>
      <c r="D2089">
        <v>82.3</v>
      </c>
      <c r="E2089">
        <v>64</v>
      </c>
      <c r="F2089">
        <v>1</v>
      </c>
      <c r="H2089">
        <v>0</v>
      </c>
      <c r="I2089">
        <v>98</v>
      </c>
      <c r="J2089">
        <v>7</v>
      </c>
      <c r="K2089">
        <v>31.7</v>
      </c>
      <c r="L2089">
        <v>2</v>
      </c>
      <c r="M2089">
        <v>98</v>
      </c>
      <c r="O2089">
        <v>98</v>
      </c>
      <c r="P2089">
        <v>0.1</v>
      </c>
      <c r="S2089">
        <v>1.5</v>
      </c>
      <c r="T2089">
        <v>1</v>
      </c>
      <c r="W2089" t="b">
        <f>COUNT(LifeExpectancyData[[#This Row],[Life expectancy]:[Schooling]])=19</f>
        <v>0</v>
      </c>
    </row>
    <row r="2090" spans="1:23" x14ac:dyDescent="0.25">
      <c r="A2090" t="s">
        <v>418</v>
      </c>
      <c r="B2090">
        <v>2014</v>
      </c>
      <c r="C2090" t="s">
        <v>280</v>
      </c>
      <c r="D2090">
        <v>82</v>
      </c>
      <c r="E2090">
        <v>66</v>
      </c>
      <c r="F2090">
        <v>1</v>
      </c>
      <c r="G2090">
        <v>0.01</v>
      </c>
      <c r="H2090">
        <v>0</v>
      </c>
      <c r="I2090">
        <v>99</v>
      </c>
      <c r="J2090">
        <v>442</v>
      </c>
      <c r="K2090">
        <v>31.2</v>
      </c>
      <c r="L2090">
        <v>2</v>
      </c>
      <c r="M2090">
        <v>99</v>
      </c>
      <c r="N2090">
        <v>7.37</v>
      </c>
      <c r="O2090">
        <v>99</v>
      </c>
      <c r="P2090">
        <v>0.1</v>
      </c>
      <c r="S2090">
        <v>1.5</v>
      </c>
      <c r="T2090">
        <v>1</v>
      </c>
      <c r="W2090" t="b">
        <f>COUNT(LifeExpectancyData[[#This Row],[Life expectancy]:[Schooling]])=19</f>
        <v>0</v>
      </c>
    </row>
    <row r="2091" spans="1:23" x14ac:dyDescent="0.25">
      <c r="A2091" t="s">
        <v>418</v>
      </c>
      <c r="B2091">
        <v>2013</v>
      </c>
      <c r="C2091" t="s">
        <v>280</v>
      </c>
      <c r="D2091">
        <v>81.7</v>
      </c>
      <c r="E2091">
        <v>68</v>
      </c>
      <c r="F2091">
        <v>1</v>
      </c>
      <c r="G2091">
        <v>9.33</v>
      </c>
      <c r="H2091">
        <v>0</v>
      </c>
      <c r="I2091">
        <v>99</v>
      </c>
      <c r="J2091">
        <v>107</v>
      </c>
      <c r="K2091">
        <v>3.8</v>
      </c>
      <c r="L2091">
        <v>2</v>
      </c>
      <c r="M2091">
        <v>99</v>
      </c>
      <c r="N2091">
        <v>7.2</v>
      </c>
      <c r="O2091">
        <v>99</v>
      </c>
      <c r="P2091">
        <v>0.1</v>
      </c>
      <c r="S2091">
        <v>1.5</v>
      </c>
      <c r="T2091">
        <v>1</v>
      </c>
      <c r="W2091" t="b">
        <f>COUNT(LifeExpectancyData[[#This Row],[Life expectancy]:[Schooling]])=19</f>
        <v>0</v>
      </c>
    </row>
    <row r="2092" spans="1:23" x14ac:dyDescent="0.25">
      <c r="A2092" t="s">
        <v>418</v>
      </c>
      <c r="B2092">
        <v>2012</v>
      </c>
      <c r="C2092" t="s">
        <v>280</v>
      </c>
      <c r="D2092">
        <v>81.2</v>
      </c>
      <c r="E2092">
        <v>69</v>
      </c>
      <c r="F2092">
        <v>1</v>
      </c>
      <c r="G2092">
        <v>9.56</v>
      </c>
      <c r="H2092">
        <v>0</v>
      </c>
      <c r="I2092">
        <v>99</v>
      </c>
      <c r="J2092">
        <v>2</v>
      </c>
      <c r="K2092">
        <v>3.4</v>
      </c>
      <c r="L2092">
        <v>2</v>
      </c>
      <c r="M2092">
        <v>99</v>
      </c>
      <c r="N2092">
        <v>7.1</v>
      </c>
      <c r="O2092">
        <v>99</v>
      </c>
      <c r="P2092">
        <v>0.1</v>
      </c>
      <c r="S2092">
        <v>1.5</v>
      </c>
      <c r="T2092">
        <v>1</v>
      </c>
      <c r="W2092" t="b">
        <f>COUNT(LifeExpectancyData[[#This Row],[Life expectancy]:[Schooling]])=19</f>
        <v>0</v>
      </c>
    </row>
    <row r="2093" spans="1:23" x14ac:dyDescent="0.25">
      <c r="A2093" t="s">
        <v>418</v>
      </c>
      <c r="B2093">
        <v>2011</v>
      </c>
      <c r="C2093" t="s">
        <v>280</v>
      </c>
      <c r="D2093">
        <v>81.099999999999994</v>
      </c>
      <c r="E2093">
        <v>72</v>
      </c>
      <c r="F2093">
        <v>2</v>
      </c>
      <c r="G2093">
        <v>9.34</v>
      </c>
      <c r="H2093">
        <v>0</v>
      </c>
      <c r="I2093">
        <v>99</v>
      </c>
      <c r="J2093">
        <v>42</v>
      </c>
      <c r="K2093">
        <v>3</v>
      </c>
      <c r="L2093">
        <v>2</v>
      </c>
      <c r="M2093">
        <v>98</v>
      </c>
      <c r="N2093">
        <v>6.83</v>
      </c>
      <c r="O2093">
        <v>99</v>
      </c>
      <c r="P2093">
        <v>0.1</v>
      </c>
      <c r="S2093">
        <v>1.5</v>
      </c>
      <c r="T2093">
        <v>1</v>
      </c>
      <c r="W2093" t="b">
        <f>COUNT(LifeExpectancyData[[#This Row],[Life expectancy]:[Schooling]])=19</f>
        <v>0</v>
      </c>
    </row>
    <row r="2094" spans="1:23" x14ac:dyDescent="0.25">
      <c r="A2094" t="s">
        <v>418</v>
      </c>
      <c r="B2094">
        <v>2010</v>
      </c>
      <c r="C2094" t="s">
        <v>280</v>
      </c>
      <c r="D2094">
        <v>87</v>
      </c>
      <c r="E2094">
        <v>74</v>
      </c>
      <c r="F2094">
        <v>2</v>
      </c>
      <c r="G2094">
        <v>9.23</v>
      </c>
      <c r="H2094">
        <v>0</v>
      </c>
      <c r="I2094">
        <v>94</v>
      </c>
      <c r="J2094">
        <v>114</v>
      </c>
      <c r="K2094">
        <v>29.5</v>
      </c>
      <c r="L2094">
        <v>2</v>
      </c>
      <c r="M2094">
        <v>95</v>
      </c>
      <c r="N2094">
        <v>6.79</v>
      </c>
      <c r="O2094">
        <v>94</v>
      </c>
      <c r="P2094">
        <v>0.1</v>
      </c>
      <c r="S2094">
        <v>1.5</v>
      </c>
      <c r="T2094">
        <v>1</v>
      </c>
      <c r="W2094" t="b">
        <f>COUNT(LifeExpectancyData[[#This Row],[Life expectancy]:[Schooling]])=19</f>
        <v>0</v>
      </c>
    </row>
    <row r="2095" spans="1:23" x14ac:dyDescent="0.25">
      <c r="A2095" t="s">
        <v>418</v>
      </c>
      <c r="B2095">
        <v>2009</v>
      </c>
      <c r="C2095" t="s">
        <v>280</v>
      </c>
      <c r="D2095">
        <v>86</v>
      </c>
      <c r="E2095">
        <v>75</v>
      </c>
      <c r="F2095">
        <v>2</v>
      </c>
      <c r="G2095">
        <v>8.9700000000000006</v>
      </c>
      <c r="H2095">
        <v>0</v>
      </c>
      <c r="I2095">
        <v>94</v>
      </c>
      <c r="J2095">
        <v>17</v>
      </c>
      <c r="K2095">
        <v>29.1</v>
      </c>
      <c r="L2095">
        <v>2</v>
      </c>
      <c r="M2095">
        <v>95</v>
      </c>
      <c r="N2095">
        <v>6.66</v>
      </c>
      <c r="O2095">
        <v>94</v>
      </c>
      <c r="P2095">
        <v>0.1</v>
      </c>
      <c r="S2095">
        <v>1.5</v>
      </c>
      <c r="T2095">
        <v>1</v>
      </c>
      <c r="W2095" t="b">
        <f>COUNT(LifeExpectancyData[[#This Row],[Life expectancy]:[Schooling]])=19</f>
        <v>0</v>
      </c>
    </row>
    <row r="2096" spans="1:23" x14ac:dyDescent="0.25">
      <c r="A2096" t="s">
        <v>418</v>
      </c>
      <c r="B2096">
        <v>2008</v>
      </c>
      <c r="C2096" t="s">
        <v>280</v>
      </c>
      <c r="D2096">
        <v>83</v>
      </c>
      <c r="E2096">
        <v>75</v>
      </c>
      <c r="F2096">
        <v>2</v>
      </c>
      <c r="G2096">
        <v>9.31</v>
      </c>
      <c r="H2096">
        <v>0</v>
      </c>
      <c r="I2096">
        <v>94</v>
      </c>
      <c r="J2096">
        <v>2</v>
      </c>
      <c r="K2096">
        <v>28.6</v>
      </c>
      <c r="L2096">
        <v>2</v>
      </c>
      <c r="M2096">
        <v>92</v>
      </c>
      <c r="N2096">
        <v>6.16</v>
      </c>
      <c r="O2096">
        <v>94</v>
      </c>
      <c r="P2096">
        <v>0.1</v>
      </c>
      <c r="S2096">
        <v>1.5</v>
      </c>
      <c r="T2096">
        <v>1</v>
      </c>
      <c r="W2096" t="b">
        <f>COUNT(LifeExpectancyData[[#This Row],[Life expectancy]:[Schooling]])=19</f>
        <v>0</v>
      </c>
    </row>
    <row r="2097" spans="1:23" x14ac:dyDescent="0.25">
      <c r="A2097" t="s">
        <v>418</v>
      </c>
      <c r="B2097">
        <v>2007</v>
      </c>
      <c r="C2097" t="s">
        <v>280</v>
      </c>
      <c r="D2097">
        <v>79.8</v>
      </c>
      <c r="E2097">
        <v>77</v>
      </c>
      <c r="F2097">
        <v>2</v>
      </c>
      <c r="G2097">
        <v>9.0500000000000007</v>
      </c>
      <c r="H2097">
        <v>0</v>
      </c>
      <c r="I2097">
        <v>91</v>
      </c>
      <c r="J2097">
        <v>194</v>
      </c>
      <c r="K2097">
        <v>28.2</v>
      </c>
      <c r="L2097">
        <v>2</v>
      </c>
      <c r="M2097">
        <v>91</v>
      </c>
      <c r="N2097">
        <v>5.99</v>
      </c>
      <c r="O2097">
        <v>91</v>
      </c>
      <c r="P2097">
        <v>0.1</v>
      </c>
      <c r="S2097">
        <v>1.5</v>
      </c>
      <c r="T2097">
        <v>1</v>
      </c>
      <c r="W2097" t="b">
        <f>COUNT(LifeExpectancyData[[#This Row],[Life expectancy]:[Schooling]])=19</f>
        <v>0</v>
      </c>
    </row>
    <row r="2098" spans="1:23" x14ac:dyDescent="0.25">
      <c r="A2098" t="s">
        <v>418</v>
      </c>
      <c r="B2098">
        <v>2006</v>
      </c>
      <c r="C2098" t="s">
        <v>280</v>
      </c>
      <c r="D2098">
        <v>79.400000000000006</v>
      </c>
      <c r="E2098">
        <v>79</v>
      </c>
      <c r="F2098">
        <v>2</v>
      </c>
      <c r="G2098">
        <v>8.83</v>
      </c>
      <c r="H2098">
        <v>0</v>
      </c>
      <c r="I2098">
        <v>99</v>
      </c>
      <c r="J2098">
        <v>28</v>
      </c>
      <c r="K2098">
        <v>27.7</v>
      </c>
      <c r="L2098">
        <v>2</v>
      </c>
      <c r="M2098">
        <v>98</v>
      </c>
      <c r="N2098">
        <v>5.76</v>
      </c>
      <c r="O2098">
        <v>98</v>
      </c>
      <c r="P2098">
        <v>0.1</v>
      </c>
      <c r="S2098">
        <v>1.5</v>
      </c>
      <c r="T2098">
        <v>1</v>
      </c>
      <c r="W2098" t="b">
        <f>COUNT(LifeExpectancyData[[#This Row],[Life expectancy]:[Schooling]])=19</f>
        <v>0</v>
      </c>
    </row>
    <row r="2099" spans="1:23" x14ac:dyDescent="0.25">
      <c r="A2099" t="s">
        <v>418</v>
      </c>
      <c r="B2099">
        <v>2005</v>
      </c>
      <c r="C2099" t="s">
        <v>280</v>
      </c>
      <c r="D2099">
        <v>78.7</v>
      </c>
      <c r="E2099">
        <v>84</v>
      </c>
      <c r="F2099">
        <v>2</v>
      </c>
      <c r="G2099">
        <v>9.0299999999999994</v>
      </c>
      <c r="H2099">
        <v>0</v>
      </c>
      <c r="I2099">
        <v>99</v>
      </c>
      <c r="J2099">
        <v>7</v>
      </c>
      <c r="K2099">
        <v>27.2</v>
      </c>
      <c r="L2099">
        <v>3</v>
      </c>
      <c r="M2099">
        <v>96</v>
      </c>
      <c r="N2099">
        <v>5.33</v>
      </c>
      <c r="O2099">
        <v>96</v>
      </c>
      <c r="P2099">
        <v>0.1</v>
      </c>
      <c r="S2099">
        <v>1.6</v>
      </c>
      <c r="T2099">
        <v>1</v>
      </c>
      <c r="W2099" t="b">
        <f>COUNT(LifeExpectancyData[[#This Row],[Life expectancy]:[Schooling]])=19</f>
        <v>0</v>
      </c>
    </row>
    <row r="2100" spans="1:23" x14ac:dyDescent="0.25">
      <c r="A2100" t="s">
        <v>418</v>
      </c>
      <c r="B2100">
        <v>2004</v>
      </c>
      <c r="C2100" t="s">
        <v>280</v>
      </c>
      <c r="D2100">
        <v>78.2</v>
      </c>
      <c r="E2100">
        <v>89</v>
      </c>
      <c r="F2100">
        <v>3</v>
      </c>
      <c r="G2100">
        <v>9.18</v>
      </c>
      <c r="H2100">
        <v>0</v>
      </c>
      <c r="I2100">
        <v>92</v>
      </c>
      <c r="J2100">
        <v>11</v>
      </c>
      <c r="K2100">
        <v>26.7</v>
      </c>
      <c r="L2100">
        <v>3</v>
      </c>
      <c r="M2100">
        <v>9</v>
      </c>
      <c r="N2100">
        <v>4.96</v>
      </c>
      <c r="O2100">
        <v>88</v>
      </c>
      <c r="P2100">
        <v>0.1</v>
      </c>
      <c r="S2100">
        <v>1.6</v>
      </c>
      <c r="T2100">
        <v>1</v>
      </c>
      <c r="W2100" t="b">
        <f>COUNT(LifeExpectancyData[[#This Row],[Life expectancy]:[Schooling]])=19</f>
        <v>0</v>
      </c>
    </row>
    <row r="2101" spans="1:23" x14ac:dyDescent="0.25">
      <c r="A2101" t="s">
        <v>418</v>
      </c>
      <c r="B2101">
        <v>2003</v>
      </c>
      <c r="C2101" t="s">
        <v>280</v>
      </c>
      <c r="D2101">
        <v>77.599999999999994</v>
      </c>
      <c r="E2101">
        <v>95</v>
      </c>
      <c r="F2101">
        <v>3</v>
      </c>
      <c r="G2101">
        <v>9.66</v>
      </c>
      <c r="H2101">
        <v>0</v>
      </c>
      <c r="I2101">
        <v>91</v>
      </c>
      <c r="J2101">
        <v>33</v>
      </c>
      <c r="K2101">
        <v>26.2</v>
      </c>
      <c r="L2101">
        <v>3</v>
      </c>
      <c r="M2101">
        <v>94</v>
      </c>
      <c r="N2101">
        <v>4.93</v>
      </c>
      <c r="O2101">
        <v>97</v>
      </c>
      <c r="P2101">
        <v>0.1</v>
      </c>
      <c r="S2101">
        <v>1.6</v>
      </c>
      <c r="T2101">
        <v>1</v>
      </c>
      <c r="W2101" t="b">
        <f>COUNT(LifeExpectancyData[[#This Row],[Life expectancy]:[Schooling]])=19</f>
        <v>0</v>
      </c>
    </row>
    <row r="2102" spans="1:23" x14ac:dyDescent="0.25">
      <c r="A2102" t="s">
        <v>418</v>
      </c>
      <c r="B2102">
        <v>2002</v>
      </c>
      <c r="C2102" t="s">
        <v>280</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COUNT(LifeExpectancyData[[#This Row],[Life expectancy]:[Schooling]])=19</f>
        <v>0</v>
      </c>
    </row>
    <row r="2103" spans="1:23" x14ac:dyDescent="0.25">
      <c r="A2103" t="s">
        <v>418</v>
      </c>
      <c r="B2103">
        <v>2001</v>
      </c>
      <c r="C2103" t="s">
        <v>280</v>
      </c>
      <c r="D2103">
        <v>76.7</v>
      </c>
      <c r="E2103">
        <v>17</v>
      </c>
      <c r="F2103">
        <v>3</v>
      </c>
      <c r="G2103">
        <v>11.45</v>
      </c>
      <c r="H2103">
        <v>0</v>
      </c>
      <c r="I2103">
        <v>89</v>
      </c>
      <c r="J2103">
        <v>23060</v>
      </c>
      <c r="K2103">
        <v>25.2</v>
      </c>
      <c r="L2103">
        <v>4</v>
      </c>
      <c r="M2103">
        <v>99</v>
      </c>
      <c r="N2103">
        <v>4.76</v>
      </c>
      <c r="O2103">
        <v>97</v>
      </c>
      <c r="P2103">
        <v>0.1</v>
      </c>
      <c r="S2103">
        <v>1.6</v>
      </c>
      <c r="T2103">
        <v>1.1000000000000001</v>
      </c>
      <c r="W2103" t="b">
        <f>COUNT(LifeExpectancyData[[#This Row],[Life expectancy]:[Schooling]])=19</f>
        <v>0</v>
      </c>
    </row>
    <row r="2104" spans="1:23" x14ac:dyDescent="0.25">
      <c r="A2104" t="s">
        <v>418</v>
      </c>
      <c r="B2104">
        <v>2000</v>
      </c>
      <c r="C2104" t="s">
        <v>280</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COUNT(LifeExpectancyData[[#This Row],[Life expectancy]:[Schooling]])=19</f>
        <v>0</v>
      </c>
    </row>
    <row r="2105" spans="1:23" x14ac:dyDescent="0.25">
      <c r="A2105" t="s">
        <v>419</v>
      </c>
      <c r="B2105">
        <v>2015</v>
      </c>
      <c r="C2105" t="s">
        <v>280</v>
      </c>
      <c r="D2105">
        <v>72.099999999999994</v>
      </c>
      <c r="E2105">
        <v>157</v>
      </c>
      <c r="F2105">
        <v>1</v>
      </c>
      <c r="H2105">
        <v>0</v>
      </c>
      <c r="I2105">
        <v>88</v>
      </c>
      <c r="J2105">
        <v>0</v>
      </c>
      <c r="K2105">
        <v>53.4</v>
      </c>
      <c r="L2105">
        <v>1</v>
      </c>
      <c r="M2105">
        <v>88</v>
      </c>
      <c r="O2105">
        <v>87</v>
      </c>
      <c r="P2105">
        <v>0.1</v>
      </c>
      <c r="S2105">
        <v>2.7</v>
      </c>
      <c r="T2105">
        <v>2.8</v>
      </c>
      <c r="W2105" t="b">
        <f>COUNT(LifeExpectancyData[[#This Row],[Life expectancy]:[Schooling]])=19</f>
        <v>0</v>
      </c>
    </row>
    <row r="2106" spans="1:23" x14ac:dyDescent="0.25">
      <c r="A2106" t="s">
        <v>419</v>
      </c>
      <c r="B2106">
        <v>2014</v>
      </c>
      <c r="C2106" t="s">
        <v>280</v>
      </c>
      <c r="D2106">
        <v>71.8</v>
      </c>
      <c r="E2106">
        <v>162</v>
      </c>
      <c r="F2106">
        <v>1</v>
      </c>
      <c r="G2106">
        <v>9.99</v>
      </c>
      <c r="H2106">
        <v>0</v>
      </c>
      <c r="I2106">
        <v>92</v>
      </c>
      <c r="J2106">
        <v>2</v>
      </c>
      <c r="K2106">
        <v>52.7</v>
      </c>
      <c r="L2106">
        <v>1</v>
      </c>
      <c r="M2106">
        <v>92</v>
      </c>
      <c r="N2106">
        <v>1.32</v>
      </c>
      <c r="O2106">
        <v>9</v>
      </c>
      <c r="P2106">
        <v>0.1</v>
      </c>
      <c r="S2106">
        <v>2.7</v>
      </c>
      <c r="T2106">
        <v>2.8</v>
      </c>
      <c r="W2106" t="b">
        <f>COUNT(LifeExpectancyData[[#This Row],[Life expectancy]:[Schooling]])=19</f>
        <v>0</v>
      </c>
    </row>
    <row r="2107" spans="1:23" x14ac:dyDescent="0.25">
      <c r="A2107" t="s">
        <v>419</v>
      </c>
      <c r="B2107">
        <v>2013</v>
      </c>
      <c r="C2107" t="s">
        <v>280</v>
      </c>
      <c r="D2107">
        <v>71.7</v>
      </c>
      <c r="E2107">
        <v>163</v>
      </c>
      <c r="F2107">
        <v>1</v>
      </c>
      <c r="G2107">
        <v>10.49</v>
      </c>
      <c r="H2107">
        <v>0</v>
      </c>
      <c r="I2107">
        <v>91</v>
      </c>
      <c r="J2107">
        <v>27</v>
      </c>
      <c r="K2107">
        <v>52.1</v>
      </c>
      <c r="L2107">
        <v>1</v>
      </c>
      <c r="M2107">
        <v>92</v>
      </c>
      <c r="N2107">
        <v>1.5</v>
      </c>
      <c r="O2107">
        <v>9</v>
      </c>
      <c r="P2107">
        <v>0.1</v>
      </c>
      <c r="S2107">
        <v>2.7</v>
      </c>
      <c r="T2107">
        <v>2.9</v>
      </c>
      <c r="W2107" t="b">
        <f>COUNT(LifeExpectancyData[[#This Row],[Life expectancy]:[Schooling]])=19</f>
        <v>0</v>
      </c>
    </row>
    <row r="2108" spans="1:23" x14ac:dyDescent="0.25">
      <c r="A2108" t="s">
        <v>419</v>
      </c>
      <c r="B2108">
        <v>2012</v>
      </c>
      <c r="C2108" t="s">
        <v>280</v>
      </c>
      <c r="D2108">
        <v>79</v>
      </c>
      <c r="E2108">
        <v>175</v>
      </c>
      <c r="F2108">
        <v>1</v>
      </c>
      <c r="G2108">
        <v>10.68</v>
      </c>
      <c r="H2108">
        <v>0</v>
      </c>
      <c r="I2108">
        <v>94</v>
      </c>
      <c r="J2108">
        <v>11</v>
      </c>
      <c r="K2108">
        <v>51.5</v>
      </c>
      <c r="L2108">
        <v>1</v>
      </c>
      <c r="M2108">
        <v>92</v>
      </c>
      <c r="N2108">
        <v>11.87</v>
      </c>
      <c r="O2108">
        <v>92</v>
      </c>
      <c r="P2108">
        <v>0.1</v>
      </c>
      <c r="S2108">
        <v>2.7</v>
      </c>
      <c r="T2108">
        <v>2.9</v>
      </c>
      <c r="W2108" t="b">
        <f>COUNT(LifeExpectancyData[[#This Row],[Life expectancy]:[Schooling]])=19</f>
        <v>0</v>
      </c>
    </row>
    <row r="2109" spans="1:23" x14ac:dyDescent="0.25">
      <c r="A2109" t="s">
        <v>419</v>
      </c>
      <c r="B2109">
        <v>2011</v>
      </c>
      <c r="C2109" t="s">
        <v>280</v>
      </c>
      <c r="D2109">
        <v>77</v>
      </c>
      <c r="E2109">
        <v>177</v>
      </c>
      <c r="F2109">
        <v>1</v>
      </c>
      <c r="G2109">
        <v>9.4499999999999993</v>
      </c>
      <c r="H2109">
        <v>0</v>
      </c>
      <c r="I2109">
        <v>96</v>
      </c>
      <c r="J2109">
        <v>0</v>
      </c>
      <c r="K2109">
        <v>5.9</v>
      </c>
      <c r="L2109">
        <v>1</v>
      </c>
      <c r="M2109">
        <v>96</v>
      </c>
      <c r="N2109">
        <v>1.61</v>
      </c>
      <c r="O2109">
        <v>93</v>
      </c>
      <c r="P2109">
        <v>0.1</v>
      </c>
      <c r="S2109">
        <v>2.8</v>
      </c>
      <c r="T2109">
        <v>3</v>
      </c>
      <c r="W2109" t="b">
        <f>COUNT(LifeExpectancyData[[#This Row],[Life expectancy]:[Schooling]])=19</f>
        <v>0</v>
      </c>
    </row>
    <row r="2110" spans="1:23" x14ac:dyDescent="0.25">
      <c r="A2110" t="s">
        <v>419</v>
      </c>
      <c r="B2110">
        <v>2010</v>
      </c>
      <c r="C2110" t="s">
        <v>280</v>
      </c>
      <c r="D2110">
        <v>68.8</v>
      </c>
      <c r="E2110">
        <v>219</v>
      </c>
      <c r="F2110">
        <v>1</v>
      </c>
      <c r="G2110">
        <v>8.25</v>
      </c>
      <c r="H2110">
        <v>0</v>
      </c>
      <c r="I2110">
        <v>98</v>
      </c>
      <c r="J2110">
        <v>0</v>
      </c>
      <c r="K2110">
        <v>5.4</v>
      </c>
      <c r="L2110">
        <v>1</v>
      </c>
      <c r="M2110">
        <v>97</v>
      </c>
      <c r="N2110">
        <v>12.8</v>
      </c>
      <c r="O2110">
        <v>9</v>
      </c>
      <c r="P2110">
        <v>0.1</v>
      </c>
      <c r="S2110">
        <v>2.8</v>
      </c>
      <c r="T2110">
        <v>3</v>
      </c>
      <c r="W2110" t="b">
        <f>COUNT(LifeExpectancyData[[#This Row],[Life expectancy]:[Schooling]])=19</f>
        <v>0</v>
      </c>
    </row>
    <row r="2111" spans="1:23" x14ac:dyDescent="0.25">
      <c r="A2111" t="s">
        <v>419</v>
      </c>
      <c r="B2111">
        <v>2009</v>
      </c>
      <c r="C2111" t="s">
        <v>280</v>
      </c>
      <c r="D2111">
        <v>69</v>
      </c>
      <c r="E2111">
        <v>218</v>
      </c>
      <c r="F2111">
        <v>1</v>
      </c>
      <c r="G2111">
        <v>8.4499999999999993</v>
      </c>
      <c r="H2111">
        <v>0</v>
      </c>
      <c r="I2111">
        <v>89</v>
      </c>
      <c r="J2111">
        <v>0</v>
      </c>
      <c r="K2111">
        <v>49.9</v>
      </c>
      <c r="L2111">
        <v>1</v>
      </c>
      <c r="M2111">
        <v>87</v>
      </c>
      <c r="N2111">
        <v>12.49</v>
      </c>
      <c r="O2111">
        <v>85</v>
      </c>
      <c r="P2111">
        <v>0.1</v>
      </c>
      <c r="S2111">
        <v>2.9</v>
      </c>
      <c r="T2111">
        <v>3.1</v>
      </c>
      <c r="W2111" t="b">
        <f>COUNT(LifeExpectancyData[[#This Row],[Life expectancy]:[Schooling]])=19</f>
        <v>0</v>
      </c>
    </row>
    <row r="2112" spans="1:23" x14ac:dyDescent="0.25">
      <c r="A2112" t="s">
        <v>419</v>
      </c>
      <c r="B2112">
        <v>2008</v>
      </c>
      <c r="C2112" t="s">
        <v>280</v>
      </c>
      <c r="D2112">
        <v>68.900000000000006</v>
      </c>
      <c r="E2112">
        <v>228</v>
      </c>
      <c r="F2112">
        <v>1</v>
      </c>
      <c r="G2112">
        <v>9.07</v>
      </c>
      <c r="H2112">
        <v>0</v>
      </c>
      <c r="I2112">
        <v>97</v>
      </c>
      <c r="J2112">
        <v>0</v>
      </c>
      <c r="K2112">
        <v>49.5</v>
      </c>
      <c r="L2112">
        <v>1</v>
      </c>
      <c r="M2112">
        <v>96</v>
      </c>
      <c r="N2112">
        <v>11.41</v>
      </c>
      <c r="O2112">
        <v>9</v>
      </c>
      <c r="P2112">
        <v>0.1</v>
      </c>
      <c r="S2112">
        <v>2.9</v>
      </c>
      <c r="T2112">
        <v>3.1</v>
      </c>
      <c r="W2112" t="b">
        <f>COUNT(LifeExpectancyData[[#This Row],[Life expectancy]:[Schooling]])=19</f>
        <v>0</v>
      </c>
    </row>
    <row r="2113" spans="1:23" x14ac:dyDescent="0.25">
      <c r="A2113" t="s">
        <v>419</v>
      </c>
      <c r="B2113">
        <v>2007</v>
      </c>
      <c r="C2113" t="s">
        <v>280</v>
      </c>
      <c r="D2113">
        <v>68.3</v>
      </c>
      <c r="E2113">
        <v>237</v>
      </c>
      <c r="F2113">
        <v>1</v>
      </c>
      <c r="G2113">
        <v>9.66</v>
      </c>
      <c r="H2113">
        <v>0</v>
      </c>
      <c r="I2113">
        <v>95</v>
      </c>
      <c r="J2113">
        <v>10</v>
      </c>
      <c r="K2113">
        <v>49.1</v>
      </c>
      <c r="L2113">
        <v>1</v>
      </c>
      <c r="M2113">
        <v>93</v>
      </c>
      <c r="N2113">
        <v>1.88</v>
      </c>
      <c r="O2113">
        <v>92</v>
      </c>
      <c r="P2113">
        <v>0.1</v>
      </c>
      <c r="S2113">
        <v>3</v>
      </c>
      <c r="T2113">
        <v>3.2</v>
      </c>
      <c r="W2113" t="b">
        <f>COUNT(LifeExpectancyData[[#This Row],[Life expectancy]:[Schooling]])=19</f>
        <v>0</v>
      </c>
    </row>
    <row r="2114" spans="1:23" x14ac:dyDescent="0.25">
      <c r="A2114" t="s">
        <v>419</v>
      </c>
      <c r="B2114">
        <v>2006</v>
      </c>
      <c r="C2114" t="s">
        <v>280</v>
      </c>
      <c r="D2114">
        <v>68</v>
      </c>
      <c r="E2114">
        <v>242</v>
      </c>
      <c r="F2114">
        <v>1</v>
      </c>
      <c r="G2114">
        <v>8.36</v>
      </c>
      <c r="H2114">
        <v>0</v>
      </c>
      <c r="I2114">
        <v>98</v>
      </c>
      <c r="J2114">
        <v>34</v>
      </c>
      <c r="K2114">
        <v>48.7</v>
      </c>
      <c r="L2114">
        <v>1</v>
      </c>
      <c r="M2114">
        <v>98</v>
      </c>
      <c r="N2114">
        <v>1.63</v>
      </c>
      <c r="O2114">
        <v>97</v>
      </c>
      <c r="P2114">
        <v>0.1</v>
      </c>
      <c r="S2114">
        <v>3.1</v>
      </c>
      <c r="T2114">
        <v>3.3</v>
      </c>
      <c r="W2114" t="b">
        <f>COUNT(LifeExpectancyData[[#This Row],[Life expectancy]:[Schooling]])=19</f>
        <v>0</v>
      </c>
    </row>
    <row r="2115" spans="1:23" x14ac:dyDescent="0.25">
      <c r="A2115" t="s">
        <v>419</v>
      </c>
      <c r="B2115">
        <v>2005</v>
      </c>
      <c r="C2115" t="s">
        <v>280</v>
      </c>
      <c r="D2115">
        <v>67.3</v>
      </c>
      <c r="E2115">
        <v>248</v>
      </c>
      <c r="F2115">
        <v>1</v>
      </c>
      <c r="G2115">
        <v>10.78</v>
      </c>
      <c r="H2115">
        <v>0</v>
      </c>
      <c r="I2115">
        <v>99</v>
      </c>
      <c r="J2115">
        <v>6</v>
      </c>
      <c r="K2115">
        <v>48.3</v>
      </c>
      <c r="L2115">
        <v>1</v>
      </c>
      <c r="M2115">
        <v>99</v>
      </c>
      <c r="N2115">
        <v>9.15</v>
      </c>
      <c r="O2115">
        <v>98</v>
      </c>
      <c r="P2115">
        <v>0.1</v>
      </c>
      <c r="S2115">
        <v>3.1</v>
      </c>
      <c r="T2115">
        <v>3.3</v>
      </c>
      <c r="W2115" t="b">
        <f>COUNT(LifeExpectancyData[[#This Row],[Life expectancy]:[Schooling]])=19</f>
        <v>0</v>
      </c>
    </row>
    <row r="2116" spans="1:23" x14ac:dyDescent="0.25">
      <c r="A2116" t="s">
        <v>419</v>
      </c>
      <c r="B2116">
        <v>2004</v>
      </c>
      <c r="C2116" t="s">
        <v>280</v>
      </c>
      <c r="D2116">
        <v>68</v>
      </c>
      <c r="E2116">
        <v>225</v>
      </c>
      <c r="F2116">
        <v>1</v>
      </c>
      <c r="G2116">
        <v>12.27</v>
      </c>
      <c r="H2116">
        <v>0</v>
      </c>
      <c r="I2116">
        <v>99</v>
      </c>
      <c r="J2116">
        <v>4</v>
      </c>
      <c r="K2116">
        <v>47.9</v>
      </c>
      <c r="L2116">
        <v>1</v>
      </c>
      <c r="M2116">
        <v>98</v>
      </c>
      <c r="N2116">
        <v>8.49</v>
      </c>
      <c r="O2116">
        <v>98</v>
      </c>
      <c r="P2116">
        <v>0.1</v>
      </c>
      <c r="S2116">
        <v>3.2</v>
      </c>
      <c r="T2116">
        <v>3.4</v>
      </c>
      <c r="W2116" t="b">
        <f>COUNT(LifeExpectancyData[[#This Row],[Life expectancy]:[Schooling]])=19</f>
        <v>0</v>
      </c>
    </row>
    <row r="2117" spans="1:23" x14ac:dyDescent="0.25">
      <c r="A2117" t="s">
        <v>419</v>
      </c>
      <c r="B2117">
        <v>2003</v>
      </c>
      <c r="C2117" t="s">
        <v>280</v>
      </c>
      <c r="D2117">
        <v>67.599999999999994</v>
      </c>
      <c r="E2117">
        <v>226</v>
      </c>
      <c r="F2117">
        <v>1</v>
      </c>
      <c r="G2117">
        <v>8.15</v>
      </c>
      <c r="H2117">
        <v>0</v>
      </c>
      <c r="I2117">
        <v>99</v>
      </c>
      <c r="J2117">
        <v>87</v>
      </c>
      <c r="K2117">
        <v>47.6</v>
      </c>
      <c r="L2117">
        <v>1</v>
      </c>
      <c r="M2117">
        <v>98</v>
      </c>
      <c r="N2117">
        <v>8.24</v>
      </c>
      <c r="O2117">
        <v>98</v>
      </c>
      <c r="P2117">
        <v>0.1</v>
      </c>
      <c r="S2117">
        <v>3.3</v>
      </c>
      <c r="T2117">
        <v>3.5</v>
      </c>
      <c r="W2117" t="b">
        <f>COUNT(LifeExpectancyData[[#This Row],[Life expectancy]:[Schooling]])=19</f>
        <v>0</v>
      </c>
    </row>
    <row r="2118" spans="1:23" x14ac:dyDescent="0.25">
      <c r="A2118" t="s">
        <v>419</v>
      </c>
      <c r="B2118">
        <v>2002</v>
      </c>
      <c r="C2118" t="s">
        <v>280</v>
      </c>
      <c r="D2118">
        <v>67.5</v>
      </c>
      <c r="E2118">
        <v>225</v>
      </c>
      <c r="F2118">
        <v>1</v>
      </c>
      <c r="G2118">
        <v>6.71</v>
      </c>
      <c r="H2118">
        <v>0</v>
      </c>
      <c r="I2118">
        <v>99</v>
      </c>
      <c r="J2118">
        <v>4929</v>
      </c>
      <c r="K2118">
        <v>47.2</v>
      </c>
      <c r="L2118">
        <v>1</v>
      </c>
      <c r="M2118">
        <v>98</v>
      </c>
      <c r="N2118">
        <v>8.31</v>
      </c>
      <c r="O2118">
        <v>97</v>
      </c>
      <c r="P2118">
        <v>0.1</v>
      </c>
      <c r="S2118">
        <v>3.4</v>
      </c>
      <c r="T2118">
        <v>3.6</v>
      </c>
      <c r="W2118" t="b">
        <f>COUNT(LifeExpectancyData[[#This Row],[Life expectancy]:[Schooling]])=19</f>
        <v>0</v>
      </c>
    </row>
    <row r="2119" spans="1:23" x14ac:dyDescent="0.25">
      <c r="A2119" t="s">
        <v>419</v>
      </c>
      <c r="B2119">
        <v>2001</v>
      </c>
      <c r="C2119" t="s">
        <v>280</v>
      </c>
      <c r="D2119">
        <v>67.599999999999994</v>
      </c>
      <c r="E2119">
        <v>228</v>
      </c>
      <c r="F2119">
        <v>1</v>
      </c>
      <c r="G2119">
        <v>10.98</v>
      </c>
      <c r="H2119">
        <v>0</v>
      </c>
      <c r="I2119">
        <v>94</v>
      </c>
      <c r="J2119">
        <v>457</v>
      </c>
      <c r="K2119">
        <v>46.8</v>
      </c>
      <c r="L2119">
        <v>1</v>
      </c>
      <c r="M2119">
        <v>98</v>
      </c>
      <c r="N2119">
        <v>7</v>
      </c>
      <c r="O2119">
        <v>97</v>
      </c>
      <c r="P2119">
        <v>0.1</v>
      </c>
      <c r="S2119">
        <v>3.5</v>
      </c>
      <c r="T2119">
        <v>3.6</v>
      </c>
      <c r="W2119" t="b">
        <f>COUNT(LifeExpectancyData[[#This Row],[Life expectancy]:[Schooling]])=19</f>
        <v>0</v>
      </c>
    </row>
    <row r="2120" spans="1:23" x14ac:dyDescent="0.25">
      <c r="A2120" t="s">
        <v>419</v>
      </c>
      <c r="B2120">
        <v>2000</v>
      </c>
      <c r="C2120" t="s">
        <v>280</v>
      </c>
      <c r="D2120">
        <v>67.099999999999994</v>
      </c>
      <c r="E2120">
        <v>235</v>
      </c>
      <c r="F2120">
        <v>1</v>
      </c>
      <c r="G2120">
        <v>9.89</v>
      </c>
      <c r="H2120">
        <v>0</v>
      </c>
      <c r="I2120">
        <v>92</v>
      </c>
      <c r="J2120">
        <v>687</v>
      </c>
      <c r="K2120">
        <v>46.5</v>
      </c>
      <c r="L2120">
        <v>2</v>
      </c>
      <c r="M2120">
        <v>97</v>
      </c>
      <c r="N2120">
        <v>6.65</v>
      </c>
      <c r="O2120">
        <v>95</v>
      </c>
      <c r="P2120">
        <v>0.1</v>
      </c>
      <c r="S2120">
        <v>3.6</v>
      </c>
      <c r="T2120">
        <v>3.7</v>
      </c>
      <c r="W2120" t="b">
        <f>COUNT(LifeExpectancyData[[#This Row],[Life expectancy]:[Schooling]])=19</f>
        <v>0</v>
      </c>
    </row>
    <row r="2121" spans="1:23" x14ac:dyDescent="0.25">
      <c r="A2121" t="s">
        <v>420</v>
      </c>
      <c r="B2121">
        <v>2015</v>
      </c>
      <c r="C2121" t="s">
        <v>288</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COUNT(LifeExpectancyData[[#This Row],[Life expectancy]:[Schooling]])=19</f>
        <v>0</v>
      </c>
    </row>
    <row r="2122" spans="1:23" x14ac:dyDescent="0.25">
      <c r="A2122" t="s">
        <v>420</v>
      </c>
      <c r="B2122">
        <v>2014</v>
      </c>
      <c r="C2122" t="s">
        <v>288</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COUNT(LifeExpectancyData[[#This Row],[Life expectancy]:[Schooling]])=19</f>
        <v>1</v>
      </c>
    </row>
    <row r="2123" spans="1:23" x14ac:dyDescent="0.25">
      <c r="A2123" t="s">
        <v>420</v>
      </c>
      <c r="B2123">
        <v>2013</v>
      </c>
      <c r="C2123" t="s">
        <v>288</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COUNT(LifeExpectancyData[[#This Row],[Life expectancy]:[Schooling]])=19</f>
        <v>1</v>
      </c>
    </row>
    <row r="2124" spans="1:23" x14ac:dyDescent="0.25">
      <c r="A2124" t="s">
        <v>420</v>
      </c>
      <c r="B2124">
        <v>2012</v>
      </c>
      <c r="C2124" t="s">
        <v>288</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COUNT(LifeExpectancyData[[#This Row],[Life expectancy]:[Schooling]])=19</f>
        <v>1</v>
      </c>
    </row>
    <row r="2125" spans="1:23" x14ac:dyDescent="0.25">
      <c r="A2125" t="s">
        <v>420</v>
      </c>
      <c r="B2125">
        <v>2011</v>
      </c>
      <c r="C2125" t="s">
        <v>288</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COUNT(LifeExpectancyData[[#This Row],[Life expectancy]:[Schooling]])=19</f>
        <v>1</v>
      </c>
    </row>
    <row r="2126" spans="1:23" x14ac:dyDescent="0.25">
      <c r="A2126" t="s">
        <v>420</v>
      </c>
      <c r="B2126">
        <v>2010</v>
      </c>
      <c r="C2126" t="s">
        <v>288</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COUNT(LifeExpectancyData[[#This Row],[Life expectancy]:[Schooling]])=19</f>
        <v>1</v>
      </c>
    </row>
    <row r="2127" spans="1:23" x14ac:dyDescent="0.25">
      <c r="A2127" t="s">
        <v>420</v>
      </c>
      <c r="B2127">
        <v>2009</v>
      </c>
      <c r="C2127" t="s">
        <v>288</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COUNT(LifeExpectancyData[[#This Row],[Life expectancy]:[Schooling]])=19</f>
        <v>1</v>
      </c>
    </row>
    <row r="2128" spans="1:23" x14ac:dyDescent="0.25">
      <c r="A2128" t="s">
        <v>420</v>
      </c>
      <c r="B2128">
        <v>2008</v>
      </c>
      <c r="C2128" t="s">
        <v>288</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COUNT(LifeExpectancyData[[#This Row],[Life expectancy]:[Schooling]])=19</f>
        <v>1</v>
      </c>
    </row>
    <row r="2129" spans="1:23" x14ac:dyDescent="0.25">
      <c r="A2129" t="s">
        <v>420</v>
      </c>
      <c r="B2129">
        <v>2007</v>
      </c>
      <c r="C2129" t="s">
        <v>288</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COUNT(LifeExpectancyData[[#This Row],[Life expectancy]:[Schooling]])=19</f>
        <v>1</v>
      </c>
    </row>
    <row r="2130" spans="1:23" x14ac:dyDescent="0.25">
      <c r="A2130" t="s">
        <v>420</v>
      </c>
      <c r="B2130">
        <v>2006</v>
      </c>
      <c r="C2130" t="s">
        <v>288</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COUNT(LifeExpectancyData[[#This Row],[Life expectancy]:[Schooling]])=19</f>
        <v>1</v>
      </c>
    </row>
    <row r="2131" spans="1:23" x14ac:dyDescent="0.25">
      <c r="A2131" t="s">
        <v>420</v>
      </c>
      <c r="B2131">
        <v>2005</v>
      </c>
      <c r="C2131" t="s">
        <v>288</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COUNT(LifeExpectancyData[[#This Row],[Life expectancy]:[Schooling]])=19</f>
        <v>1</v>
      </c>
    </row>
    <row r="2132" spans="1:23" x14ac:dyDescent="0.25">
      <c r="A2132" t="s">
        <v>420</v>
      </c>
      <c r="B2132">
        <v>2004</v>
      </c>
      <c r="C2132" t="s">
        <v>288</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COUNT(LifeExpectancyData[[#This Row],[Life expectancy]:[Schooling]])=19</f>
        <v>1</v>
      </c>
    </row>
    <row r="2133" spans="1:23" x14ac:dyDescent="0.25">
      <c r="A2133" t="s">
        <v>420</v>
      </c>
      <c r="B2133">
        <v>2003</v>
      </c>
      <c r="C2133" t="s">
        <v>288</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COUNT(LifeExpectancyData[[#This Row],[Life expectancy]:[Schooling]])=19</f>
        <v>1</v>
      </c>
    </row>
    <row r="2134" spans="1:23" x14ac:dyDescent="0.25">
      <c r="A2134" t="s">
        <v>420</v>
      </c>
      <c r="B2134">
        <v>2002</v>
      </c>
      <c r="C2134" t="s">
        <v>288</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COUNT(LifeExpectancyData[[#This Row],[Life expectancy]:[Schooling]])=19</f>
        <v>1</v>
      </c>
    </row>
    <row r="2135" spans="1:23" x14ac:dyDescent="0.25">
      <c r="A2135" t="s">
        <v>420</v>
      </c>
      <c r="B2135">
        <v>2001</v>
      </c>
      <c r="C2135" t="s">
        <v>288</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COUNT(LifeExpectancyData[[#This Row],[Life expectancy]:[Schooling]])=19</f>
        <v>1</v>
      </c>
    </row>
    <row r="2136" spans="1:23" x14ac:dyDescent="0.25">
      <c r="A2136" t="s">
        <v>420</v>
      </c>
      <c r="B2136">
        <v>2000</v>
      </c>
      <c r="C2136" t="s">
        <v>288</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COUNT(LifeExpectancyData[[#This Row],[Life expectancy]:[Schooling]])=19</f>
        <v>1</v>
      </c>
    </row>
    <row r="2137" spans="1:23" x14ac:dyDescent="0.25">
      <c r="A2137" t="s">
        <v>421</v>
      </c>
      <c r="B2137">
        <v>2015</v>
      </c>
      <c r="C2137" t="s">
        <v>280</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COUNT(LifeExpectancyData[[#This Row],[Life expectancy]:[Schooling]])=19</f>
        <v>0</v>
      </c>
    </row>
    <row r="2138" spans="1:23" x14ac:dyDescent="0.25">
      <c r="A2138" t="s">
        <v>421</v>
      </c>
      <c r="B2138">
        <v>2014</v>
      </c>
      <c r="C2138" t="s">
        <v>280</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COUNT(LifeExpectancyData[[#This Row],[Life expectancy]:[Schooling]])=19</f>
        <v>1</v>
      </c>
    </row>
    <row r="2139" spans="1:23" x14ac:dyDescent="0.25">
      <c r="A2139" t="s">
        <v>421</v>
      </c>
      <c r="B2139">
        <v>2013</v>
      </c>
      <c r="C2139" t="s">
        <v>280</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COUNT(LifeExpectancyData[[#This Row],[Life expectancy]:[Schooling]])=19</f>
        <v>1</v>
      </c>
    </row>
    <row r="2140" spans="1:23" x14ac:dyDescent="0.25">
      <c r="A2140" t="s">
        <v>421</v>
      </c>
      <c r="B2140">
        <v>2012</v>
      </c>
      <c r="C2140" t="s">
        <v>280</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COUNT(LifeExpectancyData[[#This Row],[Life expectancy]:[Schooling]])=19</f>
        <v>1</v>
      </c>
    </row>
    <row r="2141" spans="1:23" x14ac:dyDescent="0.25">
      <c r="A2141" t="s">
        <v>421</v>
      </c>
      <c r="B2141">
        <v>2011</v>
      </c>
      <c r="C2141" t="s">
        <v>280</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COUNT(LifeExpectancyData[[#This Row],[Life expectancy]:[Schooling]])=19</f>
        <v>1</v>
      </c>
    </row>
    <row r="2142" spans="1:23" x14ac:dyDescent="0.25">
      <c r="A2142" t="s">
        <v>421</v>
      </c>
      <c r="B2142">
        <v>2010</v>
      </c>
      <c r="C2142" t="s">
        <v>280</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COUNT(LifeExpectancyData[[#This Row],[Life expectancy]:[Schooling]])=19</f>
        <v>1</v>
      </c>
    </row>
    <row r="2143" spans="1:23" x14ac:dyDescent="0.25">
      <c r="A2143" t="s">
        <v>421</v>
      </c>
      <c r="B2143">
        <v>2009</v>
      </c>
      <c r="C2143" t="s">
        <v>280</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COUNT(LifeExpectancyData[[#This Row],[Life expectancy]:[Schooling]])=19</f>
        <v>1</v>
      </c>
    </row>
    <row r="2144" spans="1:23" x14ac:dyDescent="0.25">
      <c r="A2144" t="s">
        <v>421</v>
      </c>
      <c r="B2144">
        <v>2008</v>
      </c>
      <c r="C2144" t="s">
        <v>280</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COUNT(LifeExpectancyData[[#This Row],[Life expectancy]:[Schooling]])=19</f>
        <v>1</v>
      </c>
    </row>
    <row r="2145" spans="1:23" x14ac:dyDescent="0.25">
      <c r="A2145" t="s">
        <v>421</v>
      </c>
      <c r="B2145">
        <v>2007</v>
      </c>
      <c r="C2145" t="s">
        <v>280</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COUNT(LifeExpectancyData[[#This Row],[Life expectancy]:[Schooling]])=19</f>
        <v>1</v>
      </c>
    </row>
    <row r="2146" spans="1:23" x14ac:dyDescent="0.25">
      <c r="A2146" t="s">
        <v>421</v>
      </c>
      <c r="B2146">
        <v>2006</v>
      </c>
      <c r="C2146" t="s">
        <v>280</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COUNT(LifeExpectancyData[[#This Row],[Life expectancy]:[Schooling]])=19</f>
        <v>1</v>
      </c>
    </row>
    <row r="2147" spans="1:23" x14ac:dyDescent="0.25">
      <c r="A2147" t="s">
        <v>421</v>
      </c>
      <c r="B2147">
        <v>2005</v>
      </c>
      <c r="C2147" t="s">
        <v>280</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COUNT(LifeExpectancyData[[#This Row],[Life expectancy]:[Schooling]])=19</f>
        <v>1</v>
      </c>
    </row>
    <row r="2148" spans="1:23" x14ac:dyDescent="0.25">
      <c r="A2148" t="s">
        <v>421</v>
      </c>
      <c r="B2148">
        <v>2004</v>
      </c>
      <c r="C2148" t="s">
        <v>280</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COUNT(LifeExpectancyData[[#This Row],[Life expectancy]:[Schooling]])=19</f>
        <v>1</v>
      </c>
    </row>
    <row r="2149" spans="1:23" x14ac:dyDescent="0.25">
      <c r="A2149" t="s">
        <v>421</v>
      </c>
      <c r="B2149">
        <v>2003</v>
      </c>
      <c r="C2149" t="s">
        <v>280</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COUNT(LifeExpectancyData[[#This Row],[Life expectancy]:[Schooling]])=19</f>
        <v>1</v>
      </c>
    </row>
    <row r="2150" spans="1:23" x14ac:dyDescent="0.25">
      <c r="A2150" t="s">
        <v>421</v>
      </c>
      <c r="B2150">
        <v>2002</v>
      </c>
      <c r="C2150" t="s">
        <v>280</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COUNT(LifeExpectancyData[[#This Row],[Life expectancy]:[Schooling]])=19</f>
        <v>1</v>
      </c>
    </row>
    <row r="2151" spans="1:23" x14ac:dyDescent="0.25">
      <c r="A2151" t="s">
        <v>421</v>
      </c>
      <c r="B2151">
        <v>2001</v>
      </c>
      <c r="C2151" t="s">
        <v>280</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COUNT(LifeExpectancyData[[#This Row],[Life expectancy]:[Schooling]])=19</f>
        <v>1</v>
      </c>
    </row>
    <row r="2152" spans="1:23" x14ac:dyDescent="0.25">
      <c r="A2152" t="s">
        <v>421</v>
      </c>
      <c r="B2152">
        <v>2000</v>
      </c>
      <c r="C2152" t="s">
        <v>280</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COUNT(LifeExpectancyData[[#This Row],[Life expectancy]:[Schooling]])=19</f>
        <v>0</v>
      </c>
    </row>
    <row r="2153" spans="1:23" x14ac:dyDescent="0.25">
      <c r="A2153" t="s">
        <v>422</v>
      </c>
      <c r="B2153">
        <v>2015</v>
      </c>
      <c r="C2153" t="s">
        <v>280</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COUNT(LifeExpectancyData[[#This Row],[Life expectancy]:[Schooling]])=19</f>
        <v>0</v>
      </c>
    </row>
    <row r="2154" spans="1:23" x14ac:dyDescent="0.25">
      <c r="A2154" t="s">
        <v>422</v>
      </c>
      <c r="B2154">
        <v>2014</v>
      </c>
      <c r="C2154" t="s">
        <v>280</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COUNT(LifeExpectancyData[[#This Row],[Life expectancy]:[Schooling]])=19</f>
        <v>1</v>
      </c>
    </row>
    <row r="2155" spans="1:23" x14ac:dyDescent="0.25">
      <c r="A2155" t="s">
        <v>422</v>
      </c>
      <c r="B2155">
        <v>2013</v>
      </c>
      <c r="C2155" t="s">
        <v>280</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COUNT(LifeExpectancyData[[#This Row],[Life expectancy]:[Schooling]])=19</f>
        <v>1</v>
      </c>
    </row>
    <row r="2156" spans="1:23" x14ac:dyDescent="0.25">
      <c r="A2156" t="s">
        <v>422</v>
      </c>
      <c r="B2156">
        <v>2012</v>
      </c>
      <c r="C2156" t="s">
        <v>280</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COUNT(LifeExpectancyData[[#This Row],[Life expectancy]:[Schooling]])=19</f>
        <v>1</v>
      </c>
    </row>
    <row r="2157" spans="1:23" x14ac:dyDescent="0.25">
      <c r="A2157" t="s">
        <v>422</v>
      </c>
      <c r="B2157">
        <v>2011</v>
      </c>
      <c r="C2157" t="s">
        <v>280</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COUNT(LifeExpectancyData[[#This Row],[Life expectancy]:[Schooling]])=19</f>
        <v>1</v>
      </c>
    </row>
    <row r="2158" spans="1:23" x14ac:dyDescent="0.25">
      <c r="A2158" t="s">
        <v>422</v>
      </c>
      <c r="B2158">
        <v>2010</v>
      </c>
      <c r="C2158" t="s">
        <v>280</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COUNT(LifeExpectancyData[[#This Row],[Life expectancy]:[Schooling]])=19</f>
        <v>1</v>
      </c>
    </row>
    <row r="2159" spans="1:23" x14ac:dyDescent="0.25">
      <c r="A2159" t="s">
        <v>422</v>
      </c>
      <c r="B2159">
        <v>2009</v>
      </c>
      <c r="C2159" t="s">
        <v>280</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COUNT(LifeExpectancyData[[#This Row],[Life expectancy]:[Schooling]])=19</f>
        <v>1</v>
      </c>
    </row>
    <row r="2160" spans="1:23" x14ac:dyDescent="0.25">
      <c r="A2160" t="s">
        <v>422</v>
      </c>
      <c r="B2160">
        <v>2008</v>
      </c>
      <c r="C2160" t="s">
        <v>280</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COUNT(LifeExpectancyData[[#This Row],[Life expectancy]:[Schooling]])=19</f>
        <v>1</v>
      </c>
    </row>
    <row r="2161" spans="1:23" x14ac:dyDescent="0.25">
      <c r="A2161" t="s">
        <v>422</v>
      </c>
      <c r="B2161">
        <v>2007</v>
      </c>
      <c r="C2161" t="s">
        <v>280</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COUNT(LifeExpectancyData[[#This Row],[Life expectancy]:[Schooling]])=19</f>
        <v>1</v>
      </c>
    </row>
    <row r="2162" spans="1:23" x14ac:dyDescent="0.25">
      <c r="A2162" t="s">
        <v>422</v>
      </c>
      <c r="B2162">
        <v>2006</v>
      </c>
      <c r="C2162" t="s">
        <v>280</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COUNT(LifeExpectancyData[[#This Row],[Life expectancy]:[Schooling]])=19</f>
        <v>1</v>
      </c>
    </row>
    <row r="2163" spans="1:23" x14ac:dyDescent="0.25">
      <c r="A2163" t="s">
        <v>422</v>
      </c>
      <c r="B2163">
        <v>2005</v>
      </c>
      <c r="C2163" t="s">
        <v>280</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COUNT(LifeExpectancyData[[#This Row],[Life expectancy]:[Schooling]])=19</f>
        <v>1</v>
      </c>
    </row>
    <row r="2164" spans="1:23" x14ac:dyDescent="0.25">
      <c r="A2164" t="s">
        <v>422</v>
      </c>
      <c r="B2164">
        <v>2004</v>
      </c>
      <c r="C2164" t="s">
        <v>280</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COUNT(LifeExpectancyData[[#This Row],[Life expectancy]:[Schooling]])=19</f>
        <v>1</v>
      </c>
    </row>
    <row r="2165" spans="1:23" x14ac:dyDescent="0.25">
      <c r="A2165" t="s">
        <v>422</v>
      </c>
      <c r="B2165">
        <v>2003</v>
      </c>
      <c r="C2165" t="s">
        <v>280</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COUNT(LifeExpectancyData[[#This Row],[Life expectancy]:[Schooling]])=19</f>
        <v>1</v>
      </c>
    </row>
    <row r="2166" spans="1:23" x14ac:dyDescent="0.25">
      <c r="A2166" t="s">
        <v>422</v>
      </c>
      <c r="B2166">
        <v>2002</v>
      </c>
      <c r="C2166" t="s">
        <v>280</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COUNT(LifeExpectancyData[[#This Row],[Life expectancy]:[Schooling]])=19</f>
        <v>1</v>
      </c>
    </row>
    <row r="2167" spans="1:23" x14ac:dyDescent="0.25">
      <c r="A2167" t="s">
        <v>422</v>
      </c>
      <c r="B2167">
        <v>2001</v>
      </c>
      <c r="C2167" t="s">
        <v>280</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COUNT(LifeExpectancyData[[#This Row],[Life expectancy]:[Schooling]])=19</f>
        <v>0</v>
      </c>
    </row>
    <row r="2168" spans="1:23" x14ac:dyDescent="0.25">
      <c r="A2168" t="s">
        <v>422</v>
      </c>
      <c r="B2168">
        <v>2000</v>
      </c>
      <c r="C2168" t="s">
        <v>280</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COUNT(LifeExpectancyData[[#This Row],[Life expectancy]:[Schooling]])=19</f>
        <v>0</v>
      </c>
    </row>
    <row r="2169" spans="1:23" x14ac:dyDescent="0.25">
      <c r="A2169" t="s">
        <v>423</v>
      </c>
      <c r="B2169">
        <v>2013</v>
      </c>
      <c r="C2169" t="s">
        <v>280</v>
      </c>
      <c r="F2169">
        <v>0</v>
      </c>
      <c r="G2169">
        <v>8.5399999999999991</v>
      </c>
      <c r="H2169">
        <v>0</v>
      </c>
      <c r="I2169">
        <v>97</v>
      </c>
      <c r="J2169">
        <v>0</v>
      </c>
      <c r="K2169">
        <v>5.2</v>
      </c>
      <c r="L2169">
        <v>0</v>
      </c>
      <c r="M2169">
        <v>96</v>
      </c>
      <c r="N2169">
        <v>6.14</v>
      </c>
      <c r="O2169">
        <v>96</v>
      </c>
      <c r="P2169">
        <v>0.1</v>
      </c>
      <c r="S2169">
        <v>3.7</v>
      </c>
      <c r="T2169">
        <v>3.6</v>
      </c>
      <c r="U2169">
        <v>0.749</v>
      </c>
      <c r="V2169">
        <v>13.4</v>
      </c>
      <c r="W2169" t="b">
        <f>COUNT(LifeExpectancyData[[#This Row],[Life expectancy]:[Schooling]])=19</f>
        <v>0</v>
      </c>
    </row>
    <row r="2170" spans="1:23" x14ac:dyDescent="0.25">
      <c r="A2170" t="s">
        <v>424</v>
      </c>
      <c r="B2170">
        <v>2015</v>
      </c>
      <c r="C2170" t="s">
        <v>280</v>
      </c>
      <c r="D2170">
        <v>75.2</v>
      </c>
      <c r="E2170">
        <v>138</v>
      </c>
      <c r="F2170">
        <v>0</v>
      </c>
      <c r="H2170">
        <v>0</v>
      </c>
      <c r="I2170">
        <v>99</v>
      </c>
      <c r="J2170">
        <v>0</v>
      </c>
      <c r="K2170">
        <v>47.5</v>
      </c>
      <c r="L2170">
        <v>0</v>
      </c>
      <c r="M2170">
        <v>99</v>
      </c>
      <c r="O2170">
        <v>99</v>
      </c>
      <c r="P2170">
        <v>0.1</v>
      </c>
      <c r="S2170">
        <v>4.3</v>
      </c>
      <c r="T2170">
        <v>4.3</v>
      </c>
      <c r="U2170">
        <v>0.73499999999999999</v>
      </c>
      <c r="V2170">
        <v>13.1</v>
      </c>
      <c r="W2170" t="b">
        <f>COUNT(LifeExpectancyData[[#This Row],[Life expectancy]:[Schooling]])=19</f>
        <v>0</v>
      </c>
    </row>
    <row r="2171" spans="1:23" x14ac:dyDescent="0.25">
      <c r="A2171" t="s">
        <v>424</v>
      </c>
      <c r="B2171">
        <v>2014</v>
      </c>
      <c r="C2171" t="s">
        <v>280</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COUNT(LifeExpectancyData[[#This Row],[Life expectancy]:[Schooling]])=19</f>
        <v>0</v>
      </c>
    </row>
    <row r="2172" spans="1:23" x14ac:dyDescent="0.25">
      <c r="A2172" t="s">
        <v>424</v>
      </c>
      <c r="B2172">
        <v>2013</v>
      </c>
      <c r="C2172" t="s">
        <v>280</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COUNT(LifeExpectancyData[[#This Row],[Life expectancy]:[Schooling]])=19</f>
        <v>0</v>
      </c>
    </row>
    <row r="2173" spans="1:23" x14ac:dyDescent="0.25">
      <c r="A2173" t="s">
        <v>424</v>
      </c>
      <c r="B2173">
        <v>2012</v>
      </c>
      <c r="C2173" t="s">
        <v>280</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COUNT(LifeExpectancyData[[#This Row],[Life expectancy]:[Schooling]])=19</f>
        <v>0</v>
      </c>
    </row>
    <row r="2174" spans="1:23" x14ac:dyDescent="0.25">
      <c r="A2174" t="s">
        <v>424</v>
      </c>
      <c r="B2174">
        <v>2011</v>
      </c>
      <c r="C2174" t="s">
        <v>280</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COUNT(LifeExpectancyData[[#This Row],[Life expectancy]:[Schooling]])=19</f>
        <v>0</v>
      </c>
    </row>
    <row r="2175" spans="1:23" x14ac:dyDescent="0.25">
      <c r="A2175" t="s">
        <v>424</v>
      </c>
      <c r="B2175">
        <v>2010</v>
      </c>
      <c r="C2175" t="s">
        <v>280</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COUNT(LifeExpectancyData[[#This Row],[Life expectancy]:[Schooling]])=19</f>
        <v>0</v>
      </c>
    </row>
    <row r="2176" spans="1:23" x14ac:dyDescent="0.25">
      <c r="A2176" t="s">
        <v>424</v>
      </c>
      <c r="B2176">
        <v>2009</v>
      </c>
      <c r="C2176" t="s">
        <v>280</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COUNT(LifeExpectancyData[[#This Row],[Life expectancy]:[Schooling]])=19</f>
        <v>0</v>
      </c>
    </row>
    <row r="2177" spans="1:23" x14ac:dyDescent="0.25">
      <c r="A2177" t="s">
        <v>424</v>
      </c>
      <c r="B2177">
        <v>2008</v>
      </c>
      <c r="C2177" t="s">
        <v>280</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COUNT(LifeExpectancyData[[#This Row],[Life expectancy]:[Schooling]])=19</f>
        <v>0</v>
      </c>
    </row>
    <row r="2178" spans="1:23" x14ac:dyDescent="0.25">
      <c r="A2178" t="s">
        <v>424</v>
      </c>
      <c r="B2178">
        <v>2007</v>
      </c>
      <c r="C2178" t="s">
        <v>280</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COUNT(LifeExpectancyData[[#This Row],[Life expectancy]:[Schooling]])=19</f>
        <v>0</v>
      </c>
    </row>
    <row r="2179" spans="1:23" x14ac:dyDescent="0.25">
      <c r="A2179" t="s">
        <v>424</v>
      </c>
      <c r="B2179">
        <v>2006</v>
      </c>
      <c r="C2179" t="s">
        <v>280</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COUNT(LifeExpectancyData[[#This Row],[Life expectancy]:[Schooling]])=19</f>
        <v>0</v>
      </c>
    </row>
    <row r="2180" spans="1:23" x14ac:dyDescent="0.25">
      <c r="A2180" t="s">
        <v>424</v>
      </c>
      <c r="B2180">
        <v>2005</v>
      </c>
      <c r="C2180" t="s">
        <v>280</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COUNT(LifeExpectancyData[[#This Row],[Life expectancy]:[Schooling]])=19</f>
        <v>0</v>
      </c>
    </row>
    <row r="2181" spans="1:23" x14ac:dyDescent="0.25">
      <c r="A2181" t="s">
        <v>424</v>
      </c>
      <c r="B2181">
        <v>2004</v>
      </c>
      <c r="C2181" t="s">
        <v>280</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COUNT(LifeExpectancyData[[#This Row],[Life expectancy]:[Schooling]])=19</f>
        <v>0</v>
      </c>
    </row>
    <row r="2182" spans="1:23" x14ac:dyDescent="0.25">
      <c r="A2182" t="s">
        <v>424</v>
      </c>
      <c r="B2182">
        <v>2003</v>
      </c>
      <c r="C2182" t="s">
        <v>280</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COUNT(LifeExpectancyData[[#This Row],[Life expectancy]:[Schooling]])=19</f>
        <v>0</v>
      </c>
    </row>
    <row r="2183" spans="1:23" x14ac:dyDescent="0.25">
      <c r="A2183" t="s">
        <v>424</v>
      </c>
      <c r="B2183">
        <v>2002</v>
      </c>
      <c r="C2183" t="s">
        <v>280</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COUNT(LifeExpectancyData[[#This Row],[Life expectancy]:[Schooling]])=19</f>
        <v>0</v>
      </c>
    </row>
    <row r="2184" spans="1:23" x14ac:dyDescent="0.25">
      <c r="A2184" t="s">
        <v>424</v>
      </c>
      <c r="B2184">
        <v>2001</v>
      </c>
      <c r="C2184" t="s">
        <v>280</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COUNT(LifeExpectancyData[[#This Row],[Life expectancy]:[Schooling]])=19</f>
        <v>0</v>
      </c>
    </row>
    <row r="2185" spans="1:23" x14ac:dyDescent="0.25">
      <c r="A2185" t="s">
        <v>424</v>
      </c>
      <c r="B2185">
        <v>2000</v>
      </c>
      <c r="C2185" t="s">
        <v>280</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COUNT(LifeExpectancyData[[#This Row],[Life expectancy]:[Schooling]])=19</f>
        <v>0</v>
      </c>
    </row>
    <row r="2186" spans="1:23" x14ac:dyDescent="0.25">
      <c r="A2186" t="s">
        <v>425</v>
      </c>
      <c r="B2186">
        <v>2015</v>
      </c>
      <c r="C2186" t="s">
        <v>280</v>
      </c>
      <c r="D2186">
        <v>73.2</v>
      </c>
      <c r="E2186">
        <v>156</v>
      </c>
      <c r="F2186">
        <v>0</v>
      </c>
      <c r="H2186">
        <v>0</v>
      </c>
      <c r="I2186">
        <v>98</v>
      </c>
      <c r="J2186">
        <v>0</v>
      </c>
      <c r="K2186">
        <v>54.1</v>
      </c>
      <c r="L2186">
        <v>0</v>
      </c>
      <c r="M2186">
        <v>97</v>
      </c>
      <c r="O2186">
        <v>98</v>
      </c>
      <c r="P2186">
        <v>0.1</v>
      </c>
      <c r="S2186">
        <v>3.5</v>
      </c>
      <c r="T2186">
        <v>3.4</v>
      </c>
      <c r="U2186">
        <v>0.72</v>
      </c>
      <c r="V2186">
        <v>13.3</v>
      </c>
      <c r="W2186" t="b">
        <f>COUNT(LifeExpectancyData[[#This Row],[Life expectancy]:[Schooling]])=19</f>
        <v>0</v>
      </c>
    </row>
    <row r="2187" spans="1:23" x14ac:dyDescent="0.25">
      <c r="A2187" t="s">
        <v>425</v>
      </c>
      <c r="B2187">
        <v>2014</v>
      </c>
      <c r="C2187" t="s">
        <v>280</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COUNT(LifeExpectancyData[[#This Row],[Life expectancy]:[Schooling]])=19</f>
        <v>0</v>
      </c>
    </row>
    <row r="2188" spans="1:23" x14ac:dyDescent="0.25">
      <c r="A2188" t="s">
        <v>425</v>
      </c>
      <c r="B2188">
        <v>2013</v>
      </c>
      <c r="C2188" t="s">
        <v>280</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COUNT(LifeExpectancyData[[#This Row],[Life expectancy]:[Schooling]])=19</f>
        <v>0</v>
      </c>
    </row>
    <row r="2189" spans="1:23" x14ac:dyDescent="0.25">
      <c r="A2189" t="s">
        <v>425</v>
      </c>
      <c r="B2189">
        <v>2012</v>
      </c>
      <c r="C2189" t="s">
        <v>280</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COUNT(LifeExpectancyData[[#This Row],[Life expectancy]:[Schooling]])=19</f>
        <v>0</v>
      </c>
    </row>
    <row r="2190" spans="1:23" x14ac:dyDescent="0.25">
      <c r="A2190" t="s">
        <v>425</v>
      </c>
      <c r="B2190">
        <v>2011</v>
      </c>
      <c r="C2190" t="s">
        <v>280</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COUNT(LifeExpectancyData[[#This Row],[Life expectancy]:[Schooling]])=19</f>
        <v>0</v>
      </c>
    </row>
    <row r="2191" spans="1:23" x14ac:dyDescent="0.25">
      <c r="A2191" t="s">
        <v>425</v>
      </c>
      <c r="B2191">
        <v>2010</v>
      </c>
      <c r="C2191" t="s">
        <v>280</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COUNT(LifeExpectancyData[[#This Row],[Life expectancy]:[Schooling]])=19</f>
        <v>0</v>
      </c>
    </row>
    <row r="2192" spans="1:23" x14ac:dyDescent="0.25">
      <c r="A2192" t="s">
        <v>425</v>
      </c>
      <c r="B2192">
        <v>2009</v>
      </c>
      <c r="C2192" t="s">
        <v>280</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COUNT(LifeExpectancyData[[#This Row],[Life expectancy]:[Schooling]])=19</f>
        <v>0</v>
      </c>
    </row>
    <row r="2193" spans="1:23" x14ac:dyDescent="0.25">
      <c r="A2193" t="s">
        <v>425</v>
      </c>
      <c r="B2193">
        <v>2008</v>
      </c>
      <c r="C2193" t="s">
        <v>280</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COUNT(LifeExpectancyData[[#This Row],[Life expectancy]:[Schooling]])=19</f>
        <v>0</v>
      </c>
    </row>
    <row r="2194" spans="1:23" x14ac:dyDescent="0.25">
      <c r="A2194" t="s">
        <v>425</v>
      </c>
      <c r="B2194">
        <v>2007</v>
      </c>
      <c r="C2194" t="s">
        <v>280</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COUNT(LifeExpectancyData[[#This Row],[Life expectancy]:[Schooling]])=19</f>
        <v>0</v>
      </c>
    </row>
    <row r="2195" spans="1:23" x14ac:dyDescent="0.25">
      <c r="A2195" t="s">
        <v>425</v>
      </c>
      <c r="B2195">
        <v>2006</v>
      </c>
      <c r="C2195" t="s">
        <v>280</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COUNT(LifeExpectancyData[[#This Row],[Life expectancy]:[Schooling]])=19</f>
        <v>0</v>
      </c>
    </row>
    <row r="2196" spans="1:23" x14ac:dyDescent="0.25">
      <c r="A2196" t="s">
        <v>425</v>
      </c>
      <c r="B2196">
        <v>2005</v>
      </c>
      <c r="C2196" t="s">
        <v>280</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COUNT(LifeExpectancyData[[#This Row],[Life expectancy]:[Schooling]])=19</f>
        <v>0</v>
      </c>
    </row>
    <row r="2197" spans="1:23" x14ac:dyDescent="0.25">
      <c r="A2197" t="s">
        <v>425</v>
      </c>
      <c r="B2197">
        <v>2004</v>
      </c>
      <c r="C2197" t="s">
        <v>280</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COUNT(LifeExpectancyData[[#This Row],[Life expectancy]:[Schooling]])=19</f>
        <v>0</v>
      </c>
    </row>
    <row r="2198" spans="1:23" x14ac:dyDescent="0.25">
      <c r="A2198" t="s">
        <v>425</v>
      </c>
      <c r="B2198">
        <v>2003</v>
      </c>
      <c r="C2198" t="s">
        <v>280</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COUNT(LifeExpectancyData[[#This Row],[Life expectancy]:[Schooling]])=19</f>
        <v>0</v>
      </c>
    </row>
    <row r="2199" spans="1:23" x14ac:dyDescent="0.25">
      <c r="A2199" t="s">
        <v>425</v>
      </c>
      <c r="B2199">
        <v>2002</v>
      </c>
      <c r="C2199" t="s">
        <v>280</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COUNT(LifeExpectancyData[[#This Row],[Life expectancy]:[Schooling]])=19</f>
        <v>0</v>
      </c>
    </row>
    <row r="2200" spans="1:23" x14ac:dyDescent="0.25">
      <c r="A2200" t="s">
        <v>425</v>
      </c>
      <c r="B2200">
        <v>2001</v>
      </c>
      <c r="C2200" t="s">
        <v>280</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COUNT(LifeExpectancyData[[#This Row],[Life expectancy]:[Schooling]])=19</f>
        <v>0</v>
      </c>
    </row>
    <row r="2201" spans="1:23" x14ac:dyDescent="0.25">
      <c r="A2201" t="s">
        <v>425</v>
      </c>
      <c r="B2201">
        <v>2000</v>
      </c>
      <c r="C2201" t="s">
        <v>280</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COUNT(LifeExpectancyData[[#This Row],[Life expectancy]:[Schooling]])=19</f>
        <v>0</v>
      </c>
    </row>
    <row r="2202" spans="1:23" x14ac:dyDescent="0.25">
      <c r="A2202" t="s">
        <v>426</v>
      </c>
      <c r="B2202">
        <v>2015</v>
      </c>
      <c r="C2202" t="s">
        <v>280</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COUNT(LifeExpectancyData[[#This Row],[Life expectancy]:[Schooling]])=19</f>
        <v>0</v>
      </c>
    </row>
    <row r="2203" spans="1:23" x14ac:dyDescent="0.25">
      <c r="A2203" t="s">
        <v>426</v>
      </c>
      <c r="B2203">
        <v>2014</v>
      </c>
      <c r="C2203" t="s">
        <v>280</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COUNT(LifeExpectancyData[[#This Row],[Life expectancy]:[Schooling]])=19</f>
        <v>1</v>
      </c>
    </row>
    <row r="2204" spans="1:23" x14ac:dyDescent="0.25">
      <c r="A2204" t="s">
        <v>426</v>
      </c>
      <c r="B2204">
        <v>2013</v>
      </c>
      <c r="C2204" t="s">
        <v>280</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COUNT(LifeExpectancyData[[#This Row],[Life expectancy]:[Schooling]])=19</f>
        <v>1</v>
      </c>
    </row>
    <row r="2205" spans="1:23" x14ac:dyDescent="0.25">
      <c r="A2205" t="s">
        <v>426</v>
      </c>
      <c r="B2205">
        <v>2012</v>
      </c>
      <c r="C2205" t="s">
        <v>280</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COUNT(LifeExpectancyData[[#This Row],[Life expectancy]:[Schooling]])=19</f>
        <v>1</v>
      </c>
    </row>
    <row r="2206" spans="1:23" x14ac:dyDescent="0.25">
      <c r="A2206" t="s">
        <v>426</v>
      </c>
      <c r="B2206">
        <v>2011</v>
      </c>
      <c r="C2206" t="s">
        <v>280</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COUNT(LifeExpectancyData[[#This Row],[Life expectancy]:[Schooling]])=19</f>
        <v>1</v>
      </c>
    </row>
    <row r="2207" spans="1:23" x14ac:dyDescent="0.25">
      <c r="A2207" t="s">
        <v>426</v>
      </c>
      <c r="B2207">
        <v>2010</v>
      </c>
      <c r="C2207" t="s">
        <v>280</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COUNT(LifeExpectancyData[[#This Row],[Life expectancy]:[Schooling]])=19</f>
        <v>1</v>
      </c>
    </row>
    <row r="2208" spans="1:23" x14ac:dyDescent="0.25">
      <c r="A2208" t="s">
        <v>426</v>
      </c>
      <c r="B2208">
        <v>2009</v>
      </c>
      <c r="C2208" t="s">
        <v>280</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COUNT(LifeExpectancyData[[#This Row],[Life expectancy]:[Schooling]])=19</f>
        <v>1</v>
      </c>
    </row>
    <row r="2209" spans="1:23" x14ac:dyDescent="0.25">
      <c r="A2209" t="s">
        <v>426</v>
      </c>
      <c r="B2209">
        <v>2008</v>
      </c>
      <c r="C2209" t="s">
        <v>280</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COUNT(LifeExpectancyData[[#This Row],[Life expectancy]:[Schooling]])=19</f>
        <v>1</v>
      </c>
    </row>
    <row r="2210" spans="1:23" x14ac:dyDescent="0.25">
      <c r="A2210" t="s">
        <v>426</v>
      </c>
      <c r="B2210">
        <v>2007</v>
      </c>
      <c r="C2210" t="s">
        <v>280</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COUNT(LifeExpectancyData[[#This Row],[Life expectancy]:[Schooling]])=19</f>
        <v>1</v>
      </c>
    </row>
    <row r="2211" spans="1:23" x14ac:dyDescent="0.25">
      <c r="A2211" t="s">
        <v>426</v>
      </c>
      <c r="B2211">
        <v>2006</v>
      </c>
      <c r="C2211" t="s">
        <v>280</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COUNT(LifeExpectancyData[[#This Row],[Life expectancy]:[Schooling]])=19</f>
        <v>1</v>
      </c>
    </row>
    <row r="2212" spans="1:23" x14ac:dyDescent="0.25">
      <c r="A2212" t="s">
        <v>426</v>
      </c>
      <c r="B2212">
        <v>2005</v>
      </c>
      <c r="C2212" t="s">
        <v>280</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COUNT(LifeExpectancyData[[#This Row],[Life expectancy]:[Schooling]])=19</f>
        <v>1</v>
      </c>
    </row>
    <row r="2213" spans="1:23" x14ac:dyDescent="0.25">
      <c r="A2213" t="s">
        <v>426</v>
      </c>
      <c r="B2213">
        <v>2004</v>
      </c>
      <c r="C2213" t="s">
        <v>280</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COUNT(LifeExpectancyData[[#This Row],[Life expectancy]:[Schooling]])=19</f>
        <v>1</v>
      </c>
    </row>
    <row r="2214" spans="1:23" x14ac:dyDescent="0.25">
      <c r="A2214" t="s">
        <v>426</v>
      </c>
      <c r="B2214">
        <v>2003</v>
      </c>
      <c r="C2214" t="s">
        <v>280</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COUNT(LifeExpectancyData[[#This Row],[Life expectancy]:[Schooling]])=19</f>
        <v>1</v>
      </c>
    </row>
    <row r="2215" spans="1:23" x14ac:dyDescent="0.25">
      <c r="A2215" t="s">
        <v>426</v>
      </c>
      <c r="B2215">
        <v>2002</v>
      </c>
      <c r="C2215" t="s">
        <v>280</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COUNT(LifeExpectancyData[[#This Row],[Life expectancy]:[Schooling]])=19</f>
        <v>1</v>
      </c>
    </row>
    <row r="2216" spans="1:23" x14ac:dyDescent="0.25">
      <c r="A2216" t="s">
        <v>426</v>
      </c>
      <c r="B2216">
        <v>2001</v>
      </c>
      <c r="C2216" t="s">
        <v>280</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COUNT(LifeExpectancyData[[#This Row],[Life expectancy]:[Schooling]])=19</f>
        <v>1</v>
      </c>
    </row>
    <row r="2217" spans="1:23" x14ac:dyDescent="0.25">
      <c r="A2217" t="s">
        <v>426</v>
      </c>
      <c r="B2217">
        <v>2000</v>
      </c>
      <c r="C2217" t="s">
        <v>280</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COUNT(LifeExpectancyData[[#This Row],[Life expectancy]:[Schooling]])=19</f>
        <v>1</v>
      </c>
    </row>
    <row r="2218" spans="1:23" x14ac:dyDescent="0.25">
      <c r="A2218" t="s">
        <v>427</v>
      </c>
      <c r="B2218">
        <v>2013</v>
      </c>
      <c r="C2218" t="s">
        <v>280</v>
      </c>
      <c r="F2218">
        <v>0</v>
      </c>
      <c r="G2218">
        <v>0.01</v>
      </c>
      <c r="H2218">
        <v>0</v>
      </c>
      <c r="I2218">
        <v>69</v>
      </c>
      <c r="J2218">
        <v>0</v>
      </c>
      <c r="L2218">
        <v>0</v>
      </c>
      <c r="M2218">
        <v>69</v>
      </c>
      <c r="N2218">
        <v>6.5</v>
      </c>
      <c r="O2218">
        <v>69</v>
      </c>
      <c r="P2218">
        <v>0.1</v>
      </c>
      <c r="V2218">
        <v>15.1</v>
      </c>
      <c r="W2218" t="b">
        <f>COUNT(LifeExpectancyData[[#This Row],[Life expectancy]:[Schooling]])=19</f>
        <v>0</v>
      </c>
    </row>
    <row r="2219" spans="1:23" x14ac:dyDescent="0.25">
      <c r="A2219" t="s">
        <v>428</v>
      </c>
      <c r="B2219">
        <v>2015</v>
      </c>
      <c r="C2219" t="s">
        <v>280</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COUNT(LifeExpectancyData[[#This Row],[Life expectancy]:[Schooling]])=19</f>
        <v>0</v>
      </c>
    </row>
    <row r="2220" spans="1:23" x14ac:dyDescent="0.25">
      <c r="A2220" t="s">
        <v>428</v>
      </c>
      <c r="B2220">
        <v>2014</v>
      </c>
      <c r="C2220" t="s">
        <v>280</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COUNT(LifeExpectancyData[[#This Row],[Life expectancy]:[Schooling]])=19</f>
        <v>1</v>
      </c>
    </row>
    <row r="2221" spans="1:23" x14ac:dyDescent="0.25">
      <c r="A2221" t="s">
        <v>428</v>
      </c>
      <c r="B2221">
        <v>2013</v>
      </c>
      <c r="C2221" t="s">
        <v>280</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COUNT(LifeExpectancyData[[#This Row],[Life expectancy]:[Schooling]])=19</f>
        <v>1</v>
      </c>
    </row>
    <row r="2222" spans="1:23" x14ac:dyDescent="0.25">
      <c r="A2222" t="s">
        <v>428</v>
      </c>
      <c r="B2222">
        <v>2012</v>
      </c>
      <c r="C2222" t="s">
        <v>280</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COUNT(LifeExpectancyData[[#This Row],[Life expectancy]:[Schooling]])=19</f>
        <v>1</v>
      </c>
    </row>
    <row r="2223" spans="1:23" x14ac:dyDescent="0.25">
      <c r="A2223" t="s">
        <v>428</v>
      </c>
      <c r="B2223">
        <v>2011</v>
      </c>
      <c r="C2223" t="s">
        <v>280</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COUNT(LifeExpectancyData[[#This Row],[Life expectancy]:[Schooling]])=19</f>
        <v>1</v>
      </c>
    </row>
    <row r="2224" spans="1:23" x14ac:dyDescent="0.25">
      <c r="A2224" t="s">
        <v>428</v>
      </c>
      <c r="B2224">
        <v>2010</v>
      </c>
      <c r="C2224" t="s">
        <v>280</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COUNT(LifeExpectancyData[[#This Row],[Life expectancy]:[Schooling]])=19</f>
        <v>1</v>
      </c>
    </row>
    <row r="2225" spans="1:23" x14ac:dyDescent="0.25">
      <c r="A2225" t="s">
        <v>428</v>
      </c>
      <c r="B2225">
        <v>2009</v>
      </c>
      <c r="C2225" t="s">
        <v>280</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COUNT(LifeExpectancyData[[#This Row],[Life expectancy]:[Schooling]])=19</f>
        <v>1</v>
      </c>
    </row>
    <row r="2226" spans="1:23" x14ac:dyDescent="0.25">
      <c r="A2226" t="s">
        <v>428</v>
      </c>
      <c r="B2226">
        <v>2008</v>
      </c>
      <c r="C2226" t="s">
        <v>280</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COUNT(LifeExpectancyData[[#This Row],[Life expectancy]:[Schooling]])=19</f>
        <v>1</v>
      </c>
    </row>
    <row r="2227" spans="1:23" x14ac:dyDescent="0.25">
      <c r="A2227" t="s">
        <v>428</v>
      </c>
      <c r="B2227">
        <v>2007</v>
      </c>
      <c r="C2227" t="s">
        <v>280</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COUNT(LifeExpectancyData[[#This Row],[Life expectancy]:[Schooling]])=19</f>
        <v>1</v>
      </c>
    </row>
    <row r="2228" spans="1:23" x14ac:dyDescent="0.25">
      <c r="A2228" t="s">
        <v>428</v>
      </c>
      <c r="B2228">
        <v>2006</v>
      </c>
      <c r="C2228" t="s">
        <v>280</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COUNT(LifeExpectancyData[[#This Row],[Life expectancy]:[Schooling]])=19</f>
        <v>1</v>
      </c>
    </row>
    <row r="2229" spans="1:23" x14ac:dyDescent="0.25">
      <c r="A2229" t="s">
        <v>428</v>
      </c>
      <c r="B2229">
        <v>2005</v>
      </c>
      <c r="C2229" t="s">
        <v>280</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COUNT(LifeExpectancyData[[#This Row],[Life expectancy]:[Schooling]])=19</f>
        <v>1</v>
      </c>
    </row>
    <row r="2230" spans="1:23" x14ac:dyDescent="0.25">
      <c r="A2230" t="s">
        <v>428</v>
      </c>
      <c r="B2230">
        <v>2004</v>
      </c>
      <c r="C2230" t="s">
        <v>280</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COUNT(LifeExpectancyData[[#This Row],[Life expectancy]:[Schooling]])=19</f>
        <v>1</v>
      </c>
    </row>
    <row r="2231" spans="1:23" x14ac:dyDescent="0.25">
      <c r="A2231" t="s">
        <v>428</v>
      </c>
      <c r="B2231">
        <v>2003</v>
      </c>
      <c r="C2231" t="s">
        <v>280</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COUNT(LifeExpectancyData[[#This Row],[Life expectancy]:[Schooling]])=19</f>
        <v>1</v>
      </c>
    </row>
    <row r="2232" spans="1:23" x14ac:dyDescent="0.25">
      <c r="A2232" t="s">
        <v>428</v>
      </c>
      <c r="B2232">
        <v>2002</v>
      </c>
      <c r="C2232" t="s">
        <v>280</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COUNT(LifeExpectancyData[[#This Row],[Life expectancy]:[Schooling]])=19</f>
        <v>0</v>
      </c>
    </row>
    <row r="2233" spans="1:23" x14ac:dyDescent="0.25">
      <c r="A2233" t="s">
        <v>428</v>
      </c>
      <c r="B2233">
        <v>2001</v>
      </c>
      <c r="C2233" t="s">
        <v>280</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COUNT(LifeExpectancyData[[#This Row],[Life expectancy]:[Schooling]])=19</f>
        <v>0</v>
      </c>
    </row>
    <row r="2234" spans="1:23" x14ac:dyDescent="0.25">
      <c r="A2234" t="s">
        <v>428</v>
      </c>
      <c r="B2234">
        <v>2000</v>
      </c>
      <c r="C2234" t="s">
        <v>280</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COUNT(LifeExpectancyData[[#This Row],[Life expectancy]:[Schooling]])=19</f>
        <v>0</v>
      </c>
    </row>
    <row r="2235" spans="1:23" x14ac:dyDescent="0.25">
      <c r="A2235" t="s">
        <v>429</v>
      </c>
      <c r="B2235">
        <v>2015</v>
      </c>
      <c r="C2235" t="s">
        <v>280</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COUNT(LifeExpectancyData[[#This Row],[Life expectancy]:[Schooling]])=19</f>
        <v>0</v>
      </c>
    </row>
    <row r="2236" spans="1:23" x14ac:dyDescent="0.25">
      <c r="A2236" t="s">
        <v>429</v>
      </c>
      <c r="B2236">
        <v>2014</v>
      </c>
      <c r="C2236" t="s">
        <v>280</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COUNT(LifeExpectancyData[[#This Row],[Life expectancy]:[Schooling]])=19</f>
        <v>0</v>
      </c>
    </row>
    <row r="2237" spans="1:23" x14ac:dyDescent="0.25">
      <c r="A2237" t="s">
        <v>429</v>
      </c>
      <c r="B2237">
        <v>2013</v>
      </c>
      <c r="C2237" t="s">
        <v>280</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COUNT(LifeExpectancyData[[#This Row],[Life expectancy]:[Schooling]])=19</f>
        <v>0</v>
      </c>
    </row>
    <row r="2238" spans="1:23" x14ac:dyDescent="0.25">
      <c r="A2238" t="s">
        <v>429</v>
      </c>
      <c r="B2238">
        <v>2012</v>
      </c>
      <c r="C2238" t="s">
        <v>280</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COUNT(LifeExpectancyData[[#This Row],[Life expectancy]:[Schooling]])=19</f>
        <v>0</v>
      </c>
    </row>
    <row r="2239" spans="1:23" x14ac:dyDescent="0.25">
      <c r="A2239" t="s">
        <v>429</v>
      </c>
      <c r="B2239">
        <v>2011</v>
      </c>
      <c r="C2239" t="s">
        <v>280</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COUNT(LifeExpectancyData[[#This Row],[Life expectancy]:[Schooling]])=19</f>
        <v>0</v>
      </c>
    </row>
    <row r="2240" spans="1:23" x14ac:dyDescent="0.25">
      <c r="A2240" t="s">
        <v>429</v>
      </c>
      <c r="B2240">
        <v>2010</v>
      </c>
      <c r="C2240" t="s">
        <v>280</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COUNT(LifeExpectancyData[[#This Row],[Life expectancy]:[Schooling]])=19</f>
        <v>0</v>
      </c>
    </row>
    <row r="2241" spans="1:23" x14ac:dyDescent="0.25">
      <c r="A2241" t="s">
        <v>429</v>
      </c>
      <c r="B2241">
        <v>2009</v>
      </c>
      <c r="C2241" t="s">
        <v>280</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COUNT(LifeExpectancyData[[#This Row],[Life expectancy]:[Schooling]])=19</f>
        <v>0</v>
      </c>
    </row>
    <row r="2242" spans="1:23" x14ac:dyDescent="0.25">
      <c r="A2242" t="s">
        <v>429</v>
      </c>
      <c r="B2242">
        <v>2008</v>
      </c>
      <c r="C2242" t="s">
        <v>280</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COUNT(LifeExpectancyData[[#This Row],[Life expectancy]:[Schooling]])=19</f>
        <v>0</v>
      </c>
    </row>
    <row r="2243" spans="1:23" x14ac:dyDescent="0.25">
      <c r="A2243" t="s">
        <v>429</v>
      </c>
      <c r="B2243">
        <v>2007</v>
      </c>
      <c r="C2243" t="s">
        <v>280</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COUNT(LifeExpectancyData[[#This Row],[Life expectancy]:[Schooling]])=19</f>
        <v>0</v>
      </c>
    </row>
    <row r="2244" spans="1:23" x14ac:dyDescent="0.25">
      <c r="A2244" t="s">
        <v>429</v>
      </c>
      <c r="B2244">
        <v>2006</v>
      </c>
      <c r="C2244" t="s">
        <v>280</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COUNT(LifeExpectancyData[[#This Row],[Life expectancy]:[Schooling]])=19</f>
        <v>0</v>
      </c>
    </row>
    <row r="2245" spans="1:23" x14ac:dyDescent="0.25">
      <c r="A2245" t="s">
        <v>429</v>
      </c>
      <c r="B2245">
        <v>2005</v>
      </c>
      <c r="C2245" t="s">
        <v>280</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COUNT(LifeExpectancyData[[#This Row],[Life expectancy]:[Schooling]])=19</f>
        <v>0</v>
      </c>
    </row>
    <row r="2246" spans="1:23" x14ac:dyDescent="0.25">
      <c r="A2246" t="s">
        <v>429</v>
      </c>
      <c r="B2246">
        <v>2004</v>
      </c>
      <c r="C2246" t="s">
        <v>280</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COUNT(LifeExpectancyData[[#This Row],[Life expectancy]:[Schooling]])=19</f>
        <v>0</v>
      </c>
    </row>
    <row r="2247" spans="1:23" x14ac:dyDescent="0.25">
      <c r="A2247" t="s">
        <v>429</v>
      </c>
      <c r="B2247">
        <v>2003</v>
      </c>
      <c r="C2247" t="s">
        <v>280</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COUNT(LifeExpectancyData[[#This Row],[Life expectancy]:[Schooling]])=19</f>
        <v>0</v>
      </c>
    </row>
    <row r="2248" spans="1:23" x14ac:dyDescent="0.25">
      <c r="A2248" t="s">
        <v>429</v>
      </c>
      <c r="B2248">
        <v>2002</v>
      </c>
      <c r="C2248" t="s">
        <v>280</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COUNT(LifeExpectancyData[[#This Row],[Life expectancy]:[Schooling]])=19</f>
        <v>0</v>
      </c>
    </row>
    <row r="2249" spans="1:23" x14ac:dyDescent="0.25">
      <c r="A2249" t="s">
        <v>429</v>
      </c>
      <c r="B2249">
        <v>2001</v>
      </c>
      <c r="C2249" t="s">
        <v>280</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COUNT(LifeExpectancyData[[#This Row],[Life expectancy]:[Schooling]])=19</f>
        <v>0</v>
      </c>
    </row>
    <row r="2250" spans="1:23" x14ac:dyDescent="0.25">
      <c r="A2250" t="s">
        <v>429</v>
      </c>
      <c r="B2250">
        <v>2000</v>
      </c>
      <c r="C2250" t="s">
        <v>280</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COUNT(LifeExpectancyData[[#This Row],[Life expectancy]:[Schooling]])=19</f>
        <v>0</v>
      </c>
    </row>
    <row r="2251" spans="1:23" x14ac:dyDescent="0.25">
      <c r="A2251" t="s">
        <v>430</v>
      </c>
      <c r="B2251">
        <v>2015</v>
      </c>
      <c r="C2251" t="s">
        <v>280</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COUNT(LifeExpectancyData[[#This Row],[Life expectancy]:[Schooling]])=19</f>
        <v>0</v>
      </c>
    </row>
    <row r="2252" spans="1:23" x14ac:dyDescent="0.25">
      <c r="A2252" t="s">
        <v>430</v>
      </c>
      <c r="B2252">
        <v>2014</v>
      </c>
      <c r="C2252" t="s">
        <v>280</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COUNT(LifeExpectancyData[[#This Row],[Life expectancy]:[Schooling]])=19</f>
        <v>1</v>
      </c>
    </row>
    <row r="2253" spans="1:23" x14ac:dyDescent="0.25">
      <c r="A2253" t="s">
        <v>430</v>
      </c>
      <c r="B2253">
        <v>2013</v>
      </c>
      <c r="C2253" t="s">
        <v>280</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COUNT(LifeExpectancyData[[#This Row],[Life expectancy]:[Schooling]])=19</f>
        <v>1</v>
      </c>
    </row>
    <row r="2254" spans="1:23" x14ac:dyDescent="0.25">
      <c r="A2254" t="s">
        <v>430</v>
      </c>
      <c r="B2254">
        <v>2012</v>
      </c>
      <c r="C2254" t="s">
        <v>280</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COUNT(LifeExpectancyData[[#This Row],[Life expectancy]:[Schooling]])=19</f>
        <v>1</v>
      </c>
    </row>
    <row r="2255" spans="1:23" x14ac:dyDescent="0.25">
      <c r="A2255" t="s">
        <v>430</v>
      </c>
      <c r="B2255">
        <v>2011</v>
      </c>
      <c r="C2255" t="s">
        <v>280</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COUNT(LifeExpectancyData[[#This Row],[Life expectancy]:[Schooling]])=19</f>
        <v>1</v>
      </c>
    </row>
    <row r="2256" spans="1:23" x14ac:dyDescent="0.25">
      <c r="A2256" t="s">
        <v>430</v>
      </c>
      <c r="B2256">
        <v>2010</v>
      </c>
      <c r="C2256" t="s">
        <v>280</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COUNT(LifeExpectancyData[[#This Row],[Life expectancy]:[Schooling]])=19</f>
        <v>1</v>
      </c>
    </row>
    <row r="2257" spans="1:23" x14ac:dyDescent="0.25">
      <c r="A2257" t="s">
        <v>430</v>
      </c>
      <c r="B2257">
        <v>2009</v>
      </c>
      <c r="C2257" t="s">
        <v>280</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COUNT(LifeExpectancyData[[#This Row],[Life expectancy]:[Schooling]])=19</f>
        <v>1</v>
      </c>
    </row>
    <row r="2258" spans="1:23" x14ac:dyDescent="0.25">
      <c r="A2258" t="s">
        <v>430</v>
      </c>
      <c r="B2258">
        <v>2008</v>
      </c>
      <c r="C2258" t="s">
        <v>280</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COUNT(LifeExpectancyData[[#This Row],[Life expectancy]:[Schooling]])=19</f>
        <v>1</v>
      </c>
    </row>
    <row r="2259" spans="1:23" x14ac:dyDescent="0.25">
      <c r="A2259" t="s">
        <v>430</v>
      </c>
      <c r="B2259">
        <v>2007</v>
      </c>
      <c r="C2259" t="s">
        <v>280</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COUNT(LifeExpectancyData[[#This Row],[Life expectancy]:[Schooling]])=19</f>
        <v>1</v>
      </c>
    </row>
    <row r="2260" spans="1:23" x14ac:dyDescent="0.25">
      <c r="A2260" t="s">
        <v>430</v>
      </c>
      <c r="B2260">
        <v>2006</v>
      </c>
      <c r="C2260" t="s">
        <v>280</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COUNT(LifeExpectancyData[[#This Row],[Life expectancy]:[Schooling]])=19</f>
        <v>1</v>
      </c>
    </row>
    <row r="2261" spans="1:23" x14ac:dyDescent="0.25">
      <c r="A2261" t="s">
        <v>430</v>
      </c>
      <c r="B2261">
        <v>2005</v>
      </c>
      <c r="C2261" t="s">
        <v>280</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COUNT(LifeExpectancyData[[#This Row],[Life expectancy]:[Schooling]])=19</f>
        <v>1</v>
      </c>
    </row>
    <row r="2262" spans="1:23" x14ac:dyDescent="0.25">
      <c r="A2262" t="s">
        <v>430</v>
      </c>
      <c r="B2262">
        <v>2004</v>
      </c>
      <c r="C2262" t="s">
        <v>280</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COUNT(LifeExpectancyData[[#This Row],[Life expectancy]:[Schooling]])=19</f>
        <v>1</v>
      </c>
    </row>
    <row r="2263" spans="1:23" x14ac:dyDescent="0.25">
      <c r="A2263" t="s">
        <v>430</v>
      </c>
      <c r="B2263">
        <v>2003</v>
      </c>
      <c r="C2263" t="s">
        <v>280</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COUNT(LifeExpectancyData[[#This Row],[Life expectancy]:[Schooling]])=19</f>
        <v>0</v>
      </c>
    </row>
    <row r="2264" spans="1:23" x14ac:dyDescent="0.25">
      <c r="A2264" t="s">
        <v>430</v>
      </c>
      <c r="B2264">
        <v>2002</v>
      </c>
      <c r="C2264" t="s">
        <v>280</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COUNT(LifeExpectancyData[[#This Row],[Life expectancy]:[Schooling]])=19</f>
        <v>0</v>
      </c>
    </row>
    <row r="2265" spans="1:23" x14ac:dyDescent="0.25">
      <c r="A2265" t="s">
        <v>430</v>
      </c>
      <c r="B2265">
        <v>2001</v>
      </c>
      <c r="C2265" t="s">
        <v>280</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COUNT(LifeExpectancyData[[#This Row],[Life expectancy]:[Schooling]])=19</f>
        <v>0</v>
      </c>
    </row>
    <row r="2266" spans="1:23" x14ac:dyDescent="0.25">
      <c r="A2266" t="s">
        <v>430</v>
      </c>
      <c r="B2266">
        <v>2000</v>
      </c>
      <c r="C2266" t="s">
        <v>280</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COUNT(LifeExpectancyData[[#This Row],[Life expectancy]:[Schooling]])=19</f>
        <v>0</v>
      </c>
    </row>
    <row r="2267" spans="1:23" x14ac:dyDescent="0.25">
      <c r="A2267" t="s">
        <v>431</v>
      </c>
      <c r="B2267">
        <v>2015</v>
      </c>
      <c r="C2267" t="s">
        <v>280</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COUNT(LifeExpectancyData[[#This Row],[Life expectancy]:[Schooling]])=19</f>
        <v>0</v>
      </c>
    </row>
    <row r="2268" spans="1:23" x14ac:dyDescent="0.25">
      <c r="A2268" t="s">
        <v>431</v>
      </c>
      <c r="B2268">
        <v>2014</v>
      </c>
      <c r="C2268" t="s">
        <v>280</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COUNT(LifeExpectancyData[[#This Row],[Life expectancy]:[Schooling]])=19</f>
        <v>1</v>
      </c>
    </row>
    <row r="2269" spans="1:23" x14ac:dyDescent="0.25">
      <c r="A2269" t="s">
        <v>431</v>
      </c>
      <c r="B2269">
        <v>2013</v>
      </c>
      <c r="C2269" t="s">
        <v>280</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COUNT(LifeExpectancyData[[#This Row],[Life expectancy]:[Schooling]])=19</f>
        <v>1</v>
      </c>
    </row>
    <row r="2270" spans="1:23" x14ac:dyDescent="0.25">
      <c r="A2270" t="s">
        <v>431</v>
      </c>
      <c r="B2270">
        <v>2012</v>
      </c>
      <c r="C2270" t="s">
        <v>280</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COUNT(LifeExpectancyData[[#This Row],[Life expectancy]:[Schooling]])=19</f>
        <v>1</v>
      </c>
    </row>
    <row r="2271" spans="1:23" x14ac:dyDescent="0.25">
      <c r="A2271" t="s">
        <v>431</v>
      </c>
      <c r="B2271">
        <v>2011</v>
      </c>
      <c r="C2271" t="s">
        <v>280</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COUNT(LifeExpectancyData[[#This Row],[Life expectancy]:[Schooling]])=19</f>
        <v>1</v>
      </c>
    </row>
    <row r="2272" spans="1:23" x14ac:dyDescent="0.25">
      <c r="A2272" t="s">
        <v>431</v>
      </c>
      <c r="B2272">
        <v>2010</v>
      </c>
      <c r="C2272" t="s">
        <v>280</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COUNT(LifeExpectancyData[[#This Row],[Life expectancy]:[Schooling]])=19</f>
        <v>1</v>
      </c>
    </row>
    <row r="2273" spans="1:23" x14ac:dyDescent="0.25">
      <c r="A2273" t="s">
        <v>431</v>
      </c>
      <c r="B2273">
        <v>2009</v>
      </c>
      <c r="C2273" t="s">
        <v>280</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COUNT(LifeExpectancyData[[#This Row],[Life expectancy]:[Schooling]])=19</f>
        <v>1</v>
      </c>
    </row>
    <row r="2274" spans="1:23" x14ac:dyDescent="0.25">
      <c r="A2274" t="s">
        <v>431</v>
      </c>
      <c r="B2274">
        <v>2008</v>
      </c>
      <c r="C2274" t="s">
        <v>280</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COUNT(LifeExpectancyData[[#This Row],[Life expectancy]:[Schooling]])=19</f>
        <v>1</v>
      </c>
    </row>
    <row r="2275" spans="1:23" x14ac:dyDescent="0.25">
      <c r="A2275" t="s">
        <v>431</v>
      </c>
      <c r="B2275">
        <v>2007</v>
      </c>
      <c r="C2275" t="s">
        <v>280</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COUNT(LifeExpectancyData[[#This Row],[Life expectancy]:[Schooling]])=19</f>
        <v>1</v>
      </c>
    </row>
    <row r="2276" spans="1:23" x14ac:dyDescent="0.25">
      <c r="A2276" t="s">
        <v>431</v>
      </c>
      <c r="B2276">
        <v>2006</v>
      </c>
      <c r="C2276" t="s">
        <v>280</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COUNT(LifeExpectancyData[[#This Row],[Life expectancy]:[Schooling]])=19</f>
        <v>1</v>
      </c>
    </row>
    <row r="2277" spans="1:23" x14ac:dyDescent="0.25">
      <c r="A2277" t="s">
        <v>431</v>
      </c>
      <c r="B2277">
        <v>2005</v>
      </c>
      <c r="C2277" t="s">
        <v>280</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COUNT(LifeExpectancyData[[#This Row],[Life expectancy]:[Schooling]])=19</f>
        <v>1</v>
      </c>
    </row>
    <row r="2278" spans="1:23" x14ac:dyDescent="0.25">
      <c r="A2278" t="s">
        <v>431</v>
      </c>
      <c r="B2278">
        <v>2004</v>
      </c>
      <c r="C2278" t="s">
        <v>280</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COUNT(LifeExpectancyData[[#This Row],[Life expectancy]:[Schooling]])=19</f>
        <v>1</v>
      </c>
    </row>
    <row r="2279" spans="1:23" x14ac:dyDescent="0.25">
      <c r="A2279" t="s">
        <v>431</v>
      </c>
      <c r="B2279">
        <v>2003</v>
      </c>
      <c r="C2279" t="s">
        <v>280</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COUNT(LifeExpectancyData[[#This Row],[Life expectancy]:[Schooling]])=19</f>
        <v>0</v>
      </c>
    </row>
    <row r="2280" spans="1:23" x14ac:dyDescent="0.25">
      <c r="A2280" t="s">
        <v>431</v>
      </c>
      <c r="B2280">
        <v>2002</v>
      </c>
      <c r="C2280" t="s">
        <v>280</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COUNT(LifeExpectancyData[[#This Row],[Life expectancy]:[Schooling]])=19</f>
        <v>0</v>
      </c>
    </row>
    <row r="2281" spans="1:23" x14ac:dyDescent="0.25">
      <c r="A2281" t="s">
        <v>431</v>
      </c>
      <c r="B2281">
        <v>2001</v>
      </c>
      <c r="C2281" t="s">
        <v>280</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COUNT(LifeExpectancyData[[#This Row],[Life expectancy]:[Schooling]])=19</f>
        <v>0</v>
      </c>
    </row>
    <row r="2282" spans="1:23" x14ac:dyDescent="0.25">
      <c r="A2282" t="s">
        <v>431</v>
      </c>
      <c r="B2282">
        <v>2000</v>
      </c>
      <c r="C2282" t="s">
        <v>280</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COUNT(LifeExpectancyData[[#This Row],[Life expectancy]:[Schooling]])=19</f>
        <v>0</v>
      </c>
    </row>
    <row r="2283" spans="1:23" x14ac:dyDescent="0.25">
      <c r="A2283" t="s">
        <v>432</v>
      </c>
      <c r="B2283">
        <v>2015</v>
      </c>
      <c r="C2283" t="s">
        <v>280</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COUNT(LifeExpectancyData[[#This Row],[Life expectancy]:[Schooling]])=19</f>
        <v>0</v>
      </c>
    </row>
    <row r="2284" spans="1:23" x14ac:dyDescent="0.25">
      <c r="A2284" t="s">
        <v>432</v>
      </c>
      <c r="B2284">
        <v>2014</v>
      </c>
      <c r="C2284" t="s">
        <v>280</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COUNT(LifeExpectancyData[[#This Row],[Life expectancy]:[Schooling]])=19</f>
        <v>1</v>
      </c>
    </row>
    <row r="2285" spans="1:23" x14ac:dyDescent="0.25">
      <c r="A2285" t="s">
        <v>432</v>
      </c>
      <c r="B2285">
        <v>2013</v>
      </c>
      <c r="C2285" t="s">
        <v>280</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COUNT(LifeExpectancyData[[#This Row],[Life expectancy]:[Schooling]])=19</f>
        <v>1</v>
      </c>
    </row>
    <row r="2286" spans="1:23" x14ac:dyDescent="0.25">
      <c r="A2286" t="s">
        <v>432</v>
      </c>
      <c r="B2286">
        <v>2012</v>
      </c>
      <c r="C2286" t="s">
        <v>280</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COUNT(LifeExpectancyData[[#This Row],[Life expectancy]:[Schooling]])=19</f>
        <v>1</v>
      </c>
    </row>
    <row r="2287" spans="1:23" x14ac:dyDescent="0.25">
      <c r="A2287" t="s">
        <v>432</v>
      </c>
      <c r="B2287">
        <v>2011</v>
      </c>
      <c r="C2287" t="s">
        <v>280</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COUNT(LifeExpectancyData[[#This Row],[Life expectancy]:[Schooling]])=19</f>
        <v>1</v>
      </c>
    </row>
    <row r="2288" spans="1:23" x14ac:dyDescent="0.25">
      <c r="A2288" t="s">
        <v>432</v>
      </c>
      <c r="B2288">
        <v>2010</v>
      </c>
      <c r="C2288" t="s">
        <v>280</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COUNT(LifeExpectancyData[[#This Row],[Life expectancy]:[Schooling]])=19</f>
        <v>1</v>
      </c>
    </row>
    <row r="2289" spans="1:23" x14ac:dyDescent="0.25">
      <c r="A2289" t="s">
        <v>432</v>
      </c>
      <c r="B2289">
        <v>2009</v>
      </c>
      <c r="C2289" t="s">
        <v>280</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COUNT(LifeExpectancyData[[#This Row],[Life expectancy]:[Schooling]])=19</f>
        <v>1</v>
      </c>
    </row>
    <row r="2290" spans="1:23" x14ac:dyDescent="0.25">
      <c r="A2290" t="s">
        <v>432</v>
      </c>
      <c r="B2290">
        <v>2008</v>
      </c>
      <c r="C2290" t="s">
        <v>280</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COUNT(LifeExpectancyData[[#This Row],[Life expectancy]:[Schooling]])=19</f>
        <v>1</v>
      </c>
    </row>
    <row r="2291" spans="1:23" x14ac:dyDescent="0.25">
      <c r="A2291" t="s">
        <v>432</v>
      </c>
      <c r="B2291">
        <v>2007</v>
      </c>
      <c r="C2291" t="s">
        <v>280</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COUNT(LifeExpectancyData[[#This Row],[Life expectancy]:[Schooling]])=19</f>
        <v>1</v>
      </c>
    </row>
    <row r="2292" spans="1:23" x14ac:dyDescent="0.25">
      <c r="A2292" t="s">
        <v>432</v>
      </c>
      <c r="B2292">
        <v>2006</v>
      </c>
      <c r="C2292" t="s">
        <v>280</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COUNT(LifeExpectancyData[[#This Row],[Life expectancy]:[Schooling]])=19</f>
        <v>1</v>
      </c>
    </row>
    <row r="2293" spans="1:23" x14ac:dyDescent="0.25">
      <c r="A2293" t="s">
        <v>432</v>
      </c>
      <c r="B2293">
        <v>2005</v>
      </c>
      <c r="C2293" t="s">
        <v>280</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COUNT(LifeExpectancyData[[#This Row],[Life expectancy]:[Schooling]])=19</f>
        <v>1</v>
      </c>
    </row>
    <row r="2294" spans="1:23" x14ac:dyDescent="0.25">
      <c r="A2294" t="s">
        <v>432</v>
      </c>
      <c r="B2294">
        <v>2004</v>
      </c>
      <c r="C2294" t="s">
        <v>280</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COUNT(LifeExpectancyData[[#This Row],[Life expectancy]:[Schooling]])=19</f>
        <v>1</v>
      </c>
    </row>
    <row r="2295" spans="1:23" x14ac:dyDescent="0.25">
      <c r="A2295" t="s">
        <v>432</v>
      </c>
      <c r="B2295">
        <v>2003</v>
      </c>
      <c r="C2295" t="s">
        <v>280</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COUNT(LifeExpectancyData[[#This Row],[Life expectancy]:[Schooling]])=19</f>
        <v>1</v>
      </c>
    </row>
    <row r="2296" spans="1:23" x14ac:dyDescent="0.25">
      <c r="A2296" t="s">
        <v>432</v>
      </c>
      <c r="B2296">
        <v>2002</v>
      </c>
      <c r="C2296" t="s">
        <v>280</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COUNT(LifeExpectancyData[[#This Row],[Life expectancy]:[Schooling]])=19</f>
        <v>1</v>
      </c>
    </row>
    <row r="2297" spans="1:23" x14ac:dyDescent="0.25">
      <c r="A2297" t="s">
        <v>432</v>
      </c>
      <c r="B2297">
        <v>2001</v>
      </c>
      <c r="C2297" t="s">
        <v>280</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COUNT(LifeExpectancyData[[#This Row],[Life expectancy]:[Schooling]])=19</f>
        <v>1</v>
      </c>
    </row>
    <row r="2298" spans="1:23" x14ac:dyDescent="0.25">
      <c r="A2298" t="s">
        <v>432</v>
      </c>
      <c r="B2298">
        <v>2000</v>
      </c>
      <c r="C2298" t="s">
        <v>280</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COUNT(LifeExpectancyData[[#This Row],[Life expectancy]:[Schooling]])=19</f>
        <v>1</v>
      </c>
    </row>
    <row r="2299" spans="1:23" x14ac:dyDescent="0.25">
      <c r="A2299" t="s">
        <v>433</v>
      </c>
      <c r="B2299">
        <v>2015</v>
      </c>
      <c r="C2299" t="s">
        <v>280</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COUNT(LifeExpectancyData[[#This Row],[Life expectancy]:[Schooling]])=19</f>
        <v>0</v>
      </c>
    </row>
    <row r="2300" spans="1:23" x14ac:dyDescent="0.25">
      <c r="A2300" t="s">
        <v>433</v>
      </c>
      <c r="B2300">
        <v>2014</v>
      </c>
      <c r="C2300" t="s">
        <v>280</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COUNT(LifeExpectancyData[[#This Row],[Life expectancy]:[Schooling]])=19</f>
        <v>1</v>
      </c>
    </row>
    <row r="2301" spans="1:23" x14ac:dyDescent="0.25">
      <c r="A2301" t="s">
        <v>433</v>
      </c>
      <c r="B2301">
        <v>2013</v>
      </c>
      <c r="C2301" t="s">
        <v>280</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COUNT(LifeExpectancyData[[#This Row],[Life expectancy]:[Schooling]])=19</f>
        <v>1</v>
      </c>
    </row>
    <row r="2302" spans="1:23" x14ac:dyDescent="0.25">
      <c r="A2302" t="s">
        <v>433</v>
      </c>
      <c r="B2302">
        <v>2012</v>
      </c>
      <c r="C2302" t="s">
        <v>280</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COUNT(LifeExpectancyData[[#This Row],[Life expectancy]:[Schooling]])=19</f>
        <v>1</v>
      </c>
    </row>
    <row r="2303" spans="1:23" x14ac:dyDescent="0.25">
      <c r="A2303" t="s">
        <v>433</v>
      </c>
      <c r="B2303">
        <v>2011</v>
      </c>
      <c r="C2303" t="s">
        <v>280</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COUNT(LifeExpectancyData[[#This Row],[Life expectancy]:[Schooling]])=19</f>
        <v>1</v>
      </c>
    </row>
    <row r="2304" spans="1:23" x14ac:dyDescent="0.25">
      <c r="A2304" t="s">
        <v>433</v>
      </c>
      <c r="B2304">
        <v>2010</v>
      </c>
      <c r="C2304" t="s">
        <v>280</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COUNT(LifeExpectancyData[[#This Row],[Life expectancy]:[Schooling]])=19</f>
        <v>1</v>
      </c>
    </row>
    <row r="2305" spans="1:23" x14ac:dyDescent="0.25">
      <c r="A2305" t="s">
        <v>433</v>
      </c>
      <c r="B2305">
        <v>2009</v>
      </c>
      <c r="C2305" t="s">
        <v>280</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COUNT(LifeExpectancyData[[#This Row],[Life expectancy]:[Schooling]])=19</f>
        <v>1</v>
      </c>
    </row>
    <row r="2306" spans="1:23" x14ac:dyDescent="0.25">
      <c r="A2306" t="s">
        <v>433</v>
      </c>
      <c r="B2306">
        <v>2008</v>
      </c>
      <c r="C2306" t="s">
        <v>280</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COUNT(LifeExpectancyData[[#This Row],[Life expectancy]:[Schooling]])=19</f>
        <v>1</v>
      </c>
    </row>
    <row r="2307" spans="1:23" x14ac:dyDescent="0.25">
      <c r="A2307" t="s">
        <v>433</v>
      </c>
      <c r="B2307">
        <v>2007</v>
      </c>
      <c r="C2307" t="s">
        <v>280</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COUNT(LifeExpectancyData[[#This Row],[Life expectancy]:[Schooling]])=19</f>
        <v>1</v>
      </c>
    </row>
    <row r="2308" spans="1:23" x14ac:dyDescent="0.25">
      <c r="A2308" t="s">
        <v>433</v>
      </c>
      <c r="B2308">
        <v>2006</v>
      </c>
      <c r="C2308" t="s">
        <v>280</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COUNT(LifeExpectancyData[[#This Row],[Life expectancy]:[Schooling]])=19</f>
        <v>0</v>
      </c>
    </row>
    <row r="2309" spans="1:23" x14ac:dyDescent="0.25">
      <c r="A2309" t="s">
        <v>433</v>
      </c>
      <c r="B2309">
        <v>2005</v>
      </c>
      <c r="C2309" t="s">
        <v>280</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COUNT(LifeExpectancyData[[#This Row],[Life expectancy]:[Schooling]])=19</f>
        <v>0</v>
      </c>
    </row>
    <row r="2310" spans="1:23" x14ac:dyDescent="0.25">
      <c r="A2310" t="s">
        <v>433</v>
      </c>
      <c r="B2310">
        <v>2004</v>
      </c>
      <c r="C2310" t="s">
        <v>280</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COUNT(LifeExpectancyData[[#This Row],[Life expectancy]:[Schooling]])=19</f>
        <v>0</v>
      </c>
    </row>
    <row r="2311" spans="1:23" x14ac:dyDescent="0.25">
      <c r="A2311" t="s">
        <v>433</v>
      </c>
      <c r="B2311">
        <v>2003</v>
      </c>
      <c r="C2311" t="s">
        <v>280</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COUNT(LifeExpectancyData[[#This Row],[Life expectancy]:[Schooling]])=19</f>
        <v>0</v>
      </c>
    </row>
    <row r="2312" spans="1:23" x14ac:dyDescent="0.25">
      <c r="A2312" t="s">
        <v>433</v>
      </c>
      <c r="B2312">
        <v>2002</v>
      </c>
      <c r="C2312" t="s">
        <v>280</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COUNT(LifeExpectancyData[[#This Row],[Life expectancy]:[Schooling]])=19</f>
        <v>0</v>
      </c>
    </row>
    <row r="2313" spans="1:23" x14ac:dyDescent="0.25">
      <c r="A2313" t="s">
        <v>433</v>
      </c>
      <c r="B2313">
        <v>2001</v>
      </c>
      <c r="C2313" t="s">
        <v>280</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COUNT(LifeExpectancyData[[#This Row],[Life expectancy]:[Schooling]])=19</f>
        <v>0</v>
      </c>
    </row>
    <row r="2314" spans="1:23" x14ac:dyDescent="0.25">
      <c r="A2314" t="s">
        <v>433</v>
      </c>
      <c r="B2314">
        <v>2000</v>
      </c>
      <c r="C2314" t="s">
        <v>280</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COUNT(LifeExpectancyData[[#This Row],[Life expectancy]:[Schooling]])=19</f>
        <v>0</v>
      </c>
    </row>
    <row r="2315" spans="1:23" x14ac:dyDescent="0.25">
      <c r="A2315" t="s">
        <v>434</v>
      </c>
      <c r="B2315">
        <v>2015</v>
      </c>
      <c r="C2315" t="s">
        <v>288</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COUNT(LifeExpectancyData[[#This Row],[Life expectancy]:[Schooling]])=19</f>
        <v>0</v>
      </c>
    </row>
    <row r="2316" spans="1:23" x14ac:dyDescent="0.25">
      <c r="A2316" t="s">
        <v>434</v>
      </c>
      <c r="B2316">
        <v>2014</v>
      </c>
      <c r="C2316" t="s">
        <v>288</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COUNT(LifeExpectancyData[[#This Row],[Life expectancy]:[Schooling]])=19</f>
        <v>0</v>
      </c>
    </row>
    <row r="2317" spans="1:23" x14ac:dyDescent="0.25">
      <c r="A2317" t="s">
        <v>434</v>
      </c>
      <c r="B2317">
        <v>2013</v>
      </c>
      <c r="C2317" t="s">
        <v>288</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COUNT(LifeExpectancyData[[#This Row],[Life expectancy]:[Schooling]])=19</f>
        <v>0</v>
      </c>
    </row>
    <row r="2318" spans="1:23" x14ac:dyDescent="0.25">
      <c r="A2318" t="s">
        <v>434</v>
      </c>
      <c r="B2318">
        <v>2012</v>
      </c>
      <c r="C2318" t="s">
        <v>288</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COUNT(LifeExpectancyData[[#This Row],[Life expectancy]:[Schooling]])=19</f>
        <v>0</v>
      </c>
    </row>
    <row r="2319" spans="1:23" x14ac:dyDescent="0.25">
      <c r="A2319" t="s">
        <v>434</v>
      </c>
      <c r="B2319">
        <v>2011</v>
      </c>
      <c r="C2319" t="s">
        <v>288</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COUNT(LifeExpectancyData[[#This Row],[Life expectancy]:[Schooling]])=19</f>
        <v>0</v>
      </c>
    </row>
    <row r="2320" spans="1:23" x14ac:dyDescent="0.25">
      <c r="A2320" t="s">
        <v>434</v>
      </c>
      <c r="B2320">
        <v>2010</v>
      </c>
      <c r="C2320" t="s">
        <v>288</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COUNT(LifeExpectancyData[[#This Row],[Life expectancy]:[Schooling]])=19</f>
        <v>0</v>
      </c>
    </row>
    <row r="2321" spans="1:23" x14ac:dyDescent="0.25">
      <c r="A2321" t="s">
        <v>434</v>
      </c>
      <c r="B2321">
        <v>2009</v>
      </c>
      <c r="C2321" t="s">
        <v>288</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COUNT(LifeExpectancyData[[#This Row],[Life expectancy]:[Schooling]])=19</f>
        <v>0</v>
      </c>
    </row>
    <row r="2322" spans="1:23" x14ac:dyDescent="0.25">
      <c r="A2322" t="s">
        <v>434</v>
      </c>
      <c r="B2322">
        <v>2008</v>
      </c>
      <c r="C2322" t="s">
        <v>288</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COUNT(LifeExpectancyData[[#This Row],[Life expectancy]:[Schooling]])=19</f>
        <v>0</v>
      </c>
    </row>
    <row r="2323" spans="1:23" x14ac:dyDescent="0.25">
      <c r="A2323" t="s">
        <v>434</v>
      </c>
      <c r="B2323">
        <v>2007</v>
      </c>
      <c r="C2323" t="s">
        <v>288</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COUNT(LifeExpectancyData[[#This Row],[Life expectancy]:[Schooling]])=19</f>
        <v>0</v>
      </c>
    </row>
    <row r="2324" spans="1:23" x14ac:dyDescent="0.25">
      <c r="A2324" t="s">
        <v>434</v>
      </c>
      <c r="B2324">
        <v>2006</v>
      </c>
      <c r="C2324" t="s">
        <v>288</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COUNT(LifeExpectancyData[[#This Row],[Life expectancy]:[Schooling]])=19</f>
        <v>0</v>
      </c>
    </row>
    <row r="2325" spans="1:23" x14ac:dyDescent="0.25">
      <c r="A2325" t="s">
        <v>434</v>
      </c>
      <c r="B2325">
        <v>2005</v>
      </c>
      <c r="C2325" t="s">
        <v>288</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COUNT(LifeExpectancyData[[#This Row],[Life expectancy]:[Schooling]])=19</f>
        <v>0</v>
      </c>
    </row>
    <row r="2326" spans="1:23" x14ac:dyDescent="0.25">
      <c r="A2326" t="s">
        <v>434</v>
      </c>
      <c r="B2326">
        <v>2004</v>
      </c>
      <c r="C2326" t="s">
        <v>288</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COUNT(LifeExpectancyData[[#This Row],[Life expectancy]:[Schooling]])=19</f>
        <v>0</v>
      </c>
    </row>
    <row r="2327" spans="1:23" x14ac:dyDescent="0.25">
      <c r="A2327" t="s">
        <v>434</v>
      </c>
      <c r="B2327">
        <v>2003</v>
      </c>
      <c r="C2327" t="s">
        <v>288</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COUNT(LifeExpectancyData[[#This Row],[Life expectancy]:[Schooling]])=19</f>
        <v>0</v>
      </c>
    </row>
    <row r="2328" spans="1:23" x14ac:dyDescent="0.25">
      <c r="A2328" t="s">
        <v>434</v>
      </c>
      <c r="B2328">
        <v>2002</v>
      </c>
      <c r="C2328" t="s">
        <v>288</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COUNT(LifeExpectancyData[[#This Row],[Life expectancy]:[Schooling]])=19</f>
        <v>0</v>
      </c>
    </row>
    <row r="2329" spans="1:23" x14ac:dyDescent="0.25">
      <c r="A2329" t="s">
        <v>434</v>
      </c>
      <c r="B2329">
        <v>2001</v>
      </c>
      <c r="C2329" t="s">
        <v>288</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COUNT(LifeExpectancyData[[#This Row],[Life expectancy]:[Schooling]])=19</f>
        <v>0</v>
      </c>
    </row>
    <row r="2330" spans="1:23" x14ac:dyDescent="0.25">
      <c r="A2330" t="s">
        <v>434</v>
      </c>
      <c r="B2330">
        <v>2000</v>
      </c>
      <c r="C2330" t="s">
        <v>288</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COUNT(LifeExpectancyData[[#This Row],[Life expectancy]:[Schooling]])=19</f>
        <v>0</v>
      </c>
    </row>
    <row r="2331" spans="1:23" x14ac:dyDescent="0.25">
      <c r="A2331" t="s">
        <v>435</v>
      </c>
      <c r="B2331">
        <v>2015</v>
      </c>
      <c r="C2331" t="s">
        <v>288</v>
      </c>
      <c r="D2331">
        <v>76.7</v>
      </c>
      <c r="E2331">
        <v>19</v>
      </c>
      <c r="F2331">
        <v>0</v>
      </c>
      <c r="H2331">
        <v>0</v>
      </c>
      <c r="I2331">
        <v>96</v>
      </c>
      <c r="J2331">
        <v>1</v>
      </c>
      <c r="K2331">
        <v>59.1</v>
      </c>
      <c r="L2331">
        <v>0</v>
      </c>
      <c r="M2331">
        <v>96</v>
      </c>
      <c r="O2331">
        <v>96</v>
      </c>
      <c r="P2331">
        <v>0.1</v>
      </c>
      <c r="S2331">
        <v>1.2</v>
      </c>
      <c r="T2331">
        <v>1.2</v>
      </c>
      <c r="U2331">
        <v>0.84199999999999997</v>
      </c>
      <c r="V2331">
        <v>15</v>
      </c>
      <c r="W2331" t="b">
        <f>COUNT(LifeExpectancyData[[#This Row],[Life expectancy]:[Schooling]])=19</f>
        <v>0</v>
      </c>
    </row>
    <row r="2332" spans="1:23" x14ac:dyDescent="0.25">
      <c r="A2332" t="s">
        <v>435</v>
      </c>
      <c r="B2332">
        <v>2014</v>
      </c>
      <c r="C2332" t="s">
        <v>288</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COUNT(LifeExpectancyData[[#This Row],[Life expectancy]:[Schooling]])=19</f>
        <v>0</v>
      </c>
    </row>
    <row r="2333" spans="1:23" x14ac:dyDescent="0.25">
      <c r="A2333" t="s">
        <v>435</v>
      </c>
      <c r="B2333">
        <v>2013</v>
      </c>
      <c r="C2333" t="s">
        <v>288</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COUNT(LifeExpectancyData[[#This Row],[Life expectancy]:[Schooling]])=19</f>
        <v>0</v>
      </c>
    </row>
    <row r="2334" spans="1:23" x14ac:dyDescent="0.25">
      <c r="A2334" t="s">
        <v>435</v>
      </c>
      <c r="B2334">
        <v>2012</v>
      </c>
      <c r="C2334" t="s">
        <v>288</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COUNT(LifeExpectancyData[[#This Row],[Life expectancy]:[Schooling]])=19</f>
        <v>0</v>
      </c>
    </row>
    <row r="2335" spans="1:23" x14ac:dyDescent="0.25">
      <c r="A2335" t="s">
        <v>435</v>
      </c>
      <c r="B2335">
        <v>2011</v>
      </c>
      <c r="C2335" t="s">
        <v>288</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COUNT(LifeExpectancyData[[#This Row],[Life expectancy]:[Schooling]])=19</f>
        <v>0</v>
      </c>
    </row>
    <row r="2336" spans="1:23" x14ac:dyDescent="0.25">
      <c r="A2336" t="s">
        <v>435</v>
      </c>
      <c r="B2336">
        <v>2010</v>
      </c>
      <c r="C2336" t="s">
        <v>288</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COUNT(LifeExpectancyData[[#This Row],[Life expectancy]:[Schooling]])=19</f>
        <v>0</v>
      </c>
    </row>
    <row r="2337" spans="1:23" x14ac:dyDescent="0.25">
      <c r="A2337" t="s">
        <v>435</v>
      </c>
      <c r="B2337">
        <v>2009</v>
      </c>
      <c r="C2337" t="s">
        <v>288</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COUNT(LifeExpectancyData[[#This Row],[Life expectancy]:[Schooling]])=19</f>
        <v>0</v>
      </c>
    </row>
    <row r="2338" spans="1:23" x14ac:dyDescent="0.25">
      <c r="A2338" t="s">
        <v>435</v>
      </c>
      <c r="B2338">
        <v>2008</v>
      </c>
      <c r="C2338" t="s">
        <v>288</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COUNT(LifeExpectancyData[[#This Row],[Life expectancy]:[Schooling]])=19</f>
        <v>0</v>
      </c>
    </row>
    <row r="2339" spans="1:23" x14ac:dyDescent="0.25">
      <c r="A2339" t="s">
        <v>435</v>
      </c>
      <c r="B2339">
        <v>2007</v>
      </c>
      <c r="C2339" t="s">
        <v>288</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COUNT(LifeExpectancyData[[#This Row],[Life expectancy]:[Schooling]])=19</f>
        <v>0</v>
      </c>
    </row>
    <row r="2340" spans="1:23" x14ac:dyDescent="0.25">
      <c r="A2340" t="s">
        <v>435</v>
      </c>
      <c r="B2340">
        <v>2006</v>
      </c>
      <c r="C2340" t="s">
        <v>288</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COUNT(LifeExpectancyData[[#This Row],[Life expectancy]:[Schooling]])=19</f>
        <v>0</v>
      </c>
    </row>
    <row r="2341" spans="1:23" x14ac:dyDescent="0.25">
      <c r="A2341" t="s">
        <v>435</v>
      </c>
      <c r="B2341">
        <v>2005</v>
      </c>
      <c r="C2341" t="s">
        <v>288</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COUNT(LifeExpectancyData[[#This Row],[Life expectancy]:[Schooling]])=19</f>
        <v>0</v>
      </c>
    </row>
    <row r="2342" spans="1:23" x14ac:dyDescent="0.25">
      <c r="A2342" t="s">
        <v>435</v>
      </c>
      <c r="B2342">
        <v>2004</v>
      </c>
      <c r="C2342" t="s">
        <v>288</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COUNT(LifeExpectancyData[[#This Row],[Life expectancy]:[Schooling]])=19</f>
        <v>0</v>
      </c>
    </row>
    <row r="2343" spans="1:23" x14ac:dyDescent="0.25">
      <c r="A2343" t="s">
        <v>435</v>
      </c>
      <c r="B2343">
        <v>2003</v>
      </c>
      <c r="C2343" t="s">
        <v>288</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COUNT(LifeExpectancyData[[#This Row],[Life expectancy]:[Schooling]])=19</f>
        <v>0</v>
      </c>
    </row>
    <row r="2344" spans="1:23" x14ac:dyDescent="0.25">
      <c r="A2344" t="s">
        <v>435</v>
      </c>
      <c r="B2344">
        <v>2002</v>
      </c>
      <c r="C2344" t="s">
        <v>288</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COUNT(LifeExpectancyData[[#This Row],[Life expectancy]:[Schooling]])=19</f>
        <v>0</v>
      </c>
    </row>
    <row r="2345" spans="1:23" x14ac:dyDescent="0.25">
      <c r="A2345" t="s">
        <v>435</v>
      </c>
      <c r="B2345">
        <v>2001</v>
      </c>
      <c r="C2345" t="s">
        <v>288</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COUNT(LifeExpectancyData[[#This Row],[Life expectancy]:[Schooling]])=19</f>
        <v>0</v>
      </c>
    </row>
    <row r="2346" spans="1:23" x14ac:dyDescent="0.25">
      <c r="A2346" t="s">
        <v>435</v>
      </c>
      <c r="B2346">
        <v>2000</v>
      </c>
      <c r="C2346" t="s">
        <v>288</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COUNT(LifeExpectancyData[[#This Row],[Life expectancy]:[Schooling]])=19</f>
        <v>0</v>
      </c>
    </row>
    <row r="2347" spans="1:23" x14ac:dyDescent="0.25">
      <c r="A2347" t="s">
        <v>436</v>
      </c>
      <c r="B2347">
        <v>2015</v>
      </c>
      <c r="C2347" t="s">
        <v>288</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COUNT(LifeExpectancyData[[#This Row],[Life expectancy]:[Schooling]])=19</f>
        <v>0</v>
      </c>
    </row>
    <row r="2348" spans="1:23" x14ac:dyDescent="0.25">
      <c r="A2348" t="s">
        <v>436</v>
      </c>
      <c r="B2348">
        <v>2014</v>
      </c>
      <c r="C2348" t="s">
        <v>288</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COUNT(LifeExpectancyData[[#This Row],[Life expectancy]:[Schooling]])=19</f>
        <v>0</v>
      </c>
    </row>
    <row r="2349" spans="1:23" x14ac:dyDescent="0.25">
      <c r="A2349" t="s">
        <v>436</v>
      </c>
      <c r="B2349">
        <v>2013</v>
      </c>
      <c r="C2349" t="s">
        <v>288</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COUNT(LifeExpectancyData[[#This Row],[Life expectancy]:[Schooling]])=19</f>
        <v>0</v>
      </c>
    </row>
    <row r="2350" spans="1:23" x14ac:dyDescent="0.25">
      <c r="A2350" t="s">
        <v>436</v>
      </c>
      <c r="B2350">
        <v>2012</v>
      </c>
      <c r="C2350" t="s">
        <v>288</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COUNT(LifeExpectancyData[[#This Row],[Life expectancy]:[Schooling]])=19</f>
        <v>0</v>
      </c>
    </row>
    <row r="2351" spans="1:23" x14ac:dyDescent="0.25">
      <c r="A2351" t="s">
        <v>436</v>
      </c>
      <c r="B2351">
        <v>2011</v>
      </c>
      <c r="C2351" t="s">
        <v>288</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COUNT(LifeExpectancyData[[#This Row],[Life expectancy]:[Schooling]])=19</f>
        <v>0</v>
      </c>
    </row>
    <row r="2352" spans="1:23" x14ac:dyDescent="0.25">
      <c r="A2352" t="s">
        <v>436</v>
      </c>
      <c r="B2352">
        <v>2010</v>
      </c>
      <c r="C2352" t="s">
        <v>288</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COUNT(LifeExpectancyData[[#This Row],[Life expectancy]:[Schooling]])=19</f>
        <v>0</v>
      </c>
    </row>
    <row r="2353" spans="1:23" x14ac:dyDescent="0.25">
      <c r="A2353" t="s">
        <v>436</v>
      </c>
      <c r="B2353">
        <v>2009</v>
      </c>
      <c r="C2353" t="s">
        <v>288</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COUNT(LifeExpectancyData[[#This Row],[Life expectancy]:[Schooling]])=19</f>
        <v>0</v>
      </c>
    </row>
    <row r="2354" spans="1:23" x14ac:dyDescent="0.25">
      <c r="A2354" t="s">
        <v>436</v>
      </c>
      <c r="B2354">
        <v>2008</v>
      </c>
      <c r="C2354" t="s">
        <v>288</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COUNT(LifeExpectancyData[[#This Row],[Life expectancy]:[Schooling]])=19</f>
        <v>0</v>
      </c>
    </row>
    <row r="2355" spans="1:23" x14ac:dyDescent="0.25">
      <c r="A2355" t="s">
        <v>436</v>
      </c>
      <c r="B2355">
        <v>2007</v>
      </c>
      <c r="C2355" t="s">
        <v>288</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COUNT(LifeExpectancyData[[#This Row],[Life expectancy]:[Schooling]])=19</f>
        <v>0</v>
      </c>
    </row>
    <row r="2356" spans="1:23" x14ac:dyDescent="0.25">
      <c r="A2356" t="s">
        <v>436</v>
      </c>
      <c r="B2356">
        <v>2006</v>
      </c>
      <c r="C2356" t="s">
        <v>288</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COUNT(LifeExpectancyData[[#This Row],[Life expectancy]:[Schooling]])=19</f>
        <v>0</v>
      </c>
    </row>
    <row r="2357" spans="1:23" x14ac:dyDescent="0.25">
      <c r="A2357" t="s">
        <v>436</v>
      </c>
      <c r="B2357">
        <v>2005</v>
      </c>
      <c r="C2357" t="s">
        <v>288</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COUNT(LifeExpectancyData[[#This Row],[Life expectancy]:[Schooling]])=19</f>
        <v>0</v>
      </c>
    </row>
    <row r="2358" spans="1:23" x14ac:dyDescent="0.25">
      <c r="A2358" t="s">
        <v>436</v>
      </c>
      <c r="B2358">
        <v>2004</v>
      </c>
      <c r="C2358" t="s">
        <v>288</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COUNT(LifeExpectancyData[[#This Row],[Life expectancy]:[Schooling]])=19</f>
        <v>0</v>
      </c>
    </row>
    <row r="2359" spans="1:23" x14ac:dyDescent="0.25">
      <c r="A2359" t="s">
        <v>436</v>
      </c>
      <c r="B2359">
        <v>2003</v>
      </c>
      <c r="C2359" t="s">
        <v>288</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COUNT(LifeExpectancyData[[#This Row],[Life expectancy]:[Schooling]])=19</f>
        <v>0</v>
      </c>
    </row>
    <row r="2360" spans="1:23" x14ac:dyDescent="0.25">
      <c r="A2360" t="s">
        <v>436</v>
      </c>
      <c r="B2360">
        <v>2002</v>
      </c>
      <c r="C2360" t="s">
        <v>288</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COUNT(LifeExpectancyData[[#This Row],[Life expectancy]:[Schooling]])=19</f>
        <v>0</v>
      </c>
    </row>
    <row r="2361" spans="1:23" x14ac:dyDescent="0.25">
      <c r="A2361" t="s">
        <v>436</v>
      </c>
      <c r="B2361">
        <v>2001</v>
      </c>
      <c r="C2361" t="s">
        <v>288</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COUNT(LifeExpectancyData[[#This Row],[Life expectancy]:[Schooling]])=19</f>
        <v>0</v>
      </c>
    </row>
    <row r="2362" spans="1:23" x14ac:dyDescent="0.25">
      <c r="A2362" t="s">
        <v>436</v>
      </c>
      <c r="B2362">
        <v>2000</v>
      </c>
      <c r="C2362" t="s">
        <v>288</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COUNT(LifeExpectancyData[[#This Row],[Life expectancy]:[Schooling]])=19</f>
        <v>0</v>
      </c>
    </row>
    <row r="2363" spans="1:23" x14ac:dyDescent="0.25">
      <c r="A2363" t="s">
        <v>437</v>
      </c>
      <c r="B2363">
        <v>2015</v>
      </c>
      <c r="C2363" t="s">
        <v>280</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COUNT(LifeExpectancyData[[#This Row],[Life expectancy]:[Schooling]])=19</f>
        <v>0</v>
      </c>
    </row>
    <row r="2364" spans="1:23" x14ac:dyDescent="0.25">
      <c r="A2364" t="s">
        <v>437</v>
      </c>
      <c r="B2364">
        <v>2014</v>
      </c>
      <c r="C2364" t="s">
        <v>280</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COUNT(LifeExpectancyData[[#This Row],[Life expectancy]:[Schooling]])=19</f>
        <v>1</v>
      </c>
    </row>
    <row r="2365" spans="1:23" x14ac:dyDescent="0.25">
      <c r="A2365" t="s">
        <v>437</v>
      </c>
      <c r="B2365">
        <v>2013</v>
      </c>
      <c r="C2365" t="s">
        <v>280</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COUNT(LifeExpectancyData[[#This Row],[Life expectancy]:[Schooling]])=19</f>
        <v>1</v>
      </c>
    </row>
    <row r="2366" spans="1:23" x14ac:dyDescent="0.25">
      <c r="A2366" t="s">
        <v>437</v>
      </c>
      <c r="B2366">
        <v>2012</v>
      </c>
      <c r="C2366" t="s">
        <v>280</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COUNT(LifeExpectancyData[[#This Row],[Life expectancy]:[Schooling]])=19</f>
        <v>1</v>
      </c>
    </row>
    <row r="2367" spans="1:23" x14ac:dyDescent="0.25">
      <c r="A2367" t="s">
        <v>437</v>
      </c>
      <c r="B2367">
        <v>2011</v>
      </c>
      <c r="C2367" t="s">
        <v>280</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COUNT(LifeExpectancyData[[#This Row],[Life expectancy]:[Schooling]])=19</f>
        <v>1</v>
      </c>
    </row>
    <row r="2368" spans="1:23" x14ac:dyDescent="0.25">
      <c r="A2368" t="s">
        <v>437</v>
      </c>
      <c r="B2368">
        <v>2010</v>
      </c>
      <c r="C2368" t="s">
        <v>280</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COUNT(LifeExpectancyData[[#This Row],[Life expectancy]:[Schooling]])=19</f>
        <v>1</v>
      </c>
    </row>
    <row r="2369" spans="1:23" x14ac:dyDescent="0.25">
      <c r="A2369" t="s">
        <v>437</v>
      </c>
      <c r="B2369">
        <v>2009</v>
      </c>
      <c r="C2369" t="s">
        <v>280</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COUNT(LifeExpectancyData[[#This Row],[Life expectancy]:[Schooling]])=19</f>
        <v>1</v>
      </c>
    </row>
    <row r="2370" spans="1:23" x14ac:dyDescent="0.25">
      <c r="A2370" t="s">
        <v>437</v>
      </c>
      <c r="B2370">
        <v>2008</v>
      </c>
      <c r="C2370" t="s">
        <v>280</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COUNT(LifeExpectancyData[[#This Row],[Life expectancy]:[Schooling]])=19</f>
        <v>1</v>
      </c>
    </row>
    <row r="2371" spans="1:23" x14ac:dyDescent="0.25">
      <c r="A2371" t="s">
        <v>437</v>
      </c>
      <c r="B2371">
        <v>2007</v>
      </c>
      <c r="C2371" t="s">
        <v>280</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COUNT(LifeExpectancyData[[#This Row],[Life expectancy]:[Schooling]])=19</f>
        <v>1</v>
      </c>
    </row>
    <row r="2372" spans="1:23" x14ac:dyDescent="0.25">
      <c r="A2372" t="s">
        <v>437</v>
      </c>
      <c r="B2372">
        <v>2006</v>
      </c>
      <c r="C2372" t="s">
        <v>280</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COUNT(LifeExpectancyData[[#This Row],[Life expectancy]:[Schooling]])=19</f>
        <v>1</v>
      </c>
    </row>
    <row r="2373" spans="1:23" x14ac:dyDescent="0.25">
      <c r="A2373" t="s">
        <v>437</v>
      </c>
      <c r="B2373">
        <v>2005</v>
      </c>
      <c r="C2373" t="s">
        <v>280</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COUNT(LifeExpectancyData[[#This Row],[Life expectancy]:[Schooling]])=19</f>
        <v>1</v>
      </c>
    </row>
    <row r="2374" spans="1:23" x14ac:dyDescent="0.25">
      <c r="A2374" t="s">
        <v>437</v>
      </c>
      <c r="B2374">
        <v>2004</v>
      </c>
      <c r="C2374" t="s">
        <v>280</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COUNT(LifeExpectancyData[[#This Row],[Life expectancy]:[Schooling]])=19</f>
        <v>1</v>
      </c>
    </row>
    <row r="2375" spans="1:23" x14ac:dyDescent="0.25">
      <c r="A2375" t="s">
        <v>437</v>
      </c>
      <c r="B2375">
        <v>2003</v>
      </c>
      <c r="C2375" t="s">
        <v>280</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COUNT(LifeExpectancyData[[#This Row],[Life expectancy]:[Schooling]])=19</f>
        <v>1</v>
      </c>
    </row>
    <row r="2376" spans="1:23" x14ac:dyDescent="0.25">
      <c r="A2376" t="s">
        <v>437</v>
      </c>
      <c r="B2376">
        <v>2002</v>
      </c>
      <c r="C2376" t="s">
        <v>280</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COUNT(LifeExpectancyData[[#This Row],[Life expectancy]:[Schooling]])=19</f>
        <v>1</v>
      </c>
    </row>
    <row r="2377" spans="1:23" x14ac:dyDescent="0.25">
      <c r="A2377" t="s">
        <v>437</v>
      </c>
      <c r="B2377">
        <v>2001</v>
      </c>
      <c r="C2377" t="s">
        <v>280</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COUNT(LifeExpectancyData[[#This Row],[Life expectancy]:[Schooling]])=19</f>
        <v>1</v>
      </c>
    </row>
    <row r="2378" spans="1:23" x14ac:dyDescent="0.25">
      <c r="A2378" t="s">
        <v>437</v>
      </c>
      <c r="B2378">
        <v>2000</v>
      </c>
      <c r="C2378" t="s">
        <v>280</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COUNT(LifeExpectancyData[[#This Row],[Life expectancy]:[Schooling]])=19</f>
        <v>1</v>
      </c>
    </row>
    <row r="2379" spans="1:23" x14ac:dyDescent="0.25">
      <c r="A2379" t="s">
        <v>438</v>
      </c>
      <c r="B2379">
        <v>2015</v>
      </c>
      <c r="C2379" t="s">
        <v>280</v>
      </c>
      <c r="D2379">
        <v>55</v>
      </c>
      <c r="E2379">
        <v>312</v>
      </c>
      <c r="F2379">
        <v>50</v>
      </c>
      <c r="H2379">
        <v>0</v>
      </c>
      <c r="I2379">
        <v>42</v>
      </c>
      <c r="J2379">
        <v>7497</v>
      </c>
      <c r="K2379">
        <v>24.3</v>
      </c>
      <c r="L2379">
        <v>80</v>
      </c>
      <c r="M2379">
        <v>47</v>
      </c>
      <c r="O2379">
        <v>42</v>
      </c>
      <c r="P2379">
        <v>0.7</v>
      </c>
      <c r="Q2379">
        <v>426.98536999999999</v>
      </c>
      <c r="S2379">
        <v>6.6</v>
      </c>
      <c r="T2379">
        <v>6.4</v>
      </c>
      <c r="W2379" t="b">
        <f>COUNT(LifeExpectancyData[[#This Row],[Life expectancy]:[Schooling]])=19</f>
        <v>0</v>
      </c>
    </row>
    <row r="2380" spans="1:23" x14ac:dyDescent="0.25">
      <c r="A2380" t="s">
        <v>438</v>
      </c>
      <c r="B2380">
        <v>2014</v>
      </c>
      <c r="C2380" t="s">
        <v>280</v>
      </c>
      <c r="D2380">
        <v>54.3</v>
      </c>
      <c r="E2380">
        <v>321</v>
      </c>
      <c r="F2380">
        <v>51</v>
      </c>
      <c r="G2380">
        <v>0.01</v>
      </c>
      <c r="H2380">
        <v>0</v>
      </c>
      <c r="I2380">
        <v>42</v>
      </c>
      <c r="J2380">
        <v>10229</v>
      </c>
      <c r="K2380">
        <v>23.8</v>
      </c>
      <c r="L2380">
        <v>80</v>
      </c>
      <c r="M2380">
        <v>47</v>
      </c>
      <c r="O2380">
        <v>42</v>
      </c>
      <c r="P2380">
        <v>0.8</v>
      </c>
      <c r="Q2380">
        <v>417.89143000000001</v>
      </c>
      <c r="S2380">
        <v>6.7</v>
      </c>
      <c r="T2380">
        <v>6.5</v>
      </c>
      <c r="W2380" t="b">
        <f>COUNT(LifeExpectancyData[[#This Row],[Life expectancy]:[Schooling]])=19</f>
        <v>0</v>
      </c>
    </row>
    <row r="2381" spans="1:23" x14ac:dyDescent="0.25">
      <c r="A2381" t="s">
        <v>438</v>
      </c>
      <c r="B2381">
        <v>2013</v>
      </c>
      <c r="C2381" t="s">
        <v>280</v>
      </c>
      <c r="D2381">
        <v>54.2</v>
      </c>
      <c r="E2381">
        <v>318</v>
      </c>
      <c r="F2381">
        <v>51</v>
      </c>
      <c r="G2381">
        <v>0.01</v>
      </c>
      <c r="H2381">
        <v>0</v>
      </c>
      <c r="I2381">
        <v>42</v>
      </c>
      <c r="J2381">
        <v>3173</v>
      </c>
      <c r="K2381">
        <v>23.3</v>
      </c>
      <c r="L2381">
        <v>81</v>
      </c>
      <c r="M2381">
        <v>47</v>
      </c>
      <c r="O2381">
        <v>42</v>
      </c>
      <c r="P2381">
        <v>0.8</v>
      </c>
      <c r="Q2381">
        <v>47.5432354</v>
      </c>
      <c r="S2381">
        <v>6.8</v>
      </c>
      <c r="T2381">
        <v>6.6</v>
      </c>
      <c r="W2381" t="b">
        <f>COUNT(LifeExpectancyData[[#This Row],[Life expectancy]:[Schooling]])=19</f>
        <v>0</v>
      </c>
    </row>
    <row r="2382" spans="1:23" x14ac:dyDescent="0.25">
      <c r="A2382" t="s">
        <v>438</v>
      </c>
      <c r="B2382">
        <v>2012</v>
      </c>
      <c r="C2382" t="s">
        <v>280</v>
      </c>
      <c r="D2382">
        <v>53.1</v>
      </c>
      <c r="E2382">
        <v>336</v>
      </c>
      <c r="F2382">
        <v>51</v>
      </c>
      <c r="G2382">
        <v>0.01</v>
      </c>
      <c r="H2382">
        <v>0</v>
      </c>
      <c r="J2382">
        <v>9983</v>
      </c>
      <c r="K2382">
        <v>22.9</v>
      </c>
      <c r="L2382">
        <v>82</v>
      </c>
      <c r="M2382">
        <v>47</v>
      </c>
      <c r="O2382">
        <v>42</v>
      </c>
      <c r="P2382">
        <v>0.8</v>
      </c>
      <c r="S2382">
        <v>6.8</v>
      </c>
      <c r="T2382">
        <v>6.7</v>
      </c>
      <c r="W2382" t="b">
        <f>COUNT(LifeExpectancyData[[#This Row],[Life expectancy]:[Schooling]])=19</f>
        <v>0</v>
      </c>
    </row>
    <row r="2383" spans="1:23" x14ac:dyDescent="0.25">
      <c r="A2383" t="s">
        <v>438</v>
      </c>
      <c r="B2383">
        <v>2011</v>
      </c>
      <c r="C2383" t="s">
        <v>280</v>
      </c>
      <c r="D2383">
        <v>53.1</v>
      </c>
      <c r="E2383">
        <v>329</v>
      </c>
      <c r="F2383">
        <v>51</v>
      </c>
      <c r="G2383">
        <v>0.01</v>
      </c>
      <c r="H2383">
        <v>0</v>
      </c>
      <c r="J2383">
        <v>17298</v>
      </c>
      <c r="K2383">
        <v>22.4</v>
      </c>
      <c r="L2383">
        <v>82</v>
      </c>
      <c r="M2383">
        <v>49</v>
      </c>
      <c r="O2383">
        <v>41</v>
      </c>
      <c r="P2383">
        <v>0.8</v>
      </c>
      <c r="S2383">
        <v>6.9</v>
      </c>
      <c r="T2383">
        <v>6.7</v>
      </c>
      <c r="W2383" t="b">
        <f>COUNT(LifeExpectancyData[[#This Row],[Life expectancy]:[Schooling]])=19</f>
        <v>0</v>
      </c>
    </row>
    <row r="2384" spans="1:23" x14ac:dyDescent="0.25">
      <c r="A2384" t="s">
        <v>438</v>
      </c>
      <c r="B2384">
        <v>2010</v>
      </c>
      <c r="C2384" t="s">
        <v>280</v>
      </c>
      <c r="D2384">
        <v>52.4</v>
      </c>
      <c r="E2384">
        <v>336</v>
      </c>
      <c r="F2384">
        <v>52</v>
      </c>
      <c r="G2384">
        <v>0.01</v>
      </c>
      <c r="H2384">
        <v>0</v>
      </c>
      <c r="J2384">
        <v>115</v>
      </c>
      <c r="K2384">
        <v>22</v>
      </c>
      <c r="L2384">
        <v>83</v>
      </c>
      <c r="M2384">
        <v>49</v>
      </c>
      <c r="O2384">
        <v>45</v>
      </c>
      <c r="P2384">
        <v>0.8</v>
      </c>
      <c r="S2384">
        <v>7</v>
      </c>
      <c r="T2384">
        <v>6.8</v>
      </c>
      <c r="W2384" t="b">
        <f>COUNT(LifeExpectancyData[[#This Row],[Life expectancy]:[Schooling]])=19</f>
        <v>0</v>
      </c>
    </row>
    <row r="2385" spans="1:23" x14ac:dyDescent="0.25">
      <c r="A2385" t="s">
        <v>438</v>
      </c>
      <c r="B2385">
        <v>2009</v>
      </c>
      <c r="C2385" t="s">
        <v>280</v>
      </c>
      <c r="D2385">
        <v>52.2</v>
      </c>
      <c r="E2385">
        <v>335</v>
      </c>
      <c r="F2385">
        <v>52</v>
      </c>
      <c r="G2385">
        <v>0.01</v>
      </c>
      <c r="H2385">
        <v>0</v>
      </c>
      <c r="J2385">
        <v>13</v>
      </c>
      <c r="K2385">
        <v>21.5</v>
      </c>
      <c r="L2385">
        <v>84</v>
      </c>
      <c r="M2385">
        <v>41</v>
      </c>
      <c r="O2385">
        <v>42</v>
      </c>
      <c r="P2385">
        <v>0.8</v>
      </c>
      <c r="S2385">
        <v>7.1</v>
      </c>
      <c r="T2385">
        <v>6.9</v>
      </c>
      <c r="W2385" t="b">
        <f>COUNT(LifeExpectancyData[[#This Row],[Life expectancy]:[Schooling]])=19</f>
        <v>0</v>
      </c>
    </row>
    <row r="2386" spans="1:23" x14ac:dyDescent="0.25">
      <c r="A2386" t="s">
        <v>438</v>
      </c>
      <c r="B2386">
        <v>2008</v>
      </c>
      <c r="C2386" t="s">
        <v>280</v>
      </c>
      <c r="D2386">
        <v>51.9</v>
      </c>
      <c r="E2386">
        <v>336</v>
      </c>
      <c r="F2386">
        <v>52</v>
      </c>
      <c r="G2386">
        <v>0.01</v>
      </c>
      <c r="H2386">
        <v>0</v>
      </c>
      <c r="J2386">
        <v>1081</v>
      </c>
      <c r="K2386">
        <v>21.1</v>
      </c>
      <c r="L2386">
        <v>84</v>
      </c>
      <c r="M2386">
        <v>4</v>
      </c>
      <c r="O2386">
        <v>31</v>
      </c>
      <c r="P2386">
        <v>0.9</v>
      </c>
      <c r="S2386">
        <v>7.2</v>
      </c>
      <c r="T2386">
        <v>7</v>
      </c>
      <c r="W2386" t="b">
        <f>COUNT(LifeExpectancyData[[#This Row],[Life expectancy]:[Schooling]])=19</f>
        <v>0</v>
      </c>
    </row>
    <row r="2387" spans="1:23" x14ac:dyDescent="0.25">
      <c r="A2387" t="s">
        <v>438</v>
      </c>
      <c r="B2387">
        <v>2007</v>
      </c>
      <c r="C2387" t="s">
        <v>280</v>
      </c>
      <c r="D2387">
        <v>51.5</v>
      </c>
      <c r="E2387">
        <v>34</v>
      </c>
      <c r="F2387">
        <v>52</v>
      </c>
      <c r="G2387">
        <v>0.01</v>
      </c>
      <c r="H2387">
        <v>0</v>
      </c>
      <c r="J2387">
        <v>1149</v>
      </c>
      <c r="K2387">
        <v>2.7</v>
      </c>
      <c r="L2387">
        <v>84</v>
      </c>
      <c r="M2387">
        <v>4</v>
      </c>
      <c r="O2387">
        <v>4</v>
      </c>
      <c r="P2387">
        <v>0.9</v>
      </c>
      <c r="S2387">
        <v>7.3</v>
      </c>
      <c r="T2387">
        <v>7.1</v>
      </c>
      <c r="W2387" t="b">
        <f>COUNT(LifeExpectancyData[[#This Row],[Life expectancy]:[Schooling]])=19</f>
        <v>0</v>
      </c>
    </row>
    <row r="2388" spans="1:23" x14ac:dyDescent="0.25">
      <c r="A2388" t="s">
        <v>438</v>
      </c>
      <c r="B2388">
        <v>2006</v>
      </c>
      <c r="C2388" t="s">
        <v>280</v>
      </c>
      <c r="D2388">
        <v>51.5</v>
      </c>
      <c r="E2388">
        <v>337</v>
      </c>
      <c r="F2388">
        <v>51</v>
      </c>
      <c r="G2388">
        <v>0.01</v>
      </c>
      <c r="H2388">
        <v>0</v>
      </c>
      <c r="J2388">
        <v>7</v>
      </c>
      <c r="K2388">
        <v>2.2000000000000002</v>
      </c>
      <c r="L2388">
        <v>83</v>
      </c>
      <c r="M2388">
        <v>26</v>
      </c>
      <c r="O2388">
        <v>26</v>
      </c>
      <c r="P2388">
        <v>0.9</v>
      </c>
      <c r="S2388">
        <v>7.4</v>
      </c>
      <c r="T2388">
        <v>7.2</v>
      </c>
      <c r="W2388" t="b">
        <f>COUNT(LifeExpectancyData[[#This Row],[Life expectancy]:[Schooling]])=19</f>
        <v>0</v>
      </c>
    </row>
    <row r="2389" spans="1:23" x14ac:dyDescent="0.25">
      <c r="A2389" t="s">
        <v>438</v>
      </c>
      <c r="B2389">
        <v>2005</v>
      </c>
      <c r="C2389" t="s">
        <v>280</v>
      </c>
      <c r="D2389">
        <v>51.6</v>
      </c>
      <c r="E2389">
        <v>334</v>
      </c>
      <c r="F2389">
        <v>50</v>
      </c>
      <c r="G2389">
        <v>0.01</v>
      </c>
      <c r="H2389">
        <v>0</v>
      </c>
      <c r="J2389">
        <v>0</v>
      </c>
      <c r="K2389">
        <v>19.8</v>
      </c>
      <c r="L2389">
        <v>82</v>
      </c>
      <c r="M2389">
        <v>35</v>
      </c>
      <c r="O2389">
        <v>35</v>
      </c>
      <c r="P2389">
        <v>0.9</v>
      </c>
      <c r="S2389">
        <v>7.5</v>
      </c>
      <c r="T2389">
        <v>7.3</v>
      </c>
      <c r="W2389" t="b">
        <f>COUNT(LifeExpectancyData[[#This Row],[Life expectancy]:[Schooling]])=19</f>
        <v>0</v>
      </c>
    </row>
    <row r="2390" spans="1:23" x14ac:dyDescent="0.25">
      <c r="A2390" t="s">
        <v>438</v>
      </c>
      <c r="B2390">
        <v>2004</v>
      </c>
      <c r="C2390" t="s">
        <v>280</v>
      </c>
      <c r="D2390">
        <v>51.2</v>
      </c>
      <c r="E2390">
        <v>341</v>
      </c>
      <c r="F2390">
        <v>49</v>
      </c>
      <c r="G2390">
        <v>0.01</v>
      </c>
      <c r="H2390">
        <v>0</v>
      </c>
      <c r="J2390">
        <v>12008</v>
      </c>
      <c r="K2390">
        <v>19.399999999999999</v>
      </c>
      <c r="L2390">
        <v>80</v>
      </c>
      <c r="M2390">
        <v>3</v>
      </c>
      <c r="O2390">
        <v>3</v>
      </c>
      <c r="P2390">
        <v>0.9</v>
      </c>
      <c r="S2390">
        <v>7.6</v>
      </c>
      <c r="T2390">
        <v>7.4</v>
      </c>
      <c r="W2390" t="b">
        <f>COUNT(LifeExpectancyData[[#This Row],[Life expectancy]:[Schooling]])=19</f>
        <v>0</v>
      </c>
    </row>
    <row r="2391" spans="1:23" x14ac:dyDescent="0.25">
      <c r="A2391" t="s">
        <v>438</v>
      </c>
      <c r="B2391">
        <v>2003</v>
      </c>
      <c r="C2391" t="s">
        <v>280</v>
      </c>
      <c r="D2391">
        <v>51.1</v>
      </c>
      <c r="E2391">
        <v>344</v>
      </c>
      <c r="F2391">
        <v>48</v>
      </c>
      <c r="G2391">
        <v>0.01</v>
      </c>
      <c r="H2391">
        <v>0</v>
      </c>
      <c r="J2391">
        <v>8257</v>
      </c>
      <c r="K2391">
        <v>19</v>
      </c>
      <c r="L2391">
        <v>78</v>
      </c>
      <c r="M2391">
        <v>4</v>
      </c>
      <c r="O2391">
        <v>4</v>
      </c>
      <c r="P2391">
        <v>0.9</v>
      </c>
      <c r="S2391">
        <v>7.7</v>
      </c>
      <c r="T2391">
        <v>7.5</v>
      </c>
      <c r="W2391" t="b">
        <f>COUNT(LifeExpectancyData[[#This Row],[Life expectancy]:[Schooling]])=19</f>
        <v>0</v>
      </c>
    </row>
    <row r="2392" spans="1:23" x14ac:dyDescent="0.25">
      <c r="A2392" t="s">
        <v>438</v>
      </c>
      <c r="B2392">
        <v>2002</v>
      </c>
      <c r="C2392" t="s">
        <v>280</v>
      </c>
      <c r="D2392">
        <v>58</v>
      </c>
      <c r="E2392">
        <v>348</v>
      </c>
      <c r="F2392">
        <v>47</v>
      </c>
      <c r="G2392">
        <v>0.01</v>
      </c>
      <c r="H2392">
        <v>0</v>
      </c>
      <c r="J2392">
        <v>9559</v>
      </c>
      <c r="K2392">
        <v>18.600000000000001</v>
      </c>
      <c r="L2392">
        <v>77</v>
      </c>
      <c r="M2392">
        <v>4</v>
      </c>
      <c r="O2392">
        <v>4</v>
      </c>
      <c r="P2392">
        <v>0.9</v>
      </c>
      <c r="S2392">
        <v>7.8</v>
      </c>
      <c r="T2392">
        <v>7.6</v>
      </c>
      <c r="W2392" t="b">
        <f>COUNT(LifeExpectancyData[[#This Row],[Life expectancy]:[Schooling]])=19</f>
        <v>0</v>
      </c>
    </row>
    <row r="2393" spans="1:23" x14ac:dyDescent="0.25">
      <c r="A2393" t="s">
        <v>438</v>
      </c>
      <c r="B2393">
        <v>2001</v>
      </c>
      <c r="C2393" t="s">
        <v>280</v>
      </c>
      <c r="D2393">
        <v>57</v>
      </c>
      <c r="E2393">
        <v>352</v>
      </c>
      <c r="F2393">
        <v>46</v>
      </c>
      <c r="G2393">
        <v>0.01</v>
      </c>
      <c r="H2393">
        <v>0</v>
      </c>
      <c r="J2393">
        <v>3571</v>
      </c>
      <c r="K2393">
        <v>18.2</v>
      </c>
      <c r="L2393">
        <v>75</v>
      </c>
      <c r="M2393">
        <v>33</v>
      </c>
      <c r="O2393">
        <v>33</v>
      </c>
      <c r="P2393">
        <v>0.8</v>
      </c>
      <c r="S2393">
        <v>7.9</v>
      </c>
      <c r="T2393">
        <v>7.7</v>
      </c>
      <c r="W2393" t="b">
        <f>COUNT(LifeExpectancyData[[#This Row],[Life expectancy]:[Schooling]])=19</f>
        <v>0</v>
      </c>
    </row>
    <row r="2394" spans="1:23" x14ac:dyDescent="0.25">
      <c r="A2394" t="s">
        <v>438</v>
      </c>
      <c r="B2394">
        <v>2000</v>
      </c>
      <c r="C2394" t="s">
        <v>280</v>
      </c>
      <c r="D2394">
        <v>55</v>
      </c>
      <c r="E2394">
        <v>355</v>
      </c>
      <c r="F2394">
        <v>45</v>
      </c>
      <c r="G2394">
        <v>0.01</v>
      </c>
      <c r="H2394">
        <v>0</v>
      </c>
      <c r="J2394">
        <v>3965</v>
      </c>
      <c r="K2394">
        <v>17.8</v>
      </c>
      <c r="L2394">
        <v>74</v>
      </c>
      <c r="M2394">
        <v>37</v>
      </c>
      <c r="O2394">
        <v>33</v>
      </c>
      <c r="P2394">
        <v>0.8</v>
      </c>
      <c r="S2394">
        <v>8</v>
      </c>
      <c r="T2394">
        <v>7.9</v>
      </c>
      <c r="W2394" t="b">
        <f>COUNT(LifeExpectancyData[[#This Row],[Life expectancy]:[Schooling]])=19</f>
        <v>0</v>
      </c>
    </row>
    <row r="2395" spans="1:23" x14ac:dyDescent="0.25">
      <c r="A2395" t="s">
        <v>439</v>
      </c>
      <c r="B2395">
        <v>2015</v>
      </c>
      <c r="C2395" t="s">
        <v>280</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COUNT(LifeExpectancyData[[#This Row],[Life expectancy]:[Schooling]])=19</f>
        <v>0</v>
      </c>
    </row>
    <row r="2396" spans="1:23" x14ac:dyDescent="0.25">
      <c r="A2396" t="s">
        <v>439</v>
      </c>
      <c r="B2396">
        <v>2014</v>
      </c>
      <c r="C2396" t="s">
        <v>280</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COUNT(LifeExpectancyData[[#This Row],[Life expectancy]:[Schooling]])=19</f>
        <v>1</v>
      </c>
    </row>
    <row r="2397" spans="1:23" x14ac:dyDescent="0.25">
      <c r="A2397" t="s">
        <v>439</v>
      </c>
      <c r="B2397">
        <v>2013</v>
      </c>
      <c r="C2397" t="s">
        <v>280</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COUNT(LifeExpectancyData[[#This Row],[Life expectancy]:[Schooling]])=19</f>
        <v>1</v>
      </c>
    </row>
    <row r="2398" spans="1:23" x14ac:dyDescent="0.25">
      <c r="A2398" t="s">
        <v>439</v>
      </c>
      <c r="B2398">
        <v>2012</v>
      </c>
      <c r="C2398" t="s">
        <v>280</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COUNT(LifeExpectancyData[[#This Row],[Life expectancy]:[Schooling]])=19</f>
        <v>1</v>
      </c>
    </row>
    <row r="2399" spans="1:23" x14ac:dyDescent="0.25">
      <c r="A2399" t="s">
        <v>439</v>
      </c>
      <c r="B2399">
        <v>2011</v>
      </c>
      <c r="C2399" t="s">
        <v>280</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COUNT(LifeExpectancyData[[#This Row],[Life expectancy]:[Schooling]])=19</f>
        <v>1</v>
      </c>
    </row>
    <row r="2400" spans="1:23" x14ac:dyDescent="0.25">
      <c r="A2400" t="s">
        <v>439</v>
      </c>
      <c r="B2400">
        <v>2010</v>
      </c>
      <c r="C2400" t="s">
        <v>280</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COUNT(LifeExpectancyData[[#This Row],[Life expectancy]:[Schooling]])=19</f>
        <v>1</v>
      </c>
    </row>
    <row r="2401" spans="1:23" x14ac:dyDescent="0.25">
      <c r="A2401" t="s">
        <v>439</v>
      </c>
      <c r="B2401">
        <v>2009</v>
      </c>
      <c r="C2401" t="s">
        <v>280</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COUNT(LifeExpectancyData[[#This Row],[Life expectancy]:[Schooling]])=19</f>
        <v>1</v>
      </c>
    </row>
    <row r="2402" spans="1:23" x14ac:dyDescent="0.25">
      <c r="A2402" t="s">
        <v>439</v>
      </c>
      <c r="B2402">
        <v>2008</v>
      </c>
      <c r="C2402" t="s">
        <v>280</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COUNT(LifeExpectancyData[[#This Row],[Life expectancy]:[Schooling]])=19</f>
        <v>1</v>
      </c>
    </row>
    <row r="2403" spans="1:23" x14ac:dyDescent="0.25">
      <c r="A2403" t="s">
        <v>439</v>
      </c>
      <c r="B2403">
        <v>2007</v>
      </c>
      <c r="C2403" t="s">
        <v>280</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COUNT(LifeExpectancyData[[#This Row],[Life expectancy]:[Schooling]])=19</f>
        <v>1</v>
      </c>
    </row>
    <row r="2404" spans="1:23" x14ac:dyDescent="0.25">
      <c r="A2404" t="s">
        <v>439</v>
      </c>
      <c r="B2404">
        <v>2006</v>
      </c>
      <c r="C2404" t="s">
        <v>280</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COUNT(LifeExpectancyData[[#This Row],[Life expectancy]:[Schooling]])=19</f>
        <v>1</v>
      </c>
    </row>
    <row r="2405" spans="1:23" x14ac:dyDescent="0.25">
      <c r="A2405" t="s">
        <v>439</v>
      </c>
      <c r="B2405">
        <v>2005</v>
      </c>
      <c r="C2405" t="s">
        <v>280</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COUNT(LifeExpectancyData[[#This Row],[Life expectancy]:[Schooling]])=19</f>
        <v>1</v>
      </c>
    </row>
    <row r="2406" spans="1:23" x14ac:dyDescent="0.25">
      <c r="A2406" t="s">
        <v>439</v>
      </c>
      <c r="B2406">
        <v>2004</v>
      </c>
      <c r="C2406" t="s">
        <v>280</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COUNT(LifeExpectancyData[[#This Row],[Life expectancy]:[Schooling]])=19</f>
        <v>1</v>
      </c>
    </row>
    <row r="2407" spans="1:23" x14ac:dyDescent="0.25">
      <c r="A2407" t="s">
        <v>439</v>
      </c>
      <c r="B2407">
        <v>2003</v>
      </c>
      <c r="C2407" t="s">
        <v>280</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COUNT(LifeExpectancyData[[#This Row],[Life expectancy]:[Schooling]])=19</f>
        <v>1</v>
      </c>
    </row>
    <row r="2408" spans="1:23" x14ac:dyDescent="0.25">
      <c r="A2408" t="s">
        <v>439</v>
      </c>
      <c r="B2408">
        <v>2002</v>
      </c>
      <c r="C2408" t="s">
        <v>280</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COUNT(LifeExpectancyData[[#This Row],[Life expectancy]:[Schooling]])=19</f>
        <v>1</v>
      </c>
    </row>
    <row r="2409" spans="1:23" x14ac:dyDescent="0.25">
      <c r="A2409" t="s">
        <v>439</v>
      </c>
      <c r="B2409">
        <v>2001</v>
      </c>
      <c r="C2409" t="s">
        <v>280</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COUNT(LifeExpectancyData[[#This Row],[Life expectancy]:[Schooling]])=19</f>
        <v>1</v>
      </c>
    </row>
    <row r="2410" spans="1:23" x14ac:dyDescent="0.25">
      <c r="A2410" t="s">
        <v>439</v>
      </c>
      <c r="B2410">
        <v>2000</v>
      </c>
      <c r="C2410" t="s">
        <v>280</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COUNT(LifeExpectancyData[[#This Row],[Life expectancy]:[Schooling]])=19</f>
        <v>1</v>
      </c>
    </row>
    <row r="2411" spans="1:23" x14ac:dyDescent="0.25">
      <c r="A2411" t="s">
        <v>440</v>
      </c>
      <c r="B2411">
        <v>2015</v>
      </c>
      <c r="C2411" t="s">
        <v>280</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COUNT(LifeExpectancyData[[#This Row],[Life expectancy]:[Schooling]])=19</f>
        <v>0</v>
      </c>
    </row>
    <row r="2412" spans="1:23" x14ac:dyDescent="0.25">
      <c r="A2412" t="s">
        <v>440</v>
      </c>
      <c r="B2412">
        <v>2014</v>
      </c>
      <c r="C2412" t="s">
        <v>280</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COUNT(LifeExpectancyData[[#This Row],[Life expectancy]:[Schooling]])=19</f>
        <v>0</v>
      </c>
    </row>
    <row r="2413" spans="1:23" x14ac:dyDescent="0.25">
      <c r="A2413" t="s">
        <v>440</v>
      </c>
      <c r="B2413">
        <v>2013</v>
      </c>
      <c r="C2413" t="s">
        <v>280</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COUNT(LifeExpectancyData[[#This Row],[Life expectancy]:[Schooling]])=19</f>
        <v>0</v>
      </c>
    </row>
    <row r="2414" spans="1:23" x14ac:dyDescent="0.25">
      <c r="A2414" t="s">
        <v>440</v>
      </c>
      <c r="B2414">
        <v>2012</v>
      </c>
      <c r="C2414" t="s">
        <v>280</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COUNT(LifeExpectancyData[[#This Row],[Life expectancy]:[Schooling]])=19</f>
        <v>0</v>
      </c>
    </row>
    <row r="2415" spans="1:23" x14ac:dyDescent="0.25">
      <c r="A2415" t="s">
        <v>440</v>
      </c>
      <c r="B2415">
        <v>2011</v>
      </c>
      <c r="C2415" t="s">
        <v>280</v>
      </c>
      <c r="D2415">
        <v>55.4</v>
      </c>
      <c r="E2415">
        <v>355</v>
      </c>
      <c r="F2415">
        <v>27</v>
      </c>
      <c r="H2415">
        <v>0</v>
      </c>
      <c r="J2415">
        <v>1256</v>
      </c>
      <c r="L2415">
        <v>41</v>
      </c>
      <c r="M2415">
        <v>66</v>
      </c>
      <c r="O2415">
        <v>61</v>
      </c>
      <c r="P2415">
        <v>3.9</v>
      </c>
      <c r="Q2415">
        <v>176.97130000000001</v>
      </c>
      <c r="R2415">
        <v>1448857</v>
      </c>
      <c r="U2415">
        <v>0.42899999999999999</v>
      </c>
      <c r="V2415">
        <v>4.9000000000000004</v>
      </c>
      <c r="W2415" t="b">
        <f>COUNT(LifeExpectancyData[[#This Row],[Life expectancy]:[Schooling]])=19</f>
        <v>0</v>
      </c>
    </row>
    <row r="2416" spans="1:23" x14ac:dyDescent="0.25">
      <c r="A2416" t="s">
        <v>440</v>
      </c>
      <c r="B2416">
        <v>2010</v>
      </c>
      <c r="C2416" t="s">
        <v>280</v>
      </c>
      <c r="D2416">
        <v>55</v>
      </c>
      <c r="E2416">
        <v>359</v>
      </c>
      <c r="F2416">
        <v>27</v>
      </c>
      <c r="H2416">
        <v>0</v>
      </c>
      <c r="J2416">
        <v>0</v>
      </c>
      <c r="L2416">
        <v>41</v>
      </c>
      <c r="P2416">
        <v>4</v>
      </c>
      <c r="Q2416">
        <v>1562.2393460000001</v>
      </c>
      <c r="R2416">
        <v>167192</v>
      </c>
      <c r="U2416">
        <v>0</v>
      </c>
      <c r="V2416">
        <v>0</v>
      </c>
      <c r="W2416" t="b">
        <f>COUNT(LifeExpectancyData[[#This Row],[Life expectancy]:[Schooling]])=19</f>
        <v>0</v>
      </c>
    </row>
    <row r="2417" spans="1:23" x14ac:dyDescent="0.25">
      <c r="A2417" t="s">
        <v>440</v>
      </c>
      <c r="B2417">
        <v>2009</v>
      </c>
      <c r="C2417" t="s">
        <v>280</v>
      </c>
      <c r="D2417">
        <v>54.3</v>
      </c>
      <c r="E2417">
        <v>369</v>
      </c>
      <c r="F2417">
        <v>27</v>
      </c>
      <c r="H2417">
        <v>0</v>
      </c>
      <c r="J2417">
        <v>0</v>
      </c>
      <c r="L2417">
        <v>42</v>
      </c>
      <c r="P2417">
        <v>4.2</v>
      </c>
      <c r="Q2417">
        <v>1264.78998</v>
      </c>
      <c r="R2417">
        <v>967667</v>
      </c>
      <c r="U2417">
        <v>0</v>
      </c>
      <c r="V2417">
        <v>0</v>
      </c>
      <c r="W2417" t="b">
        <f>COUNT(LifeExpectancyData[[#This Row],[Life expectancy]:[Schooling]])=19</f>
        <v>0</v>
      </c>
    </row>
    <row r="2418" spans="1:23" x14ac:dyDescent="0.25">
      <c r="A2418" t="s">
        <v>440</v>
      </c>
      <c r="B2418">
        <v>2008</v>
      </c>
      <c r="C2418" t="s">
        <v>280</v>
      </c>
      <c r="D2418">
        <v>53.6</v>
      </c>
      <c r="E2418">
        <v>377</v>
      </c>
      <c r="F2418">
        <v>27</v>
      </c>
      <c r="H2418">
        <v>0</v>
      </c>
      <c r="J2418">
        <v>0</v>
      </c>
      <c r="L2418">
        <v>42</v>
      </c>
      <c r="P2418">
        <v>4.2</v>
      </c>
      <c r="Q2418">
        <v>1678.7118620000001</v>
      </c>
      <c r="R2418">
        <v>9263136</v>
      </c>
      <c r="U2418">
        <v>0</v>
      </c>
      <c r="V2418">
        <v>0</v>
      </c>
      <c r="W2418" t="b">
        <f>COUNT(LifeExpectancyData[[#This Row],[Life expectancy]:[Schooling]])=19</f>
        <v>0</v>
      </c>
    </row>
    <row r="2419" spans="1:23" x14ac:dyDescent="0.25">
      <c r="A2419" t="s">
        <v>440</v>
      </c>
      <c r="B2419">
        <v>2007</v>
      </c>
      <c r="C2419" t="s">
        <v>280</v>
      </c>
      <c r="D2419">
        <v>53.1</v>
      </c>
      <c r="E2419">
        <v>381</v>
      </c>
      <c r="F2419">
        <v>27</v>
      </c>
      <c r="H2419">
        <v>0</v>
      </c>
      <c r="J2419">
        <v>0</v>
      </c>
      <c r="L2419">
        <v>43</v>
      </c>
      <c r="P2419">
        <v>4.2</v>
      </c>
      <c r="R2419">
        <v>88568</v>
      </c>
      <c r="U2419">
        <v>0</v>
      </c>
      <c r="V2419">
        <v>0</v>
      </c>
      <c r="W2419" t="b">
        <f>COUNT(LifeExpectancyData[[#This Row],[Life expectancy]:[Schooling]])=19</f>
        <v>0</v>
      </c>
    </row>
    <row r="2420" spans="1:23" x14ac:dyDescent="0.25">
      <c r="A2420" t="s">
        <v>440</v>
      </c>
      <c r="B2420">
        <v>2006</v>
      </c>
      <c r="C2420" t="s">
        <v>280</v>
      </c>
      <c r="D2420">
        <v>52.5</v>
      </c>
      <c r="E2420">
        <v>383</v>
      </c>
      <c r="F2420">
        <v>28</v>
      </c>
      <c r="H2420">
        <v>0</v>
      </c>
      <c r="J2420">
        <v>0</v>
      </c>
      <c r="L2420">
        <v>43</v>
      </c>
      <c r="P2420">
        <v>4.0999999999999996</v>
      </c>
      <c r="R2420">
        <v>8468152</v>
      </c>
      <c r="U2420">
        <v>0</v>
      </c>
      <c r="V2420">
        <v>0</v>
      </c>
      <c r="W2420" t="b">
        <f>COUNT(LifeExpectancyData[[#This Row],[Life expectancy]:[Schooling]])=19</f>
        <v>0</v>
      </c>
    </row>
    <row r="2421" spans="1:23" x14ac:dyDescent="0.25">
      <c r="A2421" t="s">
        <v>440</v>
      </c>
      <c r="B2421">
        <v>2005</v>
      </c>
      <c r="C2421" t="s">
        <v>280</v>
      </c>
      <c r="D2421">
        <v>51.9</v>
      </c>
      <c r="E2421">
        <v>383</v>
      </c>
      <c r="F2421">
        <v>28</v>
      </c>
      <c r="H2421">
        <v>0</v>
      </c>
      <c r="J2421">
        <v>0</v>
      </c>
      <c r="L2421">
        <v>44</v>
      </c>
      <c r="P2421">
        <v>3.9</v>
      </c>
      <c r="R2421">
        <v>818877</v>
      </c>
      <c r="U2421">
        <v>0</v>
      </c>
      <c r="V2421">
        <v>0</v>
      </c>
      <c r="W2421" t="b">
        <f>COUNT(LifeExpectancyData[[#This Row],[Life expectancy]:[Schooling]])=19</f>
        <v>0</v>
      </c>
    </row>
    <row r="2422" spans="1:23" x14ac:dyDescent="0.25">
      <c r="A2422" t="s">
        <v>440</v>
      </c>
      <c r="B2422">
        <v>2004</v>
      </c>
      <c r="C2422" t="s">
        <v>280</v>
      </c>
      <c r="D2422">
        <v>51.4</v>
      </c>
      <c r="E2422">
        <v>383</v>
      </c>
      <c r="F2422">
        <v>29</v>
      </c>
      <c r="H2422">
        <v>0</v>
      </c>
      <c r="J2422">
        <v>0</v>
      </c>
      <c r="L2422">
        <v>45</v>
      </c>
      <c r="P2422">
        <v>3.8</v>
      </c>
      <c r="R2422">
        <v>7787655</v>
      </c>
      <c r="U2422">
        <v>0</v>
      </c>
      <c r="V2422">
        <v>0</v>
      </c>
      <c r="W2422" t="b">
        <f>COUNT(LifeExpectancyData[[#This Row],[Life expectancy]:[Schooling]])=19</f>
        <v>0</v>
      </c>
    </row>
    <row r="2423" spans="1:23" x14ac:dyDescent="0.25">
      <c r="A2423" t="s">
        <v>440</v>
      </c>
      <c r="B2423">
        <v>2003</v>
      </c>
      <c r="C2423" t="s">
        <v>280</v>
      </c>
      <c r="D2423">
        <v>58</v>
      </c>
      <c r="E2423">
        <v>383</v>
      </c>
      <c r="F2423">
        <v>29</v>
      </c>
      <c r="H2423">
        <v>0</v>
      </c>
      <c r="J2423">
        <v>0</v>
      </c>
      <c r="L2423">
        <v>46</v>
      </c>
      <c r="P2423">
        <v>3.5</v>
      </c>
      <c r="R2423">
        <v>751642</v>
      </c>
      <c r="U2423">
        <v>0</v>
      </c>
      <c r="V2423">
        <v>0</v>
      </c>
      <c r="W2423" t="b">
        <f>COUNT(LifeExpectancyData[[#This Row],[Life expectancy]:[Schooling]])=19</f>
        <v>0</v>
      </c>
    </row>
    <row r="2424" spans="1:23" x14ac:dyDescent="0.25">
      <c r="A2424" t="s">
        <v>440</v>
      </c>
      <c r="B2424">
        <v>2002</v>
      </c>
      <c r="C2424" t="s">
        <v>280</v>
      </c>
      <c r="D2424">
        <v>52</v>
      </c>
      <c r="E2424">
        <v>382</v>
      </c>
      <c r="F2424">
        <v>30</v>
      </c>
      <c r="H2424">
        <v>0</v>
      </c>
      <c r="J2424">
        <v>0</v>
      </c>
      <c r="L2424">
        <v>48</v>
      </c>
      <c r="P2424">
        <v>3.3</v>
      </c>
      <c r="R2424">
        <v>7237276</v>
      </c>
      <c r="U2424">
        <v>0</v>
      </c>
      <c r="V2424">
        <v>0</v>
      </c>
      <c r="W2424" t="b">
        <f>COUNT(LifeExpectancyData[[#This Row],[Life expectancy]:[Schooling]])=19</f>
        <v>0</v>
      </c>
    </row>
    <row r="2425" spans="1:23" x14ac:dyDescent="0.25">
      <c r="A2425" t="s">
        <v>440</v>
      </c>
      <c r="B2425">
        <v>2001</v>
      </c>
      <c r="C2425" t="s">
        <v>280</v>
      </c>
      <c r="D2425">
        <v>49.6</v>
      </c>
      <c r="E2425">
        <v>381</v>
      </c>
      <c r="F2425">
        <v>30</v>
      </c>
      <c r="H2425">
        <v>0</v>
      </c>
      <c r="J2425">
        <v>0</v>
      </c>
      <c r="L2425">
        <v>49</v>
      </c>
      <c r="P2425">
        <v>3</v>
      </c>
      <c r="R2425">
        <v>6974442</v>
      </c>
      <c r="U2425">
        <v>0</v>
      </c>
      <c r="V2425">
        <v>0</v>
      </c>
      <c r="W2425" t="b">
        <f>COUNT(LifeExpectancyData[[#This Row],[Life expectancy]:[Schooling]])=19</f>
        <v>0</v>
      </c>
    </row>
    <row r="2426" spans="1:23" x14ac:dyDescent="0.25">
      <c r="A2426" t="s">
        <v>440</v>
      </c>
      <c r="B2426">
        <v>2000</v>
      </c>
      <c r="C2426" t="s">
        <v>280</v>
      </c>
      <c r="D2426">
        <v>48.9</v>
      </c>
      <c r="E2426">
        <v>38</v>
      </c>
      <c r="F2426">
        <v>31</v>
      </c>
      <c r="H2426">
        <v>0</v>
      </c>
      <c r="J2426">
        <v>0</v>
      </c>
      <c r="L2426">
        <v>50</v>
      </c>
      <c r="P2426">
        <v>2.7</v>
      </c>
      <c r="R2426">
        <v>67656</v>
      </c>
      <c r="U2426">
        <v>0</v>
      </c>
      <c r="V2426">
        <v>0</v>
      </c>
      <c r="W2426" t="b">
        <f>COUNT(LifeExpectancyData[[#This Row],[Life expectancy]:[Schooling]])=19</f>
        <v>0</v>
      </c>
    </row>
    <row r="2427" spans="1:23" x14ac:dyDescent="0.25">
      <c r="A2427" t="s">
        <v>441</v>
      </c>
      <c r="B2427">
        <v>2015</v>
      </c>
      <c r="C2427" t="s">
        <v>288</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COUNT(LifeExpectancyData[[#This Row],[Life expectancy]:[Schooling]])=19</f>
        <v>0</v>
      </c>
    </row>
    <row r="2428" spans="1:23" x14ac:dyDescent="0.25">
      <c r="A2428" t="s">
        <v>441</v>
      </c>
      <c r="B2428">
        <v>2014</v>
      </c>
      <c r="C2428" t="s">
        <v>288</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COUNT(LifeExpectancyData[[#This Row],[Life expectancy]:[Schooling]])=19</f>
        <v>1</v>
      </c>
    </row>
    <row r="2429" spans="1:23" x14ac:dyDescent="0.25">
      <c r="A2429" t="s">
        <v>441</v>
      </c>
      <c r="B2429">
        <v>2013</v>
      </c>
      <c r="C2429" t="s">
        <v>288</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COUNT(LifeExpectancyData[[#This Row],[Life expectancy]:[Schooling]])=19</f>
        <v>1</v>
      </c>
    </row>
    <row r="2430" spans="1:23" x14ac:dyDescent="0.25">
      <c r="A2430" t="s">
        <v>441</v>
      </c>
      <c r="B2430">
        <v>2012</v>
      </c>
      <c r="C2430" t="s">
        <v>288</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COUNT(LifeExpectancyData[[#This Row],[Life expectancy]:[Schooling]])=19</f>
        <v>1</v>
      </c>
    </row>
    <row r="2431" spans="1:23" x14ac:dyDescent="0.25">
      <c r="A2431" t="s">
        <v>441</v>
      </c>
      <c r="B2431">
        <v>2011</v>
      </c>
      <c r="C2431" t="s">
        <v>288</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COUNT(LifeExpectancyData[[#This Row],[Life expectancy]:[Schooling]])=19</f>
        <v>1</v>
      </c>
    </row>
    <row r="2432" spans="1:23" x14ac:dyDescent="0.25">
      <c r="A2432" t="s">
        <v>441</v>
      </c>
      <c r="B2432">
        <v>2010</v>
      </c>
      <c r="C2432" t="s">
        <v>288</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COUNT(LifeExpectancyData[[#This Row],[Life expectancy]:[Schooling]])=19</f>
        <v>1</v>
      </c>
    </row>
    <row r="2433" spans="1:23" x14ac:dyDescent="0.25">
      <c r="A2433" t="s">
        <v>441</v>
      </c>
      <c r="B2433">
        <v>2009</v>
      </c>
      <c r="C2433" t="s">
        <v>288</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COUNT(LifeExpectancyData[[#This Row],[Life expectancy]:[Schooling]])=19</f>
        <v>1</v>
      </c>
    </row>
    <row r="2434" spans="1:23" x14ac:dyDescent="0.25">
      <c r="A2434" t="s">
        <v>441</v>
      </c>
      <c r="B2434">
        <v>2008</v>
      </c>
      <c r="C2434" t="s">
        <v>288</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COUNT(LifeExpectancyData[[#This Row],[Life expectancy]:[Schooling]])=19</f>
        <v>1</v>
      </c>
    </row>
    <row r="2435" spans="1:23" x14ac:dyDescent="0.25">
      <c r="A2435" t="s">
        <v>441</v>
      </c>
      <c r="B2435">
        <v>2007</v>
      </c>
      <c r="C2435" t="s">
        <v>288</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COUNT(LifeExpectancyData[[#This Row],[Life expectancy]:[Schooling]])=19</f>
        <v>1</v>
      </c>
    </row>
    <row r="2436" spans="1:23" x14ac:dyDescent="0.25">
      <c r="A2436" t="s">
        <v>441</v>
      </c>
      <c r="B2436">
        <v>2006</v>
      </c>
      <c r="C2436" t="s">
        <v>288</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COUNT(LifeExpectancyData[[#This Row],[Life expectancy]:[Schooling]])=19</f>
        <v>1</v>
      </c>
    </row>
    <row r="2437" spans="1:23" x14ac:dyDescent="0.25">
      <c r="A2437" t="s">
        <v>441</v>
      </c>
      <c r="B2437">
        <v>2005</v>
      </c>
      <c r="C2437" t="s">
        <v>288</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COUNT(LifeExpectancyData[[#This Row],[Life expectancy]:[Schooling]])=19</f>
        <v>1</v>
      </c>
    </row>
    <row r="2438" spans="1:23" x14ac:dyDescent="0.25">
      <c r="A2438" t="s">
        <v>441</v>
      </c>
      <c r="B2438">
        <v>2004</v>
      </c>
      <c r="C2438" t="s">
        <v>288</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COUNT(LifeExpectancyData[[#This Row],[Life expectancy]:[Schooling]])=19</f>
        <v>1</v>
      </c>
    </row>
    <row r="2439" spans="1:23" x14ac:dyDescent="0.25">
      <c r="A2439" t="s">
        <v>441</v>
      </c>
      <c r="B2439">
        <v>2003</v>
      </c>
      <c r="C2439" t="s">
        <v>288</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COUNT(LifeExpectancyData[[#This Row],[Life expectancy]:[Schooling]])=19</f>
        <v>1</v>
      </c>
    </row>
    <row r="2440" spans="1:23" x14ac:dyDescent="0.25">
      <c r="A2440" t="s">
        <v>441</v>
      </c>
      <c r="B2440">
        <v>2002</v>
      </c>
      <c r="C2440" t="s">
        <v>288</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COUNT(LifeExpectancyData[[#This Row],[Life expectancy]:[Schooling]])=19</f>
        <v>1</v>
      </c>
    </row>
    <row r="2441" spans="1:23" x14ac:dyDescent="0.25">
      <c r="A2441" t="s">
        <v>441</v>
      </c>
      <c r="B2441">
        <v>2001</v>
      </c>
      <c r="C2441" t="s">
        <v>288</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COUNT(LifeExpectancyData[[#This Row],[Life expectancy]:[Schooling]])=19</f>
        <v>1</v>
      </c>
    </row>
    <row r="2442" spans="1:23" x14ac:dyDescent="0.25">
      <c r="A2442" t="s">
        <v>441</v>
      </c>
      <c r="B2442">
        <v>2000</v>
      </c>
      <c r="C2442" t="s">
        <v>288</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COUNT(LifeExpectancyData[[#This Row],[Life expectancy]:[Schooling]])=19</f>
        <v>1</v>
      </c>
    </row>
    <row r="2443" spans="1:23" x14ac:dyDescent="0.25">
      <c r="A2443" t="s">
        <v>442</v>
      </c>
      <c r="B2443">
        <v>2015</v>
      </c>
      <c r="C2443" t="s">
        <v>280</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COUNT(LifeExpectancyData[[#This Row],[Life expectancy]:[Schooling]])=19</f>
        <v>0</v>
      </c>
    </row>
    <row r="2444" spans="1:23" x14ac:dyDescent="0.25">
      <c r="A2444" t="s">
        <v>442</v>
      </c>
      <c r="B2444">
        <v>2014</v>
      </c>
      <c r="C2444" t="s">
        <v>280</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COUNT(LifeExpectancyData[[#This Row],[Life expectancy]:[Schooling]])=19</f>
        <v>1</v>
      </c>
    </row>
    <row r="2445" spans="1:23" x14ac:dyDescent="0.25">
      <c r="A2445" t="s">
        <v>442</v>
      </c>
      <c r="B2445">
        <v>2013</v>
      </c>
      <c r="C2445" t="s">
        <v>280</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COUNT(LifeExpectancyData[[#This Row],[Life expectancy]:[Schooling]])=19</f>
        <v>1</v>
      </c>
    </row>
    <row r="2446" spans="1:23" x14ac:dyDescent="0.25">
      <c r="A2446" t="s">
        <v>442</v>
      </c>
      <c r="B2446">
        <v>2012</v>
      </c>
      <c r="C2446" t="s">
        <v>280</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COUNT(LifeExpectancyData[[#This Row],[Life expectancy]:[Schooling]])=19</f>
        <v>1</v>
      </c>
    </row>
    <row r="2447" spans="1:23" x14ac:dyDescent="0.25">
      <c r="A2447" t="s">
        <v>442</v>
      </c>
      <c r="B2447">
        <v>2011</v>
      </c>
      <c r="C2447" t="s">
        <v>280</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COUNT(LifeExpectancyData[[#This Row],[Life expectancy]:[Schooling]])=19</f>
        <v>1</v>
      </c>
    </row>
    <row r="2448" spans="1:23" x14ac:dyDescent="0.25">
      <c r="A2448" t="s">
        <v>442</v>
      </c>
      <c r="B2448">
        <v>2010</v>
      </c>
      <c r="C2448" t="s">
        <v>280</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COUNT(LifeExpectancyData[[#This Row],[Life expectancy]:[Schooling]])=19</f>
        <v>1</v>
      </c>
    </row>
    <row r="2449" spans="1:23" x14ac:dyDescent="0.25">
      <c r="A2449" t="s">
        <v>442</v>
      </c>
      <c r="B2449">
        <v>2009</v>
      </c>
      <c r="C2449" t="s">
        <v>280</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COUNT(LifeExpectancyData[[#This Row],[Life expectancy]:[Schooling]])=19</f>
        <v>1</v>
      </c>
    </row>
    <row r="2450" spans="1:23" x14ac:dyDescent="0.25">
      <c r="A2450" t="s">
        <v>442</v>
      </c>
      <c r="B2450">
        <v>2008</v>
      </c>
      <c r="C2450" t="s">
        <v>280</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COUNT(LifeExpectancyData[[#This Row],[Life expectancy]:[Schooling]])=19</f>
        <v>1</v>
      </c>
    </row>
    <row r="2451" spans="1:23" x14ac:dyDescent="0.25">
      <c r="A2451" t="s">
        <v>442</v>
      </c>
      <c r="B2451">
        <v>2007</v>
      </c>
      <c r="C2451" t="s">
        <v>280</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COUNT(LifeExpectancyData[[#This Row],[Life expectancy]:[Schooling]])=19</f>
        <v>1</v>
      </c>
    </row>
    <row r="2452" spans="1:23" x14ac:dyDescent="0.25">
      <c r="A2452" t="s">
        <v>442</v>
      </c>
      <c r="B2452">
        <v>2006</v>
      </c>
      <c r="C2452" t="s">
        <v>280</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COUNT(LifeExpectancyData[[#This Row],[Life expectancy]:[Schooling]])=19</f>
        <v>1</v>
      </c>
    </row>
    <row r="2453" spans="1:23" x14ac:dyDescent="0.25">
      <c r="A2453" t="s">
        <v>442</v>
      </c>
      <c r="B2453">
        <v>2005</v>
      </c>
      <c r="C2453" t="s">
        <v>280</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COUNT(LifeExpectancyData[[#This Row],[Life expectancy]:[Schooling]])=19</f>
        <v>1</v>
      </c>
    </row>
    <row r="2454" spans="1:23" x14ac:dyDescent="0.25">
      <c r="A2454" t="s">
        <v>442</v>
      </c>
      <c r="B2454">
        <v>2004</v>
      </c>
      <c r="C2454" t="s">
        <v>280</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COUNT(LifeExpectancyData[[#This Row],[Life expectancy]:[Schooling]])=19</f>
        <v>1</v>
      </c>
    </row>
    <row r="2455" spans="1:23" x14ac:dyDescent="0.25">
      <c r="A2455" t="s">
        <v>442</v>
      </c>
      <c r="B2455">
        <v>2003</v>
      </c>
      <c r="C2455" t="s">
        <v>280</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COUNT(LifeExpectancyData[[#This Row],[Life expectancy]:[Schooling]])=19</f>
        <v>1</v>
      </c>
    </row>
    <row r="2456" spans="1:23" x14ac:dyDescent="0.25">
      <c r="A2456" t="s">
        <v>442</v>
      </c>
      <c r="B2456">
        <v>2002</v>
      </c>
      <c r="C2456" t="s">
        <v>280</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COUNT(LifeExpectancyData[[#This Row],[Life expectancy]:[Schooling]])=19</f>
        <v>0</v>
      </c>
    </row>
    <row r="2457" spans="1:23" x14ac:dyDescent="0.25">
      <c r="A2457" t="s">
        <v>442</v>
      </c>
      <c r="B2457">
        <v>2001</v>
      </c>
      <c r="C2457" t="s">
        <v>280</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COUNT(LifeExpectancyData[[#This Row],[Life expectancy]:[Schooling]])=19</f>
        <v>0</v>
      </c>
    </row>
    <row r="2458" spans="1:23" x14ac:dyDescent="0.25">
      <c r="A2458" t="s">
        <v>442</v>
      </c>
      <c r="B2458">
        <v>2000</v>
      </c>
      <c r="C2458" t="s">
        <v>280</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COUNT(LifeExpectancyData[[#This Row],[Life expectancy]:[Schooling]])=19</f>
        <v>0</v>
      </c>
    </row>
    <row r="2459" spans="1:23" x14ac:dyDescent="0.25">
      <c r="A2459" t="s">
        <v>443</v>
      </c>
      <c r="B2459">
        <v>2015</v>
      </c>
      <c r="C2459" t="s">
        <v>280</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COUNT(LifeExpectancyData[[#This Row],[Life expectancy]:[Schooling]])=19</f>
        <v>0</v>
      </c>
    </row>
    <row r="2460" spans="1:23" x14ac:dyDescent="0.25">
      <c r="A2460" t="s">
        <v>443</v>
      </c>
      <c r="B2460">
        <v>2014</v>
      </c>
      <c r="C2460" t="s">
        <v>280</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COUNT(LifeExpectancyData[[#This Row],[Life expectancy]:[Schooling]])=19</f>
        <v>0</v>
      </c>
    </row>
    <row r="2461" spans="1:23" x14ac:dyDescent="0.25">
      <c r="A2461" t="s">
        <v>443</v>
      </c>
      <c r="B2461">
        <v>2013</v>
      </c>
      <c r="C2461" t="s">
        <v>280</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COUNT(LifeExpectancyData[[#This Row],[Life expectancy]:[Schooling]])=19</f>
        <v>0</v>
      </c>
    </row>
    <row r="2462" spans="1:23" x14ac:dyDescent="0.25">
      <c r="A2462" t="s">
        <v>443</v>
      </c>
      <c r="B2462">
        <v>2012</v>
      </c>
      <c r="C2462" t="s">
        <v>280</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COUNT(LifeExpectancyData[[#This Row],[Life expectancy]:[Schooling]])=19</f>
        <v>0</v>
      </c>
    </row>
    <row r="2463" spans="1:23" x14ac:dyDescent="0.25">
      <c r="A2463" t="s">
        <v>443</v>
      </c>
      <c r="B2463">
        <v>2011</v>
      </c>
      <c r="C2463" t="s">
        <v>280</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COUNT(LifeExpectancyData[[#This Row],[Life expectancy]:[Schooling]])=19</f>
        <v>0</v>
      </c>
    </row>
    <row r="2464" spans="1:23" x14ac:dyDescent="0.25">
      <c r="A2464" t="s">
        <v>443</v>
      </c>
      <c r="B2464">
        <v>2010</v>
      </c>
      <c r="C2464" t="s">
        <v>280</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COUNT(LifeExpectancyData[[#This Row],[Life expectancy]:[Schooling]])=19</f>
        <v>0</v>
      </c>
    </row>
    <row r="2465" spans="1:23" x14ac:dyDescent="0.25">
      <c r="A2465" t="s">
        <v>443</v>
      </c>
      <c r="B2465">
        <v>2009</v>
      </c>
      <c r="C2465" t="s">
        <v>280</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COUNT(LifeExpectancyData[[#This Row],[Life expectancy]:[Schooling]])=19</f>
        <v>0</v>
      </c>
    </row>
    <row r="2466" spans="1:23" x14ac:dyDescent="0.25">
      <c r="A2466" t="s">
        <v>443</v>
      </c>
      <c r="B2466">
        <v>2008</v>
      </c>
      <c r="C2466" t="s">
        <v>280</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COUNT(LifeExpectancyData[[#This Row],[Life expectancy]:[Schooling]])=19</f>
        <v>0</v>
      </c>
    </row>
    <row r="2467" spans="1:23" x14ac:dyDescent="0.25">
      <c r="A2467" t="s">
        <v>443</v>
      </c>
      <c r="B2467">
        <v>2007</v>
      </c>
      <c r="C2467" t="s">
        <v>280</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COUNT(LifeExpectancyData[[#This Row],[Life expectancy]:[Schooling]])=19</f>
        <v>0</v>
      </c>
    </row>
    <row r="2468" spans="1:23" x14ac:dyDescent="0.25">
      <c r="A2468" t="s">
        <v>443</v>
      </c>
      <c r="B2468">
        <v>2006</v>
      </c>
      <c r="C2468" t="s">
        <v>280</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COUNT(LifeExpectancyData[[#This Row],[Life expectancy]:[Schooling]])=19</f>
        <v>0</v>
      </c>
    </row>
    <row r="2469" spans="1:23" x14ac:dyDescent="0.25">
      <c r="A2469" t="s">
        <v>443</v>
      </c>
      <c r="B2469">
        <v>2005</v>
      </c>
      <c r="C2469" t="s">
        <v>280</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COUNT(LifeExpectancyData[[#This Row],[Life expectancy]:[Schooling]])=19</f>
        <v>0</v>
      </c>
    </row>
    <row r="2470" spans="1:23" x14ac:dyDescent="0.25">
      <c r="A2470" t="s">
        <v>443</v>
      </c>
      <c r="B2470">
        <v>2004</v>
      </c>
      <c r="C2470" t="s">
        <v>280</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COUNT(LifeExpectancyData[[#This Row],[Life expectancy]:[Schooling]])=19</f>
        <v>0</v>
      </c>
    </row>
    <row r="2471" spans="1:23" x14ac:dyDescent="0.25">
      <c r="A2471" t="s">
        <v>443</v>
      </c>
      <c r="B2471">
        <v>2003</v>
      </c>
      <c r="C2471" t="s">
        <v>280</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COUNT(LifeExpectancyData[[#This Row],[Life expectancy]:[Schooling]])=19</f>
        <v>0</v>
      </c>
    </row>
    <row r="2472" spans="1:23" x14ac:dyDescent="0.25">
      <c r="A2472" t="s">
        <v>443</v>
      </c>
      <c r="B2472">
        <v>2002</v>
      </c>
      <c r="C2472" t="s">
        <v>280</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COUNT(LifeExpectancyData[[#This Row],[Life expectancy]:[Schooling]])=19</f>
        <v>0</v>
      </c>
    </row>
    <row r="2473" spans="1:23" x14ac:dyDescent="0.25">
      <c r="A2473" t="s">
        <v>443</v>
      </c>
      <c r="B2473">
        <v>2001</v>
      </c>
      <c r="C2473" t="s">
        <v>280</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COUNT(LifeExpectancyData[[#This Row],[Life expectancy]:[Schooling]])=19</f>
        <v>0</v>
      </c>
    </row>
    <row r="2474" spans="1:23" x14ac:dyDescent="0.25">
      <c r="A2474" t="s">
        <v>443</v>
      </c>
      <c r="B2474">
        <v>2000</v>
      </c>
      <c r="C2474" t="s">
        <v>280</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COUNT(LifeExpectancyData[[#This Row],[Life expectancy]:[Schooling]])=19</f>
        <v>0</v>
      </c>
    </row>
    <row r="2475" spans="1:23" x14ac:dyDescent="0.25">
      <c r="A2475" t="s">
        <v>444</v>
      </c>
      <c r="B2475">
        <v>2015</v>
      </c>
      <c r="C2475" t="s">
        <v>280</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COUNT(LifeExpectancyData[[#This Row],[Life expectancy]:[Schooling]])=19</f>
        <v>0</v>
      </c>
    </row>
    <row r="2476" spans="1:23" x14ac:dyDescent="0.25">
      <c r="A2476" t="s">
        <v>444</v>
      </c>
      <c r="B2476">
        <v>2014</v>
      </c>
      <c r="C2476" t="s">
        <v>280</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COUNT(LifeExpectancyData[[#This Row],[Life expectancy]:[Schooling]])=19</f>
        <v>1</v>
      </c>
    </row>
    <row r="2477" spans="1:23" x14ac:dyDescent="0.25">
      <c r="A2477" t="s">
        <v>444</v>
      </c>
      <c r="B2477">
        <v>2013</v>
      </c>
      <c r="C2477" t="s">
        <v>280</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COUNT(LifeExpectancyData[[#This Row],[Life expectancy]:[Schooling]])=19</f>
        <v>1</v>
      </c>
    </row>
    <row r="2478" spans="1:23" x14ac:dyDescent="0.25">
      <c r="A2478" t="s">
        <v>444</v>
      </c>
      <c r="B2478">
        <v>2012</v>
      </c>
      <c r="C2478" t="s">
        <v>280</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COUNT(LifeExpectancyData[[#This Row],[Life expectancy]:[Schooling]])=19</f>
        <v>1</v>
      </c>
    </row>
    <row r="2479" spans="1:23" x14ac:dyDescent="0.25">
      <c r="A2479" t="s">
        <v>444</v>
      </c>
      <c r="B2479">
        <v>2011</v>
      </c>
      <c r="C2479" t="s">
        <v>280</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COUNT(LifeExpectancyData[[#This Row],[Life expectancy]:[Schooling]])=19</f>
        <v>1</v>
      </c>
    </row>
    <row r="2480" spans="1:23" x14ac:dyDescent="0.25">
      <c r="A2480" t="s">
        <v>444</v>
      </c>
      <c r="B2480">
        <v>2010</v>
      </c>
      <c r="C2480" t="s">
        <v>280</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COUNT(LifeExpectancyData[[#This Row],[Life expectancy]:[Schooling]])=19</f>
        <v>1</v>
      </c>
    </row>
    <row r="2481" spans="1:23" x14ac:dyDescent="0.25">
      <c r="A2481" t="s">
        <v>444</v>
      </c>
      <c r="B2481">
        <v>2009</v>
      </c>
      <c r="C2481" t="s">
        <v>280</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COUNT(LifeExpectancyData[[#This Row],[Life expectancy]:[Schooling]])=19</f>
        <v>1</v>
      </c>
    </row>
    <row r="2482" spans="1:23" x14ac:dyDescent="0.25">
      <c r="A2482" t="s">
        <v>444</v>
      </c>
      <c r="B2482">
        <v>2008</v>
      </c>
      <c r="C2482" t="s">
        <v>280</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COUNT(LifeExpectancyData[[#This Row],[Life expectancy]:[Schooling]])=19</f>
        <v>1</v>
      </c>
    </row>
    <row r="2483" spans="1:23" x14ac:dyDescent="0.25">
      <c r="A2483" t="s">
        <v>444</v>
      </c>
      <c r="B2483">
        <v>2007</v>
      </c>
      <c r="C2483" t="s">
        <v>280</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COUNT(LifeExpectancyData[[#This Row],[Life expectancy]:[Schooling]])=19</f>
        <v>1</v>
      </c>
    </row>
    <row r="2484" spans="1:23" x14ac:dyDescent="0.25">
      <c r="A2484" t="s">
        <v>444</v>
      </c>
      <c r="B2484">
        <v>2006</v>
      </c>
      <c r="C2484" t="s">
        <v>280</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COUNT(LifeExpectancyData[[#This Row],[Life expectancy]:[Schooling]])=19</f>
        <v>1</v>
      </c>
    </row>
    <row r="2485" spans="1:23" x14ac:dyDescent="0.25">
      <c r="A2485" t="s">
        <v>444</v>
      </c>
      <c r="B2485">
        <v>2005</v>
      </c>
      <c r="C2485" t="s">
        <v>280</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COUNT(LifeExpectancyData[[#This Row],[Life expectancy]:[Schooling]])=19</f>
        <v>1</v>
      </c>
    </row>
    <row r="2486" spans="1:23" x14ac:dyDescent="0.25">
      <c r="A2486" t="s">
        <v>444</v>
      </c>
      <c r="B2486">
        <v>2004</v>
      </c>
      <c r="C2486" t="s">
        <v>280</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COUNT(LifeExpectancyData[[#This Row],[Life expectancy]:[Schooling]])=19</f>
        <v>0</v>
      </c>
    </row>
    <row r="2487" spans="1:23" x14ac:dyDescent="0.25">
      <c r="A2487" t="s">
        <v>444</v>
      </c>
      <c r="B2487">
        <v>2003</v>
      </c>
      <c r="C2487" t="s">
        <v>280</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COUNT(LifeExpectancyData[[#This Row],[Life expectancy]:[Schooling]])=19</f>
        <v>0</v>
      </c>
    </row>
    <row r="2488" spans="1:23" x14ac:dyDescent="0.25">
      <c r="A2488" t="s">
        <v>444</v>
      </c>
      <c r="B2488">
        <v>2002</v>
      </c>
      <c r="C2488" t="s">
        <v>280</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COUNT(LifeExpectancyData[[#This Row],[Life expectancy]:[Schooling]])=19</f>
        <v>0</v>
      </c>
    </row>
    <row r="2489" spans="1:23" x14ac:dyDescent="0.25">
      <c r="A2489" t="s">
        <v>444</v>
      </c>
      <c r="B2489">
        <v>2001</v>
      </c>
      <c r="C2489" t="s">
        <v>280</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COUNT(LifeExpectancyData[[#This Row],[Life expectancy]:[Schooling]])=19</f>
        <v>0</v>
      </c>
    </row>
    <row r="2490" spans="1:23" x14ac:dyDescent="0.25">
      <c r="A2490" t="s">
        <v>444</v>
      </c>
      <c r="B2490">
        <v>2000</v>
      </c>
      <c r="C2490" t="s">
        <v>280</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COUNT(LifeExpectancyData[[#This Row],[Life expectancy]:[Schooling]])=19</f>
        <v>0</v>
      </c>
    </row>
    <row r="2491" spans="1:23" x14ac:dyDescent="0.25">
      <c r="A2491" t="s">
        <v>445</v>
      </c>
      <c r="B2491">
        <v>2015</v>
      </c>
      <c r="C2491" t="s">
        <v>280</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COUNT(LifeExpectancyData[[#This Row],[Life expectancy]:[Schooling]])=19</f>
        <v>0</v>
      </c>
    </row>
    <row r="2492" spans="1:23" x14ac:dyDescent="0.25">
      <c r="A2492" t="s">
        <v>445</v>
      </c>
      <c r="B2492">
        <v>2014</v>
      </c>
      <c r="C2492" t="s">
        <v>280</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COUNT(LifeExpectancyData[[#This Row],[Life expectancy]:[Schooling]])=19</f>
        <v>1</v>
      </c>
    </row>
    <row r="2493" spans="1:23" x14ac:dyDescent="0.25">
      <c r="A2493" t="s">
        <v>445</v>
      </c>
      <c r="B2493">
        <v>2013</v>
      </c>
      <c r="C2493" t="s">
        <v>280</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COUNT(LifeExpectancyData[[#This Row],[Life expectancy]:[Schooling]])=19</f>
        <v>1</v>
      </c>
    </row>
    <row r="2494" spans="1:23" x14ac:dyDescent="0.25">
      <c r="A2494" t="s">
        <v>445</v>
      </c>
      <c r="B2494">
        <v>2012</v>
      </c>
      <c r="C2494" t="s">
        <v>280</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COUNT(LifeExpectancyData[[#This Row],[Life expectancy]:[Schooling]])=19</f>
        <v>1</v>
      </c>
    </row>
    <row r="2495" spans="1:23" x14ac:dyDescent="0.25">
      <c r="A2495" t="s">
        <v>445</v>
      </c>
      <c r="B2495">
        <v>2011</v>
      </c>
      <c r="C2495" t="s">
        <v>280</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COUNT(LifeExpectancyData[[#This Row],[Life expectancy]:[Schooling]])=19</f>
        <v>1</v>
      </c>
    </row>
    <row r="2496" spans="1:23" x14ac:dyDescent="0.25">
      <c r="A2496" t="s">
        <v>445</v>
      </c>
      <c r="B2496">
        <v>2010</v>
      </c>
      <c r="C2496" t="s">
        <v>280</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COUNT(LifeExpectancyData[[#This Row],[Life expectancy]:[Schooling]])=19</f>
        <v>1</v>
      </c>
    </row>
    <row r="2497" spans="1:23" x14ac:dyDescent="0.25">
      <c r="A2497" t="s">
        <v>445</v>
      </c>
      <c r="B2497">
        <v>2009</v>
      </c>
      <c r="C2497" t="s">
        <v>280</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COUNT(LifeExpectancyData[[#This Row],[Life expectancy]:[Schooling]])=19</f>
        <v>1</v>
      </c>
    </row>
    <row r="2498" spans="1:23" x14ac:dyDescent="0.25">
      <c r="A2498" t="s">
        <v>445</v>
      </c>
      <c r="B2498">
        <v>2008</v>
      </c>
      <c r="C2498" t="s">
        <v>280</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COUNT(LifeExpectancyData[[#This Row],[Life expectancy]:[Schooling]])=19</f>
        <v>1</v>
      </c>
    </row>
    <row r="2499" spans="1:23" x14ac:dyDescent="0.25">
      <c r="A2499" t="s">
        <v>445</v>
      </c>
      <c r="B2499">
        <v>2007</v>
      </c>
      <c r="C2499" t="s">
        <v>280</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COUNT(LifeExpectancyData[[#This Row],[Life expectancy]:[Schooling]])=19</f>
        <v>1</v>
      </c>
    </row>
    <row r="2500" spans="1:23" x14ac:dyDescent="0.25">
      <c r="A2500" t="s">
        <v>445</v>
      </c>
      <c r="B2500">
        <v>2006</v>
      </c>
      <c r="C2500" t="s">
        <v>280</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COUNT(LifeExpectancyData[[#This Row],[Life expectancy]:[Schooling]])=19</f>
        <v>1</v>
      </c>
    </row>
    <row r="2501" spans="1:23" x14ac:dyDescent="0.25">
      <c r="A2501" t="s">
        <v>445</v>
      </c>
      <c r="B2501">
        <v>2005</v>
      </c>
      <c r="C2501" t="s">
        <v>280</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COUNT(LifeExpectancyData[[#This Row],[Life expectancy]:[Schooling]])=19</f>
        <v>1</v>
      </c>
    </row>
    <row r="2502" spans="1:23" x14ac:dyDescent="0.25">
      <c r="A2502" t="s">
        <v>445</v>
      </c>
      <c r="B2502">
        <v>2004</v>
      </c>
      <c r="C2502" t="s">
        <v>280</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COUNT(LifeExpectancyData[[#This Row],[Life expectancy]:[Schooling]])=19</f>
        <v>1</v>
      </c>
    </row>
    <row r="2503" spans="1:23" x14ac:dyDescent="0.25">
      <c r="A2503" t="s">
        <v>445</v>
      </c>
      <c r="B2503">
        <v>2003</v>
      </c>
      <c r="C2503" t="s">
        <v>280</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COUNT(LifeExpectancyData[[#This Row],[Life expectancy]:[Schooling]])=19</f>
        <v>1</v>
      </c>
    </row>
    <row r="2504" spans="1:23" x14ac:dyDescent="0.25">
      <c r="A2504" t="s">
        <v>445</v>
      </c>
      <c r="B2504">
        <v>2002</v>
      </c>
      <c r="C2504" t="s">
        <v>280</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COUNT(LifeExpectancyData[[#This Row],[Life expectancy]:[Schooling]])=19</f>
        <v>1</v>
      </c>
    </row>
    <row r="2505" spans="1:23" x14ac:dyDescent="0.25">
      <c r="A2505" t="s">
        <v>445</v>
      </c>
      <c r="B2505">
        <v>2001</v>
      </c>
      <c r="C2505" t="s">
        <v>280</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COUNT(LifeExpectancyData[[#This Row],[Life expectancy]:[Schooling]])=19</f>
        <v>1</v>
      </c>
    </row>
    <row r="2506" spans="1:23" x14ac:dyDescent="0.25">
      <c r="A2506" t="s">
        <v>445</v>
      </c>
      <c r="B2506">
        <v>2000</v>
      </c>
      <c r="C2506" t="s">
        <v>280</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COUNT(LifeExpectancyData[[#This Row],[Life expectancy]:[Schooling]])=19</f>
        <v>1</v>
      </c>
    </row>
    <row r="2507" spans="1:23" x14ac:dyDescent="0.25">
      <c r="A2507" t="s">
        <v>446</v>
      </c>
      <c r="B2507">
        <v>2015</v>
      </c>
      <c r="C2507" t="s">
        <v>288</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COUNT(LifeExpectancyData[[#This Row],[Life expectancy]:[Schooling]])=19</f>
        <v>0</v>
      </c>
    </row>
    <row r="2508" spans="1:23" x14ac:dyDescent="0.25">
      <c r="A2508" t="s">
        <v>446</v>
      </c>
      <c r="B2508">
        <v>2014</v>
      </c>
      <c r="C2508" t="s">
        <v>288</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COUNT(LifeExpectancyData[[#This Row],[Life expectancy]:[Schooling]])=19</f>
        <v>1</v>
      </c>
    </row>
    <row r="2509" spans="1:23" x14ac:dyDescent="0.25">
      <c r="A2509" t="s">
        <v>446</v>
      </c>
      <c r="B2509">
        <v>2013</v>
      </c>
      <c r="C2509" t="s">
        <v>288</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COUNT(LifeExpectancyData[[#This Row],[Life expectancy]:[Schooling]])=19</f>
        <v>1</v>
      </c>
    </row>
    <row r="2510" spans="1:23" x14ac:dyDescent="0.25">
      <c r="A2510" t="s">
        <v>446</v>
      </c>
      <c r="B2510">
        <v>2012</v>
      </c>
      <c r="C2510" t="s">
        <v>288</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COUNT(LifeExpectancyData[[#This Row],[Life expectancy]:[Schooling]])=19</f>
        <v>1</v>
      </c>
    </row>
    <row r="2511" spans="1:23" x14ac:dyDescent="0.25">
      <c r="A2511" t="s">
        <v>446</v>
      </c>
      <c r="B2511">
        <v>2011</v>
      </c>
      <c r="C2511" t="s">
        <v>288</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COUNT(LifeExpectancyData[[#This Row],[Life expectancy]:[Schooling]])=19</f>
        <v>1</v>
      </c>
    </row>
    <row r="2512" spans="1:23" x14ac:dyDescent="0.25">
      <c r="A2512" t="s">
        <v>446</v>
      </c>
      <c r="B2512">
        <v>2010</v>
      </c>
      <c r="C2512" t="s">
        <v>288</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COUNT(LifeExpectancyData[[#This Row],[Life expectancy]:[Schooling]])=19</f>
        <v>0</v>
      </c>
    </row>
    <row r="2513" spans="1:23" x14ac:dyDescent="0.25">
      <c r="A2513" t="s">
        <v>446</v>
      </c>
      <c r="B2513">
        <v>2009</v>
      </c>
      <c r="C2513" t="s">
        <v>288</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COUNT(LifeExpectancyData[[#This Row],[Life expectancy]:[Schooling]])=19</f>
        <v>0</v>
      </c>
    </row>
    <row r="2514" spans="1:23" x14ac:dyDescent="0.25">
      <c r="A2514" t="s">
        <v>446</v>
      </c>
      <c r="B2514">
        <v>2008</v>
      </c>
      <c r="C2514" t="s">
        <v>288</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COUNT(LifeExpectancyData[[#This Row],[Life expectancy]:[Schooling]])=19</f>
        <v>0</v>
      </c>
    </row>
    <row r="2515" spans="1:23" x14ac:dyDescent="0.25">
      <c r="A2515" t="s">
        <v>446</v>
      </c>
      <c r="B2515">
        <v>2007</v>
      </c>
      <c r="C2515" t="s">
        <v>288</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COUNT(LifeExpectancyData[[#This Row],[Life expectancy]:[Schooling]])=19</f>
        <v>0</v>
      </c>
    </row>
    <row r="2516" spans="1:23" x14ac:dyDescent="0.25">
      <c r="A2516" t="s">
        <v>446</v>
      </c>
      <c r="B2516">
        <v>2006</v>
      </c>
      <c r="C2516" t="s">
        <v>288</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COUNT(LifeExpectancyData[[#This Row],[Life expectancy]:[Schooling]])=19</f>
        <v>0</v>
      </c>
    </row>
    <row r="2517" spans="1:23" x14ac:dyDescent="0.25">
      <c r="A2517" t="s">
        <v>446</v>
      </c>
      <c r="B2517">
        <v>2005</v>
      </c>
      <c r="C2517" t="s">
        <v>288</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COUNT(LifeExpectancyData[[#This Row],[Life expectancy]:[Schooling]])=19</f>
        <v>0</v>
      </c>
    </row>
    <row r="2518" spans="1:23" x14ac:dyDescent="0.25">
      <c r="A2518" t="s">
        <v>446</v>
      </c>
      <c r="B2518">
        <v>2004</v>
      </c>
      <c r="C2518" t="s">
        <v>288</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COUNT(LifeExpectancyData[[#This Row],[Life expectancy]:[Schooling]])=19</f>
        <v>0</v>
      </c>
    </row>
    <row r="2519" spans="1:23" x14ac:dyDescent="0.25">
      <c r="A2519" t="s">
        <v>446</v>
      </c>
      <c r="B2519">
        <v>2003</v>
      </c>
      <c r="C2519" t="s">
        <v>288</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COUNT(LifeExpectancyData[[#This Row],[Life expectancy]:[Schooling]])=19</f>
        <v>0</v>
      </c>
    </row>
    <row r="2520" spans="1:23" x14ac:dyDescent="0.25">
      <c r="A2520" t="s">
        <v>446</v>
      </c>
      <c r="B2520">
        <v>2002</v>
      </c>
      <c r="C2520" t="s">
        <v>288</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COUNT(LifeExpectancyData[[#This Row],[Life expectancy]:[Schooling]])=19</f>
        <v>0</v>
      </c>
    </row>
    <row r="2521" spans="1:23" x14ac:dyDescent="0.25">
      <c r="A2521" t="s">
        <v>446</v>
      </c>
      <c r="B2521">
        <v>2001</v>
      </c>
      <c r="C2521" t="s">
        <v>288</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COUNT(LifeExpectancyData[[#This Row],[Life expectancy]:[Schooling]])=19</f>
        <v>0</v>
      </c>
    </row>
    <row r="2522" spans="1:23" x14ac:dyDescent="0.25">
      <c r="A2522" t="s">
        <v>446</v>
      </c>
      <c r="B2522">
        <v>2000</v>
      </c>
      <c r="C2522" t="s">
        <v>288</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COUNT(LifeExpectancyData[[#This Row],[Life expectancy]:[Schooling]])=19</f>
        <v>0</v>
      </c>
    </row>
    <row r="2523" spans="1:23" x14ac:dyDescent="0.25">
      <c r="A2523" t="s">
        <v>447</v>
      </c>
      <c r="B2523">
        <v>2015</v>
      </c>
      <c r="C2523" t="s">
        <v>288</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COUNT(LifeExpectancyData[[#This Row],[Life expectancy]:[Schooling]])=19</f>
        <v>0</v>
      </c>
    </row>
    <row r="2524" spans="1:23" x14ac:dyDescent="0.25">
      <c r="A2524" t="s">
        <v>447</v>
      </c>
      <c r="B2524">
        <v>2014</v>
      </c>
      <c r="C2524" t="s">
        <v>288</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COUNT(LifeExpectancyData[[#This Row],[Life expectancy]:[Schooling]])=19</f>
        <v>0</v>
      </c>
    </row>
    <row r="2525" spans="1:23" x14ac:dyDescent="0.25">
      <c r="A2525" t="s">
        <v>447</v>
      </c>
      <c r="B2525">
        <v>2013</v>
      </c>
      <c r="C2525" t="s">
        <v>288</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COUNT(LifeExpectancyData[[#This Row],[Life expectancy]:[Schooling]])=19</f>
        <v>0</v>
      </c>
    </row>
    <row r="2526" spans="1:23" x14ac:dyDescent="0.25">
      <c r="A2526" t="s">
        <v>447</v>
      </c>
      <c r="B2526">
        <v>2012</v>
      </c>
      <c r="C2526" t="s">
        <v>288</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COUNT(LifeExpectancyData[[#This Row],[Life expectancy]:[Schooling]])=19</f>
        <v>0</v>
      </c>
    </row>
    <row r="2527" spans="1:23" x14ac:dyDescent="0.25">
      <c r="A2527" t="s">
        <v>447</v>
      </c>
      <c r="B2527">
        <v>2011</v>
      </c>
      <c r="C2527" t="s">
        <v>288</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COUNT(LifeExpectancyData[[#This Row],[Life expectancy]:[Schooling]])=19</f>
        <v>0</v>
      </c>
    </row>
    <row r="2528" spans="1:23" x14ac:dyDescent="0.25">
      <c r="A2528" t="s">
        <v>447</v>
      </c>
      <c r="B2528">
        <v>2010</v>
      </c>
      <c r="C2528" t="s">
        <v>288</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COUNT(LifeExpectancyData[[#This Row],[Life expectancy]:[Schooling]])=19</f>
        <v>0</v>
      </c>
    </row>
    <row r="2529" spans="1:23" x14ac:dyDescent="0.25">
      <c r="A2529" t="s">
        <v>447</v>
      </c>
      <c r="B2529">
        <v>2009</v>
      </c>
      <c r="C2529" t="s">
        <v>288</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COUNT(LifeExpectancyData[[#This Row],[Life expectancy]:[Schooling]])=19</f>
        <v>0</v>
      </c>
    </row>
    <row r="2530" spans="1:23" x14ac:dyDescent="0.25">
      <c r="A2530" t="s">
        <v>447</v>
      </c>
      <c r="B2530">
        <v>2008</v>
      </c>
      <c r="C2530" t="s">
        <v>288</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COUNT(LifeExpectancyData[[#This Row],[Life expectancy]:[Schooling]])=19</f>
        <v>0</v>
      </c>
    </row>
    <row r="2531" spans="1:23" x14ac:dyDescent="0.25">
      <c r="A2531" t="s">
        <v>447</v>
      </c>
      <c r="B2531">
        <v>2007</v>
      </c>
      <c r="C2531" t="s">
        <v>288</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COUNT(LifeExpectancyData[[#This Row],[Life expectancy]:[Schooling]])=19</f>
        <v>0</v>
      </c>
    </row>
    <row r="2532" spans="1:23" x14ac:dyDescent="0.25">
      <c r="A2532" t="s">
        <v>447</v>
      </c>
      <c r="B2532">
        <v>2006</v>
      </c>
      <c r="C2532" t="s">
        <v>288</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COUNT(LifeExpectancyData[[#This Row],[Life expectancy]:[Schooling]])=19</f>
        <v>0</v>
      </c>
    </row>
    <row r="2533" spans="1:23" x14ac:dyDescent="0.25">
      <c r="A2533" t="s">
        <v>447</v>
      </c>
      <c r="B2533">
        <v>2005</v>
      </c>
      <c r="C2533" t="s">
        <v>288</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COUNT(LifeExpectancyData[[#This Row],[Life expectancy]:[Schooling]])=19</f>
        <v>0</v>
      </c>
    </row>
    <row r="2534" spans="1:23" x14ac:dyDescent="0.25">
      <c r="A2534" t="s">
        <v>447</v>
      </c>
      <c r="B2534">
        <v>2004</v>
      </c>
      <c r="C2534" t="s">
        <v>288</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COUNT(LifeExpectancyData[[#This Row],[Life expectancy]:[Schooling]])=19</f>
        <v>0</v>
      </c>
    </row>
    <row r="2535" spans="1:23" x14ac:dyDescent="0.25">
      <c r="A2535" t="s">
        <v>447</v>
      </c>
      <c r="B2535">
        <v>2003</v>
      </c>
      <c r="C2535" t="s">
        <v>288</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COUNT(LifeExpectancyData[[#This Row],[Life expectancy]:[Schooling]])=19</f>
        <v>0</v>
      </c>
    </row>
    <row r="2536" spans="1:23" x14ac:dyDescent="0.25">
      <c r="A2536" t="s">
        <v>447</v>
      </c>
      <c r="B2536">
        <v>2002</v>
      </c>
      <c r="C2536" t="s">
        <v>288</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COUNT(LifeExpectancyData[[#This Row],[Life expectancy]:[Schooling]])=19</f>
        <v>0</v>
      </c>
    </row>
    <row r="2537" spans="1:23" x14ac:dyDescent="0.25">
      <c r="A2537" t="s">
        <v>447</v>
      </c>
      <c r="B2537">
        <v>2001</v>
      </c>
      <c r="C2537" t="s">
        <v>288</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COUNT(LifeExpectancyData[[#This Row],[Life expectancy]:[Schooling]])=19</f>
        <v>0</v>
      </c>
    </row>
    <row r="2538" spans="1:23" x14ac:dyDescent="0.25">
      <c r="A2538" t="s">
        <v>447</v>
      </c>
      <c r="B2538">
        <v>2000</v>
      </c>
      <c r="C2538" t="s">
        <v>288</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COUNT(LifeExpectancyData[[#This Row],[Life expectancy]:[Schooling]])=19</f>
        <v>0</v>
      </c>
    </row>
    <row r="2539" spans="1:23" x14ac:dyDescent="0.25">
      <c r="A2539" t="s">
        <v>448</v>
      </c>
      <c r="B2539">
        <v>2015</v>
      </c>
      <c r="C2539" t="s">
        <v>280</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COUNT(LifeExpectancyData[[#This Row],[Life expectancy]:[Schooling]])=19</f>
        <v>0</v>
      </c>
    </row>
    <row r="2540" spans="1:23" x14ac:dyDescent="0.25">
      <c r="A2540" t="s">
        <v>448</v>
      </c>
      <c r="B2540">
        <v>2014</v>
      </c>
      <c r="C2540" t="s">
        <v>280</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COUNT(LifeExpectancyData[[#This Row],[Life expectancy]:[Schooling]])=19</f>
        <v>0</v>
      </c>
    </row>
    <row r="2541" spans="1:23" x14ac:dyDescent="0.25">
      <c r="A2541" t="s">
        <v>448</v>
      </c>
      <c r="B2541">
        <v>2013</v>
      </c>
      <c r="C2541" t="s">
        <v>280</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COUNT(LifeExpectancyData[[#This Row],[Life expectancy]:[Schooling]])=19</f>
        <v>0</v>
      </c>
    </row>
    <row r="2542" spans="1:23" x14ac:dyDescent="0.25">
      <c r="A2542" t="s">
        <v>448</v>
      </c>
      <c r="B2542">
        <v>2012</v>
      </c>
      <c r="C2542" t="s">
        <v>280</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COUNT(LifeExpectancyData[[#This Row],[Life expectancy]:[Schooling]])=19</f>
        <v>0</v>
      </c>
    </row>
    <row r="2543" spans="1:23" x14ac:dyDescent="0.25">
      <c r="A2543" t="s">
        <v>448</v>
      </c>
      <c r="B2543">
        <v>2011</v>
      </c>
      <c r="C2543" t="s">
        <v>280</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COUNT(LifeExpectancyData[[#This Row],[Life expectancy]:[Schooling]])=19</f>
        <v>0</v>
      </c>
    </row>
    <row r="2544" spans="1:23" x14ac:dyDescent="0.25">
      <c r="A2544" t="s">
        <v>448</v>
      </c>
      <c r="B2544">
        <v>2010</v>
      </c>
      <c r="C2544" t="s">
        <v>280</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COUNT(LifeExpectancyData[[#This Row],[Life expectancy]:[Schooling]])=19</f>
        <v>0</v>
      </c>
    </row>
    <row r="2545" spans="1:23" x14ac:dyDescent="0.25">
      <c r="A2545" t="s">
        <v>448</v>
      </c>
      <c r="B2545">
        <v>2009</v>
      </c>
      <c r="C2545" t="s">
        <v>280</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COUNT(LifeExpectancyData[[#This Row],[Life expectancy]:[Schooling]])=19</f>
        <v>0</v>
      </c>
    </row>
    <row r="2546" spans="1:23" x14ac:dyDescent="0.25">
      <c r="A2546" t="s">
        <v>448</v>
      </c>
      <c r="B2546">
        <v>2008</v>
      </c>
      <c r="C2546" t="s">
        <v>280</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COUNT(LifeExpectancyData[[#This Row],[Life expectancy]:[Schooling]])=19</f>
        <v>0</v>
      </c>
    </row>
    <row r="2547" spans="1:23" x14ac:dyDescent="0.25">
      <c r="A2547" t="s">
        <v>448</v>
      </c>
      <c r="B2547">
        <v>2007</v>
      </c>
      <c r="C2547" t="s">
        <v>280</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COUNT(LifeExpectancyData[[#This Row],[Life expectancy]:[Schooling]])=19</f>
        <v>1</v>
      </c>
    </row>
    <row r="2548" spans="1:23" x14ac:dyDescent="0.25">
      <c r="A2548" t="s">
        <v>448</v>
      </c>
      <c r="B2548">
        <v>2006</v>
      </c>
      <c r="C2548" t="s">
        <v>280</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COUNT(LifeExpectancyData[[#This Row],[Life expectancy]:[Schooling]])=19</f>
        <v>1</v>
      </c>
    </row>
    <row r="2549" spans="1:23" x14ac:dyDescent="0.25">
      <c r="A2549" t="s">
        <v>448</v>
      </c>
      <c r="B2549">
        <v>2005</v>
      </c>
      <c r="C2549" t="s">
        <v>280</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COUNT(LifeExpectancyData[[#This Row],[Life expectancy]:[Schooling]])=19</f>
        <v>1</v>
      </c>
    </row>
    <row r="2550" spans="1:23" x14ac:dyDescent="0.25">
      <c r="A2550" t="s">
        <v>448</v>
      </c>
      <c r="B2550">
        <v>2004</v>
      </c>
      <c r="C2550" t="s">
        <v>280</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COUNT(LifeExpectancyData[[#This Row],[Life expectancy]:[Schooling]])=19</f>
        <v>1</v>
      </c>
    </row>
    <row r="2551" spans="1:23" x14ac:dyDescent="0.25">
      <c r="A2551" t="s">
        <v>448</v>
      </c>
      <c r="B2551">
        <v>2003</v>
      </c>
      <c r="C2551" t="s">
        <v>280</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COUNT(LifeExpectancyData[[#This Row],[Life expectancy]:[Schooling]])=19</f>
        <v>1</v>
      </c>
    </row>
    <row r="2552" spans="1:23" x14ac:dyDescent="0.25">
      <c r="A2552" t="s">
        <v>448</v>
      </c>
      <c r="B2552">
        <v>2002</v>
      </c>
      <c r="C2552" t="s">
        <v>280</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COUNT(LifeExpectancyData[[#This Row],[Life expectancy]:[Schooling]])=19</f>
        <v>1</v>
      </c>
    </row>
    <row r="2553" spans="1:23" x14ac:dyDescent="0.25">
      <c r="A2553" t="s">
        <v>448</v>
      </c>
      <c r="B2553">
        <v>2001</v>
      </c>
      <c r="C2553" t="s">
        <v>280</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COUNT(LifeExpectancyData[[#This Row],[Life expectancy]:[Schooling]])=19</f>
        <v>1</v>
      </c>
    </row>
    <row r="2554" spans="1:23" x14ac:dyDescent="0.25">
      <c r="A2554" t="s">
        <v>448</v>
      </c>
      <c r="B2554">
        <v>2000</v>
      </c>
      <c r="C2554" t="s">
        <v>280</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COUNT(LifeExpectancyData[[#This Row],[Life expectancy]:[Schooling]])=19</f>
        <v>1</v>
      </c>
    </row>
    <row r="2555" spans="1:23" x14ac:dyDescent="0.25">
      <c r="A2555" t="s">
        <v>449</v>
      </c>
      <c r="B2555">
        <v>2015</v>
      </c>
      <c r="C2555" t="s">
        <v>280</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COUNT(LifeExpectancyData[[#This Row],[Life expectancy]:[Schooling]])=19</f>
        <v>0</v>
      </c>
    </row>
    <row r="2556" spans="1:23" x14ac:dyDescent="0.25">
      <c r="A2556" t="s">
        <v>449</v>
      </c>
      <c r="B2556">
        <v>2014</v>
      </c>
      <c r="C2556" t="s">
        <v>280</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COUNT(LifeExpectancyData[[#This Row],[Life expectancy]:[Schooling]])=19</f>
        <v>1</v>
      </c>
    </row>
    <row r="2557" spans="1:23" x14ac:dyDescent="0.25">
      <c r="A2557" t="s">
        <v>449</v>
      </c>
      <c r="B2557">
        <v>2013</v>
      </c>
      <c r="C2557" t="s">
        <v>280</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COUNT(LifeExpectancyData[[#This Row],[Life expectancy]:[Schooling]])=19</f>
        <v>1</v>
      </c>
    </row>
    <row r="2558" spans="1:23" x14ac:dyDescent="0.25">
      <c r="A2558" t="s">
        <v>449</v>
      </c>
      <c r="B2558">
        <v>2012</v>
      </c>
      <c r="C2558" t="s">
        <v>280</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COUNT(LifeExpectancyData[[#This Row],[Life expectancy]:[Schooling]])=19</f>
        <v>1</v>
      </c>
    </row>
    <row r="2559" spans="1:23" x14ac:dyDescent="0.25">
      <c r="A2559" t="s">
        <v>449</v>
      </c>
      <c r="B2559">
        <v>2011</v>
      </c>
      <c r="C2559" t="s">
        <v>280</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COUNT(LifeExpectancyData[[#This Row],[Life expectancy]:[Schooling]])=19</f>
        <v>1</v>
      </c>
    </row>
    <row r="2560" spans="1:23" x14ac:dyDescent="0.25">
      <c r="A2560" t="s">
        <v>449</v>
      </c>
      <c r="B2560">
        <v>2010</v>
      </c>
      <c r="C2560" t="s">
        <v>280</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COUNT(LifeExpectancyData[[#This Row],[Life expectancy]:[Schooling]])=19</f>
        <v>1</v>
      </c>
    </row>
    <row r="2561" spans="1:23" x14ac:dyDescent="0.25">
      <c r="A2561" t="s">
        <v>449</v>
      </c>
      <c r="B2561">
        <v>2009</v>
      </c>
      <c r="C2561" t="s">
        <v>280</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COUNT(LifeExpectancyData[[#This Row],[Life expectancy]:[Schooling]])=19</f>
        <v>1</v>
      </c>
    </row>
    <row r="2562" spans="1:23" x14ac:dyDescent="0.25">
      <c r="A2562" t="s">
        <v>449</v>
      </c>
      <c r="B2562">
        <v>2008</v>
      </c>
      <c r="C2562" t="s">
        <v>280</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COUNT(LifeExpectancyData[[#This Row],[Life expectancy]:[Schooling]])=19</f>
        <v>1</v>
      </c>
    </row>
    <row r="2563" spans="1:23" x14ac:dyDescent="0.25">
      <c r="A2563" t="s">
        <v>449</v>
      </c>
      <c r="B2563">
        <v>2007</v>
      </c>
      <c r="C2563" t="s">
        <v>280</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COUNT(LifeExpectancyData[[#This Row],[Life expectancy]:[Schooling]])=19</f>
        <v>1</v>
      </c>
    </row>
    <row r="2564" spans="1:23" x14ac:dyDescent="0.25">
      <c r="A2564" t="s">
        <v>449</v>
      </c>
      <c r="B2564">
        <v>2006</v>
      </c>
      <c r="C2564" t="s">
        <v>280</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COUNT(LifeExpectancyData[[#This Row],[Life expectancy]:[Schooling]])=19</f>
        <v>1</v>
      </c>
    </row>
    <row r="2565" spans="1:23" x14ac:dyDescent="0.25">
      <c r="A2565" t="s">
        <v>449</v>
      </c>
      <c r="B2565">
        <v>2005</v>
      </c>
      <c r="C2565" t="s">
        <v>280</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COUNT(LifeExpectancyData[[#This Row],[Life expectancy]:[Schooling]])=19</f>
        <v>1</v>
      </c>
    </row>
    <row r="2566" spans="1:23" x14ac:dyDescent="0.25">
      <c r="A2566" t="s">
        <v>449</v>
      </c>
      <c r="B2566">
        <v>2004</v>
      </c>
      <c r="C2566" t="s">
        <v>280</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COUNT(LifeExpectancyData[[#This Row],[Life expectancy]:[Schooling]])=19</f>
        <v>1</v>
      </c>
    </row>
    <row r="2567" spans="1:23" x14ac:dyDescent="0.25">
      <c r="A2567" t="s">
        <v>449</v>
      </c>
      <c r="B2567">
        <v>2003</v>
      </c>
      <c r="C2567" t="s">
        <v>280</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COUNT(LifeExpectancyData[[#This Row],[Life expectancy]:[Schooling]])=19</f>
        <v>1</v>
      </c>
    </row>
    <row r="2568" spans="1:23" x14ac:dyDescent="0.25">
      <c r="A2568" t="s">
        <v>449</v>
      </c>
      <c r="B2568">
        <v>2002</v>
      </c>
      <c r="C2568" t="s">
        <v>280</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COUNT(LifeExpectancyData[[#This Row],[Life expectancy]:[Schooling]])=19</f>
        <v>1</v>
      </c>
    </row>
    <row r="2569" spans="1:23" x14ac:dyDescent="0.25">
      <c r="A2569" t="s">
        <v>449</v>
      </c>
      <c r="B2569">
        <v>2001</v>
      </c>
      <c r="C2569" t="s">
        <v>280</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COUNT(LifeExpectancyData[[#This Row],[Life expectancy]:[Schooling]])=19</f>
        <v>0</v>
      </c>
    </row>
    <row r="2570" spans="1:23" x14ac:dyDescent="0.25">
      <c r="A2570" t="s">
        <v>449</v>
      </c>
      <c r="B2570">
        <v>2000</v>
      </c>
      <c r="C2570" t="s">
        <v>280</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COUNT(LifeExpectancyData[[#This Row],[Life expectancy]:[Schooling]])=19</f>
        <v>0</v>
      </c>
    </row>
    <row r="2571" spans="1:23" x14ac:dyDescent="0.25">
      <c r="A2571" t="s">
        <v>450</v>
      </c>
      <c r="B2571">
        <v>2015</v>
      </c>
      <c r="C2571" t="s">
        <v>280</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COUNT(LifeExpectancyData[[#This Row],[Life expectancy]:[Schooling]])=19</f>
        <v>0</v>
      </c>
    </row>
    <row r="2572" spans="1:23" x14ac:dyDescent="0.25">
      <c r="A2572" t="s">
        <v>450</v>
      </c>
      <c r="B2572">
        <v>2014</v>
      </c>
      <c r="C2572" t="s">
        <v>280</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COUNT(LifeExpectancyData[[#This Row],[Life expectancy]:[Schooling]])=19</f>
        <v>1</v>
      </c>
    </row>
    <row r="2573" spans="1:23" x14ac:dyDescent="0.25">
      <c r="A2573" t="s">
        <v>450</v>
      </c>
      <c r="B2573">
        <v>2013</v>
      </c>
      <c r="C2573" t="s">
        <v>280</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COUNT(LifeExpectancyData[[#This Row],[Life expectancy]:[Schooling]])=19</f>
        <v>1</v>
      </c>
    </row>
    <row r="2574" spans="1:23" x14ac:dyDescent="0.25">
      <c r="A2574" t="s">
        <v>450</v>
      </c>
      <c r="B2574">
        <v>2012</v>
      </c>
      <c r="C2574" t="s">
        <v>280</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COUNT(LifeExpectancyData[[#This Row],[Life expectancy]:[Schooling]])=19</f>
        <v>1</v>
      </c>
    </row>
    <row r="2575" spans="1:23" x14ac:dyDescent="0.25">
      <c r="A2575" t="s">
        <v>450</v>
      </c>
      <c r="B2575">
        <v>2011</v>
      </c>
      <c r="C2575" t="s">
        <v>280</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COUNT(LifeExpectancyData[[#This Row],[Life expectancy]:[Schooling]])=19</f>
        <v>1</v>
      </c>
    </row>
    <row r="2576" spans="1:23" x14ac:dyDescent="0.25">
      <c r="A2576" t="s">
        <v>450</v>
      </c>
      <c r="B2576">
        <v>2010</v>
      </c>
      <c r="C2576" t="s">
        <v>280</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COUNT(LifeExpectancyData[[#This Row],[Life expectancy]:[Schooling]])=19</f>
        <v>1</v>
      </c>
    </row>
    <row r="2577" spans="1:23" x14ac:dyDescent="0.25">
      <c r="A2577" t="s">
        <v>450</v>
      </c>
      <c r="B2577">
        <v>2009</v>
      </c>
      <c r="C2577" t="s">
        <v>280</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COUNT(LifeExpectancyData[[#This Row],[Life expectancy]:[Schooling]])=19</f>
        <v>1</v>
      </c>
    </row>
    <row r="2578" spans="1:23" x14ac:dyDescent="0.25">
      <c r="A2578" t="s">
        <v>450</v>
      </c>
      <c r="B2578">
        <v>2008</v>
      </c>
      <c r="C2578" t="s">
        <v>280</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COUNT(LifeExpectancyData[[#This Row],[Life expectancy]:[Schooling]])=19</f>
        <v>1</v>
      </c>
    </row>
    <row r="2579" spans="1:23" x14ac:dyDescent="0.25">
      <c r="A2579" t="s">
        <v>450</v>
      </c>
      <c r="B2579">
        <v>2007</v>
      </c>
      <c r="C2579" t="s">
        <v>280</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COUNT(LifeExpectancyData[[#This Row],[Life expectancy]:[Schooling]])=19</f>
        <v>1</v>
      </c>
    </row>
    <row r="2580" spans="1:23" x14ac:dyDescent="0.25">
      <c r="A2580" t="s">
        <v>450</v>
      </c>
      <c r="B2580">
        <v>2006</v>
      </c>
      <c r="C2580" t="s">
        <v>280</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COUNT(LifeExpectancyData[[#This Row],[Life expectancy]:[Schooling]])=19</f>
        <v>1</v>
      </c>
    </row>
    <row r="2581" spans="1:23" x14ac:dyDescent="0.25">
      <c r="A2581" t="s">
        <v>450</v>
      </c>
      <c r="B2581">
        <v>2005</v>
      </c>
      <c r="C2581" t="s">
        <v>280</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COUNT(LifeExpectancyData[[#This Row],[Life expectancy]:[Schooling]])=19</f>
        <v>1</v>
      </c>
    </row>
    <row r="2582" spans="1:23" x14ac:dyDescent="0.25">
      <c r="A2582" t="s">
        <v>450</v>
      </c>
      <c r="B2582">
        <v>2004</v>
      </c>
      <c r="C2582" t="s">
        <v>280</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COUNT(LifeExpectancyData[[#This Row],[Life expectancy]:[Schooling]])=19</f>
        <v>1</v>
      </c>
    </row>
    <row r="2583" spans="1:23" x14ac:dyDescent="0.25">
      <c r="A2583" t="s">
        <v>450</v>
      </c>
      <c r="B2583">
        <v>2003</v>
      </c>
      <c r="C2583" t="s">
        <v>280</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COUNT(LifeExpectancyData[[#This Row],[Life expectancy]:[Schooling]])=19</f>
        <v>1</v>
      </c>
    </row>
    <row r="2584" spans="1:23" x14ac:dyDescent="0.25">
      <c r="A2584" t="s">
        <v>450</v>
      </c>
      <c r="B2584">
        <v>2002</v>
      </c>
      <c r="C2584" t="s">
        <v>280</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COUNT(LifeExpectancyData[[#This Row],[Life expectancy]:[Schooling]])=19</f>
        <v>1</v>
      </c>
    </row>
    <row r="2585" spans="1:23" x14ac:dyDescent="0.25">
      <c r="A2585" t="s">
        <v>450</v>
      </c>
      <c r="B2585">
        <v>2001</v>
      </c>
      <c r="C2585" t="s">
        <v>280</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COUNT(LifeExpectancyData[[#This Row],[Life expectancy]:[Schooling]])=19</f>
        <v>1</v>
      </c>
    </row>
    <row r="2586" spans="1:23" x14ac:dyDescent="0.25">
      <c r="A2586" t="s">
        <v>450</v>
      </c>
      <c r="B2586">
        <v>2000</v>
      </c>
      <c r="C2586" t="s">
        <v>280</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COUNT(LifeExpectancyData[[#This Row],[Life expectancy]:[Schooling]])=19</f>
        <v>1</v>
      </c>
    </row>
    <row r="2587" spans="1:23" x14ac:dyDescent="0.25">
      <c r="A2587" t="s">
        <v>451</v>
      </c>
      <c r="B2587">
        <v>2015</v>
      </c>
      <c r="C2587" t="s">
        <v>280</v>
      </c>
      <c r="D2587">
        <v>75.7</v>
      </c>
      <c r="E2587">
        <v>12</v>
      </c>
      <c r="F2587">
        <v>0</v>
      </c>
      <c r="H2587">
        <v>0</v>
      </c>
      <c r="I2587">
        <v>92</v>
      </c>
      <c r="J2587">
        <v>1</v>
      </c>
      <c r="K2587">
        <v>6.3</v>
      </c>
      <c r="L2587">
        <v>0</v>
      </c>
      <c r="M2587">
        <v>92</v>
      </c>
      <c r="O2587">
        <v>91</v>
      </c>
      <c r="P2587">
        <v>0.1</v>
      </c>
      <c r="S2587">
        <v>2.1</v>
      </c>
      <c r="T2587">
        <v>2.1</v>
      </c>
      <c r="U2587">
        <v>0.746</v>
      </c>
      <c r="V2587">
        <v>12.9</v>
      </c>
      <c r="W2587" t="b">
        <f>COUNT(LifeExpectancyData[[#This Row],[Life expectancy]:[Schooling]])=19</f>
        <v>0</v>
      </c>
    </row>
    <row r="2588" spans="1:23" x14ac:dyDescent="0.25">
      <c r="A2588" t="s">
        <v>451</v>
      </c>
      <c r="B2588">
        <v>2014</v>
      </c>
      <c r="C2588" t="s">
        <v>280</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COUNT(LifeExpectancyData[[#This Row],[Life expectancy]:[Schooling]])=19</f>
        <v>0</v>
      </c>
    </row>
    <row r="2589" spans="1:23" x14ac:dyDescent="0.25">
      <c r="A2589" t="s">
        <v>451</v>
      </c>
      <c r="B2589">
        <v>2013</v>
      </c>
      <c r="C2589" t="s">
        <v>280</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COUNT(LifeExpectancyData[[#This Row],[Life expectancy]:[Schooling]])=19</f>
        <v>0</v>
      </c>
    </row>
    <row r="2590" spans="1:23" x14ac:dyDescent="0.25">
      <c r="A2590" t="s">
        <v>451</v>
      </c>
      <c r="B2590">
        <v>2012</v>
      </c>
      <c r="C2590" t="s">
        <v>280</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COUNT(LifeExpectancyData[[#This Row],[Life expectancy]:[Schooling]])=19</f>
        <v>0</v>
      </c>
    </row>
    <row r="2591" spans="1:23" x14ac:dyDescent="0.25">
      <c r="A2591" t="s">
        <v>451</v>
      </c>
      <c r="B2591">
        <v>2011</v>
      </c>
      <c r="C2591" t="s">
        <v>280</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COUNT(LifeExpectancyData[[#This Row],[Life expectancy]:[Schooling]])=19</f>
        <v>0</v>
      </c>
    </row>
    <row r="2592" spans="1:23" x14ac:dyDescent="0.25">
      <c r="A2592" t="s">
        <v>451</v>
      </c>
      <c r="B2592">
        <v>2010</v>
      </c>
      <c r="C2592" t="s">
        <v>280</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COUNT(LifeExpectancyData[[#This Row],[Life expectancy]:[Schooling]])=19</f>
        <v>0</v>
      </c>
    </row>
    <row r="2593" spans="1:23" x14ac:dyDescent="0.25">
      <c r="A2593" t="s">
        <v>451</v>
      </c>
      <c r="B2593">
        <v>2009</v>
      </c>
      <c r="C2593" t="s">
        <v>280</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COUNT(LifeExpectancyData[[#This Row],[Life expectancy]:[Schooling]])=19</f>
        <v>0</v>
      </c>
    </row>
    <row r="2594" spans="1:23" x14ac:dyDescent="0.25">
      <c r="A2594" t="s">
        <v>451</v>
      </c>
      <c r="B2594">
        <v>2008</v>
      </c>
      <c r="C2594" t="s">
        <v>280</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COUNT(LifeExpectancyData[[#This Row],[Life expectancy]:[Schooling]])=19</f>
        <v>0</v>
      </c>
    </row>
    <row r="2595" spans="1:23" x14ac:dyDescent="0.25">
      <c r="A2595" t="s">
        <v>451</v>
      </c>
      <c r="B2595">
        <v>2007</v>
      </c>
      <c r="C2595" t="s">
        <v>280</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COUNT(LifeExpectancyData[[#This Row],[Life expectancy]:[Schooling]])=19</f>
        <v>0</v>
      </c>
    </row>
    <row r="2596" spans="1:23" x14ac:dyDescent="0.25">
      <c r="A2596" t="s">
        <v>451</v>
      </c>
      <c r="B2596">
        <v>2006</v>
      </c>
      <c r="C2596" t="s">
        <v>280</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COUNT(LifeExpectancyData[[#This Row],[Life expectancy]:[Schooling]])=19</f>
        <v>0</v>
      </c>
    </row>
    <row r="2597" spans="1:23" x14ac:dyDescent="0.25">
      <c r="A2597" t="s">
        <v>451</v>
      </c>
      <c r="B2597">
        <v>2005</v>
      </c>
      <c r="C2597" t="s">
        <v>280</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COUNT(LifeExpectancyData[[#This Row],[Life expectancy]:[Schooling]])=19</f>
        <v>0</v>
      </c>
    </row>
    <row r="2598" spans="1:23" x14ac:dyDescent="0.25">
      <c r="A2598" t="s">
        <v>451</v>
      </c>
      <c r="B2598">
        <v>2004</v>
      </c>
      <c r="C2598" t="s">
        <v>280</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COUNT(LifeExpectancyData[[#This Row],[Life expectancy]:[Schooling]])=19</f>
        <v>0</v>
      </c>
    </row>
    <row r="2599" spans="1:23" x14ac:dyDescent="0.25">
      <c r="A2599" t="s">
        <v>451</v>
      </c>
      <c r="B2599">
        <v>2003</v>
      </c>
      <c r="C2599" t="s">
        <v>280</v>
      </c>
      <c r="D2599">
        <v>73.2</v>
      </c>
      <c r="E2599">
        <v>126</v>
      </c>
      <c r="F2599">
        <v>0</v>
      </c>
      <c r="G2599">
        <v>2.4</v>
      </c>
      <c r="H2599">
        <v>0</v>
      </c>
      <c r="J2599">
        <v>18</v>
      </c>
      <c r="K2599">
        <v>54.1</v>
      </c>
      <c r="L2599">
        <v>0</v>
      </c>
      <c r="M2599">
        <v>96</v>
      </c>
      <c r="N2599">
        <v>9.17</v>
      </c>
      <c r="O2599">
        <v>96</v>
      </c>
      <c r="P2599">
        <v>0.1</v>
      </c>
      <c r="S2599">
        <v>2.7</v>
      </c>
      <c r="T2599">
        <v>2.7</v>
      </c>
      <c r="U2599">
        <v>0</v>
      </c>
      <c r="V2599">
        <v>11.9</v>
      </c>
      <c r="W2599" t="b">
        <f>COUNT(LifeExpectancyData[[#This Row],[Life expectancy]:[Schooling]])=19</f>
        <v>0</v>
      </c>
    </row>
    <row r="2600" spans="1:23" x14ac:dyDescent="0.25">
      <c r="A2600" t="s">
        <v>451</v>
      </c>
      <c r="B2600">
        <v>2002</v>
      </c>
      <c r="C2600" t="s">
        <v>280</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COUNT(LifeExpectancyData[[#This Row],[Life expectancy]:[Schooling]])=19</f>
        <v>0</v>
      </c>
    </row>
    <row r="2601" spans="1:23" x14ac:dyDescent="0.25">
      <c r="A2601" t="s">
        <v>451</v>
      </c>
      <c r="B2601">
        <v>2001</v>
      </c>
      <c r="C2601" t="s">
        <v>280</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COUNT(LifeExpectancyData[[#This Row],[Life expectancy]:[Schooling]])=19</f>
        <v>0</v>
      </c>
    </row>
    <row r="2602" spans="1:23" x14ac:dyDescent="0.25">
      <c r="A2602" t="s">
        <v>451</v>
      </c>
      <c r="B2602">
        <v>2000</v>
      </c>
      <c r="C2602" t="s">
        <v>280</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COUNT(LifeExpectancyData[[#This Row],[Life expectancy]:[Schooling]])=19</f>
        <v>0</v>
      </c>
    </row>
    <row r="2603" spans="1:23" x14ac:dyDescent="0.25">
      <c r="A2603" t="s">
        <v>452</v>
      </c>
      <c r="B2603">
        <v>2015</v>
      </c>
      <c r="C2603" t="s">
        <v>280</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COUNT(LifeExpectancyData[[#This Row],[Life expectancy]:[Schooling]])=19</f>
        <v>0</v>
      </c>
    </row>
    <row r="2604" spans="1:23" x14ac:dyDescent="0.25">
      <c r="A2604" t="s">
        <v>452</v>
      </c>
      <c r="B2604">
        <v>2014</v>
      </c>
      <c r="C2604" t="s">
        <v>280</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COUNT(LifeExpectancyData[[#This Row],[Life expectancy]:[Schooling]])=19</f>
        <v>1</v>
      </c>
    </row>
    <row r="2605" spans="1:23" x14ac:dyDescent="0.25">
      <c r="A2605" t="s">
        <v>452</v>
      </c>
      <c r="B2605">
        <v>2013</v>
      </c>
      <c r="C2605" t="s">
        <v>280</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COUNT(LifeExpectancyData[[#This Row],[Life expectancy]:[Schooling]])=19</f>
        <v>1</v>
      </c>
    </row>
    <row r="2606" spans="1:23" x14ac:dyDescent="0.25">
      <c r="A2606" t="s">
        <v>452</v>
      </c>
      <c r="B2606">
        <v>2012</v>
      </c>
      <c r="C2606" t="s">
        <v>280</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COUNT(LifeExpectancyData[[#This Row],[Life expectancy]:[Schooling]])=19</f>
        <v>1</v>
      </c>
    </row>
    <row r="2607" spans="1:23" x14ac:dyDescent="0.25">
      <c r="A2607" t="s">
        <v>452</v>
      </c>
      <c r="B2607">
        <v>2011</v>
      </c>
      <c r="C2607" t="s">
        <v>280</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COUNT(LifeExpectancyData[[#This Row],[Life expectancy]:[Schooling]])=19</f>
        <v>1</v>
      </c>
    </row>
    <row r="2608" spans="1:23" x14ac:dyDescent="0.25">
      <c r="A2608" t="s">
        <v>452</v>
      </c>
      <c r="B2608">
        <v>2010</v>
      </c>
      <c r="C2608" t="s">
        <v>280</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COUNT(LifeExpectancyData[[#This Row],[Life expectancy]:[Schooling]])=19</f>
        <v>1</v>
      </c>
    </row>
    <row r="2609" spans="1:23" x14ac:dyDescent="0.25">
      <c r="A2609" t="s">
        <v>452</v>
      </c>
      <c r="B2609">
        <v>2009</v>
      </c>
      <c r="C2609" t="s">
        <v>280</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COUNT(LifeExpectancyData[[#This Row],[Life expectancy]:[Schooling]])=19</f>
        <v>1</v>
      </c>
    </row>
    <row r="2610" spans="1:23" x14ac:dyDescent="0.25">
      <c r="A2610" t="s">
        <v>452</v>
      </c>
      <c r="B2610">
        <v>2008</v>
      </c>
      <c r="C2610" t="s">
        <v>280</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COUNT(LifeExpectancyData[[#This Row],[Life expectancy]:[Schooling]])=19</f>
        <v>1</v>
      </c>
    </row>
    <row r="2611" spans="1:23" x14ac:dyDescent="0.25">
      <c r="A2611" t="s">
        <v>452</v>
      </c>
      <c r="B2611">
        <v>2007</v>
      </c>
      <c r="C2611" t="s">
        <v>280</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COUNT(LifeExpectancyData[[#This Row],[Life expectancy]:[Schooling]])=19</f>
        <v>0</v>
      </c>
    </row>
    <row r="2612" spans="1:23" x14ac:dyDescent="0.25">
      <c r="A2612" t="s">
        <v>452</v>
      </c>
      <c r="B2612">
        <v>2006</v>
      </c>
      <c r="C2612" t="s">
        <v>280</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COUNT(LifeExpectancyData[[#This Row],[Life expectancy]:[Schooling]])=19</f>
        <v>0</v>
      </c>
    </row>
    <row r="2613" spans="1:23" x14ac:dyDescent="0.25">
      <c r="A2613" t="s">
        <v>452</v>
      </c>
      <c r="B2613">
        <v>2005</v>
      </c>
      <c r="C2613" t="s">
        <v>280</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COUNT(LifeExpectancyData[[#This Row],[Life expectancy]:[Schooling]])=19</f>
        <v>0</v>
      </c>
    </row>
    <row r="2614" spans="1:23" x14ac:dyDescent="0.25">
      <c r="A2614" t="s">
        <v>452</v>
      </c>
      <c r="B2614">
        <v>2004</v>
      </c>
      <c r="C2614" t="s">
        <v>280</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COUNT(LifeExpectancyData[[#This Row],[Life expectancy]:[Schooling]])=19</f>
        <v>0</v>
      </c>
    </row>
    <row r="2615" spans="1:23" x14ac:dyDescent="0.25">
      <c r="A2615" t="s">
        <v>452</v>
      </c>
      <c r="B2615">
        <v>2003</v>
      </c>
      <c r="C2615" t="s">
        <v>280</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COUNT(LifeExpectancyData[[#This Row],[Life expectancy]:[Schooling]])=19</f>
        <v>0</v>
      </c>
    </row>
    <row r="2616" spans="1:23" x14ac:dyDescent="0.25">
      <c r="A2616" t="s">
        <v>452</v>
      </c>
      <c r="B2616">
        <v>2002</v>
      </c>
      <c r="C2616" t="s">
        <v>280</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COUNT(LifeExpectancyData[[#This Row],[Life expectancy]:[Schooling]])=19</f>
        <v>0</v>
      </c>
    </row>
    <row r="2617" spans="1:23" x14ac:dyDescent="0.25">
      <c r="A2617" t="s">
        <v>452</v>
      </c>
      <c r="B2617">
        <v>2001</v>
      </c>
      <c r="C2617" t="s">
        <v>280</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COUNT(LifeExpectancyData[[#This Row],[Life expectancy]:[Schooling]])=19</f>
        <v>0</v>
      </c>
    </row>
    <row r="2618" spans="1:23" x14ac:dyDescent="0.25">
      <c r="A2618" t="s">
        <v>452</v>
      </c>
      <c r="B2618">
        <v>2000</v>
      </c>
      <c r="C2618" t="s">
        <v>280</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COUNT(LifeExpectancyData[[#This Row],[Life expectancy]:[Schooling]])=19</f>
        <v>0</v>
      </c>
    </row>
    <row r="2619" spans="1:23" x14ac:dyDescent="0.25">
      <c r="A2619" t="s">
        <v>453</v>
      </c>
      <c r="B2619">
        <v>2015</v>
      </c>
      <c r="C2619" t="s">
        <v>280</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COUNT(LifeExpectancyData[[#This Row],[Life expectancy]:[Schooling]])=19</f>
        <v>0</v>
      </c>
    </row>
    <row r="2620" spans="1:23" x14ac:dyDescent="0.25">
      <c r="A2620" t="s">
        <v>453</v>
      </c>
      <c r="B2620">
        <v>2014</v>
      </c>
      <c r="C2620" t="s">
        <v>280</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COUNT(LifeExpectancyData[[#This Row],[Life expectancy]:[Schooling]])=19</f>
        <v>1</v>
      </c>
    </row>
    <row r="2621" spans="1:23" x14ac:dyDescent="0.25">
      <c r="A2621" t="s">
        <v>453</v>
      </c>
      <c r="B2621">
        <v>2013</v>
      </c>
      <c r="C2621" t="s">
        <v>280</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COUNT(LifeExpectancyData[[#This Row],[Life expectancy]:[Schooling]])=19</f>
        <v>1</v>
      </c>
    </row>
    <row r="2622" spans="1:23" x14ac:dyDescent="0.25">
      <c r="A2622" t="s">
        <v>453</v>
      </c>
      <c r="B2622">
        <v>2012</v>
      </c>
      <c r="C2622" t="s">
        <v>280</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COUNT(LifeExpectancyData[[#This Row],[Life expectancy]:[Schooling]])=19</f>
        <v>1</v>
      </c>
    </row>
    <row r="2623" spans="1:23" x14ac:dyDescent="0.25">
      <c r="A2623" t="s">
        <v>453</v>
      </c>
      <c r="B2623">
        <v>2011</v>
      </c>
      <c r="C2623" t="s">
        <v>280</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COUNT(LifeExpectancyData[[#This Row],[Life expectancy]:[Schooling]])=19</f>
        <v>1</v>
      </c>
    </row>
    <row r="2624" spans="1:23" x14ac:dyDescent="0.25">
      <c r="A2624" t="s">
        <v>453</v>
      </c>
      <c r="B2624">
        <v>2010</v>
      </c>
      <c r="C2624" t="s">
        <v>280</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COUNT(LifeExpectancyData[[#This Row],[Life expectancy]:[Schooling]])=19</f>
        <v>1</v>
      </c>
    </row>
    <row r="2625" spans="1:23" x14ac:dyDescent="0.25">
      <c r="A2625" t="s">
        <v>453</v>
      </c>
      <c r="B2625">
        <v>2009</v>
      </c>
      <c r="C2625" t="s">
        <v>280</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COUNT(LifeExpectancyData[[#This Row],[Life expectancy]:[Schooling]])=19</f>
        <v>1</v>
      </c>
    </row>
    <row r="2626" spans="1:23" x14ac:dyDescent="0.25">
      <c r="A2626" t="s">
        <v>453</v>
      </c>
      <c r="B2626">
        <v>2008</v>
      </c>
      <c r="C2626" t="s">
        <v>280</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COUNT(LifeExpectancyData[[#This Row],[Life expectancy]:[Schooling]])=19</f>
        <v>1</v>
      </c>
    </row>
    <row r="2627" spans="1:23" x14ac:dyDescent="0.25">
      <c r="A2627" t="s">
        <v>453</v>
      </c>
      <c r="B2627">
        <v>2007</v>
      </c>
      <c r="C2627" t="s">
        <v>280</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COUNT(LifeExpectancyData[[#This Row],[Life expectancy]:[Schooling]])=19</f>
        <v>0</v>
      </c>
    </row>
    <row r="2628" spans="1:23" x14ac:dyDescent="0.25">
      <c r="A2628" t="s">
        <v>453</v>
      </c>
      <c r="B2628">
        <v>2006</v>
      </c>
      <c r="C2628" t="s">
        <v>280</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COUNT(LifeExpectancyData[[#This Row],[Life expectancy]:[Schooling]])=19</f>
        <v>0</v>
      </c>
    </row>
    <row r="2629" spans="1:23" x14ac:dyDescent="0.25">
      <c r="A2629" t="s">
        <v>453</v>
      </c>
      <c r="B2629">
        <v>2005</v>
      </c>
      <c r="C2629" t="s">
        <v>280</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COUNT(LifeExpectancyData[[#This Row],[Life expectancy]:[Schooling]])=19</f>
        <v>0</v>
      </c>
    </row>
    <row r="2630" spans="1:23" x14ac:dyDescent="0.25">
      <c r="A2630" t="s">
        <v>453</v>
      </c>
      <c r="B2630">
        <v>2004</v>
      </c>
      <c r="C2630" t="s">
        <v>280</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COUNT(LifeExpectancyData[[#This Row],[Life expectancy]:[Schooling]])=19</f>
        <v>0</v>
      </c>
    </row>
    <row r="2631" spans="1:23" x14ac:dyDescent="0.25">
      <c r="A2631" t="s">
        <v>453</v>
      </c>
      <c r="B2631">
        <v>2003</v>
      </c>
      <c r="C2631" t="s">
        <v>280</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COUNT(LifeExpectancyData[[#This Row],[Life expectancy]:[Schooling]])=19</f>
        <v>0</v>
      </c>
    </row>
    <row r="2632" spans="1:23" x14ac:dyDescent="0.25">
      <c r="A2632" t="s">
        <v>453</v>
      </c>
      <c r="B2632">
        <v>2002</v>
      </c>
      <c r="C2632" t="s">
        <v>280</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COUNT(LifeExpectancyData[[#This Row],[Life expectancy]:[Schooling]])=19</f>
        <v>0</v>
      </c>
    </row>
    <row r="2633" spans="1:23" x14ac:dyDescent="0.25">
      <c r="A2633" t="s">
        <v>453</v>
      </c>
      <c r="B2633">
        <v>2001</v>
      </c>
      <c r="C2633" t="s">
        <v>280</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COUNT(LifeExpectancyData[[#This Row],[Life expectancy]:[Schooling]])=19</f>
        <v>0</v>
      </c>
    </row>
    <row r="2634" spans="1:23" x14ac:dyDescent="0.25">
      <c r="A2634" t="s">
        <v>453</v>
      </c>
      <c r="B2634">
        <v>2000</v>
      </c>
      <c r="C2634" t="s">
        <v>280</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COUNT(LifeExpectancyData[[#This Row],[Life expectancy]:[Schooling]])=19</f>
        <v>0</v>
      </c>
    </row>
    <row r="2635" spans="1:23" x14ac:dyDescent="0.25">
      <c r="A2635" t="s">
        <v>454</v>
      </c>
      <c r="B2635">
        <v>2015</v>
      </c>
      <c r="C2635" t="s">
        <v>280</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COUNT(LifeExpectancyData[[#This Row],[Life expectancy]:[Schooling]])=19</f>
        <v>0</v>
      </c>
    </row>
    <row r="2636" spans="1:23" x14ac:dyDescent="0.25">
      <c r="A2636" t="s">
        <v>454</v>
      </c>
      <c r="B2636">
        <v>2014</v>
      </c>
      <c r="C2636" t="s">
        <v>280</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COUNT(LifeExpectancyData[[#This Row],[Life expectancy]:[Schooling]])=19</f>
        <v>1</v>
      </c>
    </row>
    <row r="2637" spans="1:23" x14ac:dyDescent="0.25">
      <c r="A2637" t="s">
        <v>454</v>
      </c>
      <c r="B2637">
        <v>2013</v>
      </c>
      <c r="C2637" t="s">
        <v>280</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COUNT(LifeExpectancyData[[#This Row],[Life expectancy]:[Schooling]])=19</f>
        <v>1</v>
      </c>
    </row>
    <row r="2638" spans="1:23" x14ac:dyDescent="0.25">
      <c r="A2638" t="s">
        <v>454</v>
      </c>
      <c r="B2638">
        <v>2012</v>
      </c>
      <c r="C2638" t="s">
        <v>280</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COUNT(LifeExpectancyData[[#This Row],[Life expectancy]:[Schooling]])=19</f>
        <v>1</v>
      </c>
    </row>
    <row r="2639" spans="1:23" x14ac:dyDescent="0.25">
      <c r="A2639" t="s">
        <v>454</v>
      </c>
      <c r="B2639">
        <v>2011</v>
      </c>
      <c r="C2639" t="s">
        <v>280</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COUNT(LifeExpectancyData[[#This Row],[Life expectancy]:[Schooling]])=19</f>
        <v>1</v>
      </c>
    </row>
    <row r="2640" spans="1:23" x14ac:dyDescent="0.25">
      <c r="A2640" t="s">
        <v>454</v>
      </c>
      <c r="B2640">
        <v>2010</v>
      </c>
      <c r="C2640" t="s">
        <v>280</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COUNT(LifeExpectancyData[[#This Row],[Life expectancy]:[Schooling]])=19</f>
        <v>1</v>
      </c>
    </row>
    <row r="2641" spans="1:23" x14ac:dyDescent="0.25">
      <c r="A2641" t="s">
        <v>454</v>
      </c>
      <c r="B2641">
        <v>2009</v>
      </c>
      <c r="C2641" t="s">
        <v>280</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COUNT(LifeExpectancyData[[#This Row],[Life expectancy]:[Schooling]])=19</f>
        <v>1</v>
      </c>
    </row>
    <row r="2642" spans="1:23" x14ac:dyDescent="0.25">
      <c r="A2642" t="s">
        <v>454</v>
      </c>
      <c r="B2642">
        <v>2008</v>
      </c>
      <c r="C2642" t="s">
        <v>280</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COUNT(LifeExpectancyData[[#This Row],[Life expectancy]:[Schooling]])=19</f>
        <v>1</v>
      </c>
    </row>
    <row r="2643" spans="1:23" x14ac:dyDescent="0.25">
      <c r="A2643" t="s">
        <v>454</v>
      </c>
      <c r="B2643">
        <v>2007</v>
      </c>
      <c r="C2643" t="s">
        <v>280</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COUNT(LifeExpectancyData[[#This Row],[Life expectancy]:[Schooling]])=19</f>
        <v>1</v>
      </c>
    </row>
    <row r="2644" spans="1:23" x14ac:dyDescent="0.25">
      <c r="A2644" t="s">
        <v>454</v>
      </c>
      <c r="B2644">
        <v>2006</v>
      </c>
      <c r="C2644" t="s">
        <v>280</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COUNT(LifeExpectancyData[[#This Row],[Life expectancy]:[Schooling]])=19</f>
        <v>1</v>
      </c>
    </row>
    <row r="2645" spans="1:23" x14ac:dyDescent="0.25">
      <c r="A2645" t="s">
        <v>454</v>
      </c>
      <c r="B2645">
        <v>2005</v>
      </c>
      <c r="C2645" t="s">
        <v>280</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COUNT(LifeExpectancyData[[#This Row],[Life expectancy]:[Schooling]])=19</f>
        <v>1</v>
      </c>
    </row>
    <row r="2646" spans="1:23" x14ac:dyDescent="0.25">
      <c r="A2646" t="s">
        <v>454</v>
      </c>
      <c r="B2646">
        <v>2004</v>
      </c>
      <c r="C2646" t="s">
        <v>280</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COUNT(LifeExpectancyData[[#This Row],[Life expectancy]:[Schooling]])=19</f>
        <v>1</v>
      </c>
    </row>
    <row r="2647" spans="1:23" x14ac:dyDescent="0.25">
      <c r="A2647" t="s">
        <v>454</v>
      </c>
      <c r="B2647">
        <v>2003</v>
      </c>
      <c r="C2647" t="s">
        <v>280</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COUNT(LifeExpectancyData[[#This Row],[Life expectancy]:[Schooling]])=19</f>
        <v>1</v>
      </c>
    </row>
    <row r="2648" spans="1:23" x14ac:dyDescent="0.25">
      <c r="A2648" t="s">
        <v>454</v>
      </c>
      <c r="B2648">
        <v>2002</v>
      </c>
      <c r="C2648" t="s">
        <v>280</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COUNT(LifeExpectancyData[[#This Row],[Life expectancy]:[Schooling]])=19</f>
        <v>1</v>
      </c>
    </row>
    <row r="2649" spans="1:23" x14ac:dyDescent="0.25">
      <c r="A2649" t="s">
        <v>454</v>
      </c>
      <c r="B2649">
        <v>2001</v>
      </c>
      <c r="C2649" t="s">
        <v>280</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COUNT(LifeExpectancyData[[#This Row],[Life expectancy]:[Schooling]])=19</f>
        <v>1</v>
      </c>
    </row>
    <row r="2650" spans="1:23" x14ac:dyDescent="0.25">
      <c r="A2650" t="s">
        <v>454</v>
      </c>
      <c r="B2650">
        <v>2000</v>
      </c>
      <c r="C2650" t="s">
        <v>280</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COUNT(LifeExpectancyData[[#This Row],[Life expectancy]:[Schooling]])=19</f>
        <v>1</v>
      </c>
    </row>
    <row r="2651" spans="1:23" x14ac:dyDescent="0.25">
      <c r="A2651" t="s">
        <v>455</v>
      </c>
      <c r="B2651">
        <v>2015</v>
      </c>
      <c r="C2651" t="s">
        <v>280</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COUNT(LifeExpectancyData[[#This Row],[Life expectancy]:[Schooling]])=19</f>
        <v>0</v>
      </c>
    </row>
    <row r="2652" spans="1:23" x14ac:dyDescent="0.25">
      <c r="A2652" t="s">
        <v>455</v>
      </c>
      <c r="B2652">
        <v>2014</v>
      </c>
      <c r="C2652" t="s">
        <v>280</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COUNT(LifeExpectancyData[[#This Row],[Life expectancy]:[Schooling]])=19</f>
        <v>1</v>
      </c>
    </row>
    <row r="2653" spans="1:23" x14ac:dyDescent="0.25">
      <c r="A2653" t="s">
        <v>455</v>
      </c>
      <c r="B2653">
        <v>2013</v>
      </c>
      <c r="C2653" t="s">
        <v>280</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COUNT(LifeExpectancyData[[#This Row],[Life expectancy]:[Schooling]])=19</f>
        <v>1</v>
      </c>
    </row>
    <row r="2654" spans="1:23" x14ac:dyDescent="0.25">
      <c r="A2654" t="s">
        <v>455</v>
      </c>
      <c r="B2654">
        <v>2012</v>
      </c>
      <c r="C2654" t="s">
        <v>280</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COUNT(LifeExpectancyData[[#This Row],[Life expectancy]:[Schooling]])=19</f>
        <v>1</v>
      </c>
    </row>
    <row r="2655" spans="1:23" x14ac:dyDescent="0.25">
      <c r="A2655" t="s">
        <v>455</v>
      </c>
      <c r="B2655">
        <v>2011</v>
      </c>
      <c r="C2655" t="s">
        <v>280</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COUNT(LifeExpectancyData[[#This Row],[Life expectancy]:[Schooling]])=19</f>
        <v>1</v>
      </c>
    </row>
    <row r="2656" spans="1:23" x14ac:dyDescent="0.25">
      <c r="A2656" t="s">
        <v>455</v>
      </c>
      <c r="B2656">
        <v>2010</v>
      </c>
      <c r="C2656" t="s">
        <v>280</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COUNT(LifeExpectancyData[[#This Row],[Life expectancy]:[Schooling]])=19</f>
        <v>1</v>
      </c>
    </row>
    <row r="2657" spans="1:23" x14ac:dyDescent="0.25">
      <c r="A2657" t="s">
        <v>455</v>
      </c>
      <c r="B2657">
        <v>2009</v>
      </c>
      <c r="C2657" t="s">
        <v>280</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COUNT(LifeExpectancyData[[#This Row],[Life expectancy]:[Schooling]])=19</f>
        <v>1</v>
      </c>
    </row>
    <row r="2658" spans="1:23" x14ac:dyDescent="0.25">
      <c r="A2658" t="s">
        <v>455</v>
      </c>
      <c r="B2658">
        <v>2008</v>
      </c>
      <c r="C2658" t="s">
        <v>280</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COUNT(LifeExpectancyData[[#This Row],[Life expectancy]:[Schooling]])=19</f>
        <v>1</v>
      </c>
    </row>
    <row r="2659" spans="1:23" x14ac:dyDescent="0.25">
      <c r="A2659" t="s">
        <v>455</v>
      </c>
      <c r="B2659">
        <v>2007</v>
      </c>
      <c r="C2659" t="s">
        <v>280</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COUNT(LifeExpectancyData[[#This Row],[Life expectancy]:[Schooling]])=19</f>
        <v>1</v>
      </c>
    </row>
    <row r="2660" spans="1:23" x14ac:dyDescent="0.25">
      <c r="A2660" t="s">
        <v>455</v>
      </c>
      <c r="B2660">
        <v>2006</v>
      </c>
      <c r="C2660" t="s">
        <v>280</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COUNT(LifeExpectancyData[[#This Row],[Life expectancy]:[Schooling]])=19</f>
        <v>1</v>
      </c>
    </row>
    <row r="2661" spans="1:23" x14ac:dyDescent="0.25">
      <c r="A2661" t="s">
        <v>455</v>
      </c>
      <c r="B2661">
        <v>2005</v>
      </c>
      <c r="C2661" t="s">
        <v>280</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COUNT(LifeExpectancyData[[#This Row],[Life expectancy]:[Schooling]])=19</f>
        <v>1</v>
      </c>
    </row>
    <row r="2662" spans="1:23" x14ac:dyDescent="0.25">
      <c r="A2662" t="s">
        <v>455</v>
      </c>
      <c r="B2662">
        <v>2004</v>
      </c>
      <c r="C2662" t="s">
        <v>280</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COUNT(LifeExpectancyData[[#This Row],[Life expectancy]:[Schooling]])=19</f>
        <v>1</v>
      </c>
    </row>
    <row r="2663" spans="1:23" x14ac:dyDescent="0.25">
      <c r="A2663" t="s">
        <v>455</v>
      </c>
      <c r="B2663">
        <v>2003</v>
      </c>
      <c r="C2663" t="s">
        <v>280</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COUNT(LifeExpectancyData[[#This Row],[Life expectancy]:[Schooling]])=19</f>
        <v>1</v>
      </c>
    </row>
    <row r="2664" spans="1:23" x14ac:dyDescent="0.25">
      <c r="A2664" t="s">
        <v>455</v>
      </c>
      <c r="B2664">
        <v>2002</v>
      </c>
      <c r="C2664" t="s">
        <v>280</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COUNT(LifeExpectancyData[[#This Row],[Life expectancy]:[Schooling]])=19</f>
        <v>1</v>
      </c>
    </row>
    <row r="2665" spans="1:23" x14ac:dyDescent="0.25">
      <c r="A2665" t="s">
        <v>455</v>
      </c>
      <c r="B2665">
        <v>2001</v>
      </c>
      <c r="C2665" t="s">
        <v>280</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COUNT(LifeExpectancyData[[#This Row],[Life expectancy]:[Schooling]])=19</f>
        <v>0</v>
      </c>
    </row>
    <row r="2666" spans="1:23" x14ac:dyDescent="0.25">
      <c r="A2666" t="s">
        <v>455</v>
      </c>
      <c r="B2666">
        <v>2000</v>
      </c>
      <c r="C2666" t="s">
        <v>280</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COUNT(LifeExpectancyData[[#This Row],[Life expectancy]:[Schooling]])=19</f>
        <v>0</v>
      </c>
    </row>
    <row r="2667" spans="1:23" x14ac:dyDescent="0.25">
      <c r="A2667" t="s">
        <v>456</v>
      </c>
      <c r="B2667">
        <v>2015</v>
      </c>
      <c r="C2667" t="s">
        <v>280</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COUNT(LifeExpectancyData[[#This Row],[Life expectancy]:[Schooling]])=19</f>
        <v>0</v>
      </c>
    </row>
    <row r="2668" spans="1:23" x14ac:dyDescent="0.25">
      <c r="A2668" t="s">
        <v>456</v>
      </c>
      <c r="B2668">
        <v>2014</v>
      </c>
      <c r="C2668" t="s">
        <v>280</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COUNT(LifeExpectancyData[[#This Row],[Life expectancy]:[Schooling]])=19</f>
        <v>1</v>
      </c>
    </row>
    <row r="2669" spans="1:23" x14ac:dyDescent="0.25">
      <c r="A2669" t="s">
        <v>456</v>
      </c>
      <c r="B2669">
        <v>2013</v>
      </c>
      <c r="C2669" t="s">
        <v>280</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COUNT(LifeExpectancyData[[#This Row],[Life expectancy]:[Schooling]])=19</f>
        <v>1</v>
      </c>
    </row>
    <row r="2670" spans="1:23" x14ac:dyDescent="0.25">
      <c r="A2670" t="s">
        <v>456</v>
      </c>
      <c r="B2670">
        <v>2012</v>
      </c>
      <c r="C2670" t="s">
        <v>280</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COUNT(LifeExpectancyData[[#This Row],[Life expectancy]:[Schooling]])=19</f>
        <v>1</v>
      </c>
    </row>
    <row r="2671" spans="1:23" x14ac:dyDescent="0.25">
      <c r="A2671" t="s">
        <v>456</v>
      </c>
      <c r="B2671">
        <v>2011</v>
      </c>
      <c r="C2671" t="s">
        <v>280</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COUNT(LifeExpectancyData[[#This Row],[Life expectancy]:[Schooling]])=19</f>
        <v>1</v>
      </c>
    </row>
    <row r="2672" spans="1:23" x14ac:dyDescent="0.25">
      <c r="A2672" t="s">
        <v>456</v>
      </c>
      <c r="B2672">
        <v>2010</v>
      </c>
      <c r="C2672" t="s">
        <v>280</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COUNT(LifeExpectancyData[[#This Row],[Life expectancy]:[Schooling]])=19</f>
        <v>1</v>
      </c>
    </row>
    <row r="2673" spans="1:23" x14ac:dyDescent="0.25">
      <c r="A2673" t="s">
        <v>456</v>
      </c>
      <c r="B2673">
        <v>2009</v>
      </c>
      <c r="C2673" t="s">
        <v>280</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COUNT(LifeExpectancyData[[#This Row],[Life expectancy]:[Schooling]])=19</f>
        <v>1</v>
      </c>
    </row>
    <row r="2674" spans="1:23" x14ac:dyDescent="0.25">
      <c r="A2674" t="s">
        <v>456</v>
      </c>
      <c r="B2674">
        <v>2008</v>
      </c>
      <c r="C2674" t="s">
        <v>280</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COUNT(LifeExpectancyData[[#This Row],[Life expectancy]:[Schooling]])=19</f>
        <v>1</v>
      </c>
    </row>
    <row r="2675" spans="1:23" x14ac:dyDescent="0.25">
      <c r="A2675" t="s">
        <v>456</v>
      </c>
      <c r="B2675">
        <v>2007</v>
      </c>
      <c r="C2675" t="s">
        <v>280</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COUNT(LifeExpectancyData[[#This Row],[Life expectancy]:[Schooling]])=19</f>
        <v>1</v>
      </c>
    </row>
    <row r="2676" spans="1:23" x14ac:dyDescent="0.25">
      <c r="A2676" t="s">
        <v>456</v>
      </c>
      <c r="B2676">
        <v>2006</v>
      </c>
      <c r="C2676" t="s">
        <v>280</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COUNT(LifeExpectancyData[[#This Row],[Life expectancy]:[Schooling]])=19</f>
        <v>1</v>
      </c>
    </row>
    <row r="2677" spans="1:23" x14ac:dyDescent="0.25">
      <c r="A2677" t="s">
        <v>456</v>
      </c>
      <c r="B2677">
        <v>2005</v>
      </c>
      <c r="C2677" t="s">
        <v>280</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COUNT(LifeExpectancyData[[#This Row],[Life expectancy]:[Schooling]])=19</f>
        <v>1</v>
      </c>
    </row>
    <row r="2678" spans="1:23" x14ac:dyDescent="0.25">
      <c r="A2678" t="s">
        <v>456</v>
      </c>
      <c r="B2678">
        <v>2004</v>
      </c>
      <c r="C2678" t="s">
        <v>280</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COUNT(LifeExpectancyData[[#This Row],[Life expectancy]:[Schooling]])=19</f>
        <v>1</v>
      </c>
    </row>
    <row r="2679" spans="1:23" x14ac:dyDescent="0.25">
      <c r="A2679" t="s">
        <v>456</v>
      </c>
      <c r="B2679">
        <v>2003</v>
      </c>
      <c r="C2679" t="s">
        <v>280</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COUNT(LifeExpectancyData[[#This Row],[Life expectancy]:[Schooling]])=19</f>
        <v>1</v>
      </c>
    </row>
    <row r="2680" spans="1:23" x14ac:dyDescent="0.25">
      <c r="A2680" t="s">
        <v>456</v>
      </c>
      <c r="B2680">
        <v>2002</v>
      </c>
      <c r="C2680" t="s">
        <v>280</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COUNT(LifeExpectancyData[[#This Row],[Life expectancy]:[Schooling]])=19</f>
        <v>1</v>
      </c>
    </row>
    <row r="2681" spans="1:23" x14ac:dyDescent="0.25">
      <c r="A2681" t="s">
        <v>456</v>
      </c>
      <c r="B2681">
        <v>2001</v>
      </c>
      <c r="C2681" t="s">
        <v>280</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COUNT(LifeExpectancyData[[#This Row],[Life expectancy]:[Schooling]])=19</f>
        <v>1</v>
      </c>
    </row>
    <row r="2682" spans="1:23" x14ac:dyDescent="0.25">
      <c r="A2682" t="s">
        <v>456</v>
      </c>
      <c r="B2682">
        <v>2000</v>
      </c>
      <c r="C2682" t="s">
        <v>280</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COUNT(LifeExpectancyData[[#This Row],[Life expectancy]:[Schooling]])=19</f>
        <v>1</v>
      </c>
    </row>
    <row r="2683" spans="1:23" x14ac:dyDescent="0.25">
      <c r="A2683" t="s">
        <v>457</v>
      </c>
      <c r="B2683">
        <v>2015</v>
      </c>
      <c r="C2683" t="s">
        <v>280</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COUNT(LifeExpectancyData[[#This Row],[Life expectancy]:[Schooling]])=19</f>
        <v>0</v>
      </c>
    </row>
    <row r="2684" spans="1:23" x14ac:dyDescent="0.25">
      <c r="A2684" t="s">
        <v>457</v>
      </c>
      <c r="B2684">
        <v>2014</v>
      </c>
      <c r="C2684" t="s">
        <v>280</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COUNT(LifeExpectancyData[[#This Row],[Life expectancy]:[Schooling]])=19</f>
        <v>1</v>
      </c>
    </row>
    <row r="2685" spans="1:23" x14ac:dyDescent="0.25">
      <c r="A2685" t="s">
        <v>457</v>
      </c>
      <c r="B2685">
        <v>2013</v>
      </c>
      <c r="C2685" t="s">
        <v>280</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COUNT(LifeExpectancyData[[#This Row],[Life expectancy]:[Schooling]])=19</f>
        <v>1</v>
      </c>
    </row>
    <row r="2686" spans="1:23" x14ac:dyDescent="0.25">
      <c r="A2686" t="s">
        <v>457</v>
      </c>
      <c r="B2686">
        <v>2012</v>
      </c>
      <c r="C2686" t="s">
        <v>280</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COUNT(LifeExpectancyData[[#This Row],[Life expectancy]:[Schooling]])=19</f>
        <v>1</v>
      </c>
    </row>
    <row r="2687" spans="1:23" x14ac:dyDescent="0.25">
      <c r="A2687" t="s">
        <v>457</v>
      </c>
      <c r="B2687">
        <v>2011</v>
      </c>
      <c r="C2687" t="s">
        <v>280</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COUNT(LifeExpectancyData[[#This Row],[Life expectancy]:[Schooling]])=19</f>
        <v>1</v>
      </c>
    </row>
    <row r="2688" spans="1:23" x14ac:dyDescent="0.25">
      <c r="A2688" t="s">
        <v>457</v>
      </c>
      <c r="B2688">
        <v>2010</v>
      </c>
      <c r="C2688" t="s">
        <v>280</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COUNT(LifeExpectancyData[[#This Row],[Life expectancy]:[Schooling]])=19</f>
        <v>1</v>
      </c>
    </row>
    <row r="2689" spans="1:23" x14ac:dyDescent="0.25">
      <c r="A2689" t="s">
        <v>457</v>
      </c>
      <c r="B2689">
        <v>2009</v>
      </c>
      <c r="C2689" t="s">
        <v>280</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COUNT(LifeExpectancyData[[#This Row],[Life expectancy]:[Schooling]])=19</f>
        <v>1</v>
      </c>
    </row>
    <row r="2690" spans="1:23" x14ac:dyDescent="0.25">
      <c r="A2690" t="s">
        <v>457</v>
      </c>
      <c r="B2690">
        <v>2008</v>
      </c>
      <c r="C2690" t="s">
        <v>280</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COUNT(LifeExpectancyData[[#This Row],[Life expectancy]:[Schooling]])=19</f>
        <v>1</v>
      </c>
    </row>
    <row r="2691" spans="1:23" x14ac:dyDescent="0.25">
      <c r="A2691" t="s">
        <v>457</v>
      </c>
      <c r="B2691">
        <v>2007</v>
      </c>
      <c r="C2691" t="s">
        <v>280</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COUNT(LifeExpectancyData[[#This Row],[Life expectancy]:[Schooling]])=19</f>
        <v>1</v>
      </c>
    </row>
    <row r="2692" spans="1:23" x14ac:dyDescent="0.25">
      <c r="A2692" t="s">
        <v>457</v>
      </c>
      <c r="B2692">
        <v>2006</v>
      </c>
      <c r="C2692" t="s">
        <v>280</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COUNT(LifeExpectancyData[[#This Row],[Life expectancy]:[Schooling]])=19</f>
        <v>1</v>
      </c>
    </row>
    <row r="2693" spans="1:23" x14ac:dyDescent="0.25">
      <c r="A2693" t="s">
        <v>457</v>
      </c>
      <c r="B2693">
        <v>2005</v>
      </c>
      <c r="C2693" t="s">
        <v>280</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COUNT(LifeExpectancyData[[#This Row],[Life expectancy]:[Schooling]])=19</f>
        <v>1</v>
      </c>
    </row>
    <row r="2694" spans="1:23" x14ac:dyDescent="0.25">
      <c r="A2694" t="s">
        <v>457</v>
      </c>
      <c r="B2694">
        <v>2004</v>
      </c>
      <c r="C2694" t="s">
        <v>280</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COUNT(LifeExpectancyData[[#This Row],[Life expectancy]:[Schooling]])=19</f>
        <v>1</v>
      </c>
    </row>
    <row r="2695" spans="1:23" x14ac:dyDescent="0.25">
      <c r="A2695" t="s">
        <v>457</v>
      </c>
      <c r="B2695">
        <v>2003</v>
      </c>
      <c r="C2695" t="s">
        <v>280</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COUNT(LifeExpectancyData[[#This Row],[Life expectancy]:[Schooling]])=19</f>
        <v>1</v>
      </c>
    </row>
    <row r="2696" spans="1:23" x14ac:dyDescent="0.25">
      <c r="A2696" t="s">
        <v>457</v>
      </c>
      <c r="B2696">
        <v>2002</v>
      </c>
      <c r="C2696" t="s">
        <v>280</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COUNT(LifeExpectancyData[[#This Row],[Life expectancy]:[Schooling]])=19</f>
        <v>1</v>
      </c>
    </row>
    <row r="2697" spans="1:23" x14ac:dyDescent="0.25">
      <c r="A2697" t="s">
        <v>457</v>
      </c>
      <c r="B2697">
        <v>2001</v>
      </c>
      <c r="C2697" t="s">
        <v>280</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COUNT(LifeExpectancyData[[#This Row],[Life expectancy]:[Schooling]])=19</f>
        <v>1</v>
      </c>
    </row>
    <row r="2698" spans="1:23" x14ac:dyDescent="0.25">
      <c r="A2698" t="s">
        <v>457</v>
      </c>
      <c r="B2698">
        <v>2000</v>
      </c>
      <c r="C2698" t="s">
        <v>280</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COUNT(LifeExpectancyData[[#This Row],[Life expectancy]:[Schooling]])=19</f>
        <v>1</v>
      </c>
    </row>
    <row r="2699" spans="1:23" x14ac:dyDescent="0.25">
      <c r="A2699" t="s">
        <v>458</v>
      </c>
      <c r="B2699">
        <v>2015</v>
      </c>
      <c r="C2699" t="s">
        <v>280</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COUNT(LifeExpectancyData[[#This Row],[Life expectancy]:[Schooling]])=19</f>
        <v>0</v>
      </c>
    </row>
    <row r="2700" spans="1:23" x14ac:dyDescent="0.25">
      <c r="A2700" t="s">
        <v>458</v>
      </c>
      <c r="B2700">
        <v>2014</v>
      </c>
      <c r="C2700" t="s">
        <v>280</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COUNT(LifeExpectancyData[[#This Row],[Life expectancy]:[Schooling]])=19</f>
        <v>1</v>
      </c>
    </row>
    <row r="2701" spans="1:23" x14ac:dyDescent="0.25">
      <c r="A2701" t="s">
        <v>458</v>
      </c>
      <c r="B2701">
        <v>2013</v>
      </c>
      <c r="C2701" t="s">
        <v>280</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COUNT(LifeExpectancyData[[#This Row],[Life expectancy]:[Schooling]])=19</f>
        <v>1</v>
      </c>
    </row>
    <row r="2702" spans="1:23" x14ac:dyDescent="0.25">
      <c r="A2702" t="s">
        <v>458</v>
      </c>
      <c r="B2702">
        <v>2012</v>
      </c>
      <c r="C2702" t="s">
        <v>280</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COUNT(LifeExpectancyData[[#This Row],[Life expectancy]:[Schooling]])=19</f>
        <v>1</v>
      </c>
    </row>
    <row r="2703" spans="1:23" x14ac:dyDescent="0.25">
      <c r="A2703" t="s">
        <v>458</v>
      </c>
      <c r="B2703">
        <v>2011</v>
      </c>
      <c r="C2703" t="s">
        <v>280</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COUNT(LifeExpectancyData[[#This Row],[Life expectancy]:[Schooling]])=19</f>
        <v>1</v>
      </c>
    </row>
    <row r="2704" spans="1:23" x14ac:dyDescent="0.25">
      <c r="A2704" t="s">
        <v>458</v>
      </c>
      <c r="B2704">
        <v>2010</v>
      </c>
      <c r="C2704" t="s">
        <v>280</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COUNT(LifeExpectancyData[[#This Row],[Life expectancy]:[Schooling]])=19</f>
        <v>1</v>
      </c>
    </row>
    <row r="2705" spans="1:23" x14ac:dyDescent="0.25">
      <c r="A2705" t="s">
        <v>458</v>
      </c>
      <c r="B2705">
        <v>2009</v>
      </c>
      <c r="C2705" t="s">
        <v>280</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COUNT(LifeExpectancyData[[#This Row],[Life expectancy]:[Schooling]])=19</f>
        <v>1</v>
      </c>
    </row>
    <row r="2706" spans="1:23" x14ac:dyDescent="0.25">
      <c r="A2706" t="s">
        <v>458</v>
      </c>
      <c r="B2706">
        <v>2008</v>
      </c>
      <c r="C2706" t="s">
        <v>280</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COUNT(LifeExpectancyData[[#This Row],[Life expectancy]:[Schooling]])=19</f>
        <v>1</v>
      </c>
    </row>
    <row r="2707" spans="1:23" x14ac:dyDescent="0.25">
      <c r="A2707" t="s">
        <v>458</v>
      </c>
      <c r="B2707">
        <v>2007</v>
      </c>
      <c r="C2707" t="s">
        <v>280</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COUNT(LifeExpectancyData[[#This Row],[Life expectancy]:[Schooling]])=19</f>
        <v>1</v>
      </c>
    </row>
    <row r="2708" spans="1:23" x14ac:dyDescent="0.25">
      <c r="A2708" t="s">
        <v>458</v>
      </c>
      <c r="B2708">
        <v>2006</v>
      </c>
      <c r="C2708" t="s">
        <v>280</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COUNT(LifeExpectancyData[[#This Row],[Life expectancy]:[Schooling]])=19</f>
        <v>1</v>
      </c>
    </row>
    <row r="2709" spans="1:23" x14ac:dyDescent="0.25">
      <c r="A2709" t="s">
        <v>458</v>
      </c>
      <c r="B2709">
        <v>2005</v>
      </c>
      <c r="C2709" t="s">
        <v>280</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COUNT(LifeExpectancyData[[#This Row],[Life expectancy]:[Schooling]])=19</f>
        <v>1</v>
      </c>
    </row>
    <row r="2710" spans="1:23" x14ac:dyDescent="0.25">
      <c r="A2710" t="s">
        <v>458</v>
      </c>
      <c r="B2710">
        <v>2004</v>
      </c>
      <c r="C2710" t="s">
        <v>280</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COUNT(LifeExpectancyData[[#This Row],[Life expectancy]:[Schooling]])=19</f>
        <v>1</v>
      </c>
    </row>
    <row r="2711" spans="1:23" x14ac:dyDescent="0.25">
      <c r="A2711" t="s">
        <v>458</v>
      </c>
      <c r="B2711">
        <v>2003</v>
      </c>
      <c r="C2711" t="s">
        <v>280</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COUNT(LifeExpectancyData[[#This Row],[Life expectancy]:[Schooling]])=19</f>
        <v>1</v>
      </c>
    </row>
    <row r="2712" spans="1:23" x14ac:dyDescent="0.25">
      <c r="A2712" t="s">
        <v>458</v>
      </c>
      <c r="B2712">
        <v>2002</v>
      </c>
      <c r="C2712" t="s">
        <v>280</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COUNT(LifeExpectancyData[[#This Row],[Life expectancy]:[Schooling]])=19</f>
        <v>1</v>
      </c>
    </row>
    <row r="2713" spans="1:23" x14ac:dyDescent="0.25">
      <c r="A2713" t="s">
        <v>458</v>
      </c>
      <c r="B2713">
        <v>2001</v>
      </c>
      <c r="C2713" t="s">
        <v>280</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COUNT(LifeExpectancyData[[#This Row],[Life expectancy]:[Schooling]])=19</f>
        <v>0</v>
      </c>
    </row>
    <row r="2714" spans="1:23" x14ac:dyDescent="0.25">
      <c r="A2714" t="s">
        <v>458</v>
      </c>
      <c r="B2714">
        <v>2000</v>
      </c>
      <c r="C2714" t="s">
        <v>280</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COUNT(LifeExpectancyData[[#This Row],[Life expectancy]:[Schooling]])=19</f>
        <v>0</v>
      </c>
    </row>
    <row r="2715" spans="1:23" x14ac:dyDescent="0.25">
      <c r="A2715" t="s">
        <v>459</v>
      </c>
      <c r="B2715">
        <v>2013</v>
      </c>
      <c r="C2715" t="s">
        <v>280</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COUNT(LifeExpectancyData[[#This Row],[Life expectancy]:[Schooling]])=19</f>
        <v>0</v>
      </c>
    </row>
    <row r="2716" spans="1:23" x14ac:dyDescent="0.25">
      <c r="A2716" t="s">
        <v>460</v>
      </c>
      <c r="B2716">
        <v>2015</v>
      </c>
      <c r="C2716" t="s">
        <v>280</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COUNT(LifeExpectancyData[[#This Row],[Life expectancy]:[Schooling]])=19</f>
        <v>0</v>
      </c>
    </row>
    <row r="2717" spans="1:23" x14ac:dyDescent="0.25">
      <c r="A2717" t="s">
        <v>460</v>
      </c>
      <c r="B2717">
        <v>2014</v>
      </c>
      <c r="C2717" t="s">
        <v>280</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COUNT(LifeExpectancyData[[#This Row],[Life expectancy]:[Schooling]])=19</f>
        <v>1</v>
      </c>
    </row>
    <row r="2718" spans="1:23" x14ac:dyDescent="0.25">
      <c r="A2718" t="s">
        <v>460</v>
      </c>
      <c r="B2718">
        <v>2013</v>
      </c>
      <c r="C2718" t="s">
        <v>280</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COUNT(LifeExpectancyData[[#This Row],[Life expectancy]:[Schooling]])=19</f>
        <v>1</v>
      </c>
    </row>
    <row r="2719" spans="1:23" x14ac:dyDescent="0.25">
      <c r="A2719" t="s">
        <v>460</v>
      </c>
      <c r="B2719">
        <v>2012</v>
      </c>
      <c r="C2719" t="s">
        <v>280</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COUNT(LifeExpectancyData[[#This Row],[Life expectancy]:[Schooling]])=19</f>
        <v>1</v>
      </c>
    </row>
    <row r="2720" spans="1:23" x14ac:dyDescent="0.25">
      <c r="A2720" t="s">
        <v>460</v>
      </c>
      <c r="B2720">
        <v>2011</v>
      </c>
      <c r="C2720" t="s">
        <v>280</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COUNT(LifeExpectancyData[[#This Row],[Life expectancy]:[Schooling]])=19</f>
        <v>1</v>
      </c>
    </row>
    <row r="2721" spans="1:23" x14ac:dyDescent="0.25">
      <c r="A2721" t="s">
        <v>460</v>
      </c>
      <c r="B2721">
        <v>2010</v>
      </c>
      <c r="C2721" t="s">
        <v>280</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COUNT(LifeExpectancyData[[#This Row],[Life expectancy]:[Schooling]])=19</f>
        <v>1</v>
      </c>
    </row>
    <row r="2722" spans="1:23" x14ac:dyDescent="0.25">
      <c r="A2722" t="s">
        <v>460</v>
      </c>
      <c r="B2722">
        <v>2009</v>
      </c>
      <c r="C2722" t="s">
        <v>280</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COUNT(LifeExpectancyData[[#This Row],[Life expectancy]:[Schooling]])=19</f>
        <v>1</v>
      </c>
    </row>
    <row r="2723" spans="1:23" x14ac:dyDescent="0.25">
      <c r="A2723" t="s">
        <v>460</v>
      </c>
      <c r="B2723">
        <v>2008</v>
      </c>
      <c r="C2723" t="s">
        <v>280</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COUNT(LifeExpectancyData[[#This Row],[Life expectancy]:[Schooling]])=19</f>
        <v>1</v>
      </c>
    </row>
    <row r="2724" spans="1:23" x14ac:dyDescent="0.25">
      <c r="A2724" t="s">
        <v>460</v>
      </c>
      <c r="B2724">
        <v>2007</v>
      </c>
      <c r="C2724" t="s">
        <v>280</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COUNT(LifeExpectancyData[[#This Row],[Life expectancy]:[Schooling]])=19</f>
        <v>1</v>
      </c>
    </row>
    <row r="2725" spans="1:23" x14ac:dyDescent="0.25">
      <c r="A2725" t="s">
        <v>460</v>
      </c>
      <c r="B2725">
        <v>2006</v>
      </c>
      <c r="C2725" t="s">
        <v>280</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COUNT(LifeExpectancyData[[#This Row],[Life expectancy]:[Schooling]])=19</f>
        <v>1</v>
      </c>
    </row>
    <row r="2726" spans="1:23" x14ac:dyDescent="0.25">
      <c r="A2726" t="s">
        <v>460</v>
      </c>
      <c r="B2726">
        <v>2005</v>
      </c>
      <c r="C2726" t="s">
        <v>280</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COUNT(LifeExpectancyData[[#This Row],[Life expectancy]:[Schooling]])=19</f>
        <v>1</v>
      </c>
    </row>
    <row r="2727" spans="1:23" x14ac:dyDescent="0.25">
      <c r="A2727" t="s">
        <v>460</v>
      </c>
      <c r="B2727">
        <v>2004</v>
      </c>
      <c r="C2727" t="s">
        <v>280</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COUNT(LifeExpectancyData[[#This Row],[Life expectancy]:[Schooling]])=19</f>
        <v>1</v>
      </c>
    </row>
    <row r="2728" spans="1:23" x14ac:dyDescent="0.25">
      <c r="A2728" t="s">
        <v>460</v>
      </c>
      <c r="B2728">
        <v>2003</v>
      </c>
      <c r="C2728" t="s">
        <v>280</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COUNT(LifeExpectancyData[[#This Row],[Life expectancy]:[Schooling]])=19</f>
        <v>1</v>
      </c>
    </row>
    <row r="2729" spans="1:23" x14ac:dyDescent="0.25">
      <c r="A2729" t="s">
        <v>460</v>
      </c>
      <c r="B2729">
        <v>2002</v>
      </c>
      <c r="C2729" t="s">
        <v>280</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COUNT(LifeExpectancyData[[#This Row],[Life expectancy]:[Schooling]])=19</f>
        <v>1</v>
      </c>
    </row>
    <row r="2730" spans="1:23" x14ac:dyDescent="0.25">
      <c r="A2730" t="s">
        <v>460</v>
      </c>
      <c r="B2730">
        <v>2001</v>
      </c>
      <c r="C2730" t="s">
        <v>280</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COUNT(LifeExpectancyData[[#This Row],[Life expectancy]:[Schooling]])=19</f>
        <v>0</v>
      </c>
    </row>
    <row r="2731" spans="1:23" x14ac:dyDescent="0.25">
      <c r="A2731" t="s">
        <v>460</v>
      </c>
      <c r="B2731">
        <v>2000</v>
      </c>
      <c r="C2731" t="s">
        <v>280</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COUNT(LifeExpectancyData[[#This Row],[Life expectancy]:[Schooling]])=19</f>
        <v>0</v>
      </c>
    </row>
    <row r="2732" spans="1:23" x14ac:dyDescent="0.25">
      <c r="A2732" t="s">
        <v>461</v>
      </c>
      <c r="B2732">
        <v>2015</v>
      </c>
      <c r="C2732" t="s">
        <v>280</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COUNT(LifeExpectancyData[[#This Row],[Life expectancy]:[Schooling]])=19</f>
        <v>0</v>
      </c>
    </row>
    <row r="2733" spans="1:23" x14ac:dyDescent="0.25">
      <c r="A2733" t="s">
        <v>461</v>
      </c>
      <c r="B2733">
        <v>2014</v>
      </c>
      <c r="C2733" t="s">
        <v>280</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COUNT(LifeExpectancyData[[#This Row],[Life expectancy]:[Schooling]])=19</f>
        <v>1</v>
      </c>
    </row>
    <row r="2734" spans="1:23" x14ac:dyDescent="0.25">
      <c r="A2734" t="s">
        <v>461</v>
      </c>
      <c r="B2734">
        <v>2013</v>
      </c>
      <c r="C2734" t="s">
        <v>280</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COUNT(LifeExpectancyData[[#This Row],[Life expectancy]:[Schooling]])=19</f>
        <v>1</v>
      </c>
    </row>
    <row r="2735" spans="1:23" x14ac:dyDescent="0.25">
      <c r="A2735" t="s">
        <v>461</v>
      </c>
      <c r="B2735">
        <v>2012</v>
      </c>
      <c r="C2735" t="s">
        <v>280</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COUNT(LifeExpectancyData[[#This Row],[Life expectancy]:[Schooling]])=19</f>
        <v>1</v>
      </c>
    </row>
    <row r="2736" spans="1:23" x14ac:dyDescent="0.25">
      <c r="A2736" t="s">
        <v>461</v>
      </c>
      <c r="B2736">
        <v>2011</v>
      </c>
      <c r="C2736" t="s">
        <v>280</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COUNT(LifeExpectancyData[[#This Row],[Life expectancy]:[Schooling]])=19</f>
        <v>1</v>
      </c>
    </row>
    <row r="2737" spans="1:23" x14ac:dyDescent="0.25">
      <c r="A2737" t="s">
        <v>461</v>
      </c>
      <c r="B2737">
        <v>2010</v>
      </c>
      <c r="C2737" t="s">
        <v>280</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COUNT(LifeExpectancyData[[#This Row],[Life expectancy]:[Schooling]])=19</f>
        <v>1</v>
      </c>
    </row>
    <row r="2738" spans="1:23" x14ac:dyDescent="0.25">
      <c r="A2738" t="s">
        <v>461</v>
      </c>
      <c r="B2738">
        <v>2009</v>
      </c>
      <c r="C2738" t="s">
        <v>280</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COUNT(LifeExpectancyData[[#This Row],[Life expectancy]:[Schooling]])=19</f>
        <v>1</v>
      </c>
    </row>
    <row r="2739" spans="1:23" x14ac:dyDescent="0.25">
      <c r="A2739" t="s">
        <v>461</v>
      </c>
      <c r="B2739">
        <v>2008</v>
      </c>
      <c r="C2739" t="s">
        <v>280</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COUNT(LifeExpectancyData[[#This Row],[Life expectancy]:[Schooling]])=19</f>
        <v>1</v>
      </c>
    </row>
    <row r="2740" spans="1:23" x14ac:dyDescent="0.25">
      <c r="A2740" t="s">
        <v>461</v>
      </c>
      <c r="B2740">
        <v>2007</v>
      </c>
      <c r="C2740" t="s">
        <v>280</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COUNT(LifeExpectancyData[[#This Row],[Life expectancy]:[Schooling]])=19</f>
        <v>1</v>
      </c>
    </row>
    <row r="2741" spans="1:23" x14ac:dyDescent="0.25">
      <c r="A2741" t="s">
        <v>461</v>
      </c>
      <c r="B2741">
        <v>2006</v>
      </c>
      <c r="C2741" t="s">
        <v>280</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COUNT(LifeExpectancyData[[#This Row],[Life expectancy]:[Schooling]])=19</f>
        <v>1</v>
      </c>
    </row>
    <row r="2742" spans="1:23" x14ac:dyDescent="0.25">
      <c r="A2742" t="s">
        <v>461</v>
      </c>
      <c r="B2742">
        <v>2005</v>
      </c>
      <c r="C2742" t="s">
        <v>280</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COUNT(LifeExpectancyData[[#This Row],[Life expectancy]:[Schooling]])=19</f>
        <v>1</v>
      </c>
    </row>
    <row r="2743" spans="1:23" x14ac:dyDescent="0.25">
      <c r="A2743" t="s">
        <v>461</v>
      </c>
      <c r="B2743">
        <v>2004</v>
      </c>
      <c r="C2743" t="s">
        <v>280</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COUNT(LifeExpectancyData[[#This Row],[Life expectancy]:[Schooling]])=19</f>
        <v>1</v>
      </c>
    </row>
    <row r="2744" spans="1:23" x14ac:dyDescent="0.25">
      <c r="A2744" t="s">
        <v>461</v>
      </c>
      <c r="B2744">
        <v>2003</v>
      </c>
      <c r="C2744" t="s">
        <v>280</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COUNT(LifeExpectancyData[[#This Row],[Life expectancy]:[Schooling]])=19</f>
        <v>1</v>
      </c>
    </row>
    <row r="2745" spans="1:23" x14ac:dyDescent="0.25">
      <c r="A2745" t="s">
        <v>461</v>
      </c>
      <c r="B2745">
        <v>2002</v>
      </c>
      <c r="C2745" t="s">
        <v>280</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COUNT(LifeExpectancyData[[#This Row],[Life expectancy]:[Schooling]])=19</f>
        <v>1</v>
      </c>
    </row>
    <row r="2746" spans="1:23" x14ac:dyDescent="0.25">
      <c r="A2746" t="s">
        <v>461</v>
      </c>
      <c r="B2746">
        <v>2001</v>
      </c>
      <c r="C2746" t="s">
        <v>280</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COUNT(LifeExpectancyData[[#This Row],[Life expectancy]:[Schooling]])=19</f>
        <v>1</v>
      </c>
    </row>
    <row r="2747" spans="1:23" x14ac:dyDescent="0.25">
      <c r="A2747" t="s">
        <v>461</v>
      </c>
      <c r="B2747">
        <v>2000</v>
      </c>
      <c r="C2747" t="s">
        <v>280</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COUNT(LifeExpectancyData[[#This Row],[Life expectancy]:[Schooling]])=19</f>
        <v>1</v>
      </c>
    </row>
    <row r="2748" spans="1:23" x14ac:dyDescent="0.25">
      <c r="A2748" t="s">
        <v>462</v>
      </c>
      <c r="B2748">
        <v>2015</v>
      </c>
      <c r="C2748" t="s">
        <v>280</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COUNT(LifeExpectancyData[[#This Row],[Life expectancy]:[Schooling]])=19</f>
        <v>0</v>
      </c>
    </row>
    <row r="2749" spans="1:23" x14ac:dyDescent="0.25">
      <c r="A2749" t="s">
        <v>462</v>
      </c>
      <c r="B2749">
        <v>2014</v>
      </c>
      <c r="C2749" t="s">
        <v>280</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COUNT(LifeExpectancyData[[#This Row],[Life expectancy]:[Schooling]])=19</f>
        <v>0</v>
      </c>
    </row>
    <row r="2750" spans="1:23" x14ac:dyDescent="0.25">
      <c r="A2750" t="s">
        <v>462</v>
      </c>
      <c r="B2750">
        <v>2013</v>
      </c>
      <c r="C2750" t="s">
        <v>280</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COUNT(LifeExpectancyData[[#This Row],[Life expectancy]:[Schooling]])=19</f>
        <v>0</v>
      </c>
    </row>
    <row r="2751" spans="1:23" x14ac:dyDescent="0.25">
      <c r="A2751" t="s">
        <v>462</v>
      </c>
      <c r="B2751">
        <v>2012</v>
      </c>
      <c r="C2751" t="s">
        <v>280</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COUNT(LifeExpectancyData[[#This Row],[Life expectancy]:[Schooling]])=19</f>
        <v>0</v>
      </c>
    </row>
    <row r="2752" spans="1:23" x14ac:dyDescent="0.25">
      <c r="A2752" t="s">
        <v>462</v>
      </c>
      <c r="B2752">
        <v>2011</v>
      </c>
      <c r="C2752" t="s">
        <v>280</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COUNT(LifeExpectancyData[[#This Row],[Life expectancy]:[Schooling]])=19</f>
        <v>0</v>
      </c>
    </row>
    <row r="2753" spans="1:23" x14ac:dyDescent="0.25">
      <c r="A2753" t="s">
        <v>462</v>
      </c>
      <c r="B2753">
        <v>2010</v>
      </c>
      <c r="C2753" t="s">
        <v>280</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COUNT(LifeExpectancyData[[#This Row],[Life expectancy]:[Schooling]])=19</f>
        <v>0</v>
      </c>
    </row>
    <row r="2754" spans="1:23" x14ac:dyDescent="0.25">
      <c r="A2754" t="s">
        <v>462</v>
      </c>
      <c r="B2754">
        <v>2009</v>
      </c>
      <c r="C2754" t="s">
        <v>280</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COUNT(LifeExpectancyData[[#This Row],[Life expectancy]:[Schooling]])=19</f>
        <v>0</v>
      </c>
    </row>
    <row r="2755" spans="1:23" x14ac:dyDescent="0.25">
      <c r="A2755" t="s">
        <v>462</v>
      </c>
      <c r="B2755">
        <v>2008</v>
      </c>
      <c r="C2755" t="s">
        <v>280</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COUNT(LifeExpectancyData[[#This Row],[Life expectancy]:[Schooling]])=19</f>
        <v>0</v>
      </c>
    </row>
    <row r="2756" spans="1:23" x14ac:dyDescent="0.25">
      <c r="A2756" t="s">
        <v>462</v>
      </c>
      <c r="B2756">
        <v>2007</v>
      </c>
      <c r="C2756" t="s">
        <v>280</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COUNT(LifeExpectancyData[[#This Row],[Life expectancy]:[Schooling]])=19</f>
        <v>0</v>
      </c>
    </row>
    <row r="2757" spans="1:23" x14ac:dyDescent="0.25">
      <c r="A2757" t="s">
        <v>462</v>
      </c>
      <c r="B2757">
        <v>2006</v>
      </c>
      <c r="C2757" t="s">
        <v>280</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COUNT(LifeExpectancyData[[#This Row],[Life expectancy]:[Schooling]])=19</f>
        <v>0</v>
      </c>
    </row>
    <row r="2758" spans="1:23" x14ac:dyDescent="0.25">
      <c r="A2758" t="s">
        <v>462</v>
      </c>
      <c r="B2758">
        <v>2005</v>
      </c>
      <c r="C2758" t="s">
        <v>280</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COUNT(LifeExpectancyData[[#This Row],[Life expectancy]:[Schooling]])=19</f>
        <v>0</v>
      </c>
    </row>
    <row r="2759" spans="1:23" x14ac:dyDescent="0.25">
      <c r="A2759" t="s">
        <v>462</v>
      </c>
      <c r="B2759">
        <v>2004</v>
      </c>
      <c r="C2759" t="s">
        <v>280</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COUNT(LifeExpectancyData[[#This Row],[Life expectancy]:[Schooling]])=19</f>
        <v>0</v>
      </c>
    </row>
    <row r="2760" spans="1:23" x14ac:dyDescent="0.25">
      <c r="A2760" t="s">
        <v>462</v>
      </c>
      <c r="B2760">
        <v>2003</v>
      </c>
      <c r="C2760" t="s">
        <v>280</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COUNT(LifeExpectancyData[[#This Row],[Life expectancy]:[Schooling]])=19</f>
        <v>0</v>
      </c>
    </row>
    <row r="2761" spans="1:23" x14ac:dyDescent="0.25">
      <c r="A2761" t="s">
        <v>462</v>
      </c>
      <c r="B2761">
        <v>2002</v>
      </c>
      <c r="C2761" t="s">
        <v>280</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COUNT(LifeExpectancyData[[#This Row],[Life expectancy]:[Schooling]])=19</f>
        <v>0</v>
      </c>
    </row>
    <row r="2762" spans="1:23" x14ac:dyDescent="0.25">
      <c r="A2762" t="s">
        <v>462</v>
      </c>
      <c r="B2762">
        <v>2001</v>
      </c>
      <c r="C2762" t="s">
        <v>280</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COUNT(LifeExpectancyData[[#This Row],[Life expectancy]:[Schooling]])=19</f>
        <v>0</v>
      </c>
    </row>
    <row r="2763" spans="1:23" x14ac:dyDescent="0.25">
      <c r="A2763" t="s">
        <v>462</v>
      </c>
      <c r="B2763">
        <v>2000</v>
      </c>
      <c r="C2763" t="s">
        <v>280</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COUNT(LifeExpectancyData[[#This Row],[Life expectancy]:[Schooling]])=19</f>
        <v>0</v>
      </c>
    </row>
    <row r="2764" spans="1:23" x14ac:dyDescent="0.25">
      <c r="A2764" t="s">
        <v>463</v>
      </c>
      <c r="B2764">
        <v>2015</v>
      </c>
      <c r="C2764" t="s">
        <v>288</v>
      </c>
      <c r="D2764">
        <v>81.2</v>
      </c>
      <c r="E2764">
        <v>69</v>
      </c>
      <c r="F2764">
        <v>3</v>
      </c>
      <c r="G2764">
        <v>10.66</v>
      </c>
      <c r="H2764">
        <v>0</v>
      </c>
      <c r="J2764">
        <v>91</v>
      </c>
      <c r="K2764">
        <v>66.599999999999994</v>
      </c>
      <c r="L2764">
        <v>4</v>
      </c>
      <c r="M2764">
        <v>96</v>
      </c>
      <c r="O2764">
        <v>96</v>
      </c>
      <c r="P2764">
        <v>0.1</v>
      </c>
      <c r="S2764">
        <v>0.8</v>
      </c>
      <c r="T2764">
        <v>0.6</v>
      </c>
      <c r="W2764" t="b">
        <f>COUNT(LifeExpectancyData[[#This Row],[Life expectancy]:[Schooling]])=19</f>
        <v>0</v>
      </c>
    </row>
    <row r="2765" spans="1:23" x14ac:dyDescent="0.25">
      <c r="A2765" t="s">
        <v>463</v>
      </c>
      <c r="B2765">
        <v>2014</v>
      </c>
      <c r="C2765" t="s">
        <v>288</v>
      </c>
      <c r="D2765">
        <v>81</v>
      </c>
      <c r="E2765">
        <v>71</v>
      </c>
      <c r="F2765">
        <v>3</v>
      </c>
      <c r="G2765">
        <v>10.37</v>
      </c>
      <c r="H2765">
        <v>0</v>
      </c>
      <c r="J2765">
        <v>133</v>
      </c>
      <c r="K2765">
        <v>66</v>
      </c>
      <c r="L2765">
        <v>4</v>
      </c>
      <c r="M2765">
        <v>95</v>
      </c>
      <c r="N2765">
        <v>9.1199999999999992</v>
      </c>
      <c r="O2765">
        <v>95</v>
      </c>
      <c r="P2765">
        <v>0.1</v>
      </c>
      <c r="S2765">
        <v>0.8</v>
      </c>
      <c r="T2765">
        <v>0.5</v>
      </c>
      <c r="W2765" t="b">
        <f>COUNT(LifeExpectancyData[[#This Row],[Life expectancy]:[Schooling]])=19</f>
        <v>0</v>
      </c>
    </row>
    <row r="2766" spans="1:23" x14ac:dyDescent="0.25">
      <c r="A2766" t="s">
        <v>463</v>
      </c>
      <c r="B2766">
        <v>2013</v>
      </c>
      <c r="C2766" t="s">
        <v>288</v>
      </c>
      <c r="D2766">
        <v>87</v>
      </c>
      <c r="E2766">
        <v>72</v>
      </c>
      <c r="F2766">
        <v>3</v>
      </c>
      <c r="G2766">
        <v>10.32</v>
      </c>
      <c r="H2766">
        <v>0</v>
      </c>
      <c r="J2766">
        <v>1919</v>
      </c>
      <c r="K2766">
        <v>65.400000000000006</v>
      </c>
      <c r="L2766">
        <v>4</v>
      </c>
      <c r="M2766">
        <v>95</v>
      </c>
      <c r="N2766">
        <v>9.34</v>
      </c>
      <c r="O2766">
        <v>95</v>
      </c>
      <c r="P2766">
        <v>0.1</v>
      </c>
      <c r="S2766">
        <v>0.8</v>
      </c>
      <c r="T2766">
        <v>0.5</v>
      </c>
      <c r="W2766" t="b">
        <f>COUNT(LifeExpectancyData[[#This Row],[Life expectancy]:[Schooling]])=19</f>
        <v>0</v>
      </c>
    </row>
    <row r="2767" spans="1:23" x14ac:dyDescent="0.25">
      <c r="A2767" t="s">
        <v>463</v>
      </c>
      <c r="B2767">
        <v>2012</v>
      </c>
      <c r="C2767" t="s">
        <v>288</v>
      </c>
      <c r="D2767">
        <v>86</v>
      </c>
      <c r="E2767">
        <v>72</v>
      </c>
      <c r="F2767">
        <v>3</v>
      </c>
      <c r="G2767">
        <v>10.42</v>
      </c>
      <c r="H2767">
        <v>0</v>
      </c>
      <c r="J2767">
        <v>2092</v>
      </c>
      <c r="K2767">
        <v>64.8</v>
      </c>
      <c r="L2767">
        <v>4</v>
      </c>
      <c r="M2767">
        <v>95</v>
      </c>
      <c r="N2767">
        <v>9.41</v>
      </c>
      <c r="O2767">
        <v>95</v>
      </c>
      <c r="P2767">
        <v>0.1</v>
      </c>
      <c r="S2767">
        <v>0.8</v>
      </c>
      <c r="T2767">
        <v>0.5</v>
      </c>
      <c r="W2767" t="b">
        <f>COUNT(LifeExpectancyData[[#This Row],[Life expectancy]:[Schooling]])=19</f>
        <v>0</v>
      </c>
    </row>
    <row r="2768" spans="1:23" x14ac:dyDescent="0.25">
      <c r="A2768" t="s">
        <v>463</v>
      </c>
      <c r="B2768">
        <v>2011</v>
      </c>
      <c r="C2768" t="s">
        <v>288</v>
      </c>
      <c r="D2768">
        <v>86</v>
      </c>
      <c r="E2768">
        <v>74</v>
      </c>
      <c r="F2768">
        <v>3</v>
      </c>
      <c r="G2768">
        <v>10.68</v>
      </c>
      <c r="H2768">
        <v>0</v>
      </c>
      <c r="J2768">
        <v>1112</v>
      </c>
      <c r="K2768">
        <v>64.2</v>
      </c>
      <c r="L2768">
        <v>4</v>
      </c>
      <c r="M2768">
        <v>95</v>
      </c>
      <c r="N2768">
        <v>9.34</v>
      </c>
      <c r="O2768">
        <v>95</v>
      </c>
      <c r="P2768">
        <v>0.1</v>
      </c>
      <c r="S2768">
        <v>0.8</v>
      </c>
      <c r="T2768">
        <v>0.5</v>
      </c>
      <c r="W2768" t="b">
        <f>COUNT(LifeExpectancyData[[#This Row],[Life expectancy]:[Schooling]])=19</f>
        <v>0</v>
      </c>
    </row>
    <row r="2769" spans="1:23" x14ac:dyDescent="0.25">
      <c r="A2769" t="s">
        <v>463</v>
      </c>
      <c r="B2769">
        <v>2010</v>
      </c>
      <c r="C2769" t="s">
        <v>288</v>
      </c>
      <c r="D2769">
        <v>82</v>
      </c>
      <c r="E2769">
        <v>77</v>
      </c>
      <c r="F2769">
        <v>3</v>
      </c>
      <c r="G2769">
        <v>10.88</v>
      </c>
      <c r="H2769">
        <v>0</v>
      </c>
      <c r="J2769">
        <v>443</v>
      </c>
      <c r="K2769">
        <v>63.6</v>
      </c>
      <c r="L2769">
        <v>4</v>
      </c>
      <c r="M2769">
        <v>94</v>
      </c>
      <c r="N2769">
        <v>9.51</v>
      </c>
      <c r="O2769">
        <v>94</v>
      </c>
      <c r="P2769">
        <v>0.1</v>
      </c>
      <c r="S2769">
        <v>0.8</v>
      </c>
      <c r="T2769">
        <v>0.5</v>
      </c>
      <c r="W2769" t="b">
        <f>COUNT(LifeExpectancyData[[#This Row],[Life expectancy]:[Schooling]])=19</f>
        <v>0</v>
      </c>
    </row>
    <row r="2770" spans="1:23" x14ac:dyDescent="0.25">
      <c r="A2770" t="s">
        <v>463</v>
      </c>
      <c r="B2770">
        <v>2009</v>
      </c>
      <c r="C2770" t="s">
        <v>288</v>
      </c>
      <c r="D2770">
        <v>81</v>
      </c>
      <c r="E2770">
        <v>78</v>
      </c>
      <c r="F2770">
        <v>4</v>
      </c>
      <c r="G2770">
        <v>10.79</v>
      </c>
      <c r="H2770">
        <v>0</v>
      </c>
      <c r="J2770">
        <v>1212</v>
      </c>
      <c r="K2770">
        <v>63.1</v>
      </c>
      <c r="L2770">
        <v>4</v>
      </c>
      <c r="M2770">
        <v>93</v>
      </c>
      <c r="N2770">
        <v>9.81</v>
      </c>
      <c r="O2770">
        <v>93</v>
      </c>
      <c r="P2770">
        <v>0.1</v>
      </c>
      <c r="S2770">
        <v>0.8</v>
      </c>
      <c r="T2770">
        <v>0.5</v>
      </c>
      <c r="W2770" t="b">
        <f>COUNT(LifeExpectancyData[[#This Row],[Life expectancy]:[Schooling]])=19</f>
        <v>0</v>
      </c>
    </row>
    <row r="2771" spans="1:23" x14ac:dyDescent="0.25">
      <c r="A2771" t="s">
        <v>463</v>
      </c>
      <c r="B2771">
        <v>2008</v>
      </c>
      <c r="C2771" t="s">
        <v>288</v>
      </c>
      <c r="D2771">
        <v>79.599999999999994</v>
      </c>
      <c r="E2771">
        <v>8</v>
      </c>
      <c r="F2771">
        <v>4</v>
      </c>
      <c r="G2771">
        <v>11.47</v>
      </c>
      <c r="H2771">
        <v>0</v>
      </c>
      <c r="J2771">
        <v>1445</v>
      </c>
      <c r="K2771">
        <v>62.5</v>
      </c>
      <c r="L2771">
        <v>4</v>
      </c>
      <c r="M2771">
        <v>92</v>
      </c>
      <c r="N2771">
        <v>8.85</v>
      </c>
      <c r="O2771">
        <v>92</v>
      </c>
      <c r="P2771">
        <v>0.1</v>
      </c>
      <c r="S2771">
        <v>0.8</v>
      </c>
      <c r="T2771">
        <v>0.5</v>
      </c>
      <c r="W2771" t="b">
        <f>COUNT(LifeExpectancyData[[#This Row],[Life expectancy]:[Schooling]])=19</f>
        <v>0</v>
      </c>
    </row>
    <row r="2772" spans="1:23" x14ac:dyDescent="0.25">
      <c r="A2772" t="s">
        <v>463</v>
      </c>
      <c r="B2772">
        <v>2007</v>
      </c>
      <c r="C2772" t="s">
        <v>288</v>
      </c>
      <c r="D2772">
        <v>79.5</v>
      </c>
      <c r="E2772">
        <v>8</v>
      </c>
      <c r="F2772">
        <v>4</v>
      </c>
      <c r="G2772">
        <v>11.84</v>
      </c>
      <c r="H2772">
        <v>0</v>
      </c>
      <c r="J2772">
        <v>1022</v>
      </c>
      <c r="K2772">
        <v>61.9</v>
      </c>
      <c r="L2772">
        <v>4</v>
      </c>
      <c r="M2772">
        <v>92</v>
      </c>
      <c r="N2772">
        <v>8.42</v>
      </c>
      <c r="O2772">
        <v>92</v>
      </c>
      <c r="P2772">
        <v>0.1</v>
      </c>
      <c r="S2772">
        <v>0.7</v>
      </c>
      <c r="T2772">
        <v>0.5</v>
      </c>
      <c r="W2772" t="b">
        <f>COUNT(LifeExpectancyData[[#This Row],[Life expectancy]:[Schooling]])=19</f>
        <v>0</v>
      </c>
    </row>
    <row r="2773" spans="1:23" x14ac:dyDescent="0.25">
      <c r="A2773" t="s">
        <v>463</v>
      </c>
      <c r="B2773">
        <v>2006</v>
      </c>
      <c r="C2773" t="s">
        <v>288</v>
      </c>
      <c r="D2773">
        <v>79.3</v>
      </c>
      <c r="E2773">
        <v>82</v>
      </c>
      <c r="F2773">
        <v>4</v>
      </c>
      <c r="G2773">
        <v>11.61</v>
      </c>
      <c r="H2773">
        <v>0</v>
      </c>
      <c r="J2773">
        <v>764</v>
      </c>
      <c r="K2773">
        <v>61.3</v>
      </c>
      <c r="L2773">
        <v>4</v>
      </c>
      <c r="M2773">
        <v>92</v>
      </c>
      <c r="N2773">
        <v>8.36</v>
      </c>
      <c r="O2773">
        <v>92</v>
      </c>
      <c r="P2773">
        <v>0.1</v>
      </c>
      <c r="S2773">
        <v>0.7</v>
      </c>
      <c r="T2773">
        <v>0.5</v>
      </c>
      <c r="W2773" t="b">
        <f>COUNT(LifeExpectancyData[[#This Row],[Life expectancy]:[Schooling]])=19</f>
        <v>0</v>
      </c>
    </row>
    <row r="2774" spans="1:23" x14ac:dyDescent="0.25">
      <c r="A2774" t="s">
        <v>463</v>
      </c>
      <c r="B2774">
        <v>2005</v>
      </c>
      <c r="C2774" t="s">
        <v>288</v>
      </c>
      <c r="D2774">
        <v>79</v>
      </c>
      <c r="E2774">
        <v>82</v>
      </c>
      <c r="F2774">
        <v>4</v>
      </c>
      <c r="G2774">
        <v>12.05</v>
      </c>
      <c r="H2774">
        <v>0</v>
      </c>
      <c r="J2774">
        <v>79</v>
      </c>
      <c r="K2774">
        <v>6.7</v>
      </c>
      <c r="L2774">
        <v>4</v>
      </c>
      <c r="M2774">
        <v>91</v>
      </c>
      <c r="N2774">
        <v>8.24</v>
      </c>
      <c r="O2774">
        <v>91</v>
      </c>
      <c r="P2774">
        <v>0.1</v>
      </c>
      <c r="S2774">
        <v>0.7</v>
      </c>
      <c r="T2774">
        <v>0.5</v>
      </c>
      <c r="W2774" t="b">
        <f>COUNT(LifeExpectancyData[[#This Row],[Life expectancy]:[Schooling]])=19</f>
        <v>0</v>
      </c>
    </row>
    <row r="2775" spans="1:23" x14ac:dyDescent="0.25">
      <c r="A2775" t="s">
        <v>463</v>
      </c>
      <c r="B2775">
        <v>2004</v>
      </c>
      <c r="C2775" t="s">
        <v>288</v>
      </c>
      <c r="D2775">
        <v>78.8</v>
      </c>
      <c r="E2775">
        <v>83</v>
      </c>
      <c r="F2775">
        <v>4</v>
      </c>
      <c r="G2775">
        <v>12.22</v>
      </c>
      <c r="H2775">
        <v>0</v>
      </c>
      <c r="J2775">
        <v>189</v>
      </c>
      <c r="K2775">
        <v>6.1</v>
      </c>
      <c r="L2775">
        <v>4</v>
      </c>
      <c r="M2775">
        <v>92</v>
      </c>
      <c r="N2775">
        <v>7.98</v>
      </c>
      <c r="O2775">
        <v>92</v>
      </c>
      <c r="P2775">
        <v>0.1</v>
      </c>
      <c r="S2775">
        <v>0.7</v>
      </c>
      <c r="T2775">
        <v>0.5</v>
      </c>
      <c r="W2775" t="b">
        <f>COUNT(LifeExpectancyData[[#This Row],[Life expectancy]:[Schooling]])=19</f>
        <v>0</v>
      </c>
    </row>
    <row r="2776" spans="1:23" x14ac:dyDescent="0.25">
      <c r="A2776" t="s">
        <v>463</v>
      </c>
      <c r="B2776">
        <v>2003</v>
      </c>
      <c r="C2776" t="s">
        <v>288</v>
      </c>
      <c r="D2776">
        <v>78.3</v>
      </c>
      <c r="E2776">
        <v>86</v>
      </c>
      <c r="F2776">
        <v>4</v>
      </c>
      <c r="G2776">
        <v>11.85</v>
      </c>
      <c r="H2776">
        <v>0</v>
      </c>
      <c r="J2776">
        <v>460</v>
      </c>
      <c r="K2776">
        <v>59.5</v>
      </c>
      <c r="L2776">
        <v>4</v>
      </c>
      <c r="M2776">
        <v>91</v>
      </c>
      <c r="N2776">
        <v>7.81</v>
      </c>
      <c r="O2776">
        <v>91</v>
      </c>
      <c r="P2776">
        <v>0.1</v>
      </c>
      <c r="S2776">
        <v>0.7</v>
      </c>
      <c r="T2776">
        <v>0.5</v>
      </c>
      <c r="W2776" t="b">
        <f>COUNT(LifeExpectancyData[[#This Row],[Life expectancy]:[Schooling]])=19</f>
        <v>0</v>
      </c>
    </row>
    <row r="2777" spans="1:23" x14ac:dyDescent="0.25">
      <c r="A2777" t="s">
        <v>463</v>
      </c>
      <c r="B2777">
        <v>2002</v>
      </c>
      <c r="C2777" t="s">
        <v>288</v>
      </c>
      <c r="D2777">
        <v>78.2</v>
      </c>
      <c r="E2777">
        <v>87</v>
      </c>
      <c r="F2777">
        <v>4</v>
      </c>
      <c r="G2777">
        <v>11.44</v>
      </c>
      <c r="H2777">
        <v>0</v>
      </c>
      <c r="J2777">
        <v>314</v>
      </c>
      <c r="K2777">
        <v>58.8</v>
      </c>
      <c r="L2777">
        <v>4</v>
      </c>
      <c r="M2777">
        <v>91</v>
      </c>
      <c r="N2777">
        <v>7.57</v>
      </c>
      <c r="O2777">
        <v>91</v>
      </c>
      <c r="P2777">
        <v>0.1</v>
      </c>
      <c r="S2777">
        <v>0.7</v>
      </c>
      <c r="T2777">
        <v>0.5</v>
      </c>
      <c r="W2777" t="b">
        <f>COUNT(LifeExpectancyData[[#This Row],[Life expectancy]:[Schooling]])=19</f>
        <v>0</v>
      </c>
    </row>
    <row r="2778" spans="1:23" x14ac:dyDescent="0.25">
      <c r="A2778" t="s">
        <v>463</v>
      </c>
      <c r="B2778">
        <v>2001</v>
      </c>
      <c r="C2778" t="s">
        <v>288</v>
      </c>
      <c r="D2778">
        <v>78</v>
      </c>
      <c r="E2778">
        <v>88</v>
      </c>
      <c r="F2778">
        <v>4</v>
      </c>
      <c r="G2778">
        <v>10.91</v>
      </c>
      <c r="H2778">
        <v>0</v>
      </c>
      <c r="J2778">
        <v>73</v>
      </c>
      <c r="K2778">
        <v>58.2</v>
      </c>
      <c r="L2778">
        <v>4</v>
      </c>
      <c r="M2778">
        <v>91</v>
      </c>
      <c r="N2778">
        <v>7.31</v>
      </c>
      <c r="O2778">
        <v>91</v>
      </c>
      <c r="P2778">
        <v>0.1</v>
      </c>
      <c r="S2778">
        <v>0.7</v>
      </c>
      <c r="T2778">
        <v>0.5</v>
      </c>
      <c r="W2778" t="b">
        <f>COUNT(LifeExpectancyData[[#This Row],[Life expectancy]:[Schooling]])=19</f>
        <v>0</v>
      </c>
    </row>
    <row r="2779" spans="1:23" x14ac:dyDescent="0.25">
      <c r="A2779" t="s">
        <v>463</v>
      </c>
      <c r="B2779">
        <v>2000</v>
      </c>
      <c r="C2779" t="s">
        <v>288</v>
      </c>
      <c r="D2779">
        <v>77.8</v>
      </c>
      <c r="E2779">
        <v>89</v>
      </c>
      <c r="F2779">
        <v>4</v>
      </c>
      <c r="G2779">
        <v>10.59</v>
      </c>
      <c r="H2779">
        <v>0</v>
      </c>
      <c r="J2779">
        <v>104</v>
      </c>
      <c r="K2779">
        <v>57.5</v>
      </c>
      <c r="L2779">
        <v>5</v>
      </c>
      <c r="M2779">
        <v>91</v>
      </c>
      <c r="N2779">
        <v>6.94</v>
      </c>
      <c r="O2779">
        <v>91</v>
      </c>
      <c r="P2779">
        <v>0.1</v>
      </c>
      <c r="S2779">
        <v>0.7</v>
      </c>
      <c r="T2779">
        <v>0.5</v>
      </c>
      <c r="W2779" t="b">
        <f>COUNT(LifeExpectancyData[[#This Row],[Life expectancy]:[Schooling]])=19</f>
        <v>0</v>
      </c>
    </row>
    <row r="2780" spans="1:23" x14ac:dyDescent="0.25">
      <c r="A2780" t="s">
        <v>464</v>
      </c>
      <c r="B2780">
        <v>2015</v>
      </c>
      <c r="C2780" t="s">
        <v>280</v>
      </c>
      <c r="D2780">
        <v>61.8</v>
      </c>
      <c r="E2780">
        <v>279</v>
      </c>
      <c r="F2780">
        <v>85</v>
      </c>
      <c r="H2780">
        <v>0</v>
      </c>
      <c r="I2780">
        <v>98</v>
      </c>
      <c r="J2780">
        <v>30</v>
      </c>
      <c r="K2780">
        <v>23.8</v>
      </c>
      <c r="L2780">
        <v>119</v>
      </c>
      <c r="M2780">
        <v>96</v>
      </c>
      <c r="O2780">
        <v>98</v>
      </c>
      <c r="P2780">
        <v>1.4</v>
      </c>
      <c r="S2780">
        <v>6.7</v>
      </c>
      <c r="T2780">
        <v>6.5</v>
      </c>
      <c r="W2780" t="b">
        <f>COUNT(LifeExpectancyData[[#This Row],[Life expectancy]:[Schooling]])=19</f>
        <v>0</v>
      </c>
    </row>
    <row r="2781" spans="1:23" x14ac:dyDescent="0.25">
      <c r="A2781" t="s">
        <v>464</v>
      </c>
      <c r="B2781">
        <v>2014</v>
      </c>
      <c r="C2781" t="s">
        <v>280</v>
      </c>
      <c r="D2781">
        <v>67</v>
      </c>
      <c r="E2781">
        <v>34</v>
      </c>
      <c r="F2781">
        <v>86</v>
      </c>
      <c r="G2781">
        <v>0.01</v>
      </c>
      <c r="H2781">
        <v>0</v>
      </c>
      <c r="I2781">
        <v>97</v>
      </c>
      <c r="J2781">
        <v>88</v>
      </c>
      <c r="K2781">
        <v>23.2</v>
      </c>
      <c r="L2781">
        <v>121</v>
      </c>
      <c r="M2781">
        <v>97</v>
      </c>
      <c r="N2781">
        <v>5.58</v>
      </c>
      <c r="O2781">
        <v>97</v>
      </c>
      <c r="P2781">
        <v>1.4</v>
      </c>
      <c r="S2781">
        <v>6.8</v>
      </c>
      <c r="T2781">
        <v>6.6</v>
      </c>
      <c r="W2781" t="b">
        <f>COUNT(LifeExpectancyData[[#This Row],[Life expectancy]:[Schooling]])=19</f>
        <v>0</v>
      </c>
    </row>
    <row r="2782" spans="1:23" x14ac:dyDescent="0.25">
      <c r="A2782" t="s">
        <v>464</v>
      </c>
      <c r="B2782">
        <v>2013</v>
      </c>
      <c r="C2782" t="s">
        <v>280</v>
      </c>
      <c r="D2782">
        <v>59.7</v>
      </c>
      <c r="E2782">
        <v>323</v>
      </c>
      <c r="F2782">
        <v>86</v>
      </c>
      <c r="G2782">
        <v>4.2</v>
      </c>
      <c r="H2782">
        <v>0</v>
      </c>
      <c r="I2782">
        <v>91</v>
      </c>
      <c r="J2782">
        <v>185</v>
      </c>
      <c r="K2782">
        <v>22.5</v>
      </c>
      <c r="L2782">
        <v>124</v>
      </c>
      <c r="M2782">
        <v>91</v>
      </c>
      <c r="N2782">
        <v>5.57</v>
      </c>
      <c r="O2782">
        <v>91</v>
      </c>
      <c r="P2782">
        <v>2.1</v>
      </c>
      <c r="S2782">
        <v>6.8</v>
      </c>
      <c r="T2782">
        <v>6.7</v>
      </c>
      <c r="W2782" t="b">
        <f>COUNT(LifeExpectancyData[[#This Row],[Life expectancy]:[Schooling]])=19</f>
        <v>0</v>
      </c>
    </row>
    <row r="2783" spans="1:23" x14ac:dyDescent="0.25">
      <c r="A2783" t="s">
        <v>464</v>
      </c>
      <c r="B2783">
        <v>2012</v>
      </c>
      <c r="C2783" t="s">
        <v>280</v>
      </c>
      <c r="D2783">
        <v>58.6</v>
      </c>
      <c r="E2783">
        <v>348</v>
      </c>
      <c r="F2783">
        <v>87</v>
      </c>
      <c r="G2783">
        <v>3.98</v>
      </c>
      <c r="H2783">
        <v>0</v>
      </c>
      <c r="I2783">
        <v>92</v>
      </c>
      <c r="J2783">
        <v>1668</v>
      </c>
      <c r="K2783">
        <v>21.9</v>
      </c>
      <c r="L2783">
        <v>126</v>
      </c>
      <c r="M2783">
        <v>9</v>
      </c>
      <c r="N2783">
        <v>5.72</v>
      </c>
      <c r="O2783">
        <v>92</v>
      </c>
      <c r="P2783">
        <v>2.4</v>
      </c>
      <c r="S2783">
        <v>6.9</v>
      </c>
      <c r="T2783">
        <v>6.8</v>
      </c>
      <c r="W2783" t="b">
        <f>COUNT(LifeExpectancyData[[#This Row],[Life expectancy]:[Schooling]])=19</f>
        <v>0</v>
      </c>
    </row>
    <row r="2784" spans="1:23" x14ac:dyDescent="0.25">
      <c r="A2784" t="s">
        <v>464</v>
      </c>
      <c r="B2784">
        <v>2011</v>
      </c>
      <c r="C2784" t="s">
        <v>280</v>
      </c>
      <c r="D2784">
        <v>58.3</v>
      </c>
      <c r="E2784">
        <v>348</v>
      </c>
      <c r="F2784">
        <v>88</v>
      </c>
      <c r="G2784">
        <v>4.04</v>
      </c>
      <c r="H2784">
        <v>0</v>
      </c>
      <c r="I2784">
        <v>9</v>
      </c>
      <c r="J2784">
        <v>1622</v>
      </c>
      <c r="K2784">
        <v>21.3</v>
      </c>
      <c r="L2784">
        <v>128</v>
      </c>
      <c r="M2784">
        <v>88</v>
      </c>
      <c r="N2784">
        <v>5.72</v>
      </c>
      <c r="O2784">
        <v>9</v>
      </c>
      <c r="P2784">
        <v>3.1</v>
      </c>
      <c r="S2784">
        <v>7</v>
      </c>
      <c r="T2784">
        <v>6.9</v>
      </c>
      <c r="W2784" t="b">
        <f>COUNT(LifeExpectancyData[[#This Row],[Life expectancy]:[Schooling]])=19</f>
        <v>0</v>
      </c>
    </row>
    <row r="2785" spans="1:23" x14ac:dyDescent="0.25">
      <c r="A2785" t="s">
        <v>464</v>
      </c>
      <c r="B2785">
        <v>2010</v>
      </c>
      <c r="C2785" t="s">
        <v>280</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COUNT(LifeExpectancyData[[#This Row],[Life expectancy]:[Schooling]])=19</f>
        <v>0</v>
      </c>
    </row>
    <row r="2786" spans="1:23" x14ac:dyDescent="0.25">
      <c r="A2786" t="s">
        <v>464</v>
      </c>
      <c r="B2786">
        <v>2009</v>
      </c>
      <c r="C2786" t="s">
        <v>280</v>
      </c>
      <c r="D2786">
        <v>56.9</v>
      </c>
      <c r="E2786">
        <v>368</v>
      </c>
      <c r="F2786">
        <v>91</v>
      </c>
      <c r="G2786">
        <v>3.97</v>
      </c>
      <c r="H2786">
        <v>0</v>
      </c>
      <c r="I2786">
        <v>85</v>
      </c>
      <c r="J2786">
        <v>1574</v>
      </c>
      <c r="K2786">
        <v>2.2000000000000002</v>
      </c>
      <c r="L2786">
        <v>135</v>
      </c>
      <c r="M2786">
        <v>88</v>
      </c>
      <c r="N2786">
        <v>3.97</v>
      </c>
      <c r="O2786">
        <v>85</v>
      </c>
      <c r="P2786">
        <v>6.4</v>
      </c>
      <c r="S2786">
        <v>7.2</v>
      </c>
      <c r="T2786">
        <v>7.2</v>
      </c>
      <c r="W2786" t="b">
        <f>COUNT(LifeExpectancyData[[#This Row],[Life expectancy]:[Schooling]])=19</f>
        <v>0</v>
      </c>
    </row>
    <row r="2787" spans="1:23" x14ac:dyDescent="0.25">
      <c r="A2787" t="s">
        <v>464</v>
      </c>
      <c r="B2787">
        <v>2008</v>
      </c>
      <c r="C2787" t="s">
        <v>280</v>
      </c>
      <c r="D2787">
        <v>56.2</v>
      </c>
      <c r="E2787">
        <v>376</v>
      </c>
      <c r="F2787">
        <v>92</v>
      </c>
      <c r="G2787">
        <v>3.44</v>
      </c>
      <c r="H2787">
        <v>0</v>
      </c>
      <c r="I2787">
        <v>86</v>
      </c>
      <c r="J2787">
        <v>3413</v>
      </c>
      <c r="K2787">
        <v>19.600000000000001</v>
      </c>
      <c r="L2787">
        <v>138</v>
      </c>
      <c r="M2787">
        <v>89</v>
      </c>
      <c r="N2787">
        <v>4.21</v>
      </c>
      <c r="O2787">
        <v>86</v>
      </c>
      <c r="P2787">
        <v>7.4</v>
      </c>
      <c r="S2787">
        <v>7.3</v>
      </c>
      <c r="T2787">
        <v>7.3</v>
      </c>
      <c r="W2787" t="b">
        <f>COUNT(LifeExpectancyData[[#This Row],[Life expectancy]:[Schooling]])=19</f>
        <v>0</v>
      </c>
    </row>
    <row r="2788" spans="1:23" x14ac:dyDescent="0.25">
      <c r="A2788" t="s">
        <v>464</v>
      </c>
      <c r="B2788">
        <v>2007</v>
      </c>
      <c r="C2788" t="s">
        <v>280</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COUNT(LifeExpectancyData[[#This Row],[Life expectancy]:[Schooling]])=19</f>
        <v>0</v>
      </c>
    </row>
    <row r="2789" spans="1:23" x14ac:dyDescent="0.25">
      <c r="A2789" t="s">
        <v>464</v>
      </c>
      <c r="B2789">
        <v>2006</v>
      </c>
      <c r="C2789" t="s">
        <v>280</v>
      </c>
      <c r="D2789">
        <v>53.1</v>
      </c>
      <c r="E2789">
        <v>437</v>
      </c>
      <c r="F2789">
        <v>96</v>
      </c>
      <c r="G2789">
        <v>4.07</v>
      </c>
      <c r="H2789">
        <v>0</v>
      </c>
      <c r="I2789">
        <v>9</v>
      </c>
      <c r="J2789">
        <v>2362</v>
      </c>
      <c r="K2789">
        <v>18.600000000000001</v>
      </c>
      <c r="L2789">
        <v>145</v>
      </c>
      <c r="M2789">
        <v>91</v>
      </c>
      <c r="N2789">
        <v>6.86</v>
      </c>
      <c r="O2789">
        <v>9</v>
      </c>
      <c r="P2789">
        <v>9.4</v>
      </c>
      <c r="S2789">
        <v>7.6</v>
      </c>
      <c r="T2789">
        <v>7.5</v>
      </c>
      <c r="W2789" t="b">
        <f>COUNT(LifeExpectancyData[[#This Row],[Life expectancy]:[Schooling]])=19</f>
        <v>0</v>
      </c>
    </row>
    <row r="2790" spans="1:23" x14ac:dyDescent="0.25">
      <c r="A2790" t="s">
        <v>464</v>
      </c>
      <c r="B2790">
        <v>2005</v>
      </c>
      <c r="C2790" t="s">
        <v>280</v>
      </c>
      <c r="D2790">
        <v>52.2</v>
      </c>
      <c r="E2790">
        <v>449</v>
      </c>
      <c r="F2790">
        <v>97</v>
      </c>
      <c r="G2790">
        <v>3.94</v>
      </c>
      <c r="H2790">
        <v>0</v>
      </c>
      <c r="I2790">
        <v>9</v>
      </c>
      <c r="J2790">
        <v>23</v>
      </c>
      <c r="K2790">
        <v>18.100000000000001</v>
      </c>
      <c r="L2790">
        <v>149</v>
      </c>
      <c r="M2790">
        <v>91</v>
      </c>
      <c r="N2790">
        <v>4.66</v>
      </c>
      <c r="O2790">
        <v>9</v>
      </c>
      <c r="P2790">
        <v>10</v>
      </c>
      <c r="S2790">
        <v>7.7</v>
      </c>
      <c r="T2790">
        <v>7.6</v>
      </c>
      <c r="W2790" t="b">
        <f>COUNT(LifeExpectancyData[[#This Row],[Life expectancy]:[Schooling]])=19</f>
        <v>0</v>
      </c>
    </row>
    <row r="2791" spans="1:23" x14ac:dyDescent="0.25">
      <c r="A2791" t="s">
        <v>464</v>
      </c>
      <c r="B2791">
        <v>2004</v>
      </c>
      <c r="C2791" t="s">
        <v>280</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COUNT(LifeExpectancyData[[#This Row],[Life expectancy]:[Schooling]])=19</f>
        <v>0</v>
      </c>
    </row>
    <row r="2792" spans="1:23" x14ac:dyDescent="0.25">
      <c r="A2792" t="s">
        <v>464</v>
      </c>
      <c r="B2792">
        <v>2003</v>
      </c>
      <c r="C2792" t="s">
        <v>280</v>
      </c>
      <c r="D2792">
        <v>58</v>
      </c>
      <c r="E2792">
        <v>459</v>
      </c>
      <c r="F2792">
        <v>103</v>
      </c>
      <c r="G2792">
        <v>2.34</v>
      </c>
      <c r="H2792">
        <v>0</v>
      </c>
      <c r="I2792">
        <v>95</v>
      </c>
      <c r="J2792">
        <v>1673</v>
      </c>
      <c r="K2792">
        <v>17.2</v>
      </c>
      <c r="L2792">
        <v>160</v>
      </c>
      <c r="M2792">
        <v>97</v>
      </c>
      <c r="N2792">
        <v>4.5999999999999996</v>
      </c>
      <c r="O2792">
        <v>95</v>
      </c>
      <c r="P2792">
        <v>11.5</v>
      </c>
      <c r="S2792">
        <v>7.9</v>
      </c>
      <c r="T2792">
        <v>7.9</v>
      </c>
      <c r="W2792" t="b">
        <f>COUNT(LifeExpectancyData[[#This Row],[Life expectancy]:[Schooling]])=19</f>
        <v>0</v>
      </c>
    </row>
    <row r="2793" spans="1:23" x14ac:dyDescent="0.25">
      <c r="A2793" t="s">
        <v>464</v>
      </c>
      <c r="B2793">
        <v>2002</v>
      </c>
      <c r="C2793" t="s">
        <v>280</v>
      </c>
      <c r="D2793">
        <v>52</v>
      </c>
      <c r="E2793">
        <v>46</v>
      </c>
      <c r="F2793">
        <v>106</v>
      </c>
      <c r="G2793">
        <v>3.37</v>
      </c>
      <c r="H2793">
        <v>0</v>
      </c>
      <c r="I2793">
        <v>89</v>
      </c>
      <c r="J2793">
        <v>5131</v>
      </c>
      <c r="K2793">
        <v>16.8</v>
      </c>
      <c r="L2793">
        <v>166</v>
      </c>
      <c r="M2793">
        <v>91</v>
      </c>
      <c r="N2793">
        <v>3.59</v>
      </c>
      <c r="O2793">
        <v>89</v>
      </c>
      <c r="P2793">
        <v>12.1</v>
      </c>
      <c r="S2793">
        <v>8</v>
      </c>
      <c r="T2793">
        <v>8</v>
      </c>
      <c r="W2793" t="b">
        <f>COUNT(LifeExpectancyData[[#This Row],[Life expectancy]:[Schooling]])=19</f>
        <v>0</v>
      </c>
    </row>
    <row r="2794" spans="1:23" x14ac:dyDescent="0.25">
      <c r="A2794" t="s">
        <v>464</v>
      </c>
      <c r="B2794">
        <v>2001</v>
      </c>
      <c r="C2794" t="s">
        <v>280</v>
      </c>
      <c r="D2794">
        <v>49.6</v>
      </c>
      <c r="E2794">
        <v>46</v>
      </c>
      <c r="F2794">
        <v>110</v>
      </c>
      <c r="G2794">
        <v>4.09</v>
      </c>
      <c r="H2794">
        <v>0</v>
      </c>
      <c r="J2794">
        <v>11847</v>
      </c>
      <c r="K2794">
        <v>16.399999999999999</v>
      </c>
      <c r="L2794">
        <v>173</v>
      </c>
      <c r="M2794">
        <v>65</v>
      </c>
      <c r="N2794">
        <v>3.28</v>
      </c>
      <c r="O2794">
        <v>87</v>
      </c>
      <c r="P2794">
        <v>12.5</v>
      </c>
      <c r="S2794">
        <v>8.1999999999999993</v>
      </c>
      <c r="T2794">
        <v>8.1</v>
      </c>
      <c r="W2794" t="b">
        <f>COUNT(LifeExpectancyData[[#This Row],[Life expectancy]:[Schooling]])=19</f>
        <v>0</v>
      </c>
    </row>
    <row r="2795" spans="1:23" x14ac:dyDescent="0.25">
      <c r="A2795" t="s">
        <v>464</v>
      </c>
      <c r="B2795">
        <v>2000</v>
      </c>
      <c r="C2795" t="s">
        <v>280</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COUNT(LifeExpectancyData[[#This Row],[Life expectancy]:[Schooling]])=19</f>
        <v>0</v>
      </c>
    </row>
    <row r="2796" spans="1:23" x14ac:dyDescent="0.25">
      <c r="A2796" t="s">
        <v>465</v>
      </c>
      <c r="B2796">
        <v>2015</v>
      </c>
      <c r="C2796" t="s">
        <v>288</v>
      </c>
      <c r="D2796">
        <v>79.3</v>
      </c>
      <c r="E2796">
        <v>13</v>
      </c>
      <c r="F2796">
        <v>23</v>
      </c>
      <c r="H2796">
        <v>0</v>
      </c>
      <c r="I2796">
        <v>92</v>
      </c>
      <c r="J2796">
        <v>188</v>
      </c>
      <c r="K2796">
        <v>69.599999999999994</v>
      </c>
      <c r="L2796">
        <v>26</v>
      </c>
      <c r="M2796">
        <v>93</v>
      </c>
      <c r="O2796">
        <v>95</v>
      </c>
      <c r="P2796">
        <v>0.1</v>
      </c>
      <c r="S2796">
        <v>0.8</v>
      </c>
      <c r="T2796">
        <v>0.6</v>
      </c>
      <c r="W2796" t="b">
        <f>COUNT(LifeExpectancyData[[#This Row],[Life expectancy]:[Schooling]])=19</f>
        <v>0</v>
      </c>
    </row>
    <row r="2797" spans="1:23" x14ac:dyDescent="0.25">
      <c r="A2797" t="s">
        <v>465</v>
      </c>
      <c r="B2797">
        <v>2014</v>
      </c>
      <c r="C2797" t="s">
        <v>288</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COUNT(LifeExpectancyData[[#This Row],[Life expectancy]:[Schooling]])=19</f>
        <v>0</v>
      </c>
    </row>
    <row r="2798" spans="1:23" x14ac:dyDescent="0.25">
      <c r="A2798" t="s">
        <v>465</v>
      </c>
      <c r="B2798">
        <v>2013</v>
      </c>
      <c r="C2798" t="s">
        <v>288</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COUNT(LifeExpectancyData[[#This Row],[Life expectancy]:[Schooling]])=19</f>
        <v>0</v>
      </c>
    </row>
    <row r="2799" spans="1:23" x14ac:dyDescent="0.25">
      <c r="A2799" t="s">
        <v>465</v>
      </c>
      <c r="B2799">
        <v>2012</v>
      </c>
      <c r="C2799" t="s">
        <v>288</v>
      </c>
      <c r="D2799">
        <v>78.8</v>
      </c>
      <c r="E2799">
        <v>16</v>
      </c>
      <c r="F2799">
        <v>24</v>
      </c>
      <c r="G2799">
        <v>8.82</v>
      </c>
      <c r="H2799">
        <v>0</v>
      </c>
      <c r="I2799">
        <v>9</v>
      </c>
      <c r="J2799">
        <v>55</v>
      </c>
      <c r="K2799">
        <v>68</v>
      </c>
      <c r="L2799">
        <v>28</v>
      </c>
      <c r="M2799">
        <v>93</v>
      </c>
      <c r="N2799">
        <v>17.2</v>
      </c>
      <c r="O2799">
        <v>94</v>
      </c>
      <c r="P2799">
        <v>0.1</v>
      </c>
      <c r="S2799">
        <v>0.7</v>
      </c>
      <c r="T2799">
        <v>0.6</v>
      </c>
      <c r="W2799" t="b">
        <f>COUNT(LifeExpectancyData[[#This Row],[Life expectancy]:[Schooling]])=19</f>
        <v>0</v>
      </c>
    </row>
    <row r="2800" spans="1:23" x14ac:dyDescent="0.25">
      <c r="A2800" t="s">
        <v>465</v>
      </c>
      <c r="B2800">
        <v>2011</v>
      </c>
      <c r="C2800" t="s">
        <v>288</v>
      </c>
      <c r="D2800">
        <v>78.7</v>
      </c>
      <c r="E2800">
        <v>16</v>
      </c>
      <c r="F2800">
        <v>25</v>
      </c>
      <c r="G2800">
        <v>8.67</v>
      </c>
      <c r="H2800">
        <v>0</v>
      </c>
      <c r="I2800">
        <v>91</v>
      </c>
      <c r="J2800">
        <v>220</v>
      </c>
      <c r="K2800">
        <v>67.5</v>
      </c>
      <c r="L2800">
        <v>29</v>
      </c>
      <c r="M2800">
        <v>94</v>
      </c>
      <c r="N2800">
        <v>17.600000000000001</v>
      </c>
      <c r="O2800">
        <v>96</v>
      </c>
      <c r="P2800">
        <v>0.1</v>
      </c>
      <c r="S2800">
        <v>0.7</v>
      </c>
      <c r="T2800">
        <v>0.6</v>
      </c>
      <c r="W2800" t="b">
        <f>COUNT(LifeExpectancyData[[#This Row],[Life expectancy]:[Schooling]])=19</f>
        <v>0</v>
      </c>
    </row>
    <row r="2801" spans="1:23" x14ac:dyDescent="0.25">
      <c r="A2801" t="s">
        <v>465</v>
      </c>
      <c r="B2801">
        <v>2010</v>
      </c>
      <c r="C2801" t="s">
        <v>288</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COUNT(LifeExpectancyData[[#This Row],[Life expectancy]:[Schooling]])=19</f>
        <v>0</v>
      </c>
    </row>
    <row r="2802" spans="1:23" x14ac:dyDescent="0.25">
      <c r="A2802" t="s">
        <v>465</v>
      </c>
      <c r="B2802">
        <v>2009</v>
      </c>
      <c r="C2802" t="s">
        <v>288</v>
      </c>
      <c r="D2802">
        <v>78.5</v>
      </c>
      <c r="E2802">
        <v>18</v>
      </c>
      <c r="F2802">
        <v>26</v>
      </c>
      <c r="G2802">
        <v>8.7100000000000009</v>
      </c>
      <c r="H2802">
        <v>0</v>
      </c>
      <c r="I2802">
        <v>92</v>
      </c>
      <c r="J2802">
        <v>71</v>
      </c>
      <c r="K2802">
        <v>66.3</v>
      </c>
      <c r="L2802">
        <v>31</v>
      </c>
      <c r="M2802">
        <v>93</v>
      </c>
      <c r="N2802">
        <v>17</v>
      </c>
      <c r="O2802">
        <v>95</v>
      </c>
      <c r="P2802">
        <v>0.1</v>
      </c>
      <c r="S2802">
        <v>0.7</v>
      </c>
      <c r="T2802">
        <v>0.6</v>
      </c>
      <c r="W2802" t="b">
        <f>COUNT(LifeExpectancyData[[#This Row],[Life expectancy]:[Schooling]])=19</f>
        <v>0</v>
      </c>
    </row>
    <row r="2803" spans="1:23" x14ac:dyDescent="0.25">
      <c r="A2803" t="s">
        <v>465</v>
      </c>
      <c r="B2803">
        <v>2008</v>
      </c>
      <c r="C2803" t="s">
        <v>288</v>
      </c>
      <c r="D2803">
        <v>78.2</v>
      </c>
      <c r="E2803">
        <v>18</v>
      </c>
      <c r="F2803">
        <v>27</v>
      </c>
      <c r="G2803">
        <v>8.74</v>
      </c>
      <c r="H2803">
        <v>0</v>
      </c>
      <c r="I2803">
        <v>94</v>
      </c>
      <c r="J2803">
        <v>140</v>
      </c>
      <c r="K2803">
        <v>65.7</v>
      </c>
      <c r="L2803">
        <v>31</v>
      </c>
      <c r="M2803">
        <v>94</v>
      </c>
      <c r="N2803">
        <v>16.2</v>
      </c>
      <c r="O2803">
        <v>96</v>
      </c>
      <c r="P2803">
        <v>0.1</v>
      </c>
      <c r="S2803">
        <v>0.7</v>
      </c>
      <c r="T2803">
        <v>0.6</v>
      </c>
      <c r="W2803" t="b">
        <f>COUNT(LifeExpectancyData[[#This Row],[Life expectancy]:[Schooling]])=19</f>
        <v>0</v>
      </c>
    </row>
    <row r="2804" spans="1:23" x14ac:dyDescent="0.25">
      <c r="A2804" t="s">
        <v>465</v>
      </c>
      <c r="B2804">
        <v>2007</v>
      </c>
      <c r="C2804" t="s">
        <v>288</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COUNT(LifeExpectancyData[[#This Row],[Life expectancy]:[Schooling]])=19</f>
        <v>0</v>
      </c>
    </row>
    <row r="2805" spans="1:23" x14ac:dyDescent="0.25">
      <c r="A2805" t="s">
        <v>465</v>
      </c>
      <c r="B2805">
        <v>2006</v>
      </c>
      <c r="C2805" t="s">
        <v>288</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COUNT(LifeExpectancyData[[#This Row],[Life expectancy]:[Schooling]])=19</f>
        <v>0</v>
      </c>
    </row>
    <row r="2806" spans="1:23" x14ac:dyDescent="0.25">
      <c r="A2806" t="s">
        <v>465</v>
      </c>
      <c r="B2806">
        <v>2005</v>
      </c>
      <c r="C2806" t="s">
        <v>288</v>
      </c>
      <c r="D2806">
        <v>77.5</v>
      </c>
      <c r="E2806">
        <v>112</v>
      </c>
      <c r="F2806">
        <v>28</v>
      </c>
      <c r="G2806">
        <v>8.52</v>
      </c>
      <c r="H2806">
        <v>0</v>
      </c>
      <c r="I2806">
        <v>93</v>
      </c>
      <c r="J2806">
        <v>66</v>
      </c>
      <c r="K2806">
        <v>63.8</v>
      </c>
      <c r="L2806">
        <v>33</v>
      </c>
      <c r="M2806">
        <v>92</v>
      </c>
      <c r="N2806">
        <v>15.15</v>
      </c>
      <c r="O2806">
        <v>96</v>
      </c>
      <c r="P2806">
        <v>0.1</v>
      </c>
      <c r="S2806">
        <v>0.7</v>
      </c>
      <c r="T2806">
        <v>0.6</v>
      </c>
      <c r="W2806" t="b">
        <f>COUNT(LifeExpectancyData[[#This Row],[Life expectancy]:[Schooling]])=19</f>
        <v>0</v>
      </c>
    </row>
    <row r="2807" spans="1:23" x14ac:dyDescent="0.25">
      <c r="A2807" t="s">
        <v>465</v>
      </c>
      <c r="B2807">
        <v>2004</v>
      </c>
      <c r="C2807" t="s">
        <v>288</v>
      </c>
      <c r="D2807">
        <v>77.5</v>
      </c>
      <c r="E2807">
        <v>111</v>
      </c>
      <c r="F2807">
        <v>28</v>
      </c>
      <c r="G2807">
        <v>8.48</v>
      </c>
      <c r="H2807">
        <v>0</v>
      </c>
      <c r="I2807">
        <v>92</v>
      </c>
      <c r="J2807">
        <v>37</v>
      </c>
      <c r="K2807">
        <v>63.1</v>
      </c>
      <c r="L2807">
        <v>33</v>
      </c>
      <c r="M2807">
        <v>92</v>
      </c>
      <c r="N2807">
        <v>15.14</v>
      </c>
      <c r="O2807">
        <v>96</v>
      </c>
      <c r="P2807">
        <v>0.1</v>
      </c>
      <c r="S2807">
        <v>0.7</v>
      </c>
      <c r="T2807">
        <v>0.6</v>
      </c>
      <c r="W2807" t="b">
        <f>COUNT(LifeExpectancyData[[#This Row],[Life expectancy]:[Schooling]])=19</f>
        <v>0</v>
      </c>
    </row>
    <row r="2808" spans="1:23" x14ac:dyDescent="0.25">
      <c r="A2808" t="s">
        <v>465</v>
      </c>
      <c r="B2808">
        <v>2003</v>
      </c>
      <c r="C2808" t="s">
        <v>288</v>
      </c>
      <c r="D2808">
        <v>77.2</v>
      </c>
      <c r="E2808">
        <v>114</v>
      </c>
      <c r="F2808">
        <v>28</v>
      </c>
      <c r="G2808">
        <v>8.4</v>
      </c>
      <c r="H2808">
        <v>0</v>
      </c>
      <c r="I2808">
        <v>92</v>
      </c>
      <c r="J2808">
        <v>56</v>
      </c>
      <c r="K2808">
        <v>62.4</v>
      </c>
      <c r="L2808">
        <v>33</v>
      </c>
      <c r="M2808">
        <v>91</v>
      </c>
      <c r="N2808">
        <v>15.6</v>
      </c>
      <c r="O2808">
        <v>96</v>
      </c>
      <c r="P2808">
        <v>0.1</v>
      </c>
      <c r="S2808">
        <v>0.7</v>
      </c>
      <c r="T2808">
        <v>0.6</v>
      </c>
      <c r="W2808" t="b">
        <f>COUNT(LifeExpectancyData[[#This Row],[Life expectancy]:[Schooling]])=19</f>
        <v>0</v>
      </c>
    </row>
    <row r="2809" spans="1:23" x14ac:dyDescent="0.25">
      <c r="A2809" t="s">
        <v>465</v>
      </c>
      <c r="B2809">
        <v>2002</v>
      </c>
      <c r="C2809" t="s">
        <v>288</v>
      </c>
      <c r="D2809">
        <v>77</v>
      </c>
      <c r="E2809">
        <v>115</v>
      </c>
      <c r="F2809">
        <v>28</v>
      </c>
      <c r="G2809">
        <v>8.33</v>
      </c>
      <c r="H2809">
        <v>0</v>
      </c>
      <c r="I2809">
        <v>88</v>
      </c>
      <c r="J2809">
        <v>41</v>
      </c>
      <c r="K2809">
        <v>61.7</v>
      </c>
      <c r="L2809">
        <v>33</v>
      </c>
      <c r="M2809">
        <v>9</v>
      </c>
      <c r="N2809">
        <v>14.55</v>
      </c>
      <c r="O2809">
        <v>94</v>
      </c>
      <c r="P2809">
        <v>0.1</v>
      </c>
      <c r="S2809">
        <v>0.8</v>
      </c>
      <c r="T2809">
        <v>0.6</v>
      </c>
      <c r="W2809" t="b">
        <f>COUNT(LifeExpectancyData[[#This Row],[Life expectancy]:[Schooling]])=19</f>
        <v>0</v>
      </c>
    </row>
    <row r="2810" spans="1:23" x14ac:dyDescent="0.25">
      <c r="A2810" t="s">
        <v>465</v>
      </c>
      <c r="B2810">
        <v>2001</v>
      </c>
      <c r="C2810" t="s">
        <v>288</v>
      </c>
      <c r="D2810">
        <v>76.900000000000006</v>
      </c>
      <c r="E2810">
        <v>115</v>
      </c>
      <c r="F2810">
        <v>28</v>
      </c>
      <c r="G2810">
        <v>8.25</v>
      </c>
      <c r="H2810">
        <v>0</v>
      </c>
      <c r="I2810">
        <v>89</v>
      </c>
      <c r="J2810">
        <v>116</v>
      </c>
      <c r="K2810">
        <v>6.9</v>
      </c>
      <c r="L2810">
        <v>33</v>
      </c>
      <c r="M2810">
        <v>89</v>
      </c>
      <c r="N2810">
        <v>13.73</v>
      </c>
      <c r="O2810">
        <v>94</v>
      </c>
      <c r="P2810">
        <v>0.1</v>
      </c>
      <c r="S2810">
        <v>0.8</v>
      </c>
      <c r="T2810">
        <v>0.6</v>
      </c>
      <c r="W2810" t="b">
        <f>COUNT(LifeExpectancyData[[#This Row],[Life expectancy]:[Schooling]])=19</f>
        <v>0</v>
      </c>
    </row>
    <row r="2811" spans="1:23" x14ac:dyDescent="0.25">
      <c r="A2811" t="s">
        <v>465</v>
      </c>
      <c r="B2811">
        <v>2000</v>
      </c>
      <c r="C2811" t="s">
        <v>288</v>
      </c>
      <c r="D2811">
        <v>76.8</v>
      </c>
      <c r="E2811">
        <v>114</v>
      </c>
      <c r="F2811">
        <v>28</v>
      </c>
      <c r="G2811">
        <v>8.2100000000000009</v>
      </c>
      <c r="H2811">
        <v>0</v>
      </c>
      <c r="I2811">
        <v>9</v>
      </c>
      <c r="J2811">
        <v>85</v>
      </c>
      <c r="K2811">
        <v>6.1</v>
      </c>
      <c r="L2811">
        <v>33</v>
      </c>
      <c r="M2811">
        <v>9</v>
      </c>
      <c r="N2811">
        <v>13.7</v>
      </c>
      <c r="O2811">
        <v>94</v>
      </c>
      <c r="P2811">
        <v>0.1</v>
      </c>
      <c r="S2811">
        <v>0.8</v>
      </c>
      <c r="T2811">
        <v>0.7</v>
      </c>
      <c r="W2811" t="b">
        <f>COUNT(LifeExpectancyData[[#This Row],[Life expectancy]:[Schooling]])=19</f>
        <v>0</v>
      </c>
    </row>
    <row r="2812" spans="1:23" x14ac:dyDescent="0.25">
      <c r="A2812" t="s">
        <v>466</v>
      </c>
      <c r="B2812">
        <v>2015</v>
      </c>
      <c r="C2812" t="s">
        <v>280</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COUNT(LifeExpectancyData[[#This Row],[Life expectancy]:[Schooling]])=19</f>
        <v>0</v>
      </c>
    </row>
    <row r="2813" spans="1:23" x14ac:dyDescent="0.25">
      <c r="A2813" t="s">
        <v>466</v>
      </c>
      <c r="B2813">
        <v>2014</v>
      </c>
      <c r="C2813" t="s">
        <v>280</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COUNT(LifeExpectancyData[[#This Row],[Life expectancy]:[Schooling]])=19</f>
        <v>1</v>
      </c>
    </row>
    <row r="2814" spans="1:23" x14ac:dyDescent="0.25">
      <c r="A2814" t="s">
        <v>466</v>
      </c>
      <c r="B2814">
        <v>2013</v>
      </c>
      <c r="C2814" t="s">
        <v>280</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COUNT(LifeExpectancyData[[#This Row],[Life expectancy]:[Schooling]])=19</f>
        <v>1</v>
      </c>
    </row>
    <row r="2815" spans="1:23" x14ac:dyDescent="0.25">
      <c r="A2815" t="s">
        <v>466</v>
      </c>
      <c r="B2815">
        <v>2012</v>
      </c>
      <c r="C2815" t="s">
        <v>280</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COUNT(LifeExpectancyData[[#This Row],[Life expectancy]:[Schooling]])=19</f>
        <v>1</v>
      </c>
    </row>
    <row r="2816" spans="1:23" x14ac:dyDescent="0.25">
      <c r="A2816" t="s">
        <v>466</v>
      </c>
      <c r="B2816">
        <v>2011</v>
      </c>
      <c r="C2816" t="s">
        <v>280</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COUNT(LifeExpectancyData[[#This Row],[Life expectancy]:[Schooling]])=19</f>
        <v>1</v>
      </c>
    </row>
    <row r="2817" spans="1:23" x14ac:dyDescent="0.25">
      <c r="A2817" t="s">
        <v>466</v>
      </c>
      <c r="B2817">
        <v>2010</v>
      </c>
      <c r="C2817" t="s">
        <v>280</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COUNT(LifeExpectancyData[[#This Row],[Life expectancy]:[Schooling]])=19</f>
        <v>1</v>
      </c>
    </row>
    <row r="2818" spans="1:23" x14ac:dyDescent="0.25">
      <c r="A2818" t="s">
        <v>466</v>
      </c>
      <c r="B2818">
        <v>2009</v>
      </c>
      <c r="C2818" t="s">
        <v>280</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COUNT(LifeExpectancyData[[#This Row],[Life expectancy]:[Schooling]])=19</f>
        <v>1</v>
      </c>
    </row>
    <row r="2819" spans="1:23" x14ac:dyDescent="0.25">
      <c r="A2819" t="s">
        <v>466</v>
      </c>
      <c r="B2819">
        <v>2008</v>
      </c>
      <c r="C2819" t="s">
        <v>280</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COUNT(LifeExpectancyData[[#This Row],[Life expectancy]:[Schooling]])=19</f>
        <v>1</v>
      </c>
    </row>
    <row r="2820" spans="1:23" x14ac:dyDescent="0.25">
      <c r="A2820" t="s">
        <v>466</v>
      </c>
      <c r="B2820">
        <v>2007</v>
      </c>
      <c r="C2820" t="s">
        <v>280</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COUNT(LifeExpectancyData[[#This Row],[Life expectancy]:[Schooling]])=19</f>
        <v>1</v>
      </c>
    </row>
    <row r="2821" spans="1:23" x14ac:dyDescent="0.25">
      <c r="A2821" t="s">
        <v>466</v>
      </c>
      <c r="B2821">
        <v>2006</v>
      </c>
      <c r="C2821" t="s">
        <v>280</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COUNT(LifeExpectancyData[[#This Row],[Life expectancy]:[Schooling]])=19</f>
        <v>1</v>
      </c>
    </row>
    <row r="2822" spans="1:23" x14ac:dyDescent="0.25">
      <c r="A2822" t="s">
        <v>466</v>
      </c>
      <c r="B2822">
        <v>2005</v>
      </c>
      <c r="C2822" t="s">
        <v>280</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COUNT(LifeExpectancyData[[#This Row],[Life expectancy]:[Schooling]])=19</f>
        <v>1</v>
      </c>
    </row>
    <row r="2823" spans="1:23" x14ac:dyDescent="0.25">
      <c r="A2823" t="s">
        <v>466</v>
      </c>
      <c r="B2823">
        <v>2004</v>
      </c>
      <c r="C2823" t="s">
        <v>280</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COUNT(LifeExpectancyData[[#This Row],[Life expectancy]:[Schooling]])=19</f>
        <v>1</v>
      </c>
    </row>
    <row r="2824" spans="1:23" x14ac:dyDescent="0.25">
      <c r="A2824" t="s">
        <v>466</v>
      </c>
      <c r="B2824">
        <v>2003</v>
      </c>
      <c r="C2824" t="s">
        <v>280</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COUNT(LifeExpectancyData[[#This Row],[Life expectancy]:[Schooling]])=19</f>
        <v>1</v>
      </c>
    </row>
    <row r="2825" spans="1:23" x14ac:dyDescent="0.25">
      <c r="A2825" t="s">
        <v>466</v>
      </c>
      <c r="B2825">
        <v>2002</v>
      </c>
      <c r="C2825" t="s">
        <v>280</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COUNT(LifeExpectancyData[[#This Row],[Life expectancy]:[Schooling]])=19</f>
        <v>1</v>
      </c>
    </row>
    <row r="2826" spans="1:23" x14ac:dyDescent="0.25">
      <c r="A2826" t="s">
        <v>466</v>
      </c>
      <c r="B2826">
        <v>2001</v>
      </c>
      <c r="C2826" t="s">
        <v>280</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COUNT(LifeExpectancyData[[#This Row],[Life expectancy]:[Schooling]])=19</f>
        <v>1</v>
      </c>
    </row>
    <row r="2827" spans="1:23" x14ac:dyDescent="0.25">
      <c r="A2827" t="s">
        <v>466</v>
      </c>
      <c r="B2827">
        <v>2000</v>
      </c>
      <c r="C2827" t="s">
        <v>280</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COUNT(LifeExpectancyData[[#This Row],[Life expectancy]:[Schooling]])=19</f>
        <v>1</v>
      </c>
    </row>
    <row r="2828" spans="1:23" x14ac:dyDescent="0.25">
      <c r="A2828" t="s">
        <v>467</v>
      </c>
      <c r="B2828">
        <v>2015</v>
      </c>
      <c r="C2828" t="s">
        <v>280</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COUNT(LifeExpectancyData[[#This Row],[Life expectancy]:[Schooling]])=19</f>
        <v>0</v>
      </c>
    </row>
    <row r="2829" spans="1:23" x14ac:dyDescent="0.25">
      <c r="A2829" t="s">
        <v>467</v>
      </c>
      <c r="B2829">
        <v>2014</v>
      </c>
      <c r="C2829" t="s">
        <v>280</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COUNT(LifeExpectancyData[[#This Row],[Life expectancy]:[Schooling]])=19</f>
        <v>1</v>
      </c>
    </row>
    <row r="2830" spans="1:23" x14ac:dyDescent="0.25">
      <c r="A2830" t="s">
        <v>467</v>
      </c>
      <c r="B2830">
        <v>2013</v>
      </c>
      <c r="C2830" t="s">
        <v>280</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COUNT(LifeExpectancyData[[#This Row],[Life expectancy]:[Schooling]])=19</f>
        <v>1</v>
      </c>
    </row>
    <row r="2831" spans="1:23" x14ac:dyDescent="0.25">
      <c r="A2831" t="s">
        <v>467</v>
      </c>
      <c r="B2831">
        <v>2012</v>
      </c>
      <c r="C2831" t="s">
        <v>280</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COUNT(LifeExpectancyData[[#This Row],[Life expectancy]:[Schooling]])=19</f>
        <v>1</v>
      </c>
    </row>
    <row r="2832" spans="1:23" x14ac:dyDescent="0.25">
      <c r="A2832" t="s">
        <v>467</v>
      </c>
      <c r="B2832">
        <v>2011</v>
      </c>
      <c r="C2832" t="s">
        <v>280</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COUNT(LifeExpectancyData[[#This Row],[Life expectancy]:[Schooling]])=19</f>
        <v>1</v>
      </c>
    </row>
    <row r="2833" spans="1:23" x14ac:dyDescent="0.25">
      <c r="A2833" t="s">
        <v>467</v>
      </c>
      <c r="B2833">
        <v>2010</v>
      </c>
      <c r="C2833" t="s">
        <v>280</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COUNT(LifeExpectancyData[[#This Row],[Life expectancy]:[Schooling]])=19</f>
        <v>1</v>
      </c>
    </row>
    <row r="2834" spans="1:23" x14ac:dyDescent="0.25">
      <c r="A2834" t="s">
        <v>467</v>
      </c>
      <c r="B2834">
        <v>2009</v>
      </c>
      <c r="C2834" t="s">
        <v>280</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COUNT(LifeExpectancyData[[#This Row],[Life expectancy]:[Schooling]])=19</f>
        <v>1</v>
      </c>
    </row>
    <row r="2835" spans="1:23" x14ac:dyDescent="0.25">
      <c r="A2835" t="s">
        <v>467</v>
      </c>
      <c r="B2835">
        <v>2008</v>
      </c>
      <c r="C2835" t="s">
        <v>280</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COUNT(LifeExpectancyData[[#This Row],[Life expectancy]:[Schooling]])=19</f>
        <v>1</v>
      </c>
    </row>
    <row r="2836" spans="1:23" x14ac:dyDescent="0.25">
      <c r="A2836" t="s">
        <v>467</v>
      </c>
      <c r="B2836">
        <v>2007</v>
      </c>
      <c r="C2836" t="s">
        <v>280</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COUNT(LifeExpectancyData[[#This Row],[Life expectancy]:[Schooling]])=19</f>
        <v>1</v>
      </c>
    </row>
    <row r="2837" spans="1:23" x14ac:dyDescent="0.25">
      <c r="A2837" t="s">
        <v>467</v>
      </c>
      <c r="B2837">
        <v>2006</v>
      </c>
      <c r="C2837" t="s">
        <v>280</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COUNT(LifeExpectancyData[[#This Row],[Life expectancy]:[Schooling]])=19</f>
        <v>1</v>
      </c>
    </row>
    <row r="2838" spans="1:23" x14ac:dyDescent="0.25">
      <c r="A2838" t="s">
        <v>467</v>
      </c>
      <c r="B2838">
        <v>2005</v>
      </c>
      <c r="C2838" t="s">
        <v>280</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COUNT(LifeExpectancyData[[#This Row],[Life expectancy]:[Schooling]])=19</f>
        <v>1</v>
      </c>
    </row>
    <row r="2839" spans="1:23" x14ac:dyDescent="0.25">
      <c r="A2839" t="s">
        <v>467</v>
      </c>
      <c r="B2839">
        <v>2004</v>
      </c>
      <c r="C2839" t="s">
        <v>280</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COUNT(LifeExpectancyData[[#This Row],[Life expectancy]:[Schooling]])=19</f>
        <v>1</v>
      </c>
    </row>
    <row r="2840" spans="1:23" x14ac:dyDescent="0.25">
      <c r="A2840" t="s">
        <v>467</v>
      </c>
      <c r="B2840">
        <v>2003</v>
      </c>
      <c r="C2840" t="s">
        <v>280</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COUNT(LifeExpectancyData[[#This Row],[Life expectancy]:[Schooling]])=19</f>
        <v>1</v>
      </c>
    </row>
    <row r="2841" spans="1:23" x14ac:dyDescent="0.25">
      <c r="A2841" t="s">
        <v>467</v>
      </c>
      <c r="B2841">
        <v>2002</v>
      </c>
      <c r="C2841" t="s">
        <v>280</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COUNT(LifeExpectancyData[[#This Row],[Life expectancy]:[Schooling]])=19</f>
        <v>1</v>
      </c>
    </row>
    <row r="2842" spans="1:23" x14ac:dyDescent="0.25">
      <c r="A2842" t="s">
        <v>467</v>
      </c>
      <c r="B2842">
        <v>2001</v>
      </c>
      <c r="C2842" t="s">
        <v>280</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COUNT(LifeExpectancyData[[#This Row],[Life expectancy]:[Schooling]])=19</f>
        <v>0</v>
      </c>
    </row>
    <row r="2843" spans="1:23" x14ac:dyDescent="0.25">
      <c r="A2843" t="s">
        <v>467</v>
      </c>
      <c r="B2843">
        <v>2000</v>
      </c>
      <c r="C2843" t="s">
        <v>280</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COUNT(LifeExpectancyData[[#This Row],[Life expectancy]:[Schooling]])=19</f>
        <v>0</v>
      </c>
    </row>
    <row r="2844" spans="1:23" x14ac:dyDescent="0.25">
      <c r="A2844" t="s">
        <v>468</v>
      </c>
      <c r="B2844">
        <v>2015</v>
      </c>
      <c r="C2844" t="s">
        <v>280</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COUNT(LifeExpectancyData[[#This Row],[Life expectancy]:[Schooling]])=19</f>
        <v>0</v>
      </c>
    </row>
    <row r="2845" spans="1:23" x14ac:dyDescent="0.25">
      <c r="A2845" t="s">
        <v>468</v>
      </c>
      <c r="B2845">
        <v>2014</v>
      </c>
      <c r="C2845" t="s">
        <v>280</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COUNT(LifeExpectancyData[[#This Row],[Life expectancy]:[Schooling]])=19</f>
        <v>1</v>
      </c>
    </row>
    <row r="2846" spans="1:23" x14ac:dyDescent="0.25">
      <c r="A2846" t="s">
        <v>468</v>
      </c>
      <c r="B2846">
        <v>2013</v>
      </c>
      <c r="C2846" t="s">
        <v>280</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COUNT(LifeExpectancyData[[#This Row],[Life expectancy]:[Schooling]])=19</f>
        <v>1</v>
      </c>
    </row>
    <row r="2847" spans="1:23" x14ac:dyDescent="0.25">
      <c r="A2847" t="s">
        <v>468</v>
      </c>
      <c r="B2847">
        <v>2012</v>
      </c>
      <c r="C2847" t="s">
        <v>280</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COUNT(LifeExpectancyData[[#This Row],[Life expectancy]:[Schooling]])=19</f>
        <v>1</v>
      </c>
    </row>
    <row r="2848" spans="1:23" x14ac:dyDescent="0.25">
      <c r="A2848" t="s">
        <v>468</v>
      </c>
      <c r="B2848">
        <v>2011</v>
      </c>
      <c r="C2848" t="s">
        <v>280</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COUNT(LifeExpectancyData[[#This Row],[Life expectancy]:[Schooling]])=19</f>
        <v>1</v>
      </c>
    </row>
    <row r="2849" spans="1:23" x14ac:dyDescent="0.25">
      <c r="A2849" t="s">
        <v>468</v>
      </c>
      <c r="B2849">
        <v>2010</v>
      </c>
      <c r="C2849" t="s">
        <v>280</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COUNT(LifeExpectancyData[[#This Row],[Life expectancy]:[Schooling]])=19</f>
        <v>1</v>
      </c>
    </row>
    <row r="2850" spans="1:23" x14ac:dyDescent="0.25">
      <c r="A2850" t="s">
        <v>468</v>
      </c>
      <c r="B2850">
        <v>2009</v>
      </c>
      <c r="C2850" t="s">
        <v>280</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COUNT(LifeExpectancyData[[#This Row],[Life expectancy]:[Schooling]])=19</f>
        <v>1</v>
      </c>
    </row>
    <row r="2851" spans="1:23" x14ac:dyDescent="0.25">
      <c r="A2851" t="s">
        <v>468</v>
      </c>
      <c r="B2851">
        <v>2008</v>
      </c>
      <c r="C2851" t="s">
        <v>280</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COUNT(LifeExpectancyData[[#This Row],[Life expectancy]:[Schooling]])=19</f>
        <v>1</v>
      </c>
    </row>
    <row r="2852" spans="1:23" x14ac:dyDescent="0.25">
      <c r="A2852" t="s">
        <v>468</v>
      </c>
      <c r="B2852">
        <v>2007</v>
      </c>
      <c r="C2852" t="s">
        <v>280</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COUNT(LifeExpectancyData[[#This Row],[Life expectancy]:[Schooling]])=19</f>
        <v>1</v>
      </c>
    </row>
    <row r="2853" spans="1:23" x14ac:dyDescent="0.25">
      <c r="A2853" t="s">
        <v>468</v>
      </c>
      <c r="B2853">
        <v>2006</v>
      </c>
      <c r="C2853" t="s">
        <v>280</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COUNT(LifeExpectancyData[[#This Row],[Life expectancy]:[Schooling]])=19</f>
        <v>1</v>
      </c>
    </row>
    <row r="2854" spans="1:23" x14ac:dyDescent="0.25">
      <c r="A2854" t="s">
        <v>468</v>
      </c>
      <c r="B2854">
        <v>2005</v>
      </c>
      <c r="C2854" t="s">
        <v>280</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COUNT(LifeExpectancyData[[#This Row],[Life expectancy]:[Schooling]])=19</f>
        <v>1</v>
      </c>
    </row>
    <row r="2855" spans="1:23" x14ac:dyDescent="0.25">
      <c r="A2855" t="s">
        <v>468</v>
      </c>
      <c r="B2855">
        <v>2004</v>
      </c>
      <c r="C2855" t="s">
        <v>280</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COUNT(LifeExpectancyData[[#This Row],[Life expectancy]:[Schooling]])=19</f>
        <v>1</v>
      </c>
    </row>
    <row r="2856" spans="1:23" x14ac:dyDescent="0.25">
      <c r="A2856" t="s">
        <v>468</v>
      </c>
      <c r="B2856">
        <v>2003</v>
      </c>
      <c r="C2856" t="s">
        <v>280</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COUNT(LifeExpectancyData[[#This Row],[Life expectancy]:[Schooling]])=19</f>
        <v>1</v>
      </c>
    </row>
    <row r="2857" spans="1:23" x14ac:dyDescent="0.25">
      <c r="A2857" t="s">
        <v>468</v>
      </c>
      <c r="B2857">
        <v>2002</v>
      </c>
      <c r="C2857" t="s">
        <v>280</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COUNT(LifeExpectancyData[[#This Row],[Life expectancy]:[Schooling]])=19</f>
        <v>1</v>
      </c>
    </row>
    <row r="2858" spans="1:23" x14ac:dyDescent="0.25">
      <c r="A2858" t="s">
        <v>468</v>
      </c>
      <c r="B2858">
        <v>2001</v>
      </c>
      <c r="C2858" t="s">
        <v>280</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COUNT(LifeExpectancyData[[#This Row],[Life expectancy]:[Schooling]])=19</f>
        <v>1</v>
      </c>
    </row>
    <row r="2859" spans="1:23" x14ac:dyDescent="0.25">
      <c r="A2859" t="s">
        <v>468</v>
      </c>
      <c r="B2859">
        <v>2000</v>
      </c>
      <c r="C2859" t="s">
        <v>280</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COUNT(LifeExpectancyData[[#This Row],[Life expectancy]:[Schooling]])=19</f>
        <v>1</v>
      </c>
    </row>
    <row r="2860" spans="1:23" x14ac:dyDescent="0.25">
      <c r="A2860" t="s">
        <v>469</v>
      </c>
      <c r="B2860">
        <v>2015</v>
      </c>
      <c r="C2860" t="s">
        <v>280</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COUNT(LifeExpectancyData[[#This Row],[Life expectancy]:[Schooling]])=19</f>
        <v>0</v>
      </c>
    </row>
    <row r="2861" spans="1:23" x14ac:dyDescent="0.25">
      <c r="A2861" t="s">
        <v>469</v>
      </c>
      <c r="B2861">
        <v>2014</v>
      </c>
      <c r="C2861" t="s">
        <v>280</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COUNT(LifeExpectancyData[[#This Row],[Life expectancy]:[Schooling]])=19</f>
        <v>0</v>
      </c>
    </row>
    <row r="2862" spans="1:23" x14ac:dyDescent="0.25">
      <c r="A2862" t="s">
        <v>469</v>
      </c>
      <c r="B2862">
        <v>2013</v>
      </c>
      <c r="C2862" t="s">
        <v>280</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COUNT(LifeExpectancyData[[#This Row],[Life expectancy]:[Schooling]])=19</f>
        <v>0</v>
      </c>
    </row>
    <row r="2863" spans="1:23" x14ac:dyDescent="0.25">
      <c r="A2863" t="s">
        <v>469</v>
      </c>
      <c r="B2863">
        <v>2012</v>
      </c>
      <c r="C2863" t="s">
        <v>280</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COUNT(LifeExpectancyData[[#This Row],[Life expectancy]:[Schooling]])=19</f>
        <v>0</v>
      </c>
    </row>
    <row r="2864" spans="1:23" x14ac:dyDescent="0.25">
      <c r="A2864" t="s">
        <v>469</v>
      </c>
      <c r="B2864">
        <v>2011</v>
      </c>
      <c r="C2864" t="s">
        <v>280</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COUNT(LifeExpectancyData[[#This Row],[Life expectancy]:[Schooling]])=19</f>
        <v>0</v>
      </c>
    </row>
    <row r="2865" spans="1:23" x14ac:dyDescent="0.25">
      <c r="A2865" t="s">
        <v>469</v>
      </c>
      <c r="B2865">
        <v>2010</v>
      </c>
      <c r="C2865" t="s">
        <v>280</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COUNT(LifeExpectancyData[[#This Row],[Life expectancy]:[Schooling]])=19</f>
        <v>0</v>
      </c>
    </row>
    <row r="2866" spans="1:23" x14ac:dyDescent="0.25">
      <c r="A2866" t="s">
        <v>469</v>
      </c>
      <c r="B2866">
        <v>2009</v>
      </c>
      <c r="C2866" t="s">
        <v>280</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COUNT(LifeExpectancyData[[#This Row],[Life expectancy]:[Schooling]])=19</f>
        <v>0</v>
      </c>
    </row>
    <row r="2867" spans="1:23" x14ac:dyDescent="0.25">
      <c r="A2867" t="s">
        <v>469</v>
      </c>
      <c r="B2867">
        <v>2008</v>
      </c>
      <c r="C2867" t="s">
        <v>280</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COUNT(LifeExpectancyData[[#This Row],[Life expectancy]:[Schooling]])=19</f>
        <v>0</v>
      </c>
    </row>
    <row r="2868" spans="1:23" x14ac:dyDescent="0.25">
      <c r="A2868" t="s">
        <v>469</v>
      </c>
      <c r="B2868">
        <v>2007</v>
      </c>
      <c r="C2868" t="s">
        <v>280</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COUNT(LifeExpectancyData[[#This Row],[Life expectancy]:[Schooling]])=19</f>
        <v>0</v>
      </c>
    </row>
    <row r="2869" spans="1:23" x14ac:dyDescent="0.25">
      <c r="A2869" t="s">
        <v>469</v>
      </c>
      <c r="B2869">
        <v>2006</v>
      </c>
      <c r="C2869" t="s">
        <v>280</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COUNT(LifeExpectancyData[[#This Row],[Life expectancy]:[Schooling]])=19</f>
        <v>0</v>
      </c>
    </row>
    <row r="2870" spans="1:23" x14ac:dyDescent="0.25">
      <c r="A2870" t="s">
        <v>469</v>
      </c>
      <c r="B2870">
        <v>2005</v>
      </c>
      <c r="C2870" t="s">
        <v>280</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COUNT(LifeExpectancyData[[#This Row],[Life expectancy]:[Schooling]])=19</f>
        <v>0</v>
      </c>
    </row>
    <row r="2871" spans="1:23" x14ac:dyDescent="0.25">
      <c r="A2871" t="s">
        <v>469</v>
      </c>
      <c r="B2871">
        <v>2004</v>
      </c>
      <c r="C2871" t="s">
        <v>280</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COUNT(LifeExpectancyData[[#This Row],[Life expectancy]:[Schooling]])=19</f>
        <v>0</v>
      </c>
    </row>
    <row r="2872" spans="1:23" x14ac:dyDescent="0.25">
      <c r="A2872" t="s">
        <v>469</v>
      </c>
      <c r="B2872">
        <v>2003</v>
      </c>
      <c r="C2872" t="s">
        <v>280</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COUNT(LifeExpectancyData[[#This Row],[Life expectancy]:[Schooling]])=19</f>
        <v>0</v>
      </c>
    </row>
    <row r="2873" spans="1:23" x14ac:dyDescent="0.25">
      <c r="A2873" t="s">
        <v>469</v>
      </c>
      <c r="B2873">
        <v>2002</v>
      </c>
      <c r="C2873" t="s">
        <v>280</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COUNT(LifeExpectancyData[[#This Row],[Life expectancy]:[Schooling]])=19</f>
        <v>0</v>
      </c>
    </row>
    <row r="2874" spans="1:23" x14ac:dyDescent="0.25">
      <c r="A2874" t="s">
        <v>469</v>
      </c>
      <c r="B2874">
        <v>2001</v>
      </c>
      <c r="C2874" t="s">
        <v>280</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COUNT(LifeExpectancyData[[#This Row],[Life expectancy]:[Schooling]])=19</f>
        <v>0</v>
      </c>
    </row>
    <row r="2875" spans="1:23" x14ac:dyDescent="0.25">
      <c r="A2875" t="s">
        <v>469</v>
      </c>
      <c r="B2875">
        <v>2000</v>
      </c>
      <c r="C2875" t="s">
        <v>280</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COUNT(LifeExpectancyData[[#This Row],[Life expectancy]:[Schooling]])=19</f>
        <v>0</v>
      </c>
    </row>
    <row r="2876" spans="1:23" x14ac:dyDescent="0.25">
      <c r="A2876" t="s">
        <v>470</v>
      </c>
      <c r="B2876">
        <v>2015</v>
      </c>
      <c r="C2876" t="s">
        <v>280</v>
      </c>
      <c r="D2876">
        <v>76</v>
      </c>
      <c r="E2876">
        <v>127</v>
      </c>
      <c r="F2876">
        <v>28</v>
      </c>
      <c r="H2876">
        <v>0</v>
      </c>
      <c r="I2876">
        <v>97</v>
      </c>
      <c r="J2876">
        <v>256</v>
      </c>
      <c r="K2876">
        <v>17.5</v>
      </c>
      <c r="L2876">
        <v>35</v>
      </c>
      <c r="M2876">
        <v>97</v>
      </c>
      <c r="O2876">
        <v>97</v>
      </c>
      <c r="P2876">
        <v>0.1</v>
      </c>
      <c r="S2876">
        <v>14.2</v>
      </c>
      <c r="T2876">
        <v>14.5</v>
      </c>
      <c r="U2876">
        <v>0.67800000000000005</v>
      </c>
      <c r="V2876">
        <v>12.6</v>
      </c>
      <c r="W2876" t="b">
        <f>COUNT(LifeExpectancyData[[#This Row],[Life expectancy]:[Schooling]])=19</f>
        <v>0</v>
      </c>
    </row>
    <row r="2877" spans="1:23" x14ac:dyDescent="0.25">
      <c r="A2877" t="s">
        <v>470</v>
      </c>
      <c r="B2877">
        <v>2014</v>
      </c>
      <c r="C2877" t="s">
        <v>280</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COUNT(LifeExpectancyData[[#This Row],[Life expectancy]:[Schooling]])=19</f>
        <v>0</v>
      </c>
    </row>
    <row r="2878" spans="1:23" x14ac:dyDescent="0.25">
      <c r="A2878" t="s">
        <v>470</v>
      </c>
      <c r="B2878">
        <v>2013</v>
      </c>
      <c r="C2878" t="s">
        <v>280</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COUNT(LifeExpectancyData[[#This Row],[Life expectancy]:[Schooling]])=19</f>
        <v>0</v>
      </c>
    </row>
    <row r="2879" spans="1:23" x14ac:dyDescent="0.25">
      <c r="A2879" t="s">
        <v>470</v>
      </c>
      <c r="B2879">
        <v>2012</v>
      </c>
      <c r="C2879" t="s">
        <v>280</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COUNT(LifeExpectancyData[[#This Row],[Life expectancy]:[Schooling]])=19</f>
        <v>0</v>
      </c>
    </row>
    <row r="2880" spans="1:23" x14ac:dyDescent="0.25">
      <c r="A2880" t="s">
        <v>470</v>
      </c>
      <c r="B2880">
        <v>2011</v>
      </c>
      <c r="C2880" t="s">
        <v>280</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COUNT(LifeExpectancyData[[#This Row],[Life expectancy]:[Schooling]])=19</f>
        <v>0</v>
      </c>
    </row>
    <row r="2881" spans="1:23" x14ac:dyDescent="0.25">
      <c r="A2881" t="s">
        <v>470</v>
      </c>
      <c r="B2881">
        <v>2010</v>
      </c>
      <c r="C2881" t="s">
        <v>280</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COUNT(LifeExpectancyData[[#This Row],[Life expectancy]:[Schooling]])=19</f>
        <v>0</v>
      </c>
    </row>
    <row r="2882" spans="1:23" x14ac:dyDescent="0.25">
      <c r="A2882" t="s">
        <v>470</v>
      </c>
      <c r="B2882">
        <v>2009</v>
      </c>
      <c r="C2882" t="s">
        <v>280</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COUNT(LifeExpectancyData[[#This Row],[Life expectancy]:[Schooling]])=19</f>
        <v>0</v>
      </c>
    </row>
    <row r="2883" spans="1:23" x14ac:dyDescent="0.25">
      <c r="A2883" t="s">
        <v>470</v>
      </c>
      <c r="B2883">
        <v>2008</v>
      </c>
      <c r="C2883" t="s">
        <v>280</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COUNT(LifeExpectancyData[[#This Row],[Life expectancy]:[Schooling]])=19</f>
        <v>0</v>
      </c>
    </row>
    <row r="2884" spans="1:23" x14ac:dyDescent="0.25">
      <c r="A2884" t="s">
        <v>470</v>
      </c>
      <c r="B2884">
        <v>2007</v>
      </c>
      <c r="C2884" t="s">
        <v>280</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COUNT(LifeExpectancyData[[#This Row],[Life expectancy]:[Schooling]])=19</f>
        <v>0</v>
      </c>
    </row>
    <row r="2885" spans="1:23" x14ac:dyDescent="0.25">
      <c r="A2885" t="s">
        <v>470</v>
      </c>
      <c r="B2885">
        <v>2006</v>
      </c>
      <c r="C2885" t="s">
        <v>280</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COUNT(LifeExpectancyData[[#This Row],[Life expectancy]:[Schooling]])=19</f>
        <v>0</v>
      </c>
    </row>
    <row r="2886" spans="1:23" x14ac:dyDescent="0.25">
      <c r="A2886" t="s">
        <v>470</v>
      </c>
      <c r="B2886">
        <v>2005</v>
      </c>
      <c r="C2886" t="s">
        <v>280</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COUNT(LifeExpectancyData[[#This Row],[Life expectancy]:[Schooling]])=19</f>
        <v>0</v>
      </c>
    </row>
    <row r="2887" spans="1:23" x14ac:dyDescent="0.25">
      <c r="A2887" t="s">
        <v>470</v>
      </c>
      <c r="B2887">
        <v>2004</v>
      </c>
      <c r="C2887" t="s">
        <v>280</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COUNT(LifeExpectancyData[[#This Row],[Life expectancy]:[Schooling]])=19</f>
        <v>0</v>
      </c>
    </row>
    <row r="2888" spans="1:23" x14ac:dyDescent="0.25">
      <c r="A2888" t="s">
        <v>470</v>
      </c>
      <c r="B2888">
        <v>2003</v>
      </c>
      <c r="C2888" t="s">
        <v>280</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COUNT(LifeExpectancyData[[#This Row],[Life expectancy]:[Schooling]])=19</f>
        <v>0</v>
      </c>
    </row>
    <row r="2889" spans="1:23" x14ac:dyDescent="0.25">
      <c r="A2889" t="s">
        <v>470</v>
      </c>
      <c r="B2889">
        <v>2002</v>
      </c>
      <c r="C2889" t="s">
        <v>280</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COUNT(LifeExpectancyData[[#This Row],[Life expectancy]:[Schooling]])=19</f>
        <v>0</v>
      </c>
    </row>
    <row r="2890" spans="1:23" x14ac:dyDescent="0.25">
      <c r="A2890" t="s">
        <v>470</v>
      </c>
      <c r="B2890">
        <v>2001</v>
      </c>
      <c r="C2890" t="s">
        <v>280</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COUNT(LifeExpectancyData[[#This Row],[Life expectancy]:[Schooling]])=19</f>
        <v>0</v>
      </c>
    </row>
    <row r="2891" spans="1:23" x14ac:dyDescent="0.25">
      <c r="A2891" t="s">
        <v>470</v>
      </c>
      <c r="B2891">
        <v>2000</v>
      </c>
      <c r="C2891" t="s">
        <v>280</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COUNT(LifeExpectancyData[[#This Row],[Life expectancy]:[Schooling]])=19</f>
        <v>0</v>
      </c>
    </row>
    <row r="2892" spans="1:23" x14ac:dyDescent="0.25">
      <c r="A2892" t="s">
        <v>471</v>
      </c>
      <c r="B2892">
        <v>2015</v>
      </c>
      <c r="C2892" t="s">
        <v>280</v>
      </c>
      <c r="D2892">
        <v>65.7</v>
      </c>
      <c r="E2892">
        <v>224</v>
      </c>
      <c r="F2892">
        <v>37</v>
      </c>
      <c r="H2892">
        <v>0</v>
      </c>
      <c r="I2892">
        <v>69</v>
      </c>
      <c r="J2892">
        <v>468</v>
      </c>
      <c r="K2892">
        <v>41.3</v>
      </c>
      <c r="L2892">
        <v>47</v>
      </c>
      <c r="M2892">
        <v>63</v>
      </c>
      <c r="O2892">
        <v>69</v>
      </c>
      <c r="P2892">
        <v>0.1</v>
      </c>
      <c r="S2892">
        <v>13.6</v>
      </c>
      <c r="T2892">
        <v>13.4</v>
      </c>
      <c r="U2892">
        <v>0.499</v>
      </c>
      <c r="V2892">
        <v>9</v>
      </c>
      <c r="W2892" t="b">
        <f>COUNT(LifeExpectancyData[[#This Row],[Life expectancy]:[Schooling]])=19</f>
        <v>0</v>
      </c>
    </row>
    <row r="2893" spans="1:23" x14ac:dyDescent="0.25">
      <c r="A2893" t="s">
        <v>471</v>
      </c>
      <c r="B2893">
        <v>2014</v>
      </c>
      <c r="C2893" t="s">
        <v>280</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COUNT(LifeExpectancyData[[#This Row],[Life expectancy]:[Schooling]])=19</f>
        <v>0</v>
      </c>
    </row>
    <row r="2894" spans="1:23" x14ac:dyDescent="0.25">
      <c r="A2894" t="s">
        <v>471</v>
      </c>
      <c r="B2894">
        <v>2013</v>
      </c>
      <c r="C2894" t="s">
        <v>280</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COUNT(LifeExpectancyData[[#This Row],[Life expectancy]:[Schooling]])=19</f>
        <v>0</v>
      </c>
    </row>
    <row r="2895" spans="1:23" x14ac:dyDescent="0.25">
      <c r="A2895" t="s">
        <v>471</v>
      </c>
      <c r="B2895">
        <v>2012</v>
      </c>
      <c r="C2895" t="s">
        <v>280</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COUNT(LifeExpectancyData[[#This Row],[Life expectancy]:[Schooling]])=19</f>
        <v>0</v>
      </c>
    </row>
    <row r="2896" spans="1:23" x14ac:dyDescent="0.25">
      <c r="A2896" t="s">
        <v>471</v>
      </c>
      <c r="B2896">
        <v>2011</v>
      </c>
      <c r="C2896" t="s">
        <v>280</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COUNT(LifeExpectancyData[[#This Row],[Life expectancy]:[Schooling]])=19</f>
        <v>0</v>
      </c>
    </row>
    <row r="2897" spans="1:23" x14ac:dyDescent="0.25">
      <c r="A2897" t="s">
        <v>471</v>
      </c>
      <c r="B2897">
        <v>2010</v>
      </c>
      <c r="C2897" t="s">
        <v>280</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COUNT(LifeExpectancyData[[#This Row],[Life expectancy]:[Schooling]])=19</f>
        <v>0</v>
      </c>
    </row>
    <row r="2898" spans="1:23" x14ac:dyDescent="0.25">
      <c r="A2898" t="s">
        <v>471</v>
      </c>
      <c r="B2898">
        <v>2009</v>
      </c>
      <c r="C2898" t="s">
        <v>280</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COUNT(LifeExpectancyData[[#This Row],[Life expectancy]:[Schooling]])=19</f>
        <v>0</v>
      </c>
    </row>
    <row r="2899" spans="1:23" x14ac:dyDescent="0.25">
      <c r="A2899" t="s">
        <v>471</v>
      </c>
      <c r="B2899">
        <v>2008</v>
      </c>
      <c r="C2899" t="s">
        <v>280</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COUNT(LifeExpectancyData[[#This Row],[Life expectancy]:[Schooling]])=19</f>
        <v>0</v>
      </c>
    </row>
    <row r="2900" spans="1:23" x14ac:dyDescent="0.25">
      <c r="A2900" t="s">
        <v>471</v>
      </c>
      <c r="B2900">
        <v>2007</v>
      </c>
      <c r="C2900" t="s">
        <v>280</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COUNT(LifeExpectancyData[[#This Row],[Life expectancy]:[Schooling]])=19</f>
        <v>0</v>
      </c>
    </row>
    <row r="2901" spans="1:23" x14ac:dyDescent="0.25">
      <c r="A2901" t="s">
        <v>471</v>
      </c>
      <c r="B2901">
        <v>2006</v>
      </c>
      <c r="C2901" t="s">
        <v>280</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COUNT(LifeExpectancyData[[#This Row],[Life expectancy]:[Schooling]])=19</f>
        <v>0</v>
      </c>
    </row>
    <row r="2902" spans="1:23" x14ac:dyDescent="0.25">
      <c r="A2902" t="s">
        <v>471</v>
      </c>
      <c r="B2902">
        <v>2005</v>
      </c>
      <c r="C2902" t="s">
        <v>280</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COUNT(LifeExpectancyData[[#This Row],[Life expectancy]:[Schooling]])=19</f>
        <v>0</v>
      </c>
    </row>
    <row r="2903" spans="1:23" x14ac:dyDescent="0.25">
      <c r="A2903" t="s">
        <v>471</v>
      </c>
      <c r="B2903">
        <v>2004</v>
      </c>
      <c r="C2903" t="s">
        <v>280</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COUNT(LifeExpectancyData[[#This Row],[Life expectancy]:[Schooling]])=19</f>
        <v>0</v>
      </c>
    </row>
    <row r="2904" spans="1:23" x14ac:dyDescent="0.25">
      <c r="A2904" t="s">
        <v>471</v>
      </c>
      <c r="B2904">
        <v>2003</v>
      </c>
      <c r="C2904" t="s">
        <v>280</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COUNT(LifeExpectancyData[[#This Row],[Life expectancy]:[Schooling]])=19</f>
        <v>0</v>
      </c>
    </row>
    <row r="2905" spans="1:23" x14ac:dyDescent="0.25">
      <c r="A2905" t="s">
        <v>471</v>
      </c>
      <c r="B2905">
        <v>2002</v>
      </c>
      <c r="C2905" t="s">
        <v>280</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COUNT(LifeExpectancyData[[#This Row],[Life expectancy]:[Schooling]])=19</f>
        <v>0</v>
      </c>
    </row>
    <row r="2906" spans="1:23" x14ac:dyDescent="0.25">
      <c r="A2906" t="s">
        <v>471</v>
      </c>
      <c r="B2906">
        <v>2001</v>
      </c>
      <c r="C2906" t="s">
        <v>280</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COUNT(LifeExpectancyData[[#This Row],[Life expectancy]:[Schooling]])=19</f>
        <v>0</v>
      </c>
    </row>
    <row r="2907" spans="1:23" x14ac:dyDescent="0.25">
      <c r="A2907" t="s">
        <v>471</v>
      </c>
      <c r="B2907">
        <v>2000</v>
      </c>
      <c r="C2907" t="s">
        <v>280</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COUNT(LifeExpectancyData[[#This Row],[Life expectancy]:[Schooling]])=19</f>
        <v>0</v>
      </c>
    </row>
    <row r="2908" spans="1:23" x14ac:dyDescent="0.25">
      <c r="A2908" t="s">
        <v>472</v>
      </c>
      <c r="B2908">
        <v>2015</v>
      </c>
      <c r="C2908" t="s">
        <v>280</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COUNT(LifeExpectancyData[[#This Row],[Life expectancy]:[Schooling]])=19</f>
        <v>0</v>
      </c>
    </row>
    <row r="2909" spans="1:23" x14ac:dyDescent="0.25">
      <c r="A2909" t="s">
        <v>472</v>
      </c>
      <c r="B2909">
        <v>2014</v>
      </c>
      <c r="C2909" t="s">
        <v>280</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COUNT(LifeExpectancyData[[#This Row],[Life expectancy]:[Schooling]])=19</f>
        <v>1</v>
      </c>
    </row>
    <row r="2910" spans="1:23" x14ac:dyDescent="0.25">
      <c r="A2910" t="s">
        <v>472</v>
      </c>
      <c r="B2910">
        <v>2013</v>
      </c>
      <c r="C2910" t="s">
        <v>280</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COUNT(LifeExpectancyData[[#This Row],[Life expectancy]:[Schooling]])=19</f>
        <v>1</v>
      </c>
    </row>
    <row r="2911" spans="1:23" x14ac:dyDescent="0.25">
      <c r="A2911" t="s">
        <v>472</v>
      </c>
      <c r="B2911">
        <v>2012</v>
      </c>
      <c r="C2911" t="s">
        <v>280</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COUNT(LifeExpectancyData[[#This Row],[Life expectancy]:[Schooling]])=19</f>
        <v>1</v>
      </c>
    </row>
    <row r="2912" spans="1:23" x14ac:dyDescent="0.25">
      <c r="A2912" t="s">
        <v>472</v>
      </c>
      <c r="B2912">
        <v>2011</v>
      </c>
      <c r="C2912" t="s">
        <v>280</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COUNT(LifeExpectancyData[[#This Row],[Life expectancy]:[Schooling]])=19</f>
        <v>1</v>
      </c>
    </row>
    <row r="2913" spans="1:23" x14ac:dyDescent="0.25">
      <c r="A2913" t="s">
        <v>472</v>
      </c>
      <c r="B2913">
        <v>2010</v>
      </c>
      <c r="C2913" t="s">
        <v>280</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COUNT(LifeExpectancyData[[#This Row],[Life expectancy]:[Schooling]])=19</f>
        <v>1</v>
      </c>
    </row>
    <row r="2914" spans="1:23" x14ac:dyDescent="0.25">
      <c r="A2914" t="s">
        <v>472</v>
      </c>
      <c r="B2914">
        <v>2009</v>
      </c>
      <c r="C2914" t="s">
        <v>280</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COUNT(LifeExpectancyData[[#This Row],[Life expectancy]:[Schooling]])=19</f>
        <v>1</v>
      </c>
    </row>
    <row r="2915" spans="1:23" x14ac:dyDescent="0.25">
      <c r="A2915" t="s">
        <v>472</v>
      </c>
      <c r="B2915">
        <v>2008</v>
      </c>
      <c r="C2915" t="s">
        <v>280</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COUNT(LifeExpectancyData[[#This Row],[Life expectancy]:[Schooling]])=19</f>
        <v>1</v>
      </c>
    </row>
    <row r="2916" spans="1:23" x14ac:dyDescent="0.25">
      <c r="A2916" t="s">
        <v>472</v>
      </c>
      <c r="B2916">
        <v>2007</v>
      </c>
      <c r="C2916" t="s">
        <v>280</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COUNT(LifeExpectancyData[[#This Row],[Life expectancy]:[Schooling]])=19</f>
        <v>1</v>
      </c>
    </row>
    <row r="2917" spans="1:23" x14ac:dyDescent="0.25">
      <c r="A2917" t="s">
        <v>472</v>
      </c>
      <c r="B2917">
        <v>2006</v>
      </c>
      <c r="C2917" t="s">
        <v>280</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COUNT(LifeExpectancyData[[#This Row],[Life expectancy]:[Schooling]])=19</f>
        <v>1</v>
      </c>
    </row>
    <row r="2918" spans="1:23" x14ac:dyDescent="0.25">
      <c r="A2918" t="s">
        <v>472</v>
      </c>
      <c r="B2918">
        <v>2005</v>
      </c>
      <c r="C2918" t="s">
        <v>280</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COUNT(LifeExpectancyData[[#This Row],[Life expectancy]:[Schooling]])=19</f>
        <v>1</v>
      </c>
    </row>
    <row r="2919" spans="1:23" x14ac:dyDescent="0.25">
      <c r="A2919" t="s">
        <v>472</v>
      </c>
      <c r="B2919">
        <v>2004</v>
      </c>
      <c r="C2919" t="s">
        <v>280</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COUNT(LifeExpectancyData[[#This Row],[Life expectancy]:[Schooling]])=19</f>
        <v>0</v>
      </c>
    </row>
    <row r="2920" spans="1:23" x14ac:dyDescent="0.25">
      <c r="A2920" t="s">
        <v>472</v>
      </c>
      <c r="B2920">
        <v>2003</v>
      </c>
      <c r="C2920" t="s">
        <v>280</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COUNT(LifeExpectancyData[[#This Row],[Life expectancy]:[Schooling]])=19</f>
        <v>0</v>
      </c>
    </row>
    <row r="2921" spans="1:23" x14ac:dyDescent="0.25">
      <c r="A2921" t="s">
        <v>472</v>
      </c>
      <c r="B2921">
        <v>2002</v>
      </c>
      <c r="C2921" t="s">
        <v>280</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COUNT(LifeExpectancyData[[#This Row],[Life expectancy]:[Schooling]])=19</f>
        <v>0</v>
      </c>
    </row>
    <row r="2922" spans="1:23" x14ac:dyDescent="0.25">
      <c r="A2922" t="s">
        <v>472</v>
      </c>
      <c r="B2922">
        <v>2001</v>
      </c>
      <c r="C2922" t="s">
        <v>280</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COUNT(LifeExpectancyData[[#This Row],[Life expectancy]:[Schooling]])=19</f>
        <v>0</v>
      </c>
    </row>
    <row r="2923" spans="1:23" x14ac:dyDescent="0.25">
      <c r="A2923" t="s">
        <v>472</v>
      </c>
      <c r="B2923">
        <v>2000</v>
      </c>
      <c r="C2923" t="s">
        <v>280</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COUNT(LifeExpectancyData[[#This Row],[Life expectancy]:[Schooling]])=19</f>
        <v>0</v>
      </c>
    </row>
    <row r="2924" spans="1:23" x14ac:dyDescent="0.25">
      <c r="A2924" t="s">
        <v>473</v>
      </c>
      <c r="B2924">
        <v>2015</v>
      </c>
      <c r="C2924" t="s">
        <v>280</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COUNT(LifeExpectancyData[[#This Row],[Life expectancy]:[Schooling]])=19</f>
        <v>0</v>
      </c>
    </row>
    <row r="2925" spans="1:23" x14ac:dyDescent="0.25">
      <c r="A2925" t="s">
        <v>473</v>
      </c>
      <c r="B2925">
        <v>2014</v>
      </c>
      <c r="C2925" t="s">
        <v>280</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COUNT(LifeExpectancyData[[#This Row],[Life expectancy]:[Schooling]])=19</f>
        <v>1</v>
      </c>
    </row>
    <row r="2926" spans="1:23" x14ac:dyDescent="0.25">
      <c r="A2926" t="s">
        <v>473</v>
      </c>
      <c r="B2926">
        <v>2013</v>
      </c>
      <c r="C2926" t="s">
        <v>280</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COUNT(LifeExpectancyData[[#This Row],[Life expectancy]:[Schooling]])=19</f>
        <v>1</v>
      </c>
    </row>
    <row r="2927" spans="1:23" x14ac:dyDescent="0.25">
      <c r="A2927" t="s">
        <v>473</v>
      </c>
      <c r="B2927">
        <v>2012</v>
      </c>
      <c r="C2927" t="s">
        <v>280</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COUNT(LifeExpectancyData[[#This Row],[Life expectancy]:[Schooling]])=19</f>
        <v>1</v>
      </c>
    </row>
    <row r="2928" spans="1:23" x14ac:dyDescent="0.25">
      <c r="A2928" t="s">
        <v>473</v>
      </c>
      <c r="B2928">
        <v>2011</v>
      </c>
      <c r="C2928" t="s">
        <v>280</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COUNT(LifeExpectancyData[[#This Row],[Life expectancy]:[Schooling]])=19</f>
        <v>1</v>
      </c>
    </row>
    <row r="2929" spans="1:23" x14ac:dyDescent="0.25">
      <c r="A2929" t="s">
        <v>473</v>
      </c>
      <c r="B2929">
        <v>2010</v>
      </c>
      <c r="C2929" t="s">
        <v>280</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COUNT(LifeExpectancyData[[#This Row],[Life expectancy]:[Schooling]])=19</f>
        <v>1</v>
      </c>
    </row>
    <row r="2930" spans="1:23" x14ac:dyDescent="0.25">
      <c r="A2930" t="s">
        <v>473</v>
      </c>
      <c r="B2930">
        <v>2009</v>
      </c>
      <c r="C2930" t="s">
        <v>280</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COUNT(LifeExpectancyData[[#This Row],[Life expectancy]:[Schooling]])=19</f>
        <v>1</v>
      </c>
    </row>
    <row r="2931" spans="1:23" x14ac:dyDescent="0.25">
      <c r="A2931" t="s">
        <v>473</v>
      </c>
      <c r="B2931">
        <v>2008</v>
      </c>
      <c r="C2931" t="s">
        <v>280</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COUNT(LifeExpectancyData[[#This Row],[Life expectancy]:[Schooling]])=19</f>
        <v>1</v>
      </c>
    </row>
    <row r="2932" spans="1:23" x14ac:dyDescent="0.25">
      <c r="A2932" t="s">
        <v>473</v>
      </c>
      <c r="B2932">
        <v>2007</v>
      </c>
      <c r="C2932" t="s">
        <v>280</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COUNT(LifeExpectancyData[[#This Row],[Life expectancy]:[Schooling]])=19</f>
        <v>1</v>
      </c>
    </row>
    <row r="2933" spans="1:23" x14ac:dyDescent="0.25">
      <c r="A2933" t="s">
        <v>473</v>
      </c>
      <c r="B2933">
        <v>2006</v>
      </c>
      <c r="C2933" t="s">
        <v>280</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COUNT(LifeExpectancyData[[#This Row],[Life expectancy]:[Schooling]])=19</f>
        <v>1</v>
      </c>
    </row>
    <row r="2934" spans="1:23" x14ac:dyDescent="0.25">
      <c r="A2934" t="s">
        <v>473</v>
      </c>
      <c r="B2934">
        <v>2005</v>
      </c>
      <c r="C2934" t="s">
        <v>280</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COUNT(LifeExpectancyData[[#This Row],[Life expectancy]:[Schooling]])=19</f>
        <v>1</v>
      </c>
    </row>
    <row r="2935" spans="1:23" x14ac:dyDescent="0.25">
      <c r="A2935" t="s">
        <v>473</v>
      </c>
      <c r="B2935">
        <v>2004</v>
      </c>
      <c r="C2935" t="s">
        <v>280</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COUNT(LifeExpectancyData[[#This Row],[Life expectancy]:[Schooling]])=19</f>
        <v>1</v>
      </c>
    </row>
    <row r="2936" spans="1:23" x14ac:dyDescent="0.25">
      <c r="A2936" t="s">
        <v>473</v>
      </c>
      <c r="B2936">
        <v>2003</v>
      </c>
      <c r="C2936" t="s">
        <v>280</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COUNT(LifeExpectancyData[[#This Row],[Life expectancy]:[Schooling]])=19</f>
        <v>1</v>
      </c>
    </row>
    <row r="2937" spans="1:23" x14ac:dyDescent="0.25">
      <c r="A2937" t="s">
        <v>473</v>
      </c>
      <c r="B2937">
        <v>2002</v>
      </c>
      <c r="C2937" t="s">
        <v>280</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COUNT(LifeExpectancyData[[#This Row],[Life expectancy]:[Schooling]])=19</f>
        <v>1</v>
      </c>
    </row>
    <row r="2938" spans="1:23" x14ac:dyDescent="0.25">
      <c r="A2938" t="s">
        <v>473</v>
      </c>
      <c r="B2938">
        <v>2001</v>
      </c>
      <c r="C2938" t="s">
        <v>280</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COUNT(LifeExpectancyData[[#This Row],[Life expectancy]:[Schooling]])=19</f>
        <v>1</v>
      </c>
    </row>
    <row r="2939" spans="1:23" x14ac:dyDescent="0.25">
      <c r="A2939" t="s">
        <v>473</v>
      </c>
      <c r="B2939">
        <v>2000</v>
      </c>
      <c r="C2939" t="s">
        <v>280</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COUNT(LifeExpectancyData[[#This Row],[Life expectancy]:[Schooling]])=19</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3F60C-A74A-4F23-AD78-30A3D6D68421}">
  <dimension ref="A1:AF39"/>
  <sheetViews>
    <sheetView workbookViewId="0">
      <pane ySplit="2" topLeftCell="A3" activePane="bottomLeft" state="frozenSplit"/>
      <selection pane="bottomLeft" activeCell="A3" sqref="A3"/>
    </sheetView>
  </sheetViews>
  <sheetFormatPr defaultRowHeight="15" x14ac:dyDescent="0.25"/>
  <cols>
    <col min="1" max="1" width="28.7109375" customWidth="1"/>
    <col min="2" max="2" width="14.7109375" customWidth="1"/>
    <col min="3" max="3" width="2.7109375" customWidth="1"/>
    <col min="4" max="4" width="28.7109375" customWidth="1"/>
    <col min="5" max="5" width="10.7109375" customWidth="1"/>
    <col min="6" max="6" width="11.7109375" customWidth="1"/>
    <col min="7" max="10" width="10.7109375" customWidth="1"/>
    <col min="11" max="11" width="2.7109375" customWidth="1"/>
    <col min="12" max="12" width="22.7109375" customWidth="1"/>
    <col min="13" max="14" width="14.7109375" customWidth="1"/>
    <col min="15" max="15" width="20.7109375" customWidth="1"/>
    <col min="16" max="16" width="14.7109375" customWidth="1"/>
    <col min="17" max="17" width="16.7109375" customWidth="1"/>
    <col min="18" max="18" width="14.7109375" customWidth="1"/>
    <col min="19" max="19" width="2.7109375" customWidth="1"/>
    <col min="20" max="20" width="20.7109375" customWidth="1"/>
    <col min="21" max="21" width="14.7109375" customWidth="1"/>
    <col min="22" max="22" width="2.7109375" customWidth="1"/>
    <col min="23" max="23" width="4.7109375" customWidth="1"/>
    <col min="24" max="24" width="12.7109375" customWidth="1"/>
    <col min="25" max="25" width="14.7109375" customWidth="1"/>
    <col min="26" max="26" width="12.7109375" customWidth="1"/>
    <col min="27" max="28" width="14.7109375" customWidth="1"/>
    <col min="29" max="29" width="22.7109375" customWidth="1"/>
    <col min="30" max="30" width="14.7109375" customWidth="1"/>
    <col min="31" max="31" width="22.7109375" customWidth="1"/>
    <col min="32" max="32" width="26.7109375" customWidth="1"/>
  </cols>
  <sheetData>
    <row r="1" spans="1:32" x14ac:dyDescent="0.25">
      <c r="A1" s="4" t="s">
        <v>474</v>
      </c>
      <c r="B1" s="3" t="s">
        <v>475</v>
      </c>
      <c r="D1" s="4" t="s">
        <v>477</v>
      </c>
      <c r="L1" s="4" t="s">
        <v>480</v>
      </c>
      <c r="T1" s="10" t="s">
        <v>506</v>
      </c>
      <c r="U1" s="14"/>
      <c r="W1" s="4" t="s">
        <v>515</v>
      </c>
    </row>
    <row r="2" spans="1:32" x14ac:dyDescent="0.25">
      <c r="A2" t="s">
        <v>476</v>
      </c>
      <c r="B2" s="5" t="b">
        <v>1</v>
      </c>
      <c r="D2" s="3"/>
      <c r="E2" s="3" t="s">
        <v>478</v>
      </c>
      <c r="F2" s="3" t="s">
        <v>479</v>
      </c>
      <c r="G2" s="3" t="s">
        <v>234</v>
      </c>
      <c r="H2" s="3" t="s">
        <v>239</v>
      </c>
      <c r="I2" s="3" t="s">
        <v>118</v>
      </c>
      <c r="J2" s="3" t="s">
        <v>123</v>
      </c>
      <c r="T2" s="17" t="s">
        <v>507</v>
      </c>
      <c r="U2" s="15"/>
      <c r="X2" s="3" t="s">
        <v>516</v>
      </c>
      <c r="Y2" s="3" t="s">
        <v>517</v>
      </c>
      <c r="Z2" s="3" t="s">
        <v>167</v>
      </c>
      <c r="AA2" s="3" t="s">
        <v>518</v>
      </c>
      <c r="AB2" s="3" t="s">
        <v>519</v>
      </c>
      <c r="AC2" s="3" t="s">
        <v>520</v>
      </c>
      <c r="AD2" s="3" t="s">
        <v>521</v>
      </c>
      <c r="AE2" s="3" t="s">
        <v>522</v>
      </c>
      <c r="AF2" s="3" t="s">
        <v>523</v>
      </c>
    </row>
    <row r="3" spans="1:32" x14ac:dyDescent="0.25">
      <c r="A3" t="str" cm="1">
        <f t="array" aca="1" ref="A3:A20" ca="1">Coefficient_Name_Col(All_Xs)</f>
        <v>Adult Mortality</v>
      </c>
      <c r="B3" s="5" t="b">
        <v>1</v>
      </c>
      <c r="D3" t="str" cm="1">
        <f t="array" aca="1" ref="D3:D20" ca="1">Coefficient_Name_Col(All_Xs,Ind_Var_Filter)</f>
        <v>Adult Mortality</v>
      </c>
      <c r="E3" s="6" t="e" cm="1">
        <f t="array" aca="1" ref="E3" ca="1">Pearson_R(x_s,y,fil)</f>
        <v>#NAME?</v>
      </c>
      <c r="F3" s="6" t="e" cm="1">
        <f t="array" aca="1" ref="F3" ca="1">Spearman_R(x_s,y,fil)</f>
        <v>#NAME?</v>
      </c>
      <c r="G3" s="7" t="e" cm="1">
        <f t="array" aca="1" ref="G3" ca="1">Skewness(x_s,fil)</f>
        <v>#NAME?</v>
      </c>
      <c r="H3" s="7" t="e" cm="1">
        <f t="array" aca="1" ref="H3" ca="1">Kurtosis(x_s,fil)</f>
        <v>#NAME?</v>
      </c>
      <c r="I3" s="7" t="e" cm="1">
        <f t="array" aca="1" ref="I3" ca="1">VIF(x_s,Allow_Intercept,fil)</f>
        <v>#NAME?</v>
      </c>
      <c r="J3" s="6" t="e" cm="1">
        <f t="array" aca="1" ref="J3" ca="1">Tolerance(x_s,Allow_Intercept,fil)</f>
        <v>#NAME?</v>
      </c>
      <c r="L3" s="10" t="s">
        <v>481</v>
      </c>
      <c r="M3" s="14"/>
      <c r="O3" s="10" t="s">
        <v>486</v>
      </c>
      <c r="P3" s="14"/>
      <c r="T3" s="9" t="s">
        <v>508</v>
      </c>
      <c r="U3" s="15" t="e" cm="1">
        <f t="array" aca="1" ref="U3" ca="1">INDEX(Prediction_Interval(x_s,y,pred_input,Allow_Intercept,fil,alpha),1)</f>
        <v>#NAME?</v>
      </c>
      <c r="X3" t="e" cm="1">
        <f t="array" aca="1" ref="X3" ca="1">Dependent_Var(y,fil)</f>
        <v>#NAME?</v>
      </c>
      <c r="Y3" t="e" cm="1">
        <f t="array" aca="1" ref="Y3" ca="1">Predictions(x_s,y,Allow_Intercept,fil)</f>
        <v>#NAME?</v>
      </c>
      <c r="Z3" t="e" cm="1">
        <f t="array" aca="1" ref="Z3" ca="1">Residuals(x_s,y,Allow_Intercept,fil)</f>
        <v>#NAME?</v>
      </c>
      <c r="AA3" t="e" cm="1">
        <f t="array" aca="1" ref="AA3" ca="1">Dependent_Var(y,fil)-LOOCV_prediction(x_s,y,Allow_Intercept,fil)</f>
        <v>#NAME?</v>
      </c>
      <c r="AB3" t="e" cm="1">
        <f t="array" aca="1" ref="AB3" ca="1">Hat_diagonal(x_s,Allow_Intercept,fil)</f>
        <v>#NAME?</v>
      </c>
      <c r="AC3" t="e" cm="1">
        <f t="array" aca="1" ref="AC3" ca="1">Studentized_Residuals(x_s,y,Allow_Intercept,fil)</f>
        <v>#NAME?</v>
      </c>
      <c r="AD3" t="e" cm="1">
        <f t="array" aca="1" ref="AD3" ca="1">Cooks_Distance(x_s,y,Allow_Intercept,fil)</f>
        <v>#NAME?</v>
      </c>
      <c r="AE3" t="e" cm="1">
        <f t="array" aca="1" ref="AE3" ca="1">_xlfn._xlws.SORT(Normal_Scores(y,fil))</f>
        <v>#NAME?</v>
      </c>
      <c r="AF3" t="e" cm="1">
        <f t="array" aca="1" ref="AF3" ca="1">Studentized_Residuals_Ranked(x_s,y,Allow_Intercept,fil)</f>
        <v>#NAME?</v>
      </c>
    </row>
    <row r="4" spans="1:32" x14ac:dyDescent="0.25">
      <c r="A4" t="str">
        <f ca="1"/>
        <v>infant deaths</v>
      </c>
      <c r="B4" s="5" t="b">
        <v>1</v>
      </c>
      <c r="D4" t="str">
        <f ca="1"/>
        <v>infant deaths</v>
      </c>
      <c r="E4" s="6"/>
      <c r="F4" s="6"/>
      <c r="G4" s="7"/>
      <c r="H4" s="7"/>
      <c r="I4" s="7"/>
      <c r="J4" s="6"/>
      <c r="L4" s="9" t="s">
        <v>482</v>
      </c>
      <c r="M4" s="15" t="e" cm="1">
        <f t="array" aca="1" ref="M4" ca="1">Multiple_R(x_s,y,Allow_Intercept,fil)</f>
        <v>#NAME?</v>
      </c>
      <c r="O4" s="9" t="s">
        <v>61</v>
      </c>
      <c r="P4" s="15" t="e" cm="1">
        <f t="array" aca="1" ref="P4" ca="1">PRESS(x_s,y,Allow_Intercept,fil)</f>
        <v>#NAME?</v>
      </c>
      <c r="T4" s="9" t="s">
        <v>509</v>
      </c>
      <c r="U4" s="15" t="e" cm="1">
        <f t="array" aca="1" ref="U4" ca="1">INDEX(Prediction_Interval(x_s,y,pred_input,Allow_Intercept,fil,alpha),2)</f>
        <v>#NAME?</v>
      </c>
    </row>
    <row r="5" spans="1:32" x14ac:dyDescent="0.25">
      <c r="A5" t="str">
        <f ca="1"/>
        <v>Alcohol</v>
      </c>
      <c r="B5" s="5" t="b">
        <v>1</v>
      </c>
      <c r="D5" t="str">
        <f ca="1"/>
        <v>Alcohol</v>
      </c>
      <c r="E5" s="6"/>
      <c r="F5" s="6"/>
      <c r="G5" s="7"/>
      <c r="H5" s="7"/>
      <c r="I5" s="7"/>
      <c r="J5" s="6"/>
      <c r="L5" s="9" t="s">
        <v>483</v>
      </c>
      <c r="M5" s="15" t="e" cm="1">
        <f t="array" aca="1" ref="M5" ca="1">R_squared(x_s,y,Allow_Intercept,fil)</f>
        <v>#NAME?</v>
      </c>
      <c r="O5" s="9" t="s">
        <v>487</v>
      </c>
      <c r="P5" s="15" t="e" cm="1">
        <f t="array" aca="1" ref="P5" ca="1">1-PRESS(x_s,y,Allow_Intercept,fil)/SS_Total(y,Allow_Intercept,fil)</f>
        <v>#NAME?</v>
      </c>
      <c r="T5" s="9" t="s">
        <v>510</v>
      </c>
      <c r="U5" s="15" t="e" cm="1">
        <f t="array" aca="1" ref="U5" ca="1">INDEX(Prediction_Interval(x_s,y,pred_input,Allow_Intercept,fil,alpha),3)</f>
        <v>#NAME?</v>
      </c>
    </row>
    <row r="6" spans="1:32" x14ac:dyDescent="0.25">
      <c r="A6" t="str">
        <f ca="1"/>
        <v>percentage expenditure</v>
      </c>
      <c r="B6" s="5" t="b">
        <v>1</v>
      </c>
      <c r="D6" t="str">
        <f ca="1"/>
        <v>percentage expenditure</v>
      </c>
      <c r="E6" s="6"/>
      <c r="F6" s="6"/>
      <c r="G6" s="7"/>
      <c r="H6" s="7"/>
      <c r="I6" s="7"/>
      <c r="J6" s="6"/>
      <c r="L6" s="9" t="s">
        <v>484</v>
      </c>
      <c r="M6" s="15" t="e" cm="1">
        <f t="array" aca="1" ref="M6" ca="1">Adjusted_R2(x_s,y,Allow_Intercept,fil)</f>
        <v>#NAME?</v>
      </c>
      <c r="O6" s="9" t="s">
        <v>488</v>
      </c>
      <c r="P6" s="15" t="e" cm="1">
        <f t="array" aca="1" ref="P6" ca="1">(DF_Regression(x_s)+IF(Allow_Intercept,1,0))/Observations(y,fil)</f>
        <v>#NAME?</v>
      </c>
      <c r="T6" s="9" t="s">
        <v>504</v>
      </c>
      <c r="U6" s="15" t="e" cm="1">
        <f t="array" aca="1" ref="U6" ca="1">INDEX(Prediction_Interval(x_s,y,pred_input,Allow_Intercept,fil,alpha),4)</f>
        <v>#NAME?</v>
      </c>
    </row>
    <row r="7" spans="1:32" x14ac:dyDescent="0.25">
      <c r="A7" t="str">
        <f ca="1"/>
        <v>Hepatitis B</v>
      </c>
      <c r="B7" s="5" t="b">
        <v>1</v>
      </c>
      <c r="D7" t="str">
        <f ca="1"/>
        <v>Hepatitis B</v>
      </c>
      <c r="E7" s="6"/>
      <c r="F7" s="6"/>
      <c r="G7" s="7"/>
      <c r="H7" s="7"/>
      <c r="I7" s="7"/>
      <c r="J7" s="6"/>
      <c r="L7" s="9" t="s">
        <v>485</v>
      </c>
      <c r="M7" s="15" t="e" cm="1">
        <f t="array" aca="1" ref="M7" ca="1">SE_Regression(x_s,y,Allow_Intercept,fil)</f>
        <v>#NAME?</v>
      </c>
      <c r="O7" s="9" t="s">
        <v>65</v>
      </c>
      <c r="P7" s="15" t="e" cm="1">
        <f t="array" aca="1" ref="P7" ca="1">AIC(x_s,y,Allow_Intercept,fil)</f>
        <v>#NAME?</v>
      </c>
      <c r="T7" s="9" t="s">
        <v>505</v>
      </c>
      <c r="U7" s="15" t="e" cm="1">
        <f t="array" aca="1" ref="U7" ca="1">INDEX(Prediction_Interval(x_s,y,pred_input,Allow_Intercept,fil,alpha),5)</f>
        <v>#NAME?</v>
      </c>
    </row>
    <row r="8" spans="1:32" x14ac:dyDescent="0.25">
      <c r="A8" t="str">
        <f ca="1"/>
        <v>Measles</v>
      </c>
      <c r="B8" s="5" t="b">
        <v>1</v>
      </c>
      <c r="D8" t="str">
        <f ca="1"/>
        <v>Measles</v>
      </c>
      <c r="E8" s="6"/>
      <c r="F8" s="6"/>
      <c r="G8" s="7"/>
      <c r="H8" s="7"/>
      <c r="I8" s="7"/>
      <c r="J8" s="6"/>
      <c r="L8" s="12" t="s">
        <v>5</v>
      </c>
      <c r="M8" s="16" t="e" cm="1">
        <f t="array" aca="1" ref="M8" ca="1">Observations(y,fil)</f>
        <v>#NAME?</v>
      </c>
      <c r="O8" s="9" t="s">
        <v>69</v>
      </c>
      <c r="P8" s="15" t="e" cm="1">
        <f t="array" aca="1" ref="P8" ca="1">BIC(x_s,y,Allow_Intercept,fil)</f>
        <v>#NAME?</v>
      </c>
      <c r="T8" s="12" t="s">
        <v>511</v>
      </c>
      <c r="U8" s="16" t="e" cm="1">
        <f t="array" aca="1" ref="U8" ca="1">INDEX(Prediction_Interval(x_s,y,pred_input,Allow_Intercept,fil,alpha),6)</f>
        <v>#NAME?</v>
      </c>
    </row>
    <row r="9" spans="1:32" x14ac:dyDescent="0.25">
      <c r="A9" t="str">
        <f ca="1"/>
        <v>BMI</v>
      </c>
      <c r="B9" s="5" t="b">
        <v>1</v>
      </c>
      <c r="D9" t="str">
        <f ca="1"/>
        <v>BMI</v>
      </c>
      <c r="E9" s="6"/>
      <c r="F9" s="6"/>
      <c r="G9" s="7"/>
      <c r="H9" s="7"/>
      <c r="I9" s="7"/>
      <c r="J9" s="6"/>
      <c r="O9" s="9" t="s">
        <v>73</v>
      </c>
      <c r="P9" s="15" t="e" cm="1">
        <f t="array" aca="1" ref="P9" ca="1">AICc(x_s,y,Allow_Intercept,fil)</f>
        <v>#NAME?</v>
      </c>
    </row>
    <row r="10" spans="1:32" x14ac:dyDescent="0.25">
      <c r="A10" t="str">
        <f ca="1"/>
        <v>under-five deaths</v>
      </c>
      <c r="B10" s="5" t="b">
        <v>1</v>
      </c>
      <c r="D10" t="str">
        <f ca="1"/>
        <v>under-five deaths</v>
      </c>
      <c r="E10" s="6"/>
      <c r="F10" s="6"/>
      <c r="G10" s="7"/>
      <c r="H10" s="7"/>
      <c r="I10" s="7"/>
      <c r="J10" s="6"/>
      <c r="O10" s="12" t="s">
        <v>489</v>
      </c>
      <c r="P10" s="16" t="e" cm="1">
        <f t="array" aca="1" ref="P10" ca="1">QQ_Correlation(x_s,y,Allow_Intercept,fil)</f>
        <v>#NAME?</v>
      </c>
      <c r="T10" s="4" t="s">
        <v>474</v>
      </c>
    </row>
    <row r="11" spans="1:32" x14ac:dyDescent="0.25">
      <c r="A11" t="str">
        <f ca="1"/>
        <v>Polio</v>
      </c>
      <c r="B11" s="5" t="b">
        <v>1</v>
      </c>
      <c r="D11" t="str">
        <f ca="1"/>
        <v>Polio</v>
      </c>
      <c r="E11" s="6"/>
      <c r="F11" s="6"/>
      <c r="G11" s="7"/>
      <c r="H11" s="7"/>
      <c r="I11" s="7"/>
      <c r="J11" s="6"/>
      <c r="T11" s="3" t="s">
        <v>512</v>
      </c>
      <c r="U11" s="3" t="s">
        <v>513</v>
      </c>
    </row>
    <row r="12" spans="1:32" x14ac:dyDescent="0.25">
      <c r="A12" t="str">
        <f ca="1"/>
        <v>Total expenditure</v>
      </c>
      <c r="B12" s="5" t="b">
        <v>1</v>
      </c>
      <c r="D12" t="str">
        <f ca="1"/>
        <v>Total expenditure</v>
      </c>
      <c r="E12" s="6"/>
      <c r="F12" s="6"/>
      <c r="G12" s="7"/>
      <c r="H12" s="7"/>
      <c r="I12" s="7"/>
      <c r="J12" s="6"/>
      <c r="L12" s="3" t="s">
        <v>490</v>
      </c>
      <c r="M12" s="5">
        <v>0.05</v>
      </c>
      <c r="T12" t="s">
        <v>514</v>
      </c>
      <c r="U12" s="5">
        <f>IF(Allow_Intercept,1,0)</f>
        <v>1</v>
      </c>
    </row>
    <row r="13" spans="1:32" x14ac:dyDescent="0.25">
      <c r="A13" t="str">
        <f ca="1"/>
        <v>Diphtheria</v>
      </c>
      <c r="B13" s="5" t="b">
        <v>1</v>
      </c>
      <c r="D13" t="str">
        <f ca="1"/>
        <v>Diphtheria</v>
      </c>
      <c r="E13" s="6"/>
      <c r="F13" s="6"/>
      <c r="G13" s="7"/>
      <c r="H13" s="7"/>
      <c r="I13" s="7"/>
      <c r="J13" s="6"/>
      <c r="L13" s="10" t="s">
        <v>491</v>
      </c>
      <c r="M13" s="11"/>
      <c r="N13" s="11"/>
      <c r="O13" s="11"/>
      <c r="P13" s="11"/>
      <c r="Q13" s="14"/>
      <c r="T13" t="str" cm="1">
        <f t="array" aca="1" ref="T13:T30" ca="1">Coefficient_Name_Col(All_Xs)</f>
        <v>Adult Mortality</v>
      </c>
      <c r="U13" s="5">
        <v>0</v>
      </c>
    </row>
    <row r="14" spans="1:32" x14ac:dyDescent="0.25">
      <c r="A14" t="str">
        <f ca="1"/>
        <v>HIV/AIDS</v>
      </c>
      <c r="B14" s="5" t="b">
        <v>1</v>
      </c>
      <c r="D14" t="str">
        <f ca="1"/>
        <v>HIV/AIDS</v>
      </c>
      <c r="E14" s="6"/>
      <c r="F14" s="6"/>
      <c r="G14" s="7"/>
      <c r="H14" s="7"/>
      <c r="I14" s="7"/>
      <c r="J14" s="6"/>
      <c r="L14" s="17"/>
      <c r="M14" s="18" t="s">
        <v>492</v>
      </c>
      <c r="N14" s="18" t="s">
        <v>493</v>
      </c>
      <c r="O14" s="18" t="s">
        <v>494</v>
      </c>
      <c r="P14" s="18" t="s">
        <v>495</v>
      </c>
      <c r="Q14" s="19" t="s">
        <v>496</v>
      </c>
      <c r="T14" t="str">
        <f ca="1"/>
        <v>infant deaths</v>
      </c>
      <c r="U14" s="5">
        <v>0</v>
      </c>
    </row>
    <row r="15" spans="1:32" x14ac:dyDescent="0.25">
      <c r="A15" t="str">
        <f ca="1"/>
        <v>GDP</v>
      </c>
      <c r="B15" s="5" t="b">
        <v>1</v>
      </c>
      <c r="D15" t="str">
        <f ca="1"/>
        <v>GDP</v>
      </c>
      <c r="E15" s="6"/>
      <c r="F15" s="6"/>
      <c r="G15" s="7"/>
      <c r="H15" s="7"/>
      <c r="I15" s="7"/>
      <c r="J15" s="6"/>
      <c r="L15" s="9" t="s">
        <v>497</v>
      </c>
      <c r="M15" s="8" t="e" cm="1">
        <f t="array" aca="1" ref="M15" ca="1">DF_Regression(x_s)</f>
        <v>#NAME?</v>
      </c>
      <c r="N15" s="8" t="e" cm="1">
        <f t="array" aca="1" ref="N15" ca="1">SS_Regression(x_s,y,Allow_Intercept,fil)</f>
        <v>#NAME?</v>
      </c>
      <c r="O15" s="8" t="e" cm="1">
        <f t="array" aca="1" ref="O15" ca="1">MS_Regression(x_s,y,Allow_Intercept,fil)</f>
        <v>#NAME?</v>
      </c>
      <c r="P15" s="8" t="e" cm="1">
        <f t="array" aca="1" ref="P15" ca="1">F_Stat(x_s,y,Allow_Intercept,fil)</f>
        <v>#NAME?</v>
      </c>
      <c r="Q15" s="15" t="e" cm="1">
        <f t="array" aca="1" ref="Q15" ca="1">P_Value_F(x_s,y,Allow_Intercept,fil)</f>
        <v>#NAME?</v>
      </c>
      <c r="T15" t="str">
        <f ca="1"/>
        <v>Alcohol</v>
      </c>
      <c r="U15" s="5">
        <v>0</v>
      </c>
    </row>
    <row r="16" spans="1:32" x14ac:dyDescent="0.25">
      <c r="A16" t="str">
        <f ca="1"/>
        <v>Population</v>
      </c>
      <c r="B16" s="5" t="b">
        <v>1</v>
      </c>
      <c r="D16" t="str">
        <f ca="1"/>
        <v>Population</v>
      </c>
      <c r="E16" s="6"/>
      <c r="F16" s="6"/>
      <c r="G16" s="7"/>
      <c r="H16" s="7"/>
      <c r="I16" s="7"/>
      <c r="J16" s="6"/>
      <c r="L16" s="9" t="s">
        <v>498</v>
      </c>
      <c r="M16" s="8" t="e" cm="1">
        <f t="array" aca="1" ref="M16" ca="1">DF_Residual(x_s,y,Allow_Intercept,fil)</f>
        <v>#NAME?</v>
      </c>
      <c r="N16" s="8" t="e" cm="1">
        <f t="array" aca="1" ref="N16" ca="1">SS_Residual(x_s,y,Allow_Intercept,fil)</f>
        <v>#NAME?</v>
      </c>
      <c r="O16" s="8" t="e" cm="1">
        <f t="array" aca="1" ref="O16" ca="1">MS_Residual(x_s,y,Allow_Intercept,fil)</f>
        <v>#NAME?</v>
      </c>
      <c r="P16" s="8"/>
      <c r="Q16" s="15"/>
      <c r="T16" t="str">
        <f ca="1"/>
        <v>percentage expenditure</v>
      </c>
      <c r="U16" s="5">
        <v>0</v>
      </c>
    </row>
    <row r="17" spans="1:21" x14ac:dyDescent="0.25">
      <c r="A17" t="str">
        <f ca="1"/>
        <v>thinness 1-19 years</v>
      </c>
      <c r="B17" s="5" t="b">
        <v>1</v>
      </c>
      <c r="D17" t="str">
        <f ca="1"/>
        <v>thinness 1-19 years</v>
      </c>
      <c r="E17" s="6"/>
      <c r="F17" s="6"/>
      <c r="G17" s="7"/>
      <c r="H17" s="7"/>
      <c r="I17" s="7"/>
      <c r="J17" s="6"/>
      <c r="L17" s="12" t="s">
        <v>499</v>
      </c>
      <c r="M17" s="13" t="e" cm="1">
        <f t="array" aca="1" ref="M17" ca="1">DF_Total(y,Allow_Intercept,fil)</f>
        <v>#NAME?</v>
      </c>
      <c r="N17" s="13" t="e" cm="1">
        <f t="array" aca="1" ref="N17" ca="1">SS_Total(y,Allow_Intercept,fil)</f>
        <v>#NAME?</v>
      </c>
      <c r="O17" s="13"/>
      <c r="P17" s="13"/>
      <c r="Q17" s="16"/>
      <c r="T17" t="str">
        <f ca="1"/>
        <v>Hepatitis B</v>
      </c>
      <c r="U17" s="5">
        <v>0</v>
      </c>
    </row>
    <row r="18" spans="1:21" x14ac:dyDescent="0.25">
      <c r="A18" t="str">
        <f ca="1"/>
        <v>thinness 5-9 years</v>
      </c>
      <c r="B18" s="5" t="b">
        <v>1</v>
      </c>
      <c r="D18" t="str">
        <f ca="1"/>
        <v>thinness 5-9 years</v>
      </c>
      <c r="E18" s="6"/>
      <c r="F18" s="6"/>
      <c r="G18" s="7"/>
      <c r="H18" s="7"/>
      <c r="I18" s="7"/>
      <c r="J18" s="6"/>
      <c r="T18" t="str">
        <f ca="1"/>
        <v>Measles</v>
      </c>
      <c r="U18" s="5">
        <v>0</v>
      </c>
    </row>
    <row r="19" spans="1:21" x14ac:dyDescent="0.25">
      <c r="A19" t="str">
        <f ca="1"/>
        <v>Income composition of resources</v>
      </c>
      <c r="B19" s="5" t="b">
        <v>1</v>
      </c>
      <c r="D19" t="str">
        <f ca="1"/>
        <v>Income composition of resources</v>
      </c>
      <c r="E19" s="6"/>
      <c r="F19" s="6"/>
      <c r="G19" s="7"/>
      <c r="H19" s="7"/>
      <c r="I19" s="7"/>
      <c r="J19" s="6"/>
      <c r="L19" s="4" t="s">
        <v>500</v>
      </c>
      <c r="T19" t="str">
        <f ca="1"/>
        <v>BMI</v>
      </c>
      <c r="U19" s="5">
        <v>0</v>
      </c>
    </row>
    <row r="20" spans="1:21" x14ac:dyDescent="0.25">
      <c r="A20" t="str">
        <f ca="1"/>
        <v>Schooling</v>
      </c>
      <c r="B20" s="5" t="b">
        <v>1</v>
      </c>
      <c r="D20" t="str">
        <f ca="1"/>
        <v>Schooling</v>
      </c>
      <c r="E20" s="6"/>
      <c r="F20" s="6"/>
      <c r="G20" s="7"/>
      <c r="H20" s="7"/>
      <c r="I20" s="7"/>
      <c r="J20" s="6"/>
      <c r="L20" s="3"/>
      <c r="M20" s="3" t="s">
        <v>85</v>
      </c>
      <c r="N20" s="3" t="s">
        <v>501</v>
      </c>
      <c r="O20" s="3" t="s">
        <v>502</v>
      </c>
      <c r="P20" s="3" t="s">
        <v>503</v>
      </c>
      <c r="Q20" s="3" t="s">
        <v>504</v>
      </c>
      <c r="R20" s="3" t="s">
        <v>505</v>
      </c>
      <c r="T20" t="str">
        <f ca="1"/>
        <v>under-five deaths</v>
      </c>
      <c r="U20" s="5">
        <v>0</v>
      </c>
    </row>
    <row r="21" spans="1:21" x14ac:dyDescent="0.25">
      <c r="L21" t="str" cm="1">
        <f t="array" aca="1" ref="L21:L39" ca="1">IF(Allow_Intercept,_xlfn.VSTACK("Intercept",Coefficient_Name_Col(All_Xs,Ind_Var_Filter)),_xlfn.VSTACK("",Coefficient_Name_Col(All_Xs,Ind_Var_Filter)))</f>
        <v>Intercept</v>
      </c>
      <c r="M21" t="e" cm="1">
        <f t="array" aca="1" ref="M21" ca="1">IF(Allow_Intercept,Coefficients(x_s,y,Allow_Intercept,fil),_xlfn.VSTACK("",Coefficients(x_s,y,Allow_Intercept,fil)))</f>
        <v>#NAME?</v>
      </c>
      <c r="N21" t="e" cm="1">
        <f t="array" aca="1" ref="N21" ca="1">IF(Allow_Intercept,SE_Coefficients(x_s,y,Allow_Intercept,fil),_xlfn.VSTACK("",SE_Coefficients(x_s,y,Allow_Intercept,fil)))</f>
        <v>#NAME?</v>
      </c>
      <c r="O21" t="e" cm="1">
        <f t="array" aca="1" ref="O21" ca="1">IF(Allow_Intercept,T_Stats(x_s,y,Allow_Intercept,fil),_xlfn.VSTACK("",T_Stats(x_s,y,Allow_Intercept,fil)))</f>
        <v>#NAME?</v>
      </c>
      <c r="P21" t="e" cm="1">
        <f t="array" aca="1" ref="P21" ca="1">IF(Allow_Intercept,P_Values(x_s,y,Allow_Intercept,fil),_xlfn.VSTACK("",P_Values(x_s,y,Allow_Intercept,fil)))</f>
        <v>#NAME?</v>
      </c>
      <c r="Q21" t="e" cm="1">
        <f t="array" aca="1" ref="Q21" ca="1">IF(Allow_Intercept,CI_Lower(x_s,y,Allow_Intercept,fil),_xlfn.VSTACK("",CI_Lower(x_s,y,Allow_Intercept,fil)))</f>
        <v>#NAME?</v>
      </c>
      <c r="R21" t="e" cm="1">
        <f t="array" aca="1" ref="R21" ca="1">IF(Allow_Intercept,CI_Upper(x_s,y,Allow_Intercept,fil),_xlfn.VSTACK("",CI_Upper(x_s,y,Allow_Intercept,fil)))</f>
        <v>#NAME?</v>
      </c>
      <c r="T21" t="str">
        <f ca="1"/>
        <v>Polio</v>
      </c>
      <c r="U21" s="5">
        <v>0</v>
      </c>
    </row>
    <row r="22" spans="1:21" x14ac:dyDescent="0.25">
      <c r="L22" t="str">
        <f ca="1"/>
        <v>Adult Mortality</v>
      </c>
      <c r="T22" t="str">
        <f ca="1"/>
        <v>Total expenditure</v>
      </c>
      <c r="U22" s="5">
        <v>0</v>
      </c>
    </row>
    <row r="23" spans="1:21" x14ac:dyDescent="0.25">
      <c r="L23" t="str">
        <f ca="1"/>
        <v>infant deaths</v>
      </c>
      <c r="T23" t="str">
        <f ca="1"/>
        <v>Diphtheria</v>
      </c>
      <c r="U23" s="5">
        <v>0</v>
      </c>
    </row>
    <row r="24" spans="1:21" x14ac:dyDescent="0.25">
      <c r="L24" t="str">
        <f ca="1"/>
        <v>Alcohol</v>
      </c>
      <c r="T24" t="str">
        <f ca="1"/>
        <v>HIV/AIDS</v>
      </c>
      <c r="U24" s="5">
        <v>0</v>
      </c>
    </row>
    <row r="25" spans="1:21" x14ac:dyDescent="0.25">
      <c r="L25" t="str">
        <f ca="1"/>
        <v>percentage expenditure</v>
      </c>
      <c r="T25" t="str">
        <f ca="1"/>
        <v>GDP</v>
      </c>
      <c r="U25" s="5">
        <v>0</v>
      </c>
    </row>
    <row r="26" spans="1:21" x14ac:dyDescent="0.25">
      <c r="L26" t="str">
        <f ca="1"/>
        <v>Hepatitis B</v>
      </c>
      <c r="T26" t="str">
        <f ca="1"/>
        <v>Population</v>
      </c>
      <c r="U26" s="5">
        <v>0</v>
      </c>
    </row>
    <row r="27" spans="1:21" x14ac:dyDescent="0.25">
      <c r="L27" t="str">
        <f ca="1"/>
        <v>Measles</v>
      </c>
      <c r="T27" t="str">
        <f ca="1"/>
        <v>thinness 1-19 years</v>
      </c>
      <c r="U27" s="5">
        <v>0</v>
      </c>
    </row>
    <row r="28" spans="1:21" x14ac:dyDescent="0.25">
      <c r="L28" t="str">
        <f ca="1"/>
        <v>BMI</v>
      </c>
      <c r="T28" t="str">
        <f ca="1"/>
        <v>thinness 5-9 years</v>
      </c>
      <c r="U28" s="5">
        <v>0</v>
      </c>
    </row>
    <row r="29" spans="1:21" x14ac:dyDescent="0.25">
      <c r="L29" t="str">
        <f ca="1"/>
        <v>under-five deaths</v>
      </c>
      <c r="T29" t="str">
        <f ca="1"/>
        <v>Income composition of resources</v>
      </c>
      <c r="U29" s="5">
        <v>0</v>
      </c>
    </row>
    <row r="30" spans="1:21" x14ac:dyDescent="0.25">
      <c r="L30" t="str">
        <f ca="1"/>
        <v>Polio</v>
      </c>
      <c r="T30" t="str">
        <f ca="1"/>
        <v>Schooling</v>
      </c>
      <c r="U30" s="5">
        <v>0</v>
      </c>
    </row>
    <row r="31" spans="1:21" x14ac:dyDescent="0.25">
      <c r="L31" t="str">
        <f ca="1"/>
        <v>Total expenditure</v>
      </c>
    </row>
    <row r="32" spans="1:21" x14ac:dyDescent="0.25">
      <c r="L32" t="str">
        <f ca="1"/>
        <v>Diphtheria</v>
      </c>
    </row>
    <row r="33" spans="12:12" x14ac:dyDescent="0.25">
      <c r="L33" t="str">
        <f ca="1"/>
        <v>HIV/AIDS</v>
      </c>
    </row>
    <row r="34" spans="12:12" x14ac:dyDescent="0.25">
      <c r="L34" t="str">
        <f ca="1"/>
        <v>GDP</v>
      </c>
    </row>
    <row r="35" spans="12:12" x14ac:dyDescent="0.25">
      <c r="L35" t="str">
        <f ca="1"/>
        <v>Population</v>
      </c>
    </row>
    <row r="36" spans="12:12" x14ac:dyDescent="0.25">
      <c r="L36" t="str">
        <f ca="1"/>
        <v>thinness 1-19 years</v>
      </c>
    </row>
    <row r="37" spans="12:12" x14ac:dyDescent="0.25">
      <c r="L37" t="str">
        <f ca="1"/>
        <v>thinness 5-9 years</v>
      </c>
    </row>
    <row r="38" spans="12:12" x14ac:dyDescent="0.25">
      <c r="L38" t="str">
        <f ca="1"/>
        <v>Income composition of resources</v>
      </c>
    </row>
    <row r="39" spans="12:12" x14ac:dyDescent="0.25">
      <c r="L39" t="str">
        <f ca="1"/>
        <v>Schooling</v>
      </c>
    </row>
  </sheetData>
  <dataValidations count="1">
    <dataValidation type="list" allowBlank="1" showInputMessage="1" showErrorMessage="1" sqref="B2:B16000" xr:uid="{66802108-DF44-44FC-A628-A6220E9D952F}">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ABC9E-14C8-4F23-BBC2-58B0D47A2ED4}">
  <dimension ref="A1:V9"/>
  <sheetViews>
    <sheetView workbookViewId="0">
      <pane ySplit="1" topLeftCell="A2" activePane="bottomLeft" state="frozenSplit"/>
      <selection pane="bottomLeft"/>
    </sheetView>
  </sheetViews>
  <sheetFormatPr defaultRowHeight="15" x14ac:dyDescent="0.25"/>
  <cols>
    <col min="1" max="1" width="100.7109375" customWidth="1"/>
    <col min="2" max="2" width="10.7109375" bestFit="1" customWidth="1"/>
    <col min="3" max="3" width="17.42578125" bestFit="1" customWidth="1"/>
    <col min="4" max="4" width="15.42578125" bestFit="1" customWidth="1"/>
    <col min="5" max="5" width="16.85546875" bestFit="1" customWidth="1"/>
    <col min="6" max="6" width="11" bestFit="1" customWidth="1"/>
    <col min="7" max="7" width="12.7109375" bestFit="1" customWidth="1"/>
    <col min="8" max="8" width="14.42578125" bestFit="1" customWidth="1"/>
    <col min="9" max="9" width="12.85546875" bestFit="1" customWidth="1"/>
    <col min="10" max="10" width="14.42578125" bestFit="1" customWidth="1"/>
    <col min="11" max="11" width="10.85546875" bestFit="1" customWidth="1"/>
    <col min="12" max="12" width="14.28515625" bestFit="1" customWidth="1"/>
    <col min="13" max="14" width="16.7109375" bestFit="1" customWidth="1"/>
    <col min="16" max="18" width="8.140625" bestFit="1" customWidth="1"/>
    <col min="19" max="19" width="17.28515625" bestFit="1" customWidth="1"/>
    <col min="20" max="20" width="17.42578125" bestFit="1" customWidth="1"/>
    <col min="21" max="21" width="8.7109375" bestFit="1" customWidth="1"/>
    <col min="22" max="22" width="12.140625" bestFit="1" customWidth="1"/>
  </cols>
  <sheetData>
    <row r="1" spans="1:22" x14ac:dyDescent="0.25">
      <c r="A1" s="2" t="s">
        <v>524</v>
      </c>
      <c r="B1" s="2" t="s">
        <v>525</v>
      </c>
      <c r="C1" s="2" t="s">
        <v>526</v>
      </c>
      <c r="D1" s="2" t="s">
        <v>5</v>
      </c>
      <c r="E1" s="2" t="s">
        <v>10</v>
      </c>
      <c r="F1" s="2" t="s">
        <v>15</v>
      </c>
      <c r="G1" s="2" t="s">
        <v>20</v>
      </c>
      <c r="H1" s="2" t="s">
        <v>25</v>
      </c>
      <c r="I1" s="2" t="s">
        <v>29</v>
      </c>
      <c r="J1" s="2" t="s">
        <v>33</v>
      </c>
      <c r="K1" s="2" t="s">
        <v>37</v>
      </c>
      <c r="L1" s="2" t="s">
        <v>41</v>
      </c>
      <c r="M1" s="2" t="s">
        <v>45</v>
      </c>
      <c r="N1" s="2" t="s">
        <v>57</v>
      </c>
      <c r="O1" s="2" t="s">
        <v>61</v>
      </c>
      <c r="P1" s="2" t="s">
        <v>65</v>
      </c>
      <c r="Q1" s="2" t="s">
        <v>69</v>
      </c>
      <c r="R1" s="2" t="s">
        <v>73</v>
      </c>
      <c r="S1" s="2" t="s">
        <v>77</v>
      </c>
      <c r="T1" s="2" t="s">
        <v>81</v>
      </c>
      <c r="U1" s="2" t="s">
        <v>243</v>
      </c>
      <c r="V1" s="2" t="s">
        <v>247</v>
      </c>
    </row>
    <row r="2" spans="1:22" x14ac:dyDescent="0.25">
      <c r="A2" s="23" t="str">
        <f ca="1">_xlfn.TEXTJOIN(", ",TRUE,OFFSET(y,-1,1,1,MLR_Scalar_Test[[#This Row],[ind_vars]]))</f>
        <v>Adult Mortality</v>
      </c>
      <c r="B2" s="21">
        <v>1</v>
      </c>
      <c r="C2" s="20" t="b">
        <v>1</v>
      </c>
      <c r="D2" s="21" t="e">
        <f ca="1">Observations(y, fil)</f>
        <v>#NAME?</v>
      </c>
      <c r="E2" s="21" t="e">
        <f ca="1">_xlfn.LET(_xlpm.x_s, OFFSET(y,0,1,ROWS(y),MLR_Scalar_Test[[#This Row],[ind_vars]]), DF_Regression(_xlpm.x_s))</f>
        <v>#NAME?</v>
      </c>
      <c r="F2" s="21" t="e">
        <f ca="1">DF_Total(y, MLR_Scalar_Test[[#This Row],[Allow_Intercept]], fil)</f>
        <v>#NAME?</v>
      </c>
      <c r="G2" s="6" t="e">
        <f ca="1">_xlfn.LET(_xlpm.x_s, OFFSET(y,0,1,ROWS(y),MLR_Scalar_Test[[#This Row],[ind_vars]]), R_squared(_xlpm.x_s, y, MLR_Scalar_Test[[#This Row],[Allow_Intercept]], fil))</f>
        <v>#NAME?</v>
      </c>
      <c r="H2" s="21" t="e">
        <f ca="1">_xlfn.LET(_xlpm.x_s, OFFSET(y,0,1,ROWS(y),MLR_Scalar_Test[[#This Row],[ind_vars]]), DF_Residual(_xlpm.x_s, y, MLR_Scalar_Test[[#This Row],[Allow_Intercept]], fil))</f>
        <v>#NAME?</v>
      </c>
      <c r="I2" s="6" t="e">
        <f ca="1">_xlfn.LET(_xlpm.x_s, OFFSET(y,0,1,ROWS(y),MLR_Scalar_Test[[#This Row],[ind_vars]]), Multiple_R(_xlpm.x_s, y, MLR_Scalar_Test[[#This Row],[Allow_Intercept]], fil))</f>
        <v>#NAME?</v>
      </c>
      <c r="J2" s="6" t="e">
        <f ca="1">_xlfn.LET(_xlpm.x_s, OFFSET(y,0,1,ROWS(y),MLR_Scalar_Test[[#This Row],[ind_vars]]), Adjusted_R2(_xlpm.x_s, y, MLR_Scalar_Test[[#This Row],[Allow_Intercept]], fil))</f>
        <v>#NAME?</v>
      </c>
      <c r="K2" s="7" t="e">
        <f ca="1">SS_Total(y, MLR_Scalar_Test[[#This Row],[Allow_Intercept]], fil)</f>
        <v>#NAME?</v>
      </c>
      <c r="L2" s="7" t="e">
        <f ca="1">_xlfn.LET(_xlpm.x_s, OFFSET(y,0,1,ROWS(y),MLR_Scalar_Test[[#This Row],[ind_vars]]), SS_Residual(_xlpm.x_s, y, MLR_Scalar_Test[[#This Row],[Allow_Intercept]], fil))</f>
        <v>#NAME?</v>
      </c>
      <c r="M2" s="7" t="e">
        <f ca="1">_xlfn.LET(_xlpm.x_s, OFFSET(y,0,1,ROWS(y),MLR_Scalar_Test[[#This Row],[ind_vars]]), SS_Regression(_xlpm.x_s, y, MLR_Scalar_Test[[#This Row],[Allow_Intercept]], fil))</f>
        <v>#NAME?</v>
      </c>
      <c r="N2" s="6" t="e">
        <f ca="1">_xlfn.LET(_xlpm.x_s, OFFSET(y,0,1,ROWS(y),MLR_Scalar_Test[[#This Row],[ind_vars]]), SE_Regression(_xlpm.x_s, y, MLR_Scalar_Test[[#This Row],[Allow_Intercept]], fil))</f>
        <v>#NAME?</v>
      </c>
      <c r="O2" s="7" t="e">
        <f ca="1">_xlfn.LET(_xlpm.x_s, OFFSET(y,0,1,ROWS(y),MLR_Scalar_Test[[#This Row],[ind_vars]]), PRESS(_xlpm.x_s, y, MLR_Scalar_Test[[#This Row],[Allow_Intercept]], fil))</f>
        <v>#NAME?</v>
      </c>
      <c r="P2" s="7" t="e">
        <f ca="1">_xlfn.LET(_xlpm.x_s, OFFSET(y,0,1,ROWS(y),MLR_Scalar_Test[[#This Row],[ind_vars]]), AIC(_xlpm.x_s, y, MLR_Scalar_Test[[#This Row],[Allow_Intercept]], fil))</f>
        <v>#NAME?</v>
      </c>
      <c r="Q2" s="7" t="e">
        <f ca="1">_xlfn.LET(_xlpm.x_s, OFFSET(y,0,1,ROWS(y),MLR_Scalar_Test[[#This Row],[ind_vars]]), BIC(_xlpm.x_s, y, MLR_Scalar_Test[[#This Row],[Allow_Intercept]], fil))</f>
        <v>#NAME?</v>
      </c>
      <c r="R2" s="7" t="e">
        <f ca="1">_xlfn.LET(_xlpm.x_s, OFFSET(y,0,1,ROWS(y),MLR_Scalar_Test[[#This Row],[ind_vars]]), AICc(_xlpm.x_s, y, MLR_Scalar_Test[[#This Row],[Allow_Intercept]], fil))</f>
        <v>#NAME?</v>
      </c>
      <c r="S2" s="6" t="e">
        <f ca="1">_xlfn.LET(_xlpm.x_s, OFFSET(y,0,1,ROWS(y),MLR_Scalar_Test[[#This Row],[ind_vars]]), Durbin_Watson(_xlpm.x_s, y, MLR_Scalar_Test[[#This Row],[Allow_Intercept]], fil))</f>
        <v>#NAME?</v>
      </c>
      <c r="T2" s="22" t="e">
        <f ca="1">_xlfn.LET(_xlpm.x_s, OFFSET(y,0,1,ROWS(y),MLR_Scalar_Test[[#This Row],[ind_vars]]), QQ_Correlation(_xlpm.x_s, y, MLR_Scalar_Test[[#This Row],[Allow_Intercept]], fil))</f>
        <v>#NAME?</v>
      </c>
      <c r="U2" s="6" t="e">
        <f ca="1">_xlfn.LET(_xlpm.x_s, OFFSET(y,0,1,ROWS(y),MLR_Scalar_Test[[#This Row],[ind_vars]]), F_Stat(_xlpm.x_s, y, MLR_Scalar_Test[[#This Row],[Allow_Intercept]], fil))</f>
        <v>#NAME?</v>
      </c>
      <c r="V2" s="22" t="e">
        <f ca="1">_xlfn.LET(_xlpm.x_s, OFFSET(y,0,1,ROWS(y),MLR_Scalar_Test[[#This Row],[ind_vars]]), P_Value_F(_xlpm.x_s, y, MLR_Scalar_Test[[#This Row],[Allow_Intercept]], fil))</f>
        <v>#NAME?</v>
      </c>
    </row>
    <row r="3" spans="1:22" x14ac:dyDescent="0.25">
      <c r="A3" s="23" t="str">
        <f ca="1">_xlfn.TEXTJOIN(", ",TRUE,OFFSET(y,-1,1,1,MLR_Scalar_Test[[#This Row],[ind_vars]]))</f>
        <v>Adult Mortality</v>
      </c>
      <c r="B3" s="21">
        <v>1</v>
      </c>
      <c r="C3" s="20" t="b">
        <v>0</v>
      </c>
      <c r="D3" s="21" t="e">
        <f ca="1">Observations(y, fil)</f>
        <v>#NAME?</v>
      </c>
      <c r="E3" s="21" t="e">
        <f ca="1">_xlfn.LET(_xlpm.x_s, OFFSET(y,0,1,ROWS(y),MLR_Scalar_Test[[#This Row],[ind_vars]]), DF_Regression(_xlpm.x_s))</f>
        <v>#NAME?</v>
      </c>
      <c r="F3" s="21" t="e">
        <f ca="1">DF_Total(y, MLR_Scalar_Test[[#This Row],[Allow_Intercept]], fil)</f>
        <v>#NAME?</v>
      </c>
      <c r="G3" s="6" t="e">
        <f ca="1">_xlfn.LET(_xlpm.x_s, OFFSET(y,0,1,ROWS(y),MLR_Scalar_Test[[#This Row],[ind_vars]]), R_squared(_xlpm.x_s, y, MLR_Scalar_Test[[#This Row],[Allow_Intercept]], fil))</f>
        <v>#NAME?</v>
      </c>
      <c r="H3" s="21" t="e">
        <f ca="1">_xlfn.LET(_xlpm.x_s, OFFSET(y,0,1,ROWS(y),MLR_Scalar_Test[[#This Row],[ind_vars]]), DF_Residual(_xlpm.x_s, y, MLR_Scalar_Test[[#This Row],[Allow_Intercept]], fil))</f>
        <v>#NAME?</v>
      </c>
      <c r="I3" s="6" t="e">
        <f ca="1">_xlfn.LET(_xlpm.x_s, OFFSET(y,0,1,ROWS(y),MLR_Scalar_Test[[#This Row],[ind_vars]]), Multiple_R(_xlpm.x_s, y, MLR_Scalar_Test[[#This Row],[Allow_Intercept]], fil))</f>
        <v>#NAME?</v>
      </c>
      <c r="J3" s="6" t="e">
        <f ca="1">_xlfn.LET(_xlpm.x_s, OFFSET(y,0,1,ROWS(y),MLR_Scalar_Test[[#This Row],[ind_vars]]), Adjusted_R2(_xlpm.x_s, y, MLR_Scalar_Test[[#This Row],[Allow_Intercept]], fil))</f>
        <v>#NAME?</v>
      </c>
      <c r="K3" s="7" t="e">
        <f ca="1">SS_Total(y, MLR_Scalar_Test[[#This Row],[Allow_Intercept]], fil)</f>
        <v>#NAME?</v>
      </c>
      <c r="L3" s="7" t="e">
        <f ca="1">_xlfn.LET(_xlpm.x_s, OFFSET(y,0,1,ROWS(y),MLR_Scalar_Test[[#This Row],[ind_vars]]), SS_Residual(_xlpm.x_s, y, MLR_Scalar_Test[[#This Row],[Allow_Intercept]], fil))</f>
        <v>#NAME?</v>
      </c>
      <c r="M3" s="7" t="e">
        <f ca="1">_xlfn.LET(_xlpm.x_s, OFFSET(y,0,1,ROWS(y),MLR_Scalar_Test[[#This Row],[ind_vars]]), SS_Regression(_xlpm.x_s, y, MLR_Scalar_Test[[#This Row],[Allow_Intercept]], fil))</f>
        <v>#NAME?</v>
      </c>
      <c r="N3" s="6" t="e">
        <f ca="1">_xlfn.LET(_xlpm.x_s, OFFSET(y,0,1,ROWS(y),MLR_Scalar_Test[[#This Row],[ind_vars]]), SE_Regression(_xlpm.x_s, y, MLR_Scalar_Test[[#This Row],[Allow_Intercept]], fil))</f>
        <v>#NAME?</v>
      </c>
      <c r="O3" s="7" t="e">
        <f ca="1">_xlfn.LET(_xlpm.x_s, OFFSET(y,0,1,ROWS(y),MLR_Scalar_Test[[#This Row],[ind_vars]]), PRESS(_xlpm.x_s, y, MLR_Scalar_Test[[#This Row],[Allow_Intercept]], fil))</f>
        <v>#NAME?</v>
      </c>
      <c r="P3" s="7" t="e">
        <f ca="1">_xlfn.LET(_xlpm.x_s, OFFSET(y,0,1,ROWS(y),MLR_Scalar_Test[[#This Row],[ind_vars]]), AIC(_xlpm.x_s, y, MLR_Scalar_Test[[#This Row],[Allow_Intercept]], fil))</f>
        <v>#NAME?</v>
      </c>
      <c r="Q3" s="7" t="e">
        <f ca="1">_xlfn.LET(_xlpm.x_s, OFFSET(y,0,1,ROWS(y),MLR_Scalar_Test[[#This Row],[ind_vars]]), BIC(_xlpm.x_s, y, MLR_Scalar_Test[[#This Row],[Allow_Intercept]], fil))</f>
        <v>#NAME?</v>
      </c>
      <c r="R3" s="7" t="e">
        <f ca="1">_xlfn.LET(_xlpm.x_s, OFFSET(y,0,1,ROWS(y),MLR_Scalar_Test[[#This Row],[ind_vars]]), AICc(_xlpm.x_s, y, MLR_Scalar_Test[[#This Row],[Allow_Intercept]], fil))</f>
        <v>#NAME?</v>
      </c>
      <c r="S3" s="6" t="e">
        <f ca="1">_xlfn.LET(_xlpm.x_s, OFFSET(y,0,1,ROWS(y),MLR_Scalar_Test[[#This Row],[ind_vars]]), Durbin_Watson(_xlpm.x_s, y, MLR_Scalar_Test[[#This Row],[Allow_Intercept]], fil))</f>
        <v>#NAME?</v>
      </c>
      <c r="T3" s="22" t="e">
        <f ca="1">_xlfn.LET(_xlpm.x_s, OFFSET(y,0,1,ROWS(y),MLR_Scalar_Test[[#This Row],[ind_vars]]), QQ_Correlation(_xlpm.x_s, y, MLR_Scalar_Test[[#This Row],[Allow_Intercept]], fil))</f>
        <v>#NAME?</v>
      </c>
      <c r="U3" s="6" t="e">
        <f ca="1">_xlfn.LET(_xlpm.x_s, OFFSET(y,0,1,ROWS(y),MLR_Scalar_Test[[#This Row],[ind_vars]]), F_Stat(_xlpm.x_s, y, MLR_Scalar_Test[[#This Row],[Allow_Intercept]], fil))</f>
        <v>#NAME?</v>
      </c>
      <c r="V3" s="22" t="e">
        <f ca="1">_xlfn.LET(_xlpm.x_s, OFFSET(y,0,1,ROWS(y),MLR_Scalar_Test[[#This Row],[ind_vars]]), P_Value_F(_xlpm.x_s, y, MLR_Scalar_Test[[#This Row],[Allow_Intercept]], fil))</f>
        <v>#NAME?</v>
      </c>
    </row>
    <row r="4" spans="1:22" x14ac:dyDescent="0.25">
      <c r="A4" s="23" t="str">
        <f ca="1">_xlfn.TEXTJOIN(", ",TRUE,OFFSET(y,-1,1,1,MLR_Scalar_Test[[#This Row],[ind_vars]]))</f>
        <v>Adult Mortality, infant deaths, Alcohol, percentage expenditure, Hepatitis B</v>
      </c>
      <c r="B4" s="21">
        <v>5</v>
      </c>
      <c r="C4" s="20" t="b">
        <v>1</v>
      </c>
      <c r="D4" s="21" t="e">
        <f ca="1">Observations(y, fil)</f>
        <v>#NAME?</v>
      </c>
      <c r="E4" s="21" t="e">
        <f ca="1">_xlfn.LET(_xlpm.x_s, OFFSET(y,0,1,ROWS(y),MLR_Scalar_Test[[#This Row],[ind_vars]]), DF_Regression(_xlpm.x_s))</f>
        <v>#NAME?</v>
      </c>
      <c r="F4" s="21" t="e">
        <f ca="1">DF_Total(y, MLR_Scalar_Test[[#This Row],[Allow_Intercept]], fil)</f>
        <v>#NAME?</v>
      </c>
      <c r="G4" s="6" t="e">
        <f ca="1">_xlfn.LET(_xlpm.x_s, OFFSET(y,0,1,ROWS(y),MLR_Scalar_Test[[#This Row],[ind_vars]]), R_squared(_xlpm.x_s, y, MLR_Scalar_Test[[#This Row],[Allow_Intercept]], fil))</f>
        <v>#NAME?</v>
      </c>
      <c r="H4" s="21" t="e">
        <f ca="1">_xlfn.LET(_xlpm.x_s, OFFSET(y,0,1,ROWS(y),MLR_Scalar_Test[[#This Row],[ind_vars]]), DF_Residual(_xlpm.x_s, y, MLR_Scalar_Test[[#This Row],[Allow_Intercept]], fil))</f>
        <v>#NAME?</v>
      </c>
      <c r="I4" s="6" t="e">
        <f ca="1">_xlfn.LET(_xlpm.x_s, OFFSET(y,0,1,ROWS(y),MLR_Scalar_Test[[#This Row],[ind_vars]]), Multiple_R(_xlpm.x_s, y, MLR_Scalar_Test[[#This Row],[Allow_Intercept]], fil))</f>
        <v>#NAME?</v>
      </c>
      <c r="J4" s="6" t="e">
        <f ca="1">_xlfn.LET(_xlpm.x_s, OFFSET(y,0,1,ROWS(y),MLR_Scalar_Test[[#This Row],[ind_vars]]), Adjusted_R2(_xlpm.x_s, y, MLR_Scalar_Test[[#This Row],[Allow_Intercept]], fil))</f>
        <v>#NAME?</v>
      </c>
      <c r="K4" s="7" t="e">
        <f ca="1">SS_Total(y, MLR_Scalar_Test[[#This Row],[Allow_Intercept]], fil)</f>
        <v>#NAME?</v>
      </c>
      <c r="L4" s="7" t="e">
        <f ca="1">_xlfn.LET(_xlpm.x_s, OFFSET(y,0,1,ROWS(y),MLR_Scalar_Test[[#This Row],[ind_vars]]), SS_Residual(_xlpm.x_s, y, MLR_Scalar_Test[[#This Row],[Allow_Intercept]], fil))</f>
        <v>#NAME?</v>
      </c>
      <c r="M4" s="7" t="e">
        <f ca="1">_xlfn.LET(_xlpm.x_s, OFFSET(y,0,1,ROWS(y),MLR_Scalar_Test[[#This Row],[ind_vars]]), SS_Regression(_xlpm.x_s, y, MLR_Scalar_Test[[#This Row],[Allow_Intercept]], fil))</f>
        <v>#NAME?</v>
      </c>
      <c r="N4" s="6" t="e">
        <f ca="1">_xlfn.LET(_xlpm.x_s, OFFSET(y,0,1,ROWS(y),MLR_Scalar_Test[[#This Row],[ind_vars]]), SE_Regression(_xlpm.x_s, y, MLR_Scalar_Test[[#This Row],[Allow_Intercept]], fil))</f>
        <v>#NAME?</v>
      </c>
      <c r="O4" s="7" t="e">
        <f ca="1">_xlfn.LET(_xlpm.x_s, OFFSET(y,0,1,ROWS(y),MLR_Scalar_Test[[#This Row],[ind_vars]]), PRESS(_xlpm.x_s, y, MLR_Scalar_Test[[#This Row],[Allow_Intercept]], fil))</f>
        <v>#NAME?</v>
      </c>
      <c r="P4" s="7" t="e">
        <f ca="1">_xlfn.LET(_xlpm.x_s, OFFSET(y,0,1,ROWS(y),MLR_Scalar_Test[[#This Row],[ind_vars]]), AIC(_xlpm.x_s, y, MLR_Scalar_Test[[#This Row],[Allow_Intercept]], fil))</f>
        <v>#NAME?</v>
      </c>
      <c r="Q4" s="7" t="e">
        <f ca="1">_xlfn.LET(_xlpm.x_s, OFFSET(y,0,1,ROWS(y),MLR_Scalar_Test[[#This Row],[ind_vars]]), BIC(_xlpm.x_s, y, MLR_Scalar_Test[[#This Row],[Allow_Intercept]], fil))</f>
        <v>#NAME?</v>
      </c>
      <c r="R4" s="7" t="e">
        <f ca="1">_xlfn.LET(_xlpm.x_s, OFFSET(y,0,1,ROWS(y),MLR_Scalar_Test[[#This Row],[ind_vars]]), AICc(_xlpm.x_s, y, MLR_Scalar_Test[[#This Row],[Allow_Intercept]], fil))</f>
        <v>#NAME?</v>
      </c>
      <c r="S4" s="6" t="e">
        <f ca="1">_xlfn.LET(_xlpm.x_s, OFFSET(y,0,1,ROWS(y),MLR_Scalar_Test[[#This Row],[ind_vars]]), Durbin_Watson(_xlpm.x_s, y, MLR_Scalar_Test[[#This Row],[Allow_Intercept]], fil))</f>
        <v>#NAME?</v>
      </c>
      <c r="T4" s="22" t="e">
        <f ca="1">_xlfn.LET(_xlpm.x_s, OFFSET(y,0,1,ROWS(y),MLR_Scalar_Test[[#This Row],[ind_vars]]), QQ_Correlation(_xlpm.x_s, y, MLR_Scalar_Test[[#This Row],[Allow_Intercept]], fil))</f>
        <v>#NAME?</v>
      </c>
      <c r="U4" s="6" t="e">
        <f ca="1">_xlfn.LET(_xlpm.x_s, OFFSET(y,0,1,ROWS(y),MLR_Scalar_Test[[#This Row],[ind_vars]]), F_Stat(_xlpm.x_s, y, MLR_Scalar_Test[[#This Row],[Allow_Intercept]], fil))</f>
        <v>#NAME?</v>
      </c>
      <c r="V4" s="22" t="e">
        <f ca="1">_xlfn.LET(_xlpm.x_s, OFFSET(y,0,1,ROWS(y),MLR_Scalar_Test[[#This Row],[ind_vars]]), P_Value_F(_xlpm.x_s, y, MLR_Scalar_Test[[#This Row],[Allow_Intercept]], fil))</f>
        <v>#NAME?</v>
      </c>
    </row>
    <row r="5" spans="1:22" x14ac:dyDescent="0.25">
      <c r="A5" s="23" t="str">
        <f ca="1">_xlfn.TEXTJOIN(", ",TRUE,OFFSET(y,-1,1,1,MLR_Scalar_Test[[#This Row],[ind_vars]]))</f>
        <v>Adult Mortality, infant deaths, Alcohol, percentage expenditure, Hepatitis B</v>
      </c>
      <c r="B5" s="21">
        <v>5</v>
      </c>
      <c r="C5" s="20" t="b">
        <v>0</v>
      </c>
      <c r="D5" s="21" t="e">
        <f ca="1">Observations(y, fil)</f>
        <v>#NAME?</v>
      </c>
      <c r="E5" s="21" t="e">
        <f ca="1">_xlfn.LET(_xlpm.x_s, OFFSET(y,0,1,ROWS(y),MLR_Scalar_Test[[#This Row],[ind_vars]]), DF_Regression(_xlpm.x_s))</f>
        <v>#NAME?</v>
      </c>
      <c r="F5" s="21" t="e">
        <f ca="1">DF_Total(y, MLR_Scalar_Test[[#This Row],[Allow_Intercept]], fil)</f>
        <v>#NAME?</v>
      </c>
      <c r="G5" s="6" t="e">
        <f ca="1">_xlfn.LET(_xlpm.x_s, OFFSET(y,0,1,ROWS(y),MLR_Scalar_Test[[#This Row],[ind_vars]]), R_squared(_xlpm.x_s, y, MLR_Scalar_Test[[#This Row],[Allow_Intercept]], fil))</f>
        <v>#NAME?</v>
      </c>
      <c r="H5" s="21" t="e">
        <f ca="1">_xlfn.LET(_xlpm.x_s, OFFSET(y,0,1,ROWS(y),MLR_Scalar_Test[[#This Row],[ind_vars]]), DF_Residual(_xlpm.x_s, y, MLR_Scalar_Test[[#This Row],[Allow_Intercept]], fil))</f>
        <v>#NAME?</v>
      </c>
      <c r="I5" s="6" t="e">
        <f ca="1">_xlfn.LET(_xlpm.x_s, OFFSET(y,0,1,ROWS(y),MLR_Scalar_Test[[#This Row],[ind_vars]]), Multiple_R(_xlpm.x_s, y, MLR_Scalar_Test[[#This Row],[Allow_Intercept]], fil))</f>
        <v>#NAME?</v>
      </c>
      <c r="J5" s="6" t="e">
        <f ca="1">_xlfn.LET(_xlpm.x_s, OFFSET(y,0,1,ROWS(y),MLR_Scalar_Test[[#This Row],[ind_vars]]), Adjusted_R2(_xlpm.x_s, y, MLR_Scalar_Test[[#This Row],[Allow_Intercept]], fil))</f>
        <v>#NAME?</v>
      </c>
      <c r="K5" s="7" t="e">
        <f ca="1">SS_Total(y, MLR_Scalar_Test[[#This Row],[Allow_Intercept]], fil)</f>
        <v>#NAME?</v>
      </c>
      <c r="L5" s="7" t="e">
        <f ca="1">_xlfn.LET(_xlpm.x_s, OFFSET(y,0,1,ROWS(y),MLR_Scalar_Test[[#This Row],[ind_vars]]), SS_Residual(_xlpm.x_s, y, MLR_Scalar_Test[[#This Row],[Allow_Intercept]], fil))</f>
        <v>#NAME?</v>
      </c>
      <c r="M5" s="7" t="e">
        <f ca="1">_xlfn.LET(_xlpm.x_s, OFFSET(y,0,1,ROWS(y),MLR_Scalar_Test[[#This Row],[ind_vars]]), SS_Regression(_xlpm.x_s, y, MLR_Scalar_Test[[#This Row],[Allow_Intercept]], fil))</f>
        <v>#NAME?</v>
      </c>
      <c r="N5" s="6" t="e">
        <f ca="1">_xlfn.LET(_xlpm.x_s, OFFSET(y,0,1,ROWS(y),MLR_Scalar_Test[[#This Row],[ind_vars]]), SE_Regression(_xlpm.x_s, y, MLR_Scalar_Test[[#This Row],[Allow_Intercept]], fil))</f>
        <v>#NAME?</v>
      </c>
      <c r="O5" s="7" t="e">
        <f ca="1">_xlfn.LET(_xlpm.x_s, OFFSET(y,0,1,ROWS(y),MLR_Scalar_Test[[#This Row],[ind_vars]]), PRESS(_xlpm.x_s, y, MLR_Scalar_Test[[#This Row],[Allow_Intercept]], fil))</f>
        <v>#NAME?</v>
      </c>
      <c r="P5" s="7" t="e">
        <f ca="1">_xlfn.LET(_xlpm.x_s, OFFSET(y,0,1,ROWS(y),MLR_Scalar_Test[[#This Row],[ind_vars]]), AIC(_xlpm.x_s, y, MLR_Scalar_Test[[#This Row],[Allow_Intercept]], fil))</f>
        <v>#NAME?</v>
      </c>
      <c r="Q5" s="7" t="e">
        <f ca="1">_xlfn.LET(_xlpm.x_s, OFFSET(y,0,1,ROWS(y),MLR_Scalar_Test[[#This Row],[ind_vars]]), BIC(_xlpm.x_s, y, MLR_Scalar_Test[[#This Row],[Allow_Intercept]], fil))</f>
        <v>#NAME?</v>
      </c>
      <c r="R5" s="7" t="e">
        <f ca="1">_xlfn.LET(_xlpm.x_s, OFFSET(y,0,1,ROWS(y),MLR_Scalar_Test[[#This Row],[ind_vars]]), AICc(_xlpm.x_s, y, MLR_Scalar_Test[[#This Row],[Allow_Intercept]], fil))</f>
        <v>#NAME?</v>
      </c>
      <c r="S5" s="6" t="e">
        <f ca="1">_xlfn.LET(_xlpm.x_s, OFFSET(y,0,1,ROWS(y),MLR_Scalar_Test[[#This Row],[ind_vars]]), Durbin_Watson(_xlpm.x_s, y, MLR_Scalar_Test[[#This Row],[Allow_Intercept]], fil))</f>
        <v>#NAME?</v>
      </c>
      <c r="T5" s="22" t="e">
        <f ca="1">_xlfn.LET(_xlpm.x_s, OFFSET(y,0,1,ROWS(y),MLR_Scalar_Test[[#This Row],[ind_vars]]), QQ_Correlation(_xlpm.x_s, y, MLR_Scalar_Test[[#This Row],[Allow_Intercept]], fil))</f>
        <v>#NAME?</v>
      </c>
      <c r="U5" s="6" t="e">
        <f ca="1">_xlfn.LET(_xlpm.x_s, OFFSET(y,0,1,ROWS(y),MLR_Scalar_Test[[#This Row],[ind_vars]]), F_Stat(_xlpm.x_s, y, MLR_Scalar_Test[[#This Row],[Allow_Intercept]], fil))</f>
        <v>#NAME?</v>
      </c>
      <c r="V5" s="22" t="e">
        <f ca="1">_xlfn.LET(_xlpm.x_s, OFFSET(y,0,1,ROWS(y),MLR_Scalar_Test[[#This Row],[ind_vars]]), P_Value_F(_xlpm.x_s, y, MLR_Scalar_Test[[#This Row],[Allow_Intercept]], fil))</f>
        <v>#NAME?</v>
      </c>
    </row>
    <row r="6" spans="1:22" ht="30" x14ac:dyDescent="0.25">
      <c r="A6" s="23" t="str">
        <f ca="1">_xlfn.TEXTJOIN(", ",TRUE,OFFSET(y,-1,1,1,MLR_Scalar_Test[[#This Row],[ind_vars]]))</f>
        <v>Adult Mortality, infant deaths, Alcohol, percentage expenditure, Hepatitis B, Measles, BMI, under-five deaths, Polio, Total expenditure</v>
      </c>
      <c r="B6" s="21">
        <v>10</v>
      </c>
      <c r="C6" s="20" t="b">
        <v>1</v>
      </c>
      <c r="D6" s="21" t="e">
        <f ca="1">Observations(y, fil)</f>
        <v>#NAME?</v>
      </c>
      <c r="E6" s="21" t="e">
        <f ca="1">_xlfn.LET(_xlpm.x_s, OFFSET(y,0,1,ROWS(y),MLR_Scalar_Test[[#This Row],[ind_vars]]), DF_Regression(_xlpm.x_s))</f>
        <v>#NAME?</v>
      </c>
      <c r="F6" s="21" t="e">
        <f ca="1">DF_Total(y, MLR_Scalar_Test[[#This Row],[Allow_Intercept]], fil)</f>
        <v>#NAME?</v>
      </c>
      <c r="G6" s="6" t="e">
        <f ca="1">_xlfn.LET(_xlpm.x_s, OFFSET(y,0,1,ROWS(y),MLR_Scalar_Test[[#This Row],[ind_vars]]), R_squared(_xlpm.x_s, y, MLR_Scalar_Test[[#This Row],[Allow_Intercept]], fil))</f>
        <v>#NAME?</v>
      </c>
      <c r="H6" s="21" t="e">
        <f ca="1">_xlfn.LET(_xlpm.x_s, OFFSET(y,0,1,ROWS(y),MLR_Scalar_Test[[#This Row],[ind_vars]]), DF_Residual(_xlpm.x_s, y, MLR_Scalar_Test[[#This Row],[Allow_Intercept]], fil))</f>
        <v>#NAME?</v>
      </c>
      <c r="I6" s="6" t="e">
        <f ca="1">_xlfn.LET(_xlpm.x_s, OFFSET(y,0,1,ROWS(y),MLR_Scalar_Test[[#This Row],[ind_vars]]), Multiple_R(_xlpm.x_s, y, MLR_Scalar_Test[[#This Row],[Allow_Intercept]], fil))</f>
        <v>#NAME?</v>
      </c>
      <c r="J6" s="6" t="e">
        <f ca="1">_xlfn.LET(_xlpm.x_s, OFFSET(y,0,1,ROWS(y),MLR_Scalar_Test[[#This Row],[ind_vars]]), Adjusted_R2(_xlpm.x_s, y, MLR_Scalar_Test[[#This Row],[Allow_Intercept]], fil))</f>
        <v>#NAME?</v>
      </c>
      <c r="K6" s="7" t="e">
        <f ca="1">SS_Total(y, MLR_Scalar_Test[[#This Row],[Allow_Intercept]], fil)</f>
        <v>#NAME?</v>
      </c>
      <c r="L6" s="7" t="e">
        <f ca="1">_xlfn.LET(_xlpm.x_s, OFFSET(y,0,1,ROWS(y),MLR_Scalar_Test[[#This Row],[ind_vars]]), SS_Residual(_xlpm.x_s, y, MLR_Scalar_Test[[#This Row],[Allow_Intercept]], fil))</f>
        <v>#NAME?</v>
      </c>
      <c r="M6" s="7" t="e">
        <f ca="1">_xlfn.LET(_xlpm.x_s, OFFSET(y,0,1,ROWS(y),MLR_Scalar_Test[[#This Row],[ind_vars]]), SS_Regression(_xlpm.x_s, y, MLR_Scalar_Test[[#This Row],[Allow_Intercept]], fil))</f>
        <v>#NAME?</v>
      </c>
      <c r="N6" s="6" t="e">
        <f ca="1">_xlfn.LET(_xlpm.x_s, OFFSET(y,0,1,ROWS(y),MLR_Scalar_Test[[#This Row],[ind_vars]]), SE_Regression(_xlpm.x_s, y, MLR_Scalar_Test[[#This Row],[Allow_Intercept]], fil))</f>
        <v>#NAME?</v>
      </c>
      <c r="O6" s="7" t="e">
        <f ca="1">_xlfn.LET(_xlpm.x_s, OFFSET(y,0,1,ROWS(y),MLR_Scalar_Test[[#This Row],[ind_vars]]), PRESS(_xlpm.x_s, y, MLR_Scalar_Test[[#This Row],[Allow_Intercept]], fil))</f>
        <v>#NAME?</v>
      </c>
      <c r="P6" s="7" t="e">
        <f ca="1">_xlfn.LET(_xlpm.x_s, OFFSET(y,0,1,ROWS(y),MLR_Scalar_Test[[#This Row],[ind_vars]]), AIC(_xlpm.x_s, y, MLR_Scalar_Test[[#This Row],[Allow_Intercept]], fil))</f>
        <v>#NAME?</v>
      </c>
      <c r="Q6" s="7" t="e">
        <f ca="1">_xlfn.LET(_xlpm.x_s, OFFSET(y,0,1,ROWS(y),MLR_Scalar_Test[[#This Row],[ind_vars]]), BIC(_xlpm.x_s, y, MLR_Scalar_Test[[#This Row],[Allow_Intercept]], fil))</f>
        <v>#NAME?</v>
      </c>
      <c r="R6" s="7" t="e">
        <f ca="1">_xlfn.LET(_xlpm.x_s, OFFSET(y,0,1,ROWS(y),MLR_Scalar_Test[[#This Row],[ind_vars]]), AICc(_xlpm.x_s, y, MLR_Scalar_Test[[#This Row],[Allow_Intercept]], fil))</f>
        <v>#NAME?</v>
      </c>
      <c r="S6" s="6" t="e">
        <f ca="1">_xlfn.LET(_xlpm.x_s, OFFSET(y,0,1,ROWS(y),MLR_Scalar_Test[[#This Row],[ind_vars]]), Durbin_Watson(_xlpm.x_s, y, MLR_Scalar_Test[[#This Row],[Allow_Intercept]], fil))</f>
        <v>#NAME?</v>
      </c>
      <c r="T6" s="22" t="e">
        <f ca="1">_xlfn.LET(_xlpm.x_s, OFFSET(y,0,1,ROWS(y),MLR_Scalar_Test[[#This Row],[ind_vars]]), QQ_Correlation(_xlpm.x_s, y, MLR_Scalar_Test[[#This Row],[Allow_Intercept]], fil))</f>
        <v>#NAME?</v>
      </c>
      <c r="U6" s="6" t="e">
        <f ca="1">_xlfn.LET(_xlpm.x_s, OFFSET(y,0,1,ROWS(y),MLR_Scalar_Test[[#This Row],[ind_vars]]), F_Stat(_xlpm.x_s, y, MLR_Scalar_Test[[#This Row],[Allow_Intercept]], fil))</f>
        <v>#NAME?</v>
      </c>
      <c r="V6" s="22" t="e">
        <f ca="1">_xlfn.LET(_xlpm.x_s, OFFSET(y,0,1,ROWS(y),MLR_Scalar_Test[[#This Row],[ind_vars]]), P_Value_F(_xlpm.x_s, y, MLR_Scalar_Test[[#This Row],[Allow_Intercept]], fil))</f>
        <v>#NAME?</v>
      </c>
    </row>
    <row r="7" spans="1:22" ht="30" x14ac:dyDescent="0.25">
      <c r="A7" s="23" t="str">
        <f ca="1">_xlfn.TEXTJOIN(", ",TRUE,OFFSET(y,-1,1,1,MLR_Scalar_Test[[#This Row],[ind_vars]]))</f>
        <v>Adult Mortality, infant deaths, Alcohol, percentage expenditure, Hepatitis B, Measles, BMI, under-five deaths, Polio, Total expenditure</v>
      </c>
      <c r="B7" s="21">
        <v>10</v>
      </c>
      <c r="C7" s="20" t="b">
        <v>0</v>
      </c>
      <c r="D7" s="21" t="e">
        <f ca="1">Observations(y, fil)</f>
        <v>#NAME?</v>
      </c>
      <c r="E7" s="21" t="e">
        <f ca="1">_xlfn.LET(_xlpm.x_s, OFFSET(y,0,1,ROWS(y),MLR_Scalar_Test[[#This Row],[ind_vars]]), DF_Regression(_xlpm.x_s))</f>
        <v>#NAME?</v>
      </c>
      <c r="F7" s="21" t="e">
        <f ca="1">DF_Total(y, MLR_Scalar_Test[[#This Row],[Allow_Intercept]], fil)</f>
        <v>#NAME?</v>
      </c>
      <c r="G7" s="6" t="e">
        <f ca="1">_xlfn.LET(_xlpm.x_s, OFFSET(y,0,1,ROWS(y),MLR_Scalar_Test[[#This Row],[ind_vars]]), R_squared(_xlpm.x_s, y, MLR_Scalar_Test[[#This Row],[Allow_Intercept]], fil))</f>
        <v>#NAME?</v>
      </c>
      <c r="H7" s="21" t="e">
        <f ca="1">_xlfn.LET(_xlpm.x_s, OFFSET(y,0,1,ROWS(y),MLR_Scalar_Test[[#This Row],[ind_vars]]), DF_Residual(_xlpm.x_s, y, MLR_Scalar_Test[[#This Row],[Allow_Intercept]], fil))</f>
        <v>#NAME?</v>
      </c>
      <c r="I7" s="6" t="e">
        <f ca="1">_xlfn.LET(_xlpm.x_s, OFFSET(y,0,1,ROWS(y),MLR_Scalar_Test[[#This Row],[ind_vars]]), Multiple_R(_xlpm.x_s, y, MLR_Scalar_Test[[#This Row],[Allow_Intercept]], fil))</f>
        <v>#NAME?</v>
      </c>
      <c r="J7" s="6" t="e">
        <f ca="1">_xlfn.LET(_xlpm.x_s, OFFSET(y,0,1,ROWS(y),MLR_Scalar_Test[[#This Row],[ind_vars]]), Adjusted_R2(_xlpm.x_s, y, MLR_Scalar_Test[[#This Row],[Allow_Intercept]], fil))</f>
        <v>#NAME?</v>
      </c>
      <c r="K7" s="7" t="e">
        <f ca="1">SS_Total(y, MLR_Scalar_Test[[#This Row],[Allow_Intercept]], fil)</f>
        <v>#NAME?</v>
      </c>
      <c r="L7" s="7" t="e">
        <f ca="1">_xlfn.LET(_xlpm.x_s, OFFSET(y,0,1,ROWS(y),MLR_Scalar_Test[[#This Row],[ind_vars]]), SS_Residual(_xlpm.x_s, y, MLR_Scalar_Test[[#This Row],[Allow_Intercept]], fil))</f>
        <v>#NAME?</v>
      </c>
      <c r="M7" s="7" t="e">
        <f ca="1">_xlfn.LET(_xlpm.x_s, OFFSET(y,0,1,ROWS(y),MLR_Scalar_Test[[#This Row],[ind_vars]]), SS_Regression(_xlpm.x_s, y, MLR_Scalar_Test[[#This Row],[Allow_Intercept]], fil))</f>
        <v>#NAME?</v>
      </c>
      <c r="N7" s="6" t="e">
        <f ca="1">_xlfn.LET(_xlpm.x_s, OFFSET(y,0,1,ROWS(y),MLR_Scalar_Test[[#This Row],[ind_vars]]), SE_Regression(_xlpm.x_s, y, MLR_Scalar_Test[[#This Row],[Allow_Intercept]], fil))</f>
        <v>#NAME?</v>
      </c>
      <c r="O7" s="7" t="e">
        <f ca="1">_xlfn.LET(_xlpm.x_s, OFFSET(y,0,1,ROWS(y),MLR_Scalar_Test[[#This Row],[ind_vars]]), PRESS(_xlpm.x_s, y, MLR_Scalar_Test[[#This Row],[Allow_Intercept]], fil))</f>
        <v>#NAME?</v>
      </c>
      <c r="P7" s="7" t="e">
        <f ca="1">_xlfn.LET(_xlpm.x_s, OFFSET(y,0,1,ROWS(y),MLR_Scalar_Test[[#This Row],[ind_vars]]), AIC(_xlpm.x_s, y, MLR_Scalar_Test[[#This Row],[Allow_Intercept]], fil))</f>
        <v>#NAME?</v>
      </c>
      <c r="Q7" s="7" t="e">
        <f ca="1">_xlfn.LET(_xlpm.x_s, OFFSET(y,0,1,ROWS(y),MLR_Scalar_Test[[#This Row],[ind_vars]]), BIC(_xlpm.x_s, y, MLR_Scalar_Test[[#This Row],[Allow_Intercept]], fil))</f>
        <v>#NAME?</v>
      </c>
      <c r="R7" s="7" t="e">
        <f ca="1">_xlfn.LET(_xlpm.x_s, OFFSET(y,0,1,ROWS(y),MLR_Scalar_Test[[#This Row],[ind_vars]]), AICc(_xlpm.x_s, y, MLR_Scalar_Test[[#This Row],[Allow_Intercept]], fil))</f>
        <v>#NAME?</v>
      </c>
      <c r="S7" s="6" t="e">
        <f ca="1">_xlfn.LET(_xlpm.x_s, OFFSET(y,0,1,ROWS(y),MLR_Scalar_Test[[#This Row],[ind_vars]]), Durbin_Watson(_xlpm.x_s, y, MLR_Scalar_Test[[#This Row],[Allow_Intercept]], fil))</f>
        <v>#NAME?</v>
      </c>
      <c r="T7" s="22" t="e">
        <f ca="1">_xlfn.LET(_xlpm.x_s, OFFSET(y,0,1,ROWS(y),MLR_Scalar_Test[[#This Row],[ind_vars]]), QQ_Correlation(_xlpm.x_s, y, MLR_Scalar_Test[[#This Row],[Allow_Intercept]], fil))</f>
        <v>#NAME?</v>
      </c>
      <c r="U7" s="6" t="e">
        <f ca="1">_xlfn.LET(_xlpm.x_s, OFFSET(y,0,1,ROWS(y),MLR_Scalar_Test[[#This Row],[ind_vars]]), F_Stat(_xlpm.x_s, y, MLR_Scalar_Test[[#This Row],[Allow_Intercept]], fil))</f>
        <v>#NAME?</v>
      </c>
      <c r="V7" s="22" t="e">
        <f ca="1">_xlfn.LET(_xlpm.x_s, OFFSET(y,0,1,ROWS(y),MLR_Scalar_Test[[#This Row],[ind_vars]]), P_Value_F(_xlpm.x_s, y, MLR_Scalar_Test[[#This Row],[Allow_Intercept]], fil))</f>
        <v>#NAME?</v>
      </c>
    </row>
    <row r="8" spans="1:22" ht="45" x14ac:dyDescent="0.25">
      <c r="A8" s="23" t="str">
        <f ca="1">_xlfn.TEXTJOIN(", ",TRUE,OFFSET(y,-1,1,1,MLR_Scalar_Test[[#This Row],[ind_vars]]))</f>
        <v>Adult Mortality, infant deaths, Alcohol, percentage expenditure, Hepatitis B, Measles, BMI, under-five deaths, Polio, Total expenditure, Diphtheria, HIV/AIDS, GDP, Population, thinness 1-19 years, thinness 5-9 years, Income composition of resources, Schooling</v>
      </c>
      <c r="B8" s="21">
        <v>18</v>
      </c>
      <c r="C8" s="20" t="b">
        <v>1</v>
      </c>
      <c r="D8" s="21" t="e">
        <f ca="1">Observations(y, fil)</f>
        <v>#NAME?</v>
      </c>
      <c r="E8" s="21" t="e">
        <f ca="1">_xlfn.LET(_xlpm.x_s, OFFSET(y,0,1,ROWS(y),MLR_Scalar_Test[[#This Row],[ind_vars]]), DF_Regression(_xlpm.x_s))</f>
        <v>#NAME?</v>
      </c>
      <c r="F8" s="21" t="e">
        <f ca="1">DF_Total(y, MLR_Scalar_Test[[#This Row],[Allow_Intercept]], fil)</f>
        <v>#NAME?</v>
      </c>
      <c r="G8" s="6" t="e">
        <f ca="1">_xlfn.LET(_xlpm.x_s, OFFSET(y,0,1,ROWS(y),MLR_Scalar_Test[[#This Row],[ind_vars]]), R_squared(_xlpm.x_s, y, MLR_Scalar_Test[[#This Row],[Allow_Intercept]], fil))</f>
        <v>#NAME?</v>
      </c>
      <c r="H8" s="21" t="e">
        <f ca="1">_xlfn.LET(_xlpm.x_s, OFFSET(y,0,1,ROWS(y),MLR_Scalar_Test[[#This Row],[ind_vars]]), DF_Residual(_xlpm.x_s, y, MLR_Scalar_Test[[#This Row],[Allow_Intercept]], fil))</f>
        <v>#NAME?</v>
      </c>
      <c r="I8" s="6" t="e">
        <f ca="1">_xlfn.LET(_xlpm.x_s, OFFSET(y,0,1,ROWS(y),MLR_Scalar_Test[[#This Row],[ind_vars]]), Multiple_R(_xlpm.x_s, y, MLR_Scalar_Test[[#This Row],[Allow_Intercept]], fil))</f>
        <v>#NAME?</v>
      </c>
      <c r="J8" s="6" t="e">
        <f ca="1">_xlfn.LET(_xlpm.x_s, OFFSET(y,0,1,ROWS(y),MLR_Scalar_Test[[#This Row],[ind_vars]]), Adjusted_R2(_xlpm.x_s, y, MLR_Scalar_Test[[#This Row],[Allow_Intercept]], fil))</f>
        <v>#NAME?</v>
      </c>
      <c r="K8" s="7" t="e">
        <f ca="1">SS_Total(y, MLR_Scalar_Test[[#This Row],[Allow_Intercept]], fil)</f>
        <v>#NAME?</v>
      </c>
      <c r="L8" s="7" t="e">
        <f ca="1">_xlfn.LET(_xlpm.x_s, OFFSET(y,0,1,ROWS(y),MLR_Scalar_Test[[#This Row],[ind_vars]]), SS_Residual(_xlpm.x_s, y, MLR_Scalar_Test[[#This Row],[Allow_Intercept]], fil))</f>
        <v>#NAME?</v>
      </c>
      <c r="M8" s="7" t="e">
        <f ca="1">_xlfn.LET(_xlpm.x_s, OFFSET(y,0,1,ROWS(y),MLR_Scalar_Test[[#This Row],[ind_vars]]), SS_Regression(_xlpm.x_s, y, MLR_Scalar_Test[[#This Row],[Allow_Intercept]], fil))</f>
        <v>#NAME?</v>
      </c>
      <c r="N8" s="6" t="e">
        <f ca="1">_xlfn.LET(_xlpm.x_s, OFFSET(y,0,1,ROWS(y),MLR_Scalar_Test[[#This Row],[ind_vars]]), SE_Regression(_xlpm.x_s, y, MLR_Scalar_Test[[#This Row],[Allow_Intercept]], fil))</f>
        <v>#NAME?</v>
      </c>
      <c r="O8" s="7" t="e">
        <f ca="1">_xlfn.LET(_xlpm.x_s, OFFSET(y,0,1,ROWS(y),MLR_Scalar_Test[[#This Row],[ind_vars]]), PRESS(_xlpm.x_s, y, MLR_Scalar_Test[[#This Row],[Allow_Intercept]], fil))</f>
        <v>#NAME?</v>
      </c>
      <c r="P8" s="7" t="e">
        <f ca="1">_xlfn.LET(_xlpm.x_s, OFFSET(y,0,1,ROWS(y),MLR_Scalar_Test[[#This Row],[ind_vars]]), AIC(_xlpm.x_s, y, MLR_Scalar_Test[[#This Row],[Allow_Intercept]], fil))</f>
        <v>#NAME?</v>
      </c>
      <c r="Q8" s="7" t="e">
        <f ca="1">_xlfn.LET(_xlpm.x_s, OFFSET(y,0,1,ROWS(y),MLR_Scalar_Test[[#This Row],[ind_vars]]), BIC(_xlpm.x_s, y, MLR_Scalar_Test[[#This Row],[Allow_Intercept]], fil))</f>
        <v>#NAME?</v>
      </c>
      <c r="R8" s="7" t="e">
        <f ca="1">_xlfn.LET(_xlpm.x_s, OFFSET(y,0,1,ROWS(y),MLR_Scalar_Test[[#This Row],[ind_vars]]), AICc(_xlpm.x_s, y, MLR_Scalar_Test[[#This Row],[Allow_Intercept]], fil))</f>
        <v>#NAME?</v>
      </c>
      <c r="S8" s="6" t="e">
        <f ca="1">_xlfn.LET(_xlpm.x_s, OFFSET(y,0,1,ROWS(y),MLR_Scalar_Test[[#This Row],[ind_vars]]), Durbin_Watson(_xlpm.x_s, y, MLR_Scalar_Test[[#This Row],[Allow_Intercept]], fil))</f>
        <v>#NAME?</v>
      </c>
      <c r="T8" s="22" t="e">
        <f ca="1">_xlfn.LET(_xlpm.x_s, OFFSET(y,0,1,ROWS(y),MLR_Scalar_Test[[#This Row],[ind_vars]]), QQ_Correlation(_xlpm.x_s, y, MLR_Scalar_Test[[#This Row],[Allow_Intercept]], fil))</f>
        <v>#NAME?</v>
      </c>
      <c r="U8" s="6" t="e">
        <f ca="1">_xlfn.LET(_xlpm.x_s, OFFSET(y,0,1,ROWS(y),MLR_Scalar_Test[[#This Row],[ind_vars]]), F_Stat(_xlpm.x_s, y, MLR_Scalar_Test[[#This Row],[Allow_Intercept]], fil))</f>
        <v>#NAME?</v>
      </c>
      <c r="V8" s="22" t="e">
        <f ca="1">_xlfn.LET(_xlpm.x_s, OFFSET(y,0,1,ROWS(y),MLR_Scalar_Test[[#This Row],[ind_vars]]), P_Value_F(_xlpm.x_s, y, MLR_Scalar_Test[[#This Row],[Allow_Intercept]], fil))</f>
        <v>#NAME?</v>
      </c>
    </row>
    <row r="9" spans="1:22" ht="45" x14ac:dyDescent="0.25">
      <c r="A9" s="23" t="str">
        <f ca="1">_xlfn.TEXTJOIN(", ",TRUE,OFFSET(y,-1,1,1,MLR_Scalar_Test[[#This Row],[ind_vars]]))</f>
        <v>Adult Mortality, infant deaths, Alcohol, percentage expenditure, Hepatitis B, Measles, BMI, under-five deaths, Polio, Total expenditure, Diphtheria, HIV/AIDS, GDP, Population, thinness 1-19 years, thinness 5-9 years, Income composition of resources, Schooling</v>
      </c>
      <c r="B9" s="21">
        <v>18</v>
      </c>
      <c r="C9" s="20" t="b">
        <v>0</v>
      </c>
      <c r="D9" s="21" t="e">
        <f ca="1">Observations(y, fil)</f>
        <v>#NAME?</v>
      </c>
      <c r="E9" s="21" t="e">
        <f ca="1">_xlfn.LET(_xlpm.x_s, OFFSET(y,0,1,ROWS(y),MLR_Scalar_Test[[#This Row],[ind_vars]]), DF_Regression(_xlpm.x_s))</f>
        <v>#NAME?</v>
      </c>
      <c r="F9" s="21" t="e">
        <f ca="1">DF_Total(y, MLR_Scalar_Test[[#This Row],[Allow_Intercept]], fil)</f>
        <v>#NAME?</v>
      </c>
      <c r="G9" s="6" t="e">
        <f ca="1">_xlfn.LET(_xlpm.x_s, OFFSET(y,0,1,ROWS(y),MLR_Scalar_Test[[#This Row],[ind_vars]]), R_squared(_xlpm.x_s, y, MLR_Scalar_Test[[#This Row],[Allow_Intercept]], fil))</f>
        <v>#NAME?</v>
      </c>
      <c r="H9" s="21" t="e">
        <f ca="1">_xlfn.LET(_xlpm.x_s, OFFSET(y,0,1,ROWS(y),MLR_Scalar_Test[[#This Row],[ind_vars]]), DF_Residual(_xlpm.x_s, y, MLR_Scalar_Test[[#This Row],[Allow_Intercept]], fil))</f>
        <v>#NAME?</v>
      </c>
      <c r="I9" s="6" t="e">
        <f ca="1">_xlfn.LET(_xlpm.x_s, OFFSET(y,0,1,ROWS(y),MLR_Scalar_Test[[#This Row],[ind_vars]]), Multiple_R(_xlpm.x_s, y, MLR_Scalar_Test[[#This Row],[Allow_Intercept]], fil))</f>
        <v>#NAME?</v>
      </c>
      <c r="J9" s="6" t="e">
        <f ca="1">_xlfn.LET(_xlpm.x_s, OFFSET(y,0,1,ROWS(y),MLR_Scalar_Test[[#This Row],[ind_vars]]), Adjusted_R2(_xlpm.x_s, y, MLR_Scalar_Test[[#This Row],[Allow_Intercept]], fil))</f>
        <v>#NAME?</v>
      </c>
      <c r="K9" s="7" t="e">
        <f ca="1">SS_Total(y, MLR_Scalar_Test[[#This Row],[Allow_Intercept]], fil)</f>
        <v>#NAME?</v>
      </c>
      <c r="L9" s="7" t="e">
        <f ca="1">_xlfn.LET(_xlpm.x_s, OFFSET(y,0,1,ROWS(y),MLR_Scalar_Test[[#This Row],[ind_vars]]), SS_Residual(_xlpm.x_s, y, MLR_Scalar_Test[[#This Row],[Allow_Intercept]], fil))</f>
        <v>#NAME?</v>
      </c>
      <c r="M9" s="7" t="e">
        <f ca="1">_xlfn.LET(_xlpm.x_s, OFFSET(y,0,1,ROWS(y),MLR_Scalar_Test[[#This Row],[ind_vars]]), SS_Regression(_xlpm.x_s, y, MLR_Scalar_Test[[#This Row],[Allow_Intercept]], fil))</f>
        <v>#NAME?</v>
      </c>
      <c r="N9" s="6" t="e">
        <f ca="1">_xlfn.LET(_xlpm.x_s, OFFSET(y,0,1,ROWS(y),MLR_Scalar_Test[[#This Row],[ind_vars]]), SE_Regression(_xlpm.x_s, y, MLR_Scalar_Test[[#This Row],[Allow_Intercept]], fil))</f>
        <v>#NAME?</v>
      </c>
      <c r="O9" s="7" t="e">
        <f ca="1">_xlfn.LET(_xlpm.x_s, OFFSET(y,0,1,ROWS(y),MLR_Scalar_Test[[#This Row],[ind_vars]]), PRESS(_xlpm.x_s, y, MLR_Scalar_Test[[#This Row],[Allow_Intercept]], fil))</f>
        <v>#NAME?</v>
      </c>
      <c r="P9" s="7" t="e">
        <f ca="1">_xlfn.LET(_xlpm.x_s, OFFSET(y,0,1,ROWS(y),MLR_Scalar_Test[[#This Row],[ind_vars]]), AIC(_xlpm.x_s, y, MLR_Scalar_Test[[#This Row],[Allow_Intercept]], fil))</f>
        <v>#NAME?</v>
      </c>
      <c r="Q9" s="7" t="e">
        <f ca="1">_xlfn.LET(_xlpm.x_s, OFFSET(y,0,1,ROWS(y),MLR_Scalar_Test[[#This Row],[ind_vars]]), BIC(_xlpm.x_s, y, MLR_Scalar_Test[[#This Row],[Allow_Intercept]], fil))</f>
        <v>#NAME?</v>
      </c>
      <c r="R9" s="7" t="e">
        <f ca="1">_xlfn.LET(_xlpm.x_s, OFFSET(y,0,1,ROWS(y),MLR_Scalar_Test[[#This Row],[ind_vars]]), AICc(_xlpm.x_s, y, MLR_Scalar_Test[[#This Row],[Allow_Intercept]], fil))</f>
        <v>#NAME?</v>
      </c>
      <c r="S9" s="6" t="e">
        <f ca="1">_xlfn.LET(_xlpm.x_s, OFFSET(y,0,1,ROWS(y),MLR_Scalar_Test[[#This Row],[ind_vars]]), Durbin_Watson(_xlpm.x_s, y, MLR_Scalar_Test[[#This Row],[Allow_Intercept]], fil))</f>
        <v>#NAME?</v>
      </c>
      <c r="T9" s="22" t="e">
        <f ca="1">_xlfn.LET(_xlpm.x_s, OFFSET(y,0,1,ROWS(y),MLR_Scalar_Test[[#This Row],[ind_vars]]), QQ_Correlation(_xlpm.x_s, y, MLR_Scalar_Test[[#This Row],[Allow_Intercept]], fil))</f>
        <v>#NAME?</v>
      </c>
      <c r="U9" s="6" t="e">
        <f ca="1">_xlfn.LET(_xlpm.x_s, OFFSET(y,0,1,ROWS(y),MLR_Scalar_Test[[#This Row],[ind_vars]]), F_Stat(_xlpm.x_s, y, MLR_Scalar_Test[[#This Row],[Allow_Intercept]], fil))</f>
        <v>#NAME?</v>
      </c>
      <c r="V9" s="22" t="e">
        <f ca="1">_xlfn.LET(_xlpm.x_s, OFFSET(y,0,1,ROWS(y),MLR_Scalar_Test[[#This Row],[ind_vars]]), P_Value_F(_xlpm.x_s, y, MLR_Scalar_Test[[#This Row],[Allow_Intercept]], fil))</f>
        <v>#NAME?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62507-47B8-4411-9E85-7E8B12FF8542}">
  <dimension ref="A1:K88"/>
  <sheetViews>
    <sheetView workbookViewId="0">
      <pane ySplit="1" topLeftCell="A2" activePane="bottomLeft" state="frozenSplit"/>
      <selection pane="bottomLeft"/>
    </sheetView>
  </sheetViews>
  <sheetFormatPr defaultRowHeight="15" x14ac:dyDescent="0.25"/>
  <cols>
    <col min="1" max="1" width="31.140625" bestFit="1" customWidth="1"/>
    <col min="2" max="2" width="8.5703125" bestFit="1" customWidth="1"/>
    <col min="3" max="3" width="8.85546875" bestFit="1" customWidth="1"/>
    <col min="4" max="4" width="8.140625" bestFit="1" customWidth="1"/>
    <col min="5" max="5" width="9" bestFit="1" customWidth="1"/>
    <col min="6" max="6" width="8.7109375" bestFit="1" customWidth="1"/>
    <col min="7" max="9" width="8.85546875" bestFit="1" customWidth="1"/>
    <col min="10" max="10" width="8.140625" bestFit="1" customWidth="1"/>
    <col min="11" max="11" width="8.7109375" bestFit="1" customWidth="1"/>
  </cols>
  <sheetData>
    <row r="1" spans="1:11" ht="30" x14ac:dyDescent="0.25">
      <c r="A1" s="2" t="s">
        <v>527</v>
      </c>
      <c r="B1" s="2" t="s">
        <v>85</v>
      </c>
      <c r="C1" s="2" t="s">
        <v>89</v>
      </c>
      <c r="D1" s="2" t="s">
        <v>93</v>
      </c>
      <c r="E1" s="2" t="s">
        <v>97</v>
      </c>
      <c r="F1" s="2" t="s">
        <v>101</v>
      </c>
      <c r="G1" s="2" t="s">
        <v>106</v>
      </c>
      <c r="H1" s="2" t="s">
        <v>110</v>
      </c>
      <c r="I1" s="2" t="s">
        <v>528</v>
      </c>
      <c r="J1" s="2" t="s">
        <v>118</v>
      </c>
      <c r="K1" s="2" t="s">
        <v>123</v>
      </c>
    </row>
    <row r="2" spans="1:11" x14ac:dyDescent="0.25">
      <c r="A2" t="s">
        <v>529</v>
      </c>
    </row>
    <row r="3" spans="1:11" x14ac:dyDescent="0.25">
      <c r="A3" t="s">
        <v>514</v>
      </c>
      <c r="B3" s="6" t="e" cm="1">
        <f t="array" aca="1" ref="B3" ca="1">_xlfn.LET(_xlpm.x_s,OFFSET(y,0,1,ROWS(y),1),Coefficients(_xlpm.x_s,y,TRUE,fil))</f>
        <v>#NAME?</v>
      </c>
      <c r="C3" s="6" t="e" cm="1">
        <f t="array" aca="1" ref="C3" ca="1">_xlfn.LET(_xlpm.x_s,OFFSET(y,0,1,ROWS(y),1),SE_Coefficients(_xlpm.x_s,y,TRUE,fil))</f>
        <v>#NAME?</v>
      </c>
      <c r="D3" s="6" t="e" cm="1">
        <f t="array" aca="1" ref="D3" ca="1">_xlfn.LET(_xlpm.x_s,OFFSET(y,0,1,ROWS(y),1),T_Stats(_xlpm.x_s,y,TRUE,fil))</f>
        <v>#NAME?</v>
      </c>
      <c r="E3" s="24" t="e" cm="1">
        <f t="array" aca="1" ref="E3" ca="1">_xlfn.LET(_xlpm.x_s,OFFSET(y,0,1,ROWS(y),1),P_Values(_xlpm.x_s,y,TRUE,fil))</f>
        <v>#NAME?</v>
      </c>
      <c r="F3" s="6" t="e" cm="1">
        <f t="array" aca="1" ref="F3" ca="1">_xlfn.LET(_xlpm.x_s,OFFSET(y,0,1,ROWS(y),1),CI_Lower(_xlpm.x_s,y,TRUE,fil,0.05))</f>
        <v>#NAME?</v>
      </c>
      <c r="G3" s="6" t="e" cm="1">
        <f t="array" aca="1" ref="G3" ca="1">_xlfn.LET(_xlpm.x_s,OFFSET(y,0,1,ROWS(y),1),CI_Upper(_xlpm.x_s,y,TRUE,fil,0.05))</f>
        <v>#NAME?</v>
      </c>
      <c r="H3" s="6" t="e" cm="1">
        <f t="array" aca="1" ref="H3" ca="1">_xlfn.LET(_xlpm.x_s,OFFSET(y,0,1,ROWS(y),1),Partial_R2(_xlpm.x_s,y,TRUE,fil))</f>
        <v>#NAME?</v>
      </c>
      <c r="I3" s="6" t="e" cm="1">
        <f t="array" aca="1" ref="I3" ca="1">_xlfn.LET(_xlpm.x_s,OFFSET(y,0,1,ROWS(y),1),Partial_Correlation(_xlpm.x_s,y,TRUE,fil))</f>
        <v>#NAME?</v>
      </c>
    </row>
    <row r="4" spans="1:11" x14ac:dyDescent="0.25">
      <c r="A4" t="s">
        <v>260</v>
      </c>
      <c r="J4" s="6" t="e" cm="1">
        <f t="array" aca="1" ref="J4" ca="1">_xlfn.LET(_xlpm.x_s,OFFSET(y,0,1,ROWS(y),1),VIF(_xlpm.x_s,TRUE,fil))</f>
        <v>#NAME?</v>
      </c>
      <c r="K4" s="6" t="e" cm="1">
        <f t="array" aca="1" ref="K4" ca="1">_xlfn.LET(_xlpm.x_s,OFFSET(y,0,1,ROWS(y),1),Tolerance(_xlpm.x_s,TRUE,fil))</f>
        <v>#NAME?</v>
      </c>
    </row>
    <row r="6" spans="1:11" x14ac:dyDescent="0.25">
      <c r="A6" t="s">
        <v>530</v>
      </c>
    </row>
    <row r="7" spans="1:11" x14ac:dyDescent="0.25">
      <c r="A7" t="s">
        <v>260</v>
      </c>
      <c r="B7" s="6" t="e" cm="1">
        <f t="array" aca="1" ref="B7" ca="1">_xlfn.LET(_xlpm.x_s,OFFSET(y,0,1,ROWS(y),1),Coefficients(_xlpm.x_s,y,FALSE,fil))</f>
        <v>#NAME?</v>
      </c>
      <c r="C7" s="6" t="e" cm="1">
        <f t="array" aca="1" ref="C7" ca="1">_xlfn.LET(_xlpm.x_s,OFFSET(y,0,1,ROWS(y),1),SE_Coefficients(_xlpm.x_s,y,FALSE,fil))</f>
        <v>#NAME?</v>
      </c>
      <c r="D7" s="6" t="e" cm="1">
        <f t="array" aca="1" ref="D7" ca="1">_xlfn.LET(_xlpm.x_s,OFFSET(y,0,1,ROWS(y),1),T_Stats(_xlpm.x_s,y,FALSE,fil))</f>
        <v>#NAME?</v>
      </c>
      <c r="E7" s="24" t="e" cm="1">
        <f t="array" aca="1" ref="E7" ca="1">_xlfn.LET(_xlpm.x_s,OFFSET(y,0,1,ROWS(y),1),P_Values(_xlpm.x_s,y,FALSE,fil))</f>
        <v>#NAME?</v>
      </c>
      <c r="F7" s="6" t="e" cm="1">
        <f t="array" aca="1" ref="F7" ca="1">_xlfn.LET(_xlpm.x_s,OFFSET(y,0,1,ROWS(y),1),CI_Lower(_xlpm.x_s,y,FALSE,fil,0.05))</f>
        <v>#NAME?</v>
      </c>
      <c r="G7" s="6" t="e" cm="1">
        <f t="array" aca="1" ref="G7" ca="1">_xlfn.LET(_xlpm.x_s,OFFSET(y,0,1,ROWS(y),1),CI_Upper(_xlpm.x_s,y,FALSE,fil,0.05))</f>
        <v>#NAME?</v>
      </c>
      <c r="H7" s="6" t="e" cm="1">
        <f t="array" aca="1" ref="H7" ca="1">_xlfn.LET(_xlpm.x_s,OFFSET(y,0,1,ROWS(y),1),Partial_R2(_xlpm.x_s,y,FALSE,fil))</f>
        <v>#NAME?</v>
      </c>
      <c r="I7" s="6" t="e" cm="1">
        <f t="array" aca="1" ref="I7" ca="1">_xlfn.LET(_xlpm.x_s,OFFSET(y,0,1,ROWS(y),1),Partial_Correlation(_xlpm.x_s,y,FALSE,fil))</f>
        <v>#NAME?</v>
      </c>
      <c r="J7" s="6" t="e" cm="1">
        <f t="array" aca="1" ref="J7" ca="1">_xlfn.LET(_xlpm.x_s,OFFSET(y,0,1,ROWS(y),1),VIF(_xlpm.x_s,FALSE,fil))</f>
        <v>#NAME?</v>
      </c>
      <c r="K7" s="6" t="e" cm="1">
        <f t="array" aca="1" ref="K7" ca="1">_xlfn.LET(_xlpm.x_s,OFFSET(y,0,1,ROWS(y),1),Tolerance(_xlpm.x_s,FALSE,fil))</f>
        <v>#NAME?</v>
      </c>
    </row>
    <row r="9" spans="1:11" x14ac:dyDescent="0.25">
      <c r="A9" t="s">
        <v>531</v>
      </c>
    </row>
    <row r="10" spans="1:11" x14ac:dyDescent="0.25">
      <c r="A10" t="s">
        <v>514</v>
      </c>
      <c r="B10" s="6" t="e" cm="1">
        <f t="array" aca="1" ref="B10" ca="1">_xlfn.LET(_xlpm.x_s,OFFSET(y,0,1,ROWS(y),5),Coefficients(_xlpm.x_s,y,TRUE,fil))</f>
        <v>#NAME?</v>
      </c>
      <c r="C10" s="6" t="e" cm="1">
        <f t="array" aca="1" ref="C10" ca="1">_xlfn.LET(_xlpm.x_s,OFFSET(y,0,1,ROWS(y),5),SE_Coefficients(_xlpm.x_s,y,TRUE,fil))</f>
        <v>#NAME?</v>
      </c>
      <c r="D10" s="6" t="e" cm="1">
        <f t="array" aca="1" ref="D10" ca="1">_xlfn.LET(_xlpm.x_s,OFFSET(y,0,1,ROWS(y),5),T_Stats(_xlpm.x_s,y,TRUE,fil))</f>
        <v>#NAME?</v>
      </c>
      <c r="E10" s="24" t="e" cm="1">
        <f t="array" aca="1" ref="E10" ca="1">_xlfn.LET(_xlpm.x_s,OFFSET(y,0,1,ROWS(y),5),P_Values(_xlpm.x_s,y,TRUE,fil))</f>
        <v>#NAME?</v>
      </c>
      <c r="F10" s="6" t="e" cm="1">
        <f t="array" aca="1" ref="F10" ca="1">_xlfn.LET(_xlpm.x_s,OFFSET(y,0,1,ROWS(y),5),CI_Lower(_xlpm.x_s,y,TRUE,fil,0.05))</f>
        <v>#NAME?</v>
      </c>
      <c r="G10" s="6" t="e" cm="1">
        <f t="array" aca="1" ref="G10" ca="1">_xlfn.LET(_xlpm.x_s,OFFSET(y,0,1,ROWS(y),5),CI_Upper(_xlpm.x_s,y,TRUE,fil,0.05))</f>
        <v>#NAME?</v>
      </c>
      <c r="H10" s="6" t="e" cm="1">
        <f t="array" aca="1" ref="H10" ca="1">_xlfn.LET(_xlpm.x_s,OFFSET(y,0,1,ROWS(y),5),Partial_R2(_xlpm.x_s,y,TRUE,fil))</f>
        <v>#NAME?</v>
      </c>
      <c r="I10" s="6" t="e" cm="1">
        <f t="array" aca="1" ref="I10" ca="1">_xlfn.LET(_xlpm.x_s,OFFSET(y,0,1,ROWS(y),5),Partial_Correlation(_xlpm.x_s,y,TRUE,fil))</f>
        <v>#NAME?</v>
      </c>
    </row>
    <row r="11" spans="1:11" x14ac:dyDescent="0.25">
      <c r="A11" t="s">
        <v>260</v>
      </c>
      <c r="J11" s="6" t="e" cm="1">
        <f t="array" aca="1" ref="J11" ca="1">_xlfn.LET(_xlpm.x_s,OFFSET(y,0,1,ROWS(y),5),VIF(_xlpm.x_s,TRUE,fil))</f>
        <v>#NAME?</v>
      </c>
      <c r="K11" s="6" t="e" cm="1">
        <f t="array" aca="1" ref="K11" ca="1">_xlfn.LET(_xlpm.x_s,OFFSET(y,0,1,ROWS(y),5),Tolerance(_xlpm.x_s,TRUE,fil))</f>
        <v>#NAME?</v>
      </c>
    </row>
    <row r="12" spans="1:11" x14ac:dyDescent="0.25">
      <c r="A12" t="s">
        <v>261</v>
      </c>
    </row>
    <row r="13" spans="1:11" x14ac:dyDescent="0.25">
      <c r="A13" t="s">
        <v>262</v>
      </c>
    </row>
    <row r="14" spans="1:11" x14ac:dyDescent="0.25">
      <c r="A14" t="s">
        <v>263</v>
      </c>
    </row>
    <row r="15" spans="1:11" x14ac:dyDescent="0.25">
      <c r="A15" t="s">
        <v>264</v>
      </c>
    </row>
    <row r="17" spans="1:11" x14ac:dyDescent="0.25">
      <c r="A17" t="s">
        <v>532</v>
      </c>
    </row>
    <row r="18" spans="1:11" x14ac:dyDescent="0.25">
      <c r="A18" t="s">
        <v>260</v>
      </c>
      <c r="B18" s="6" t="e" cm="1">
        <f t="array" aca="1" ref="B18" ca="1">_xlfn.LET(_xlpm.x_s,OFFSET(y,0,1,ROWS(y),5),Coefficients(_xlpm.x_s,y,FALSE,fil))</f>
        <v>#NAME?</v>
      </c>
      <c r="C18" s="6" t="e" cm="1">
        <f t="array" aca="1" ref="C18" ca="1">_xlfn.LET(_xlpm.x_s,OFFSET(y,0,1,ROWS(y),5),SE_Coefficients(_xlpm.x_s,y,FALSE,fil))</f>
        <v>#NAME?</v>
      </c>
      <c r="D18" s="6" t="e" cm="1">
        <f t="array" aca="1" ref="D18" ca="1">_xlfn.LET(_xlpm.x_s,OFFSET(y,0,1,ROWS(y),5),T_Stats(_xlpm.x_s,y,FALSE,fil))</f>
        <v>#NAME?</v>
      </c>
      <c r="E18" s="24" t="e" cm="1">
        <f t="array" aca="1" ref="E18" ca="1">_xlfn.LET(_xlpm.x_s,OFFSET(y,0,1,ROWS(y),5),P_Values(_xlpm.x_s,y,FALSE,fil))</f>
        <v>#NAME?</v>
      </c>
      <c r="F18" s="6" t="e" cm="1">
        <f t="array" aca="1" ref="F18" ca="1">_xlfn.LET(_xlpm.x_s,OFFSET(y,0,1,ROWS(y),5),CI_Lower(_xlpm.x_s,y,FALSE,fil,0.05))</f>
        <v>#NAME?</v>
      </c>
      <c r="G18" s="6" t="e" cm="1">
        <f t="array" aca="1" ref="G18" ca="1">_xlfn.LET(_xlpm.x_s,OFFSET(y,0,1,ROWS(y),5),CI_Upper(_xlpm.x_s,y,FALSE,fil,0.05))</f>
        <v>#NAME?</v>
      </c>
      <c r="H18" s="6" t="e" cm="1">
        <f t="array" aca="1" ref="H18" ca="1">_xlfn.LET(_xlpm.x_s,OFFSET(y,0,1,ROWS(y),5),Partial_R2(_xlpm.x_s,y,FALSE,fil))</f>
        <v>#NAME?</v>
      </c>
      <c r="I18" s="6" t="e" cm="1">
        <f t="array" aca="1" ref="I18" ca="1">_xlfn.LET(_xlpm.x_s,OFFSET(y,0,1,ROWS(y),5),Partial_Correlation(_xlpm.x_s,y,FALSE,fil))</f>
        <v>#NAME?</v>
      </c>
      <c r="J18" s="6" t="e" cm="1">
        <f t="array" aca="1" ref="J18" ca="1">_xlfn.LET(_xlpm.x_s,OFFSET(y,0,1,ROWS(y),5),VIF(_xlpm.x_s,FALSE,fil))</f>
        <v>#NAME?</v>
      </c>
      <c r="K18" s="6" t="e" cm="1">
        <f t="array" aca="1" ref="K18" ca="1">_xlfn.LET(_xlpm.x_s,OFFSET(y,0,1,ROWS(y),5),Tolerance(_xlpm.x_s,FALSE,fil))</f>
        <v>#NAME?</v>
      </c>
    </row>
    <row r="19" spans="1:11" x14ac:dyDescent="0.25">
      <c r="A19" t="s">
        <v>261</v>
      </c>
    </row>
    <row r="20" spans="1:11" x14ac:dyDescent="0.25">
      <c r="A20" t="s">
        <v>262</v>
      </c>
    </row>
    <row r="21" spans="1:11" x14ac:dyDescent="0.25">
      <c r="A21" t="s">
        <v>263</v>
      </c>
    </row>
    <row r="22" spans="1:11" x14ac:dyDescent="0.25">
      <c r="A22" t="s">
        <v>264</v>
      </c>
    </row>
    <row r="24" spans="1:11" x14ac:dyDescent="0.25">
      <c r="A24" t="s">
        <v>533</v>
      </c>
    </row>
    <row r="25" spans="1:11" x14ac:dyDescent="0.25">
      <c r="A25" t="s">
        <v>514</v>
      </c>
      <c r="B25" s="6" t="e" cm="1">
        <f t="array" aca="1" ref="B25" ca="1">_xlfn.LET(_xlpm.x_s,OFFSET(y,0,1,ROWS(y),10),Coefficients(_xlpm.x_s,y,TRUE,fil))</f>
        <v>#NAME?</v>
      </c>
      <c r="C25" s="6" t="e" cm="1">
        <f t="array" aca="1" ref="C25" ca="1">_xlfn.LET(_xlpm.x_s,OFFSET(y,0,1,ROWS(y),10),SE_Coefficients(_xlpm.x_s,y,TRUE,fil))</f>
        <v>#NAME?</v>
      </c>
      <c r="D25" s="6" t="e" cm="1">
        <f t="array" aca="1" ref="D25" ca="1">_xlfn.LET(_xlpm.x_s,OFFSET(y,0,1,ROWS(y),10),T_Stats(_xlpm.x_s,y,TRUE,fil))</f>
        <v>#NAME?</v>
      </c>
      <c r="E25" s="24" t="e" cm="1">
        <f t="array" aca="1" ref="E25" ca="1">_xlfn.LET(_xlpm.x_s,OFFSET(y,0,1,ROWS(y),10),P_Values(_xlpm.x_s,y,TRUE,fil))</f>
        <v>#NAME?</v>
      </c>
      <c r="F25" s="6" t="e" cm="1">
        <f t="array" aca="1" ref="F25" ca="1">_xlfn.LET(_xlpm.x_s,OFFSET(y,0,1,ROWS(y),10),CI_Lower(_xlpm.x_s,y,TRUE,fil,0.05))</f>
        <v>#NAME?</v>
      </c>
      <c r="G25" s="6" t="e" cm="1">
        <f t="array" aca="1" ref="G25" ca="1">_xlfn.LET(_xlpm.x_s,OFFSET(y,0,1,ROWS(y),10),CI_Upper(_xlpm.x_s,y,TRUE,fil,0.05))</f>
        <v>#NAME?</v>
      </c>
      <c r="H25" s="6" t="e" cm="1">
        <f t="array" aca="1" ref="H25" ca="1">_xlfn.LET(_xlpm.x_s,OFFSET(y,0,1,ROWS(y),10),Partial_R2(_xlpm.x_s,y,TRUE,fil))</f>
        <v>#NAME?</v>
      </c>
      <c r="I25" s="6" t="e" cm="1">
        <f t="array" aca="1" ref="I25" ca="1">_xlfn.LET(_xlpm.x_s,OFFSET(y,0,1,ROWS(y),10),Partial_Correlation(_xlpm.x_s,y,TRUE,fil))</f>
        <v>#NAME?</v>
      </c>
    </row>
    <row r="26" spans="1:11" x14ac:dyDescent="0.25">
      <c r="A26" t="s">
        <v>260</v>
      </c>
      <c r="J26" s="6" t="e" cm="1">
        <f t="array" aca="1" ref="J26" ca="1">_xlfn.LET(_xlpm.x_s,OFFSET(y,0,1,ROWS(y),10),VIF(_xlpm.x_s,TRUE,fil))</f>
        <v>#NAME?</v>
      </c>
      <c r="K26" s="6" t="e" cm="1">
        <f t="array" aca="1" ref="K26" ca="1">_xlfn.LET(_xlpm.x_s,OFFSET(y,0,1,ROWS(y),10),Tolerance(_xlpm.x_s,TRUE,fil))</f>
        <v>#NAME?</v>
      </c>
    </row>
    <row r="27" spans="1:11" x14ac:dyDescent="0.25">
      <c r="A27" t="s">
        <v>261</v>
      </c>
    </row>
    <row r="28" spans="1:11" x14ac:dyDescent="0.25">
      <c r="A28" t="s">
        <v>262</v>
      </c>
    </row>
    <row r="29" spans="1:11" x14ac:dyDescent="0.25">
      <c r="A29" t="s">
        <v>263</v>
      </c>
    </row>
    <row r="30" spans="1:11" x14ac:dyDescent="0.25">
      <c r="A30" t="s">
        <v>264</v>
      </c>
    </row>
    <row r="31" spans="1:11" x14ac:dyDescent="0.25">
      <c r="A31" t="s">
        <v>265</v>
      </c>
    </row>
    <row r="32" spans="1:11" x14ac:dyDescent="0.25">
      <c r="A32" t="s">
        <v>266</v>
      </c>
    </row>
    <row r="33" spans="1:11" x14ac:dyDescent="0.25">
      <c r="A33" t="s">
        <v>267</v>
      </c>
    </row>
    <row r="34" spans="1:11" x14ac:dyDescent="0.25">
      <c r="A34" t="s">
        <v>268</v>
      </c>
    </row>
    <row r="35" spans="1:11" x14ac:dyDescent="0.25">
      <c r="A35" t="s">
        <v>269</v>
      </c>
    </row>
    <row r="37" spans="1:11" x14ac:dyDescent="0.25">
      <c r="A37" t="s">
        <v>534</v>
      </c>
    </row>
    <row r="38" spans="1:11" x14ac:dyDescent="0.25">
      <c r="A38" t="s">
        <v>260</v>
      </c>
      <c r="B38" s="6" t="e" cm="1">
        <f t="array" aca="1" ref="B38" ca="1">_xlfn.LET(_xlpm.x_s,OFFSET(y,0,1,ROWS(y),10),Coefficients(_xlpm.x_s,y,FALSE,fil))</f>
        <v>#NAME?</v>
      </c>
      <c r="C38" s="6" t="e" cm="1">
        <f t="array" aca="1" ref="C38" ca="1">_xlfn.LET(_xlpm.x_s,OFFSET(y,0,1,ROWS(y),10),SE_Coefficients(_xlpm.x_s,y,FALSE,fil))</f>
        <v>#NAME?</v>
      </c>
      <c r="D38" s="6" t="e" cm="1">
        <f t="array" aca="1" ref="D38" ca="1">_xlfn.LET(_xlpm.x_s,OFFSET(y,0,1,ROWS(y),10),T_Stats(_xlpm.x_s,y,FALSE,fil))</f>
        <v>#NAME?</v>
      </c>
      <c r="E38" s="24" t="e" cm="1">
        <f t="array" aca="1" ref="E38" ca="1">_xlfn.LET(_xlpm.x_s,OFFSET(y,0,1,ROWS(y),10),P_Values(_xlpm.x_s,y,FALSE,fil))</f>
        <v>#NAME?</v>
      </c>
      <c r="F38" s="6" t="e" cm="1">
        <f t="array" aca="1" ref="F38" ca="1">_xlfn.LET(_xlpm.x_s,OFFSET(y,0,1,ROWS(y),10),CI_Lower(_xlpm.x_s,y,FALSE,fil,0.05))</f>
        <v>#NAME?</v>
      </c>
      <c r="G38" s="6" t="e" cm="1">
        <f t="array" aca="1" ref="G38" ca="1">_xlfn.LET(_xlpm.x_s,OFFSET(y,0,1,ROWS(y),10),CI_Upper(_xlpm.x_s,y,FALSE,fil,0.05))</f>
        <v>#NAME?</v>
      </c>
      <c r="H38" s="6" t="e" cm="1">
        <f t="array" aca="1" ref="H38" ca="1">_xlfn.LET(_xlpm.x_s,OFFSET(y,0,1,ROWS(y),10),Partial_R2(_xlpm.x_s,y,FALSE,fil))</f>
        <v>#NAME?</v>
      </c>
      <c r="I38" s="6" t="e" cm="1">
        <f t="array" aca="1" ref="I38" ca="1">_xlfn.LET(_xlpm.x_s,OFFSET(y,0,1,ROWS(y),10),Partial_Correlation(_xlpm.x_s,y,FALSE,fil))</f>
        <v>#NAME?</v>
      </c>
      <c r="J38" s="6" t="e" cm="1">
        <f t="array" aca="1" ref="J38" ca="1">_xlfn.LET(_xlpm.x_s,OFFSET(y,0,1,ROWS(y),10),VIF(_xlpm.x_s,FALSE,fil))</f>
        <v>#NAME?</v>
      </c>
      <c r="K38" s="6" t="e" cm="1">
        <f t="array" aca="1" ref="K38" ca="1">_xlfn.LET(_xlpm.x_s,OFFSET(y,0,1,ROWS(y),10),Tolerance(_xlpm.x_s,FALSE,fil))</f>
        <v>#NAME?</v>
      </c>
    </row>
    <row r="39" spans="1:11" x14ac:dyDescent="0.25">
      <c r="A39" t="s">
        <v>261</v>
      </c>
    </row>
    <row r="40" spans="1:11" x14ac:dyDescent="0.25">
      <c r="A40" t="s">
        <v>262</v>
      </c>
    </row>
    <row r="41" spans="1:11" x14ac:dyDescent="0.25">
      <c r="A41" t="s">
        <v>263</v>
      </c>
    </row>
    <row r="42" spans="1:11" x14ac:dyDescent="0.25">
      <c r="A42" t="s">
        <v>264</v>
      </c>
    </row>
    <row r="43" spans="1:11" x14ac:dyDescent="0.25">
      <c r="A43" t="s">
        <v>265</v>
      </c>
    </row>
    <row r="44" spans="1:11" x14ac:dyDescent="0.25">
      <c r="A44" t="s">
        <v>266</v>
      </c>
    </row>
    <row r="45" spans="1:11" x14ac:dyDescent="0.25">
      <c r="A45" t="s">
        <v>267</v>
      </c>
    </row>
    <row r="46" spans="1:11" x14ac:dyDescent="0.25">
      <c r="A46" t="s">
        <v>268</v>
      </c>
    </row>
    <row r="47" spans="1:11" x14ac:dyDescent="0.25">
      <c r="A47" t="s">
        <v>269</v>
      </c>
    </row>
    <row r="49" spans="1:11" x14ac:dyDescent="0.25">
      <c r="A49" t="s">
        <v>535</v>
      </c>
    </row>
    <row r="50" spans="1:11" x14ac:dyDescent="0.25">
      <c r="A50" t="s">
        <v>514</v>
      </c>
      <c r="B50" s="6" t="e" cm="1">
        <f t="array" aca="1" ref="B50" ca="1">_xlfn.LET(_xlpm.x_s,OFFSET(y,0,1,ROWS(y),18),Coefficients(_xlpm.x_s,y,TRUE,fil))</f>
        <v>#NAME?</v>
      </c>
      <c r="C50" s="6" t="e" cm="1">
        <f t="array" aca="1" ref="C50" ca="1">_xlfn.LET(_xlpm.x_s,OFFSET(y,0,1,ROWS(y),18),SE_Coefficients(_xlpm.x_s,y,TRUE,fil))</f>
        <v>#NAME?</v>
      </c>
      <c r="D50" s="6" t="e" cm="1">
        <f t="array" aca="1" ref="D50" ca="1">_xlfn.LET(_xlpm.x_s,OFFSET(y,0,1,ROWS(y),18),T_Stats(_xlpm.x_s,y,TRUE,fil))</f>
        <v>#NAME?</v>
      </c>
      <c r="E50" s="24" t="e" cm="1">
        <f t="array" aca="1" ref="E50" ca="1">_xlfn.LET(_xlpm.x_s,OFFSET(y,0,1,ROWS(y),18),P_Values(_xlpm.x_s,y,TRUE,fil))</f>
        <v>#NAME?</v>
      </c>
      <c r="F50" s="6" t="e" cm="1">
        <f t="array" aca="1" ref="F50" ca="1">_xlfn.LET(_xlpm.x_s,OFFSET(y,0,1,ROWS(y),18),CI_Lower(_xlpm.x_s,y,TRUE,fil,0.05))</f>
        <v>#NAME?</v>
      </c>
      <c r="G50" s="6" t="e" cm="1">
        <f t="array" aca="1" ref="G50" ca="1">_xlfn.LET(_xlpm.x_s,OFFSET(y,0,1,ROWS(y),18),CI_Upper(_xlpm.x_s,y,TRUE,fil,0.05))</f>
        <v>#NAME?</v>
      </c>
      <c r="H50" s="6" t="e" cm="1">
        <f t="array" aca="1" ref="H50" ca="1">_xlfn.LET(_xlpm.x_s,OFFSET(y,0,1,ROWS(y),18),Partial_R2(_xlpm.x_s,y,TRUE,fil))</f>
        <v>#NAME?</v>
      </c>
      <c r="I50" s="6" t="e" cm="1">
        <f t="array" aca="1" ref="I50" ca="1">_xlfn.LET(_xlpm.x_s,OFFSET(y,0,1,ROWS(y),18),Partial_Correlation(_xlpm.x_s,y,TRUE,fil))</f>
        <v>#NAME?</v>
      </c>
    </row>
    <row r="51" spans="1:11" x14ac:dyDescent="0.25">
      <c r="A51" t="s">
        <v>260</v>
      </c>
      <c r="J51" s="6" t="e" cm="1">
        <f t="array" aca="1" ref="J51" ca="1">_xlfn.LET(_xlpm.x_s,OFFSET(y,0,1,ROWS(y),18),VIF(_xlpm.x_s,TRUE,fil))</f>
        <v>#NAME?</v>
      </c>
      <c r="K51" s="6" t="e" cm="1">
        <f t="array" aca="1" ref="K51" ca="1">_xlfn.LET(_xlpm.x_s,OFFSET(y,0,1,ROWS(y),18),Tolerance(_xlpm.x_s,TRUE,fil))</f>
        <v>#NAME?</v>
      </c>
    </row>
    <row r="52" spans="1:11" x14ac:dyDescent="0.25">
      <c r="A52" t="s">
        <v>261</v>
      </c>
    </row>
    <row r="53" spans="1:11" x14ac:dyDescent="0.25">
      <c r="A53" t="s">
        <v>262</v>
      </c>
    </row>
    <row r="54" spans="1:11" x14ac:dyDescent="0.25">
      <c r="A54" t="s">
        <v>263</v>
      </c>
    </row>
    <row r="55" spans="1:11" x14ac:dyDescent="0.25">
      <c r="A55" t="s">
        <v>264</v>
      </c>
    </row>
    <row r="56" spans="1:11" x14ac:dyDescent="0.25">
      <c r="A56" t="s">
        <v>265</v>
      </c>
    </row>
    <row r="57" spans="1:11" x14ac:dyDescent="0.25">
      <c r="A57" t="s">
        <v>266</v>
      </c>
    </row>
    <row r="58" spans="1:11" x14ac:dyDescent="0.25">
      <c r="A58" t="s">
        <v>267</v>
      </c>
    </row>
    <row r="59" spans="1:11" x14ac:dyDescent="0.25">
      <c r="A59" t="s">
        <v>268</v>
      </c>
    </row>
    <row r="60" spans="1:11" x14ac:dyDescent="0.25">
      <c r="A60" t="s">
        <v>269</v>
      </c>
    </row>
    <row r="61" spans="1:11" x14ac:dyDescent="0.25">
      <c r="A61" t="s">
        <v>270</v>
      </c>
    </row>
    <row r="62" spans="1:11" x14ac:dyDescent="0.25">
      <c r="A62" t="s">
        <v>271</v>
      </c>
    </row>
    <row r="63" spans="1:11" x14ac:dyDescent="0.25">
      <c r="A63" t="s">
        <v>272</v>
      </c>
    </row>
    <row r="64" spans="1:11" x14ac:dyDescent="0.25">
      <c r="A64" t="s">
        <v>273</v>
      </c>
    </row>
    <row r="65" spans="1:11" x14ac:dyDescent="0.25">
      <c r="A65" t="s">
        <v>274</v>
      </c>
    </row>
    <row r="66" spans="1:11" x14ac:dyDescent="0.25">
      <c r="A66" t="s">
        <v>275</v>
      </c>
    </row>
    <row r="67" spans="1:11" x14ac:dyDescent="0.25">
      <c r="A67" t="s">
        <v>276</v>
      </c>
    </row>
    <row r="68" spans="1:11" x14ac:dyDescent="0.25">
      <c r="A68" t="s">
        <v>277</v>
      </c>
    </row>
    <row r="70" spans="1:11" x14ac:dyDescent="0.25">
      <c r="A70" t="s">
        <v>536</v>
      </c>
    </row>
    <row r="71" spans="1:11" x14ac:dyDescent="0.25">
      <c r="A71" t="s">
        <v>260</v>
      </c>
      <c r="B71" s="6" t="e" cm="1">
        <f t="array" aca="1" ref="B71" ca="1">_xlfn.LET(_xlpm.x_s,OFFSET(y,0,1,ROWS(y),18),Coefficients(_xlpm.x_s,y,FALSE,fil))</f>
        <v>#NAME?</v>
      </c>
      <c r="C71" s="6" t="e" cm="1">
        <f t="array" aca="1" ref="C71" ca="1">_xlfn.LET(_xlpm.x_s,OFFSET(y,0,1,ROWS(y),18),SE_Coefficients(_xlpm.x_s,y,FALSE,fil))</f>
        <v>#NAME?</v>
      </c>
      <c r="D71" s="6" t="e" cm="1">
        <f t="array" aca="1" ref="D71" ca="1">_xlfn.LET(_xlpm.x_s,OFFSET(y,0,1,ROWS(y),18),T_Stats(_xlpm.x_s,y,FALSE,fil))</f>
        <v>#NAME?</v>
      </c>
      <c r="E71" s="24" t="e" cm="1">
        <f t="array" aca="1" ref="E71" ca="1">_xlfn.LET(_xlpm.x_s,OFFSET(y,0,1,ROWS(y),18),P_Values(_xlpm.x_s,y,FALSE,fil))</f>
        <v>#NAME?</v>
      </c>
      <c r="F71" s="6" t="e" cm="1">
        <f t="array" aca="1" ref="F71" ca="1">_xlfn.LET(_xlpm.x_s,OFFSET(y,0,1,ROWS(y),18),CI_Lower(_xlpm.x_s,y,FALSE,fil,0.05))</f>
        <v>#NAME?</v>
      </c>
      <c r="G71" s="6" t="e" cm="1">
        <f t="array" aca="1" ref="G71" ca="1">_xlfn.LET(_xlpm.x_s,OFFSET(y,0,1,ROWS(y),18),CI_Upper(_xlpm.x_s,y,FALSE,fil,0.05))</f>
        <v>#NAME?</v>
      </c>
      <c r="H71" s="6" t="e" cm="1">
        <f t="array" aca="1" ref="H71" ca="1">_xlfn.LET(_xlpm.x_s,OFFSET(y,0,1,ROWS(y),18),Partial_R2(_xlpm.x_s,y,FALSE,fil))</f>
        <v>#NAME?</v>
      </c>
      <c r="I71" s="6" t="e" cm="1">
        <f t="array" aca="1" ref="I71" ca="1">_xlfn.LET(_xlpm.x_s,OFFSET(y,0,1,ROWS(y),18),Partial_Correlation(_xlpm.x_s,y,FALSE,fil))</f>
        <v>#NAME?</v>
      </c>
      <c r="J71" s="6" t="e" cm="1">
        <f t="array" aca="1" ref="J71" ca="1">_xlfn.LET(_xlpm.x_s,OFFSET(y,0,1,ROWS(y),18),VIF(_xlpm.x_s,FALSE,fil))</f>
        <v>#NAME?</v>
      </c>
      <c r="K71" s="6" t="e" cm="1">
        <f t="array" aca="1" ref="K71" ca="1">_xlfn.LET(_xlpm.x_s,OFFSET(y,0,1,ROWS(y),18),Tolerance(_xlpm.x_s,FALSE,fil))</f>
        <v>#NAME?</v>
      </c>
    </row>
    <row r="72" spans="1:11" x14ac:dyDescent="0.25">
      <c r="A72" t="s">
        <v>261</v>
      </c>
    </row>
    <row r="73" spans="1:11" x14ac:dyDescent="0.25">
      <c r="A73" t="s">
        <v>262</v>
      </c>
    </row>
    <row r="74" spans="1:11" x14ac:dyDescent="0.25">
      <c r="A74" t="s">
        <v>263</v>
      </c>
    </row>
    <row r="75" spans="1:11" x14ac:dyDescent="0.25">
      <c r="A75" t="s">
        <v>264</v>
      </c>
    </row>
    <row r="76" spans="1:11" x14ac:dyDescent="0.25">
      <c r="A76" t="s">
        <v>265</v>
      </c>
    </row>
    <row r="77" spans="1:11" x14ac:dyDescent="0.25">
      <c r="A77" t="s">
        <v>266</v>
      </c>
    </row>
    <row r="78" spans="1:11" x14ac:dyDescent="0.25">
      <c r="A78" t="s">
        <v>267</v>
      </c>
    </row>
    <row r="79" spans="1:11" x14ac:dyDescent="0.25">
      <c r="A79" t="s">
        <v>268</v>
      </c>
    </row>
    <row r="80" spans="1:11" x14ac:dyDescent="0.25">
      <c r="A80" t="s">
        <v>269</v>
      </c>
    </row>
    <row r="81" spans="1:1" x14ac:dyDescent="0.25">
      <c r="A81" t="s">
        <v>270</v>
      </c>
    </row>
    <row r="82" spans="1:1" x14ac:dyDescent="0.25">
      <c r="A82" t="s">
        <v>271</v>
      </c>
    </row>
    <row r="83" spans="1:1" x14ac:dyDescent="0.25">
      <c r="A83" t="s">
        <v>272</v>
      </c>
    </row>
    <row r="84" spans="1:1" x14ac:dyDescent="0.25">
      <c r="A84" t="s">
        <v>273</v>
      </c>
    </row>
    <row r="85" spans="1:1" x14ac:dyDescent="0.25">
      <c r="A85" t="s">
        <v>274</v>
      </c>
    </row>
    <row r="86" spans="1:1" x14ac:dyDescent="0.25">
      <c r="A86" t="s">
        <v>275</v>
      </c>
    </row>
    <row r="87" spans="1:1" x14ac:dyDescent="0.25">
      <c r="A87" t="s">
        <v>276</v>
      </c>
    </row>
    <row r="88" spans="1:1" x14ac:dyDescent="0.25">
      <c r="A88"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7821-82CF-4304-BAAB-7BA7C50D20B9}">
  <dimension ref="A1:I11560"/>
  <sheetViews>
    <sheetView tabSelected="1" workbookViewId="0">
      <pane ySplit="1" topLeftCell="A2" activePane="bottomLeft" state="frozenSplit"/>
      <selection pane="bottomLeft"/>
    </sheetView>
  </sheetViews>
  <sheetFormatPr defaultRowHeight="15" x14ac:dyDescent="0.25"/>
  <cols>
    <col min="1" max="1" width="255.7109375" bestFit="1" customWidth="1"/>
    <col min="2" max="2" width="9" bestFit="1" customWidth="1"/>
    <col min="4" max="4" width="8.28515625" bestFit="1" customWidth="1"/>
    <col min="5" max="5" width="8.5703125" bestFit="1" customWidth="1"/>
    <col min="6" max="6" width="8.85546875" bestFit="1" customWidth="1"/>
    <col min="7" max="7" width="8.7109375" bestFit="1" customWidth="1"/>
    <col min="8" max="9" width="8.85546875" bestFit="1" customWidth="1"/>
  </cols>
  <sheetData>
    <row r="1" spans="1:9" ht="45" x14ac:dyDescent="0.25">
      <c r="A1" s="2"/>
      <c r="B1" s="2" t="s">
        <v>133</v>
      </c>
      <c r="C1" s="2" t="s">
        <v>137</v>
      </c>
      <c r="D1" s="2" t="s">
        <v>141</v>
      </c>
      <c r="E1" s="2" t="s">
        <v>149</v>
      </c>
      <c r="F1" s="2" t="s">
        <v>163</v>
      </c>
      <c r="G1" s="2" t="s">
        <v>167</v>
      </c>
      <c r="H1" s="2" t="s">
        <v>171</v>
      </c>
      <c r="I1" s="2" t="s">
        <v>210</v>
      </c>
    </row>
    <row r="2" spans="1:9" x14ac:dyDescent="0.25">
      <c r="A2" t="s">
        <v>537</v>
      </c>
    </row>
    <row r="3" spans="1:9" x14ac:dyDescent="0.25">
      <c r="B3" s="21" t="e" cm="1">
        <f t="array" aca="1" ref="B3" ca="1">Observation_Num(y,fil)</f>
        <v>#NAME?</v>
      </c>
      <c r="C3" s="22" t="e" cm="1">
        <f t="array" aca="1" ref="C3" ca="1">Rank_Fraction(y,fil)</f>
        <v>#NAME?</v>
      </c>
      <c r="D3" s="6" t="e" cm="1">
        <f t="array" aca="1" ref="D3" ca="1">Y_Ranked(y,fil)</f>
        <v>#NAME?</v>
      </c>
      <c r="E3" s="6" t="e" cm="1">
        <f t="array" aca="1" ref="E3" ca="1">Normal_Scores(y,fil)</f>
        <v>#NAME?</v>
      </c>
      <c r="F3" s="6" t="e" cm="1">
        <f t="array" aca="1" ref="F3" ca="1">_xlfn.LET(_xlpm.x_s,OFFSET(y,0,1,ROWS(y),1),Predictions(_xlpm.x_s,y,TRUE,fil))</f>
        <v>#NAME?</v>
      </c>
      <c r="G3" s="6" t="e" cm="1">
        <f t="array" aca="1" ref="G3" ca="1">_xlfn.LET(_xlpm.x_s,OFFSET(y,0,1,ROWS(y),1),Residuals(_xlpm.x_s,y,TRUE,fil))</f>
        <v>#NAME?</v>
      </c>
      <c r="H3" s="6" t="e" cm="1">
        <f t="array" aca="1" ref="H3" ca="1">_xlfn.LET(_xlpm.x_s,OFFSET(y,0,1,ROWS(y),1),Scaled_Residuals(_xlpm.x_s,y,TRUE,fil))</f>
        <v>#NAME?</v>
      </c>
      <c r="I3" s="6" t="e" cm="1">
        <f t="array" aca="1" ref="I3" ca="1">_xlfn.LET(_xlpm.x_s,OFFSET(y,0,1,ROWS(y),1),Scaled_Residuals_Ranked(_xlpm.x_s,y,TRUE,fil))</f>
        <v>#NAME?</v>
      </c>
    </row>
    <row r="1653" spans="1:9" x14ac:dyDescent="0.25">
      <c r="A1653" t="s">
        <v>538</v>
      </c>
    </row>
    <row r="1654" spans="1:9" x14ac:dyDescent="0.25">
      <c r="B1654" s="21" t="e" cm="1">
        <f t="array" aca="1" ref="B1654" ca="1">Observation_Num(y,fil)</f>
        <v>#NAME?</v>
      </c>
      <c r="C1654" s="22" t="e" cm="1">
        <f t="array" aca="1" ref="C1654" ca="1">Rank_Fraction(y,fil)</f>
        <v>#NAME?</v>
      </c>
      <c r="D1654" s="6" t="e" cm="1">
        <f t="array" aca="1" ref="D1654" ca="1">Y_Ranked(y,fil)</f>
        <v>#NAME?</v>
      </c>
      <c r="E1654" s="6" t="e" cm="1">
        <f t="array" aca="1" ref="E1654" ca="1">Normal_Scores(y,fil)</f>
        <v>#NAME?</v>
      </c>
      <c r="F1654" s="6" t="e" cm="1">
        <f t="array" aca="1" ref="F1654" ca="1">_xlfn.LET(_xlpm.x_s,OFFSET(y,0,1,ROWS(y),1),Predictions(_xlpm.x_s,y,FALSE,fil))</f>
        <v>#NAME?</v>
      </c>
      <c r="G1654" s="6" t="e" cm="1">
        <f t="array" aca="1" ref="G1654" ca="1">_xlfn.LET(_xlpm.x_s,OFFSET(y,0,1,ROWS(y),1),Residuals(_xlpm.x_s,y,FALSE,fil))</f>
        <v>#NAME?</v>
      </c>
      <c r="H1654" s="6" t="e" cm="1">
        <f t="array" aca="1" ref="H1654" ca="1">_xlfn.LET(_xlpm.x_s,OFFSET(y,0,1,ROWS(y),1),Scaled_Residuals(_xlpm.x_s,y,FALSE,fil))</f>
        <v>#NAME?</v>
      </c>
      <c r="I1654" s="6" t="e" cm="1">
        <f t="array" aca="1" ref="I1654" ca="1">_xlfn.LET(_xlpm.x_s,OFFSET(y,0,1,ROWS(y),1),Scaled_Residuals_Ranked(_xlpm.x_s,y,FALSE,fil))</f>
        <v>#NAME?</v>
      </c>
    </row>
    <row r="3304" spans="1:9" x14ac:dyDescent="0.25">
      <c r="A3304" t="s">
        <v>539</v>
      </c>
    </row>
    <row r="3305" spans="1:9" x14ac:dyDescent="0.25">
      <c r="B3305" s="21" t="e" cm="1">
        <f t="array" aca="1" ref="B3305" ca="1">Observation_Num(y,fil)</f>
        <v>#NAME?</v>
      </c>
      <c r="C3305" s="22" t="e" cm="1">
        <f t="array" aca="1" ref="C3305" ca="1">Rank_Fraction(y,fil)</f>
        <v>#NAME?</v>
      </c>
      <c r="D3305" s="6" t="e" cm="1">
        <f t="array" aca="1" ref="D3305" ca="1">Y_Ranked(y,fil)</f>
        <v>#NAME?</v>
      </c>
      <c r="E3305" s="6" t="e" cm="1">
        <f t="array" aca="1" ref="E3305" ca="1">Normal_Scores(y,fil)</f>
        <v>#NAME?</v>
      </c>
      <c r="F3305" s="6" t="e" cm="1">
        <f t="array" aca="1" ref="F3305" ca="1">_xlfn.LET(_xlpm.x_s,OFFSET(y,0,1,ROWS(y),5),Predictions(_xlpm.x_s,y,TRUE,fil))</f>
        <v>#NAME?</v>
      </c>
      <c r="G3305" s="6" t="e" cm="1">
        <f t="array" aca="1" ref="G3305" ca="1">_xlfn.LET(_xlpm.x_s,OFFSET(y,0,1,ROWS(y),5),Residuals(_xlpm.x_s,y,TRUE,fil))</f>
        <v>#NAME?</v>
      </c>
      <c r="H3305" s="6" t="e" cm="1">
        <f t="array" aca="1" ref="H3305" ca="1">_xlfn.LET(_xlpm.x_s,OFFSET(y,0,1,ROWS(y),5),Scaled_Residuals(_xlpm.x_s,y,TRUE,fil))</f>
        <v>#NAME?</v>
      </c>
      <c r="I3305" s="6" t="e" cm="1">
        <f t="array" aca="1" ref="I3305" ca="1">_xlfn.LET(_xlpm.x_s,OFFSET(y,0,1,ROWS(y),5),Scaled_Residuals_Ranked(_xlpm.x_s,y,TRUE,fil))</f>
        <v>#NAME?</v>
      </c>
    </row>
    <row r="4955" spans="1:9" x14ac:dyDescent="0.25">
      <c r="A4955" t="s">
        <v>540</v>
      </c>
    </row>
    <row r="4956" spans="1:9" x14ac:dyDescent="0.25">
      <c r="B4956" s="21" t="e" cm="1">
        <f t="array" aca="1" ref="B4956" ca="1">Observation_Num(y,fil)</f>
        <v>#NAME?</v>
      </c>
      <c r="C4956" s="22" t="e" cm="1">
        <f t="array" aca="1" ref="C4956" ca="1">Rank_Fraction(y,fil)</f>
        <v>#NAME?</v>
      </c>
      <c r="D4956" s="6" t="e" cm="1">
        <f t="array" aca="1" ref="D4956" ca="1">Y_Ranked(y,fil)</f>
        <v>#NAME?</v>
      </c>
      <c r="E4956" s="6" t="e" cm="1">
        <f t="array" aca="1" ref="E4956" ca="1">Normal_Scores(y,fil)</f>
        <v>#NAME?</v>
      </c>
      <c r="F4956" s="6" t="e" cm="1">
        <f t="array" aca="1" ref="F4956" ca="1">_xlfn.LET(_xlpm.x_s,OFFSET(y,0,1,ROWS(y),5),Predictions(_xlpm.x_s,y,FALSE,fil))</f>
        <v>#NAME?</v>
      </c>
      <c r="G4956" s="6" t="e" cm="1">
        <f t="array" aca="1" ref="G4956" ca="1">_xlfn.LET(_xlpm.x_s,OFFSET(y,0,1,ROWS(y),5),Residuals(_xlpm.x_s,y,FALSE,fil))</f>
        <v>#NAME?</v>
      </c>
      <c r="H4956" s="6" t="e" cm="1">
        <f t="array" aca="1" ref="H4956" ca="1">_xlfn.LET(_xlpm.x_s,OFFSET(y,0,1,ROWS(y),5),Scaled_Residuals(_xlpm.x_s,y,FALSE,fil))</f>
        <v>#NAME?</v>
      </c>
      <c r="I4956" s="6" t="e" cm="1">
        <f t="array" aca="1" ref="I4956" ca="1">_xlfn.LET(_xlpm.x_s,OFFSET(y,0,1,ROWS(y),5),Scaled_Residuals_Ranked(_xlpm.x_s,y,FALSE,fil))</f>
        <v>#NAME?</v>
      </c>
    </row>
    <row r="6606" spans="1:9" x14ac:dyDescent="0.25">
      <c r="A6606" t="s">
        <v>541</v>
      </c>
    </row>
    <row r="6607" spans="1:9" x14ac:dyDescent="0.25">
      <c r="B6607" s="21" t="e" cm="1">
        <f t="array" aca="1" ref="B6607" ca="1">Observation_Num(y,fil)</f>
        <v>#NAME?</v>
      </c>
      <c r="C6607" s="22" t="e" cm="1">
        <f t="array" aca="1" ref="C6607" ca="1">Rank_Fraction(y,fil)</f>
        <v>#NAME?</v>
      </c>
      <c r="D6607" s="6" t="e" cm="1">
        <f t="array" aca="1" ref="D6607" ca="1">Y_Ranked(y,fil)</f>
        <v>#NAME?</v>
      </c>
      <c r="E6607" s="6" t="e" cm="1">
        <f t="array" aca="1" ref="E6607" ca="1">Normal_Scores(y,fil)</f>
        <v>#NAME?</v>
      </c>
      <c r="F6607" s="6" t="e" cm="1">
        <f t="array" aca="1" ref="F6607" ca="1">_xlfn.LET(_xlpm.x_s,OFFSET(y,0,1,ROWS(y),10),Predictions(_xlpm.x_s,y,TRUE,fil))</f>
        <v>#NAME?</v>
      </c>
      <c r="G6607" s="6" t="e" cm="1">
        <f t="array" aca="1" ref="G6607" ca="1">_xlfn.LET(_xlpm.x_s,OFFSET(y,0,1,ROWS(y),10),Residuals(_xlpm.x_s,y,TRUE,fil))</f>
        <v>#NAME?</v>
      </c>
      <c r="H6607" s="6" t="e" cm="1">
        <f t="array" aca="1" ref="H6607" ca="1">_xlfn.LET(_xlpm.x_s,OFFSET(y,0,1,ROWS(y),10),Scaled_Residuals(_xlpm.x_s,y,TRUE,fil))</f>
        <v>#NAME?</v>
      </c>
      <c r="I6607" s="6" t="e" cm="1">
        <f t="array" aca="1" ref="I6607" ca="1">_xlfn.LET(_xlpm.x_s,OFFSET(y,0,1,ROWS(y),10),Scaled_Residuals_Ranked(_xlpm.x_s,y,TRUE,fil))</f>
        <v>#NAME?</v>
      </c>
    </row>
    <row r="8257" spans="1:9" x14ac:dyDescent="0.25">
      <c r="A8257" t="s">
        <v>542</v>
      </c>
    </row>
    <row r="8258" spans="1:9" x14ac:dyDescent="0.25">
      <c r="B8258" s="21" t="e" cm="1">
        <f t="array" aca="1" ref="B8258" ca="1">Observation_Num(y,fil)</f>
        <v>#NAME?</v>
      </c>
      <c r="C8258" s="22" t="e" cm="1">
        <f t="array" aca="1" ref="C8258" ca="1">Rank_Fraction(y,fil)</f>
        <v>#NAME?</v>
      </c>
      <c r="D8258" s="6" t="e" cm="1">
        <f t="array" aca="1" ref="D8258" ca="1">Y_Ranked(y,fil)</f>
        <v>#NAME?</v>
      </c>
      <c r="E8258" s="6" t="e" cm="1">
        <f t="array" aca="1" ref="E8258" ca="1">Normal_Scores(y,fil)</f>
        <v>#NAME?</v>
      </c>
      <c r="F8258" s="6" t="e" cm="1">
        <f t="array" aca="1" ref="F8258" ca="1">_xlfn.LET(_xlpm.x_s,OFFSET(y,0,1,ROWS(y),10),Predictions(_xlpm.x_s,y,FALSE,fil))</f>
        <v>#NAME?</v>
      </c>
      <c r="G8258" s="6" t="e" cm="1">
        <f t="array" aca="1" ref="G8258" ca="1">_xlfn.LET(_xlpm.x_s,OFFSET(y,0,1,ROWS(y),10),Residuals(_xlpm.x_s,y,FALSE,fil))</f>
        <v>#NAME?</v>
      </c>
      <c r="H8258" s="6" t="e" cm="1">
        <f t="array" aca="1" ref="H8258" ca="1">_xlfn.LET(_xlpm.x_s,OFFSET(y,0,1,ROWS(y),10),Scaled_Residuals(_xlpm.x_s,y,FALSE,fil))</f>
        <v>#NAME?</v>
      </c>
      <c r="I8258" s="6" t="e" cm="1">
        <f t="array" aca="1" ref="I8258" ca="1">_xlfn.LET(_xlpm.x_s,OFFSET(y,0,1,ROWS(y),10),Scaled_Residuals_Ranked(_xlpm.x_s,y,FALSE,fil))</f>
        <v>#NAME?</v>
      </c>
    </row>
    <row r="9908" spans="1:9" x14ac:dyDescent="0.25">
      <c r="A9908" t="s">
        <v>543</v>
      </c>
    </row>
    <row r="9909" spans="1:9" x14ac:dyDescent="0.25">
      <c r="B9909" s="21" t="e" cm="1">
        <f t="array" aca="1" ref="B9909" ca="1">Observation_Num(y,fil)</f>
        <v>#NAME?</v>
      </c>
      <c r="C9909" s="22" t="e" cm="1">
        <f t="array" aca="1" ref="C9909" ca="1">Rank_Fraction(y,fil)</f>
        <v>#NAME?</v>
      </c>
      <c r="D9909" s="6" t="e" cm="1">
        <f t="array" aca="1" ref="D9909" ca="1">Y_Ranked(y,fil)</f>
        <v>#NAME?</v>
      </c>
      <c r="E9909" s="6" t="e" cm="1">
        <f t="array" aca="1" ref="E9909" ca="1">Normal_Scores(y,fil)</f>
        <v>#NAME?</v>
      </c>
      <c r="F9909" s="6" t="e" cm="1">
        <f t="array" aca="1" ref="F9909" ca="1">_xlfn.LET(_xlpm.x_s,OFFSET(y,0,1,ROWS(y),18),Predictions(_xlpm.x_s,y,TRUE,fil))</f>
        <v>#NAME?</v>
      </c>
      <c r="G9909" s="6" t="e" cm="1">
        <f t="array" aca="1" ref="G9909" ca="1">_xlfn.LET(_xlpm.x_s,OFFSET(y,0,1,ROWS(y),18),Residuals(_xlpm.x_s,y,TRUE,fil))</f>
        <v>#NAME?</v>
      </c>
      <c r="H9909" s="6" t="e" cm="1">
        <f t="array" aca="1" ref="H9909" ca="1">_xlfn.LET(_xlpm.x_s,OFFSET(y,0,1,ROWS(y),18),Scaled_Residuals(_xlpm.x_s,y,TRUE,fil))</f>
        <v>#NAME?</v>
      </c>
      <c r="I9909" s="6" t="e" cm="1">
        <f t="array" aca="1" ref="I9909" ca="1">_xlfn.LET(_xlpm.x_s,OFFSET(y,0,1,ROWS(y),18),Scaled_Residuals_Ranked(_xlpm.x_s,y,TRUE,fil))</f>
        <v>#NAME?</v>
      </c>
    </row>
    <row r="11559" spans="1:9" x14ac:dyDescent="0.25">
      <c r="A11559" t="s">
        <v>544</v>
      </c>
    </row>
    <row r="11560" spans="1:9" x14ac:dyDescent="0.25">
      <c r="B11560" s="21" t="e" cm="1">
        <f t="array" aca="1" ref="B11560" ca="1">Observation_Num(y,fil)</f>
        <v>#NAME?</v>
      </c>
      <c r="C11560" s="22" t="e" cm="1">
        <f t="array" aca="1" ref="C11560" ca="1">Rank_Fraction(y,fil)</f>
        <v>#NAME?</v>
      </c>
      <c r="D11560" s="6" t="e" cm="1">
        <f t="array" aca="1" ref="D11560" ca="1">Y_Ranked(y,fil)</f>
        <v>#NAME?</v>
      </c>
      <c r="E11560" s="6" t="e" cm="1">
        <f t="array" aca="1" ref="E11560" ca="1">Normal_Scores(y,fil)</f>
        <v>#NAME?</v>
      </c>
      <c r="F11560" s="6" t="e" cm="1">
        <f t="array" aca="1" ref="F11560" ca="1">_xlfn.LET(_xlpm.x_s,OFFSET(y,0,1,ROWS(y),18),Predictions(_xlpm.x_s,y,FALSE,fil))</f>
        <v>#NAME?</v>
      </c>
      <c r="G11560" s="6" t="e" cm="1">
        <f t="array" aca="1" ref="G11560" ca="1">_xlfn.LET(_xlpm.x_s,OFFSET(y,0,1,ROWS(y),18),Residuals(_xlpm.x_s,y,FALSE,fil))</f>
        <v>#NAME?</v>
      </c>
      <c r="H11560" s="6" t="e" cm="1">
        <f t="array" aca="1" ref="H11560" ca="1">_xlfn.LET(_xlpm.x_s,OFFSET(y,0,1,ROWS(y),18),Scaled_Residuals(_xlpm.x_s,y,FALSE,fil))</f>
        <v>#NAME?</v>
      </c>
      <c r="I11560" s="6" t="e" cm="1">
        <f t="array" aca="1" ref="I11560" ca="1">_xlfn.LET(_xlpm.x_s,OFFSET(y,0,1,ROWS(y),18),Scaled_Residuals_Ranked(_xlpm.x_s,y,FALSE,fil))</f>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LAMBDA_functions</vt:lpstr>
      <vt:lpstr>Life Expectancy Data</vt:lpstr>
      <vt:lpstr>Regression</vt:lpstr>
      <vt:lpstr>MLR_Scalar_Test</vt:lpstr>
      <vt:lpstr>MLR_Vector_Outputs_Test</vt:lpstr>
      <vt:lpstr>MLR_Observation_Test</vt:lpstr>
      <vt:lpstr>Regression!All_Xs</vt:lpstr>
      <vt:lpstr>Regression!Allow_Intercept</vt:lpstr>
      <vt:lpstr>Regression!alpha</vt:lpstr>
      <vt:lpstr>MLR_Observation_Test!fil</vt:lpstr>
      <vt:lpstr>MLR_Scalar_Test!fil</vt:lpstr>
      <vt:lpstr>MLR_Vector_Outputs_Test!fil</vt:lpstr>
      <vt:lpstr>Regression!fil</vt:lpstr>
      <vt:lpstr>Regression!Ind_Var_Filter</vt:lpstr>
      <vt:lpstr>MLR_Observation_Test!y</vt:lpstr>
      <vt:lpstr>MLR_Scalar_Test!y</vt:lpstr>
      <vt:lpstr>MLR_Vector_Outputs_Test!y</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2026-06-14T23:22:10Z</dcterms:created>
  <dcterms:modified xsi:type="dcterms:W3CDTF">2026-06-14T23:22:32Z</dcterms:modified>
</cp:coreProperties>
</file>