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093B894F-F94F-47D1-8D82-5A00D8775891}"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70" r:id="rId5"/>
    <sheet name="Regression" sheetId="7" r:id="rId6"/>
    <sheet name="Diagnostic Guide" sheetId="71"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Regression!$AB$2</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J15" i="7"/>
  <c r="O15" i="7"/>
  <c r="L15" i="7"/>
  <c r="K15" i="7"/>
  <c r="J15" i="7"/>
  <c r="O14" i="7"/>
  <c r="L14" i="7"/>
  <c r="K14" i="7"/>
  <c r="J14" i="7"/>
  <c r="O13" i="7"/>
  <c r="L13" i="7"/>
  <c r="K13" i="7"/>
  <c r="J13" i="7"/>
  <c r="AK12" i="7"/>
  <c r="AE12" i="7" a="1"/>
  <c r="O12" i="7"/>
  <c r="L12" i="7"/>
  <c r="K12" i="7"/>
  <c r="J12" i="7"/>
  <c r="AE11" i="7" a="1"/>
  <c r="O11" i="7"/>
  <c r="L11" i="7"/>
  <c r="K11" i="7"/>
  <c r="J11" i="7"/>
  <c r="AE10" i="7" a="1"/>
  <c r="BD96" i="7" s="1"/>
  <c r="O10" i="7"/>
  <c r="L10" i="7"/>
  <c r="K10" i="7"/>
  <c r="J10" i="7"/>
  <c r="O9" i="7"/>
  <c r="L9" i="7"/>
  <c r="K9" i="7"/>
  <c r="J9" i="7"/>
  <c r="AE8" i="7" a="1"/>
  <c r="AB8" i="7" a="1"/>
  <c r="BD99" i="7" s="1"/>
  <c r="O8" i="7"/>
  <c r="L8" i="7"/>
  <c r="K8" i="7"/>
  <c r="J8" i="7"/>
  <c r="AE7" i="7" a="1"/>
  <c r="AB7" i="7" a="1"/>
  <c r="O7" i="7"/>
  <c r="L7" i="7"/>
  <c r="K7" i="7"/>
  <c r="J7" i="7"/>
  <c r="AE6" i="7" a="1"/>
  <c r="BD100" i="7" s="1"/>
  <c r="O6" i="7"/>
  <c r="L6" i="7"/>
  <c r="K6" i="7"/>
  <c r="J6" i="7"/>
  <c r="BS5" i="7" a="1"/>
  <c r="AH5" i="7" a="1"/>
  <c r="O5" i="7"/>
  <c r="L5" i="7"/>
  <c r="K5" i="7"/>
  <c r="J5" i="7"/>
  <c r="BS4" i="7" a="1"/>
  <c r="AE4" i="7" a="1"/>
  <c r="BD101" i="7" s="1"/>
  <c r="O4" i="7"/>
  <c r="L4" i="7"/>
  <c r="K4" i="7"/>
  <c r="J4" i="7"/>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AB2" i="7" a="1"/>
  <c r="P2" i="7" a="1"/>
  <c r="L2" i="7" a="1"/>
  <c r="K2" i="7" a="1"/>
  <c r="J2" i="7" a="1"/>
  <c r="I2"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0" i="7" l="1" a="1"/>
  <c r="AK26" i="7" a="1"/>
  <c r="AK25" i="7" a="1"/>
  <c r="AK24" i="7" a="1"/>
  <c r="AK23" i="7" a="1"/>
  <c r="AK22" i="7" a="1"/>
  <c r="AK21" i="7" a="1"/>
  <c r="AK20" i="7" a="1"/>
  <c r="AK62" i="7" a="1"/>
  <c r="AK61" i="7" a="1"/>
  <c r="AK50" i="7" a="1"/>
  <c r="AK59" i="7" a="1"/>
  <c r="AK58" i="7" a="1"/>
  <c r="AK57" i="7" a="1"/>
  <c r="AK56" i="7" a="1"/>
  <c r="AK55" i="7" a="1"/>
  <c r="AK54" i="7" a="1"/>
  <c r="AK53" i="7" a="1"/>
  <c r="AK52" i="7" a="1"/>
  <c r="AK51" i="7" a="1"/>
  <c r="AK19" i="7" a="1"/>
  <c r="AK3" i="7" s="1"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14" i="7" a="1"/>
  <c r="AK13" i="7" a="1"/>
  <c r="AH8" i="7" a="1"/>
  <c r="AH7" i="7" a="1"/>
  <c r="AH9" i="7" a="1"/>
  <c r="AH6" i="7" a="1"/>
  <c r="AD16" i="7" a="1"/>
  <c r="AD21" i="7" a="1"/>
  <c r="AC21" i="7" a="1"/>
  <c r="AB16" i="7" a="1"/>
  <c r="AE9" i="7" a="1"/>
  <c r="AG21" i="7" a="1"/>
  <c r="AE21" i="7" a="1"/>
  <c r="AF21" i="7" a="1"/>
  <c r="AE5" i="7" a="1"/>
  <c r="AF15" i="7" a="1"/>
  <c r="AC15" i="7" a="1"/>
  <c r="AD15" i="7" a="1"/>
  <c r="AB6" i="7" a="1"/>
  <c r="BD97" i="7" s="1"/>
  <c r="AC17" i="7" a="1"/>
  <c r="AE15" i="7" a="1"/>
  <c r="AB15" i="7" a="1"/>
  <c r="AB4" i="7" a="1"/>
  <c r="AH21" i="7" a="1"/>
  <c r="BS6" i="7" a="1"/>
  <c r="AB17" i="7" a="1"/>
  <c r="AB5" i="7" a="1"/>
  <c r="BE97" i="7"/>
  <c r="BF97" i="7"/>
  <c r="BD95" i="7"/>
  <c r="AL3" i="7" l="1" a="1"/>
  <c r="AL10" i="7" a="1"/>
  <c r="AL7" i="7" a="1"/>
  <c r="AL9" i="7" a="1"/>
  <c r="AL8"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4202D2CC-D690-4115-823F-5A52717D65E4}">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1019F40B-3A6E-4FAC-B50C-740BF4807A07}">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E3216CC8-A6CD-4318-A4F1-CCF66366C703}">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0BD79882-E719-476D-8E69-55682AFA7C6D}">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D669C6D9-A0DC-4F16-A8B6-8124AC071F0C}">
      <text>
        <r>
          <rPr>
            <b/>
            <sz val="9"/>
            <color indexed="81"/>
            <rFont val="Tahoma"/>
            <family val="2"/>
          </rPr>
          <t>Shows whether the data have a longer tail on one side. Positive means a longer right tail; negative means a longer left tail.</t>
        </r>
      </text>
    </comment>
    <comment ref="W2" authorId="0" shapeId="0" xr:uid="{F2AD8E2E-0A14-445C-B446-B1C9B019FB71}">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03DA83DB-BBB9-4E7F-BEF7-3AC4CA855788}">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C07D48EF-4C53-4425-B865-21954CD8311C}">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21C4926C-E3E7-466E-A0D0-E1C77034FD0B}">
      <text>
        <r>
          <rPr>
            <b/>
            <sz val="9"/>
            <color indexed="81"/>
            <rFont val="Tahoma"/>
            <family val="2"/>
          </rPr>
          <t>The actual observed outcome values.</t>
        </r>
      </text>
    </comment>
    <comment ref="AP2" authorId="0" shapeId="0" xr:uid="{AE9B271A-98D7-4814-89BD-887A909B22EB}">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892124FA-36AB-45F9-A2A8-4EA22F95CEAB}">
      <text>
        <r>
          <rPr>
            <b/>
            <sz val="9"/>
            <color indexed="81"/>
            <rFont val="Tahoma"/>
            <family val="2"/>
          </rPr>
          <t>Actual Y minus predicted Y. Positive means the row came in above the model's prediction; negative means below.</t>
        </r>
      </text>
    </comment>
    <comment ref="AR2" authorId="0" shapeId="0" xr:uid="{F879610F-6F1A-4BF3-AFFE-EBB5A1B56FA5}">
      <text>
        <r>
          <rPr>
            <b/>
            <sz val="9"/>
            <color indexed="81"/>
            <rFont val="Tahoma"/>
            <family val="2"/>
          </rPr>
          <t>Leverage. It shows how unusual a row's predictor values are relative to the rest of the data.</t>
        </r>
      </text>
    </comment>
    <comment ref="AS2" authorId="0" shapeId="0" xr:uid="{B4E909A8-0281-414C-B20E-2177902A0C6D}">
      <text>
        <r>
          <rPr>
            <b/>
            <sz val="9"/>
            <color indexed="81"/>
            <rFont val="Tahoma"/>
            <family val="2"/>
          </rPr>
          <t>Residuals scaled to account for overall error size and leverage, making outliers easier to compare fairly.</t>
        </r>
      </text>
    </comment>
    <comment ref="AT2" authorId="0" shapeId="0" xr:uid="{A70E79A5-8752-4C0D-9DCE-9A2F5AFACC8C}">
      <text>
        <r>
          <rPr>
            <b/>
            <sz val="9"/>
            <color indexed="81"/>
            <rFont val="Tahoma"/>
            <family val="2"/>
          </rPr>
          <t>How much a single row can pull the fitted coefficients and predictions around.</t>
        </r>
      </text>
    </comment>
    <comment ref="AU2" authorId="0" shapeId="0" xr:uid="{265B7611-4EE5-44D6-A73D-05F6C5B2A6A3}">
      <text>
        <r>
          <rPr>
            <b/>
            <sz val="9"/>
            <color indexed="81"/>
            <rFont val="Tahoma"/>
            <family val="2"/>
          </rPr>
          <t>Expected bell-curve quantiles used for the Q-Q comparison.</t>
        </r>
      </text>
    </comment>
    <comment ref="AV2" authorId="0" shapeId="0" xr:uid="{AEADED8F-2F38-4745-A974-2B30AEAC500B}">
      <text>
        <r>
          <rPr>
            <b/>
            <sz val="9"/>
            <color indexed="81"/>
            <rFont val="Tahoma"/>
            <family val="2"/>
          </rPr>
          <t>Studentized residuals sorted from smallest to largest for the Q-Q plot.</t>
        </r>
      </text>
    </comment>
    <comment ref="AW2" authorId="0" shapeId="0" xr:uid="{4012A889-939C-449B-A2D8-8FD231FDD9E9}">
      <text>
        <r>
          <rPr>
            <b/>
            <sz val="9"/>
            <color indexed="81"/>
            <rFont val="Tahoma"/>
            <family val="2"/>
          </rPr>
          <t>The square root of the absolute studentized residual. A flat pattern suggests stable error spread.</t>
        </r>
      </text>
    </comment>
    <comment ref="AX2" authorId="0" shapeId="0" xr:uid="{E41AE22C-9531-4F15-9D8B-5CAD8613C43F}">
      <text>
        <r>
          <rPr>
            <b/>
            <sz val="9"/>
            <color indexed="81"/>
            <rFont val="Tahoma"/>
            <family val="2"/>
          </rPr>
          <t>The prediction error for a row when that row is left out of the fitting step (the leave-one-out / LOOCV residual). Summing its squares gives PRESS.</t>
        </r>
      </text>
    </comment>
    <comment ref="AY2" authorId="0" shapeId="0" xr:uid="{69035568-E6CF-4643-850E-6EB0D9395577}">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E674E10E-ECC6-4C7E-8714-DD75B5E48FBF}">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8E4A0ADA-88A3-4B2B-A259-70A749702425}">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18AF0AA8-0CC8-4353-9FB3-66632D071BFD}">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F6C0BF33-B951-4129-B950-00B43CAC91B7}">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1FF20DBE-F99B-449B-8861-41F00B1C92F2}">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CB74C5D8-990C-497A-B566-8A371BC0DDD0}">
      <text>
        <r>
          <rPr>
            <b/>
            <sz val="9"/>
            <color indexed="81"/>
            <rFont val="Tahoma"/>
            <family val="2"/>
          </rPr>
          <t>Reserved for a future release — not yet used by any formula.</t>
        </r>
      </text>
    </comment>
    <comment ref="G3" authorId="0" shapeId="0" xr:uid="{5F4CB2E5-FC99-4028-A4F9-67A23D9D7EAA}">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C93F780F-9372-45BE-B751-29F3CD934C19}">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6CE07495-DF25-4114-A13E-379C513A2E7F}">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E0386B4D-D916-403A-9902-AAB77B6E5C96}">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F0851CCB-24ED-4D92-9C54-D021276A8E70}">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6B7AC3D7-8659-4543-82E8-07AFF0F75C08}">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A8A146B9-2416-486B-9473-8BC64EC8E90A}">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704132D6-0139-4F78-A948-9D5AFCFBB3E3}">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B8D5F226-BE5A-493D-BAF8-5D0136F043D3}">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479FB2DD-9251-4ED3-9DDC-2325C13DF87C}">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E10C0BD0-DB63-4BB5-A3F2-6ADBE51CB2FA}">
      <text>
        <r>
          <rPr>
            <b/>
            <sz val="9"/>
            <color indexed="81"/>
            <rFont val="Tahoma"/>
            <family val="2"/>
          </rPr>
          <t>How closely the model's predicted Y values track the actual Y values overall.</t>
        </r>
      </text>
    </comment>
    <comment ref="AD4" authorId="0" shapeId="0" xr:uid="{D9804D73-C83F-43F7-AAFD-E367E067197D}">
      <text>
        <r>
          <rPr>
            <b/>
            <sz val="9"/>
            <color indexed="81"/>
            <rFont val="Tahoma"/>
            <family val="2"/>
          </rPr>
          <t>A leave-one-out prediction error score. Lower is better because it means the model predicts unseen rows more accurately.</t>
        </r>
      </text>
    </comment>
    <comment ref="AJ4" authorId="0" shapeId="0" xr:uid="{F2EEFDCF-193E-4350-B9A5-485DF90A185A}">
      <text>
        <r>
          <rPr>
            <b/>
            <sz val="9"/>
            <color indexed="81"/>
            <rFont val="Tahoma"/>
            <family val="2"/>
          </rPr>
          <t>Standard error for the MEAN of Y at the chosen X values. Builds the confidence interval — the narrower band — for where the average response sits.</t>
        </r>
      </text>
    </comment>
    <comment ref="AA5" authorId="0" shapeId="0" xr:uid="{CB32D4A4-F938-42D6-B35A-15EA8D2A3529}">
      <text>
        <r>
          <rPr>
            <b/>
            <sz val="9"/>
            <color indexed="81"/>
            <rFont val="Tahoma"/>
            <family val="2"/>
          </rPr>
          <t>The share of the outcome's variation explained by the model.</t>
        </r>
      </text>
    </comment>
    <comment ref="AD5" authorId="0" shapeId="0" xr:uid="{BABC1E3D-5A0B-41FD-89B2-1DEA1EFFF8EF}">
      <text>
        <r>
          <rPr>
            <b/>
            <sz val="9"/>
            <color indexed="81"/>
            <rFont val="Tahoma"/>
            <family val="2"/>
          </rPr>
          <t>An out-of-sample version of R Square based on leave-one-out prediction. Negative values mean the model predicts worse than just using the average Y.</t>
        </r>
      </text>
    </comment>
    <comment ref="AJ5" authorId="0" shapeId="0" xr:uid="{F67CB4F7-4389-4F9C-AEB1-DEFDB13B1161}">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91F5F80F-CC6D-4622-A39B-C5C584E84535}">
      <text>
        <r>
          <rPr>
            <b/>
            <sz val="9"/>
            <color indexed="81"/>
            <rFont val="Tahoma"/>
            <family val="2"/>
          </rPr>
          <t>R Square with a penalty for adding predictors that do not help enough.</t>
        </r>
      </text>
    </comment>
    <comment ref="AD6" authorId="0" shapeId="0" xr:uid="{D3BCD609-054B-444C-AC7E-EF515A0E913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D0BC0940-AC86-4440-95B2-B135745103A8}">
      <text>
        <r>
          <rPr>
            <b/>
            <sz val="9"/>
            <color indexed="81"/>
            <rFont val="Tahoma"/>
            <family val="2"/>
          </rPr>
          <t>The t-distribution cutoff at the chosen confidence level. Multiply by SE (Mean) to get the CI half-width and by SE (New Obs) to get the PI half-width.</t>
        </r>
      </text>
    </comment>
    <comment ref="AA7" authorId="0" shapeId="0" xr:uid="{4EE1403D-8659-4A12-95CB-F97C674A25FB}">
      <text>
        <r>
          <rPr>
            <b/>
            <sz val="9"/>
            <color indexed="81"/>
            <rFont val="Tahoma"/>
            <family val="2"/>
          </rPr>
          <t>The typical size of the model's prediction errors, measured in the same units as Y.</t>
        </r>
      </text>
    </comment>
    <comment ref="AD7" authorId="0" shapeId="0" xr:uid="{91F6AE16-2498-4EFC-87EC-5152FF86FE3A}">
      <text>
        <r>
          <rPr>
            <b/>
            <sz val="9"/>
            <color indexed="81"/>
            <rFont val="Tahoma"/>
            <family val="2"/>
          </rPr>
          <t>A model-comparison score that balances fit against complexity. Lower is better when comparing models on the same data.</t>
        </r>
      </text>
    </comment>
    <comment ref="AJ7" authorId="0" shapeId="0" xr:uid="{0BEB2F93-BB00-4D8E-A174-3909CA021966}">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9E90E769-27DF-49B0-A9C1-395EB3A0E84C}">
      <text>
        <r>
          <rPr>
            <b/>
            <sz val="9"/>
            <color indexed="81"/>
            <rFont val="Tahoma"/>
            <family val="2"/>
          </rPr>
          <t>The number of rows actually used in the regression after filtering.</t>
        </r>
      </text>
    </comment>
    <comment ref="AD8" authorId="0" shapeId="0" xr:uid="{F6B6C820-63C8-4070-B0D5-EF7F261044ED}">
      <text>
        <r>
          <rPr>
            <b/>
            <sz val="9"/>
            <color indexed="81"/>
            <rFont val="Tahoma"/>
            <family val="2"/>
          </rPr>
          <t>Another model-comparison score like AIC, but it penalizes extra predictors more strongly.</t>
        </r>
      </text>
    </comment>
    <comment ref="AJ8" authorId="0" shapeId="0" xr:uid="{9592E2A4-E7AF-418B-B2B4-D066F8DD00E6}">
      <text>
        <r>
          <rPr>
            <b/>
            <sz val="9"/>
            <color indexed="81"/>
            <rFont val="Tahoma"/>
            <family val="2"/>
          </rPr>
          <t>Upper bound of the confidence interval for the MEAN response at the chosen X values.</t>
        </r>
      </text>
    </comment>
    <comment ref="AD9" authorId="0" shapeId="0" xr:uid="{93BC98B6-4F1F-4A23-8EE9-FE174718CE51}">
      <text>
        <r>
          <rPr>
            <b/>
            <sz val="9"/>
            <color indexed="81"/>
            <rFont val="Tahoma"/>
            <family val="2"/>
          </rPr>
          <t>AIC with an extra correction for small samples.</t>
        </r>
      </text>
    </comment>
    <comment ref="AJ9" authorId="0" shapeId="0" xr:uid="{97B3442D-E89F-4437-9BBA-088DD3BA38A7}">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36CC147C-1180-4CB5-B436-FB7FB442A610}">
      <text>
        <r>
          <rPr>
            <b/>
            <sz val="9"/>
            <color indexed="81"/>
            <rFont val="Tahoma"/>
            <family val="2"/>
          </rPr>
          <t>A numeric check of how close the residuals are to a normal bell shape. Values closer to 1 are better.</t>
        </r>
      </text>
    </comment>
    <comment ref="AJ10" authorId="0" shapeId="0" xr:uid="{4FE74EFE-9348-4A2D-9364-317E2132E2C6}">
      <text>
        <r>
          <rPr>
            <b/>
            <sz val="9"/>
            <color indexed="81"/>
            <rFont val="Tahoma"/>
            <family val="2"/>
          </rPr>
          <t>Upper bound of the prediction interval for a SINGLE new observation at the chosen X values.</t>
        </r>
      </text>
    </comment>
    <comment ref="AD11" authorId="0" shapeId="0" xr:uid="{7EDE8E36-9D35-4E2C-917F-82D426E6E06A}">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AA7D99D3-7F30-4045-9833-9FEDEEA53C2A}">
      <text>
        <r>
          <rPr>
            <b/>
            <sz val="9"/>
            <color indexed="81"/>
            <rFont val="Tahoma"/>
            <family val="2"/>
          </rPr>
          <t>The probability level associated with the interval. With alpha 0.05, this is 95%.</t>
        </r>
      </text>
    </comment>
    <comment ref="AA12" authorId="0" shapeId="0" xr:uid="{A8450437-AC41-47A4-9F91-ECC0F8483FD7}">
      <text>
        <r>
          <rPr>
            <b/>
            <sz val="9"/>
            <color indexed="81"/>
            <rFont val="Tahoma"/>
            <family val="2"/>
          </rPr>
          <t>The cutoff for statistical significance. At 0.05, results with p-values below 0.05 are treated as statistically significant.</t>
        </r>
      </text>
    </comment>
    <comment ref="AD12" authorId="0" shapeId="0" xr:uid="{8D27E8E2-6DD3-4D34-AD80-E8F6C8E3E07C}">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C35B5F38-5750-403B-8EEF-39826B815492}">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3EF281A4-ACB2-4002-A51D-A2567AFE6F66}">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D847FC74-4B23-495B-8FD0-C042A60BE781}">
      <text>
        <r>
          <rPr>
            <b/>
            <sz val="9"/>
            <color indexed="81"/>
            <rFont val="Tahoma"/>
            <family val="2"/>
          </rPr>
          <t>The number of independent data points available to estimate each part of the model — total rows minus one for each estimated parameter.</t>
        </r>
      </text>
    </comment>
    <comment ref="AC14" authorId="0" shapeId="0" xr:uid="{BE2B4041-99FF-4A46-84AC-50EA71B6C35D}">
      <text>
        <r>
          <rPr>
            <b/>
            <sz val="9"/>
            <color indexed="81"/>
            <rFont val="Tahoma"/>
            <family val="2"/>
          </rPr>
          <t>The total variation attributed to that source — regression, residual, or total. The raw material from which MS and F are calculated.</t>
        </r>
      </text>
    </comment>
    <comment ref="AD14" authorId="0" shapeId="0" xr:uid="{6FBB89B5-8FB6-44DB-ADE5-409D36BE602F}">
      <text>
        <r>
          <rPr>
            <b/>
            <sz val="9"/>
            <color indexed="81"/>
            <rFont val="Tahoma"/>
            <family val="2"/>
          </rPr>
          <t>Sum of squares averaged over its degrees of freedom — a per-unit measure of variation for that source.</t>
        </r>
      </text>
    </comment>
    <comment ref="AE14" authorId="0" shapeId="0" xr:uid="{DA059E3E-B4B7-4047-AFD1-D20B826CE120}">
      <text>
        <r>
          <rPr>
            <b/>
            <sz val="9"/>
            <color indexed="81"/>
            <rFont val="Tahoma"/>
            <family val="2"/>
          </rPr>
          <t>The model-vs-noise ratio used in the overall regression significance test.</t>
        </r>
      </text>
    </comment>
    <comment ref="AF14" authorId="0" shapeId="0" xr:uid="{D6B60F29-B3EF-48BC-BF1B-324F071ABBD9}">
      <text>
        <r>
          <rPr>
            <b/>
            <sz val="9"/>
            <color indexed="81"/>
            <rFont val="Tahoma"/>
            <family val="2"/>
          </rPr>
          <t>The p-value for the overall F test. Small values mean the model as a whole is unlikely to be pure noise.</t>
        </r>
      </text>
    </comment>
    <comment ref="AJ14" authorId="0" shapeId="0" xr:uid="{C6959F8B-8C60-4AF8-A21E-0927F1AA14C3}">
      <text>
        <r>
          <rPr>
            <b/>
            <sz val="9"/>
            <color indexed="81"/>
            <rFont val="Tahoma"/>
            <family val="2"/>
          </rPr>
          <t>Number of analysis-sample observations in the selected FE group. The Tᵢ used to scale the within-group mean's standard error.</t>
        </r>
      </text>
    </comment>
    <comment ref="AA15" authorId="0" shapeId="0" xr:uid="{A3A54397-C536-482D-81C3-633572A3D1C9}">
      <text>
        <r>
          <rPr>
            <b/>
            <sz val="9"/>
            <color indexed="81"/>
            <rFont val="Tahoma"/>
            <family val="2"/>
          </rPr>
          <t>The variation explained by the predictors taken together.</t>
        </r>
      </text>
    </comment>
    <comment ref="AA16" authorId="0" shapeId="0" xr:uid="{98785AEF-44D5-4623-890E-A08BCB98BB98}">
      <text>
        <r>
          <rPr>
            <b/>
            <sz val="9"/>
            <color indexed="81"/>
            <rFont val="Tahoma"/>
            <family val="2"/>
          </rPr>
          <t>The variation the model does not explain.</t>
        </r>
      </text>
    </comment>
    <comment ref="AA17" authorId="0" shapeId="0" xr:uid="{0820092F-9BE6-4779-B8C1-579014538116}">
      <text>
        <r>
          <rPr>
            <b/>
            <sz val="9"/>
            <color indexed="81"/>
            <rFont val="Tahoma"/>
            <family val="2"/>
          </rPr>
          <t>All variation in the outcome before splitting it into explained and unexplained parts.</t>
        </r>
      </text>
    </comment>
    <comment ref="AJ17" authorId="0" shapeId="0" xr:uid="{46CEF64E-F517-4574-938D-9D7B7A865664}">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2C94E8AD-E1F6-41CE-9DCC-4EE63E71BA78}">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04688652-6A52-41AA-975F-FDF624A258BD}">
      <text>
        <r>
          <rPr>
            <b/>
            <sz val="9"/>
            <color indexed="81"/>
            <rFont val="Tahoma"/>
            <family val="2"/>
          </rPr>
          <t>The fitted weights used to turn predictor values into predictions.</t>
        </r>
      </text>
    </comment>
    <comment ref="AC20" authorId="0" shapeId="0" xr:uid="{46A5A191-0722-473A-968D-05B1B382721A}">
      <text>
        <r>
          <rPr>
            <b/>
            <sz val="9"/>
            <color indexed="81"/>
            <rFont val="Tahoma"/>
            <family val="2"/>
          </rPr>
          <t>How uncertain each coefficient estimate is.</t>
        </r>
      </text>
    </comment>
    <comment ref="AD20" authorId="0" shapeId="0" xr:uid="{D644FAB5-FE49-443E-BC9A-504AC74A3BD1}">
      <text>
        <r>
          <rPr>
            <b/>
            <sz val="9"/>
            <color indexed="81"/>
            <rFont val="Tahoma"/>
            <family val="2"/>
          </rPr>
          <t>How many standard errors the coefficient is away from zero.</t>
        </r>
      </text>
    </comment>
    <comment ref="AE20" authorId="0" shapeId="0" xr:uid="{0F33FAD6-7334-46F3-92B2-4847CEB67A69}">
      <text>
        <r>
          <rPr>
            <b/>
            <sz val="9"/>
            <color indexed="81"/>
            <rFont val="Tahoma"/>
            <family val="2"/>
          </rPr>
          <t>How surprising this coefficient would be if its true effect were zero. Smaller values mean stronger evidence of a real effect.</t>
        </r>
      </text>
    </comment>
    <comment ref="AF20" authorId="0" shapeId="0" xr:uid="{BC4B678B-CE27-4214-AD61-E8DC2CA40210}">
      <text>
        <r>
          <rPr>
            <b/>
            <sz val="9"/>
            <color indexed="81"/>
            <rFont val="Tahoma"/>
            <family val="2"/>
          </rPr>
          <t>The lower bound of the 95% confidence interval.</t>
        </r>
      </text>
    </comment>
    <comment ref="AG20" authorId="0" shapeId="0" xr:uid="{47FFCAC9-F183-4CE8-8CB5-C5A9F965A073}">
      <text>
        <r>
          <rPr>
            <b/>
            <sz val="9"/>
            <color indexed="81"/>
            <rFont val="Tahoma"/>
            <family val="2"/>
          </rPr>
          <t>The upper bound of the 95% confidence interval.</t>
        </r>
      </text>
    </comment>
    <comment ref="AH20" authorId="0" shapeId="0" xr:uid="{B7FDE4A0-DD59-47EA-B930-F8C1B60204C0}">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<sst xmlns="http://schemas.openxmlformats.org/spreadsheetml/2006/main" count="8889" uniqueCount="1939">
  <si>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</si>
  <si>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</si>
  <si>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</si>
  <si>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</si>
  <si>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</si>
  <si>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</si>
  <si>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</si>
  <si>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</si>
  <si>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</si>
  <si>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</si>
  <si>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</si>
  <si>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</si>
  <si>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</si>
  <si>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</si>
  <si>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</si>
  <si>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</si>
  <si>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</si>
  <si>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</si>
  <si>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</si>
  <si>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</si>
  <si>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</si>
  <si>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</si>
  <si>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</si>
  <si>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</si>
  <si>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</si>
  <si>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</si>
  <si>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</si>
  <si>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</si>
  <si>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</si>
  <si>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</si>
  <si>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</si>
  <si>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</si>
  <si>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</si>
  <si>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</si>
  <si>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</si>
  <si>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</si>
  <si>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</si>
  <si>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</si>
  <si>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</si>
  <si>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</si>
  <si>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</si>
  <si>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</si>
  <si>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</si>
  <si>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</si>
  <si>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</si>
  <si>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</si>
  <si>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</si>
  <si>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</si>
  <si>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</si>
  <si>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</si>
  <si>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</si>
  <si>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</si>
  <si>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</si>
  <si>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</si>
  <si>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</si>
  <si>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</si>
  <si>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</si>
  <si>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</si>
  <si>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</si>
  <si>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</si>
  <si>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</si>
  <si>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</si>
  <si>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</si>
  <si>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</si>
  <si>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</si>
  <si>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</si>
  <si>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</si>
  <si>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</si>
  <si>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</si>
  <si>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</si>
  <si>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</si>
  <si>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</si>
  <si>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</si>
  <si>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</si>
  <si>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</si>
  <si>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</si>
  <si>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</si>
  <si>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</si>
  <si>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</si>
  <si>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</si>
  <si>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</si>
  <si>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</si>
  <si>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</si>
  <si>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</si>
  <si>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</si>
  <si>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</si>
  <si>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</si>
  <si>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</si>
  <si>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</si>
  <si>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</si>
  <si>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</si>
  <si>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</si>
  <si>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</si>
  <si>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</si>
  <si>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</si>
  <si>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</si>
  <si>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</si>
  <si>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</si>
  <si>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</si>
  <si>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</si>
  <si>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</si>
  <si>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</si>
  <si>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</si>
  <si>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</si>
  <si>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</si>
  <si>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</si>
  <si>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</si>
  <si>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</si>
  <si>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</si>
  <si>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</si>
  <si>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</si>
  <si>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</si>
  <si>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</si>
  <si>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</si>
  <si>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</si>
  <si>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</si>
  <si>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</si>
  <si>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</si>
  <si>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</si>
  <si>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</si>
  <si>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</si>
  <si>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</si>
  <si>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</si>
  <si>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</si>
  <si>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</si>
  <si>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</si>
  <si>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</si>
  <si>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</si>
  <si>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</si>
  <si>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</si>
  <si>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</si>
  <si>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</si>
  <si>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</si>
  <si>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</si>
  <si>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</si>
  <si>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</si>
  <si>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</si>
  <si>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</si>
  <si>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</si>
  <si>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</si>
  <si>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</si>
  <si>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</si>
  <si>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</si>
  <si>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</si>
  <si>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</si>
  <si>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</si>
  <si>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</si>
  <si>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</si>
  <si>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</si>
  <si>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</si>
  <si>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</si>
  <si>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</si>
  <si>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</si>
  <si>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</si>
  <si>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</si>
  <si>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</si>
  <si>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</si>
  <si>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</si>
  <si>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</si>
  <si>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</si>
  <si>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</si>
  <si>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</si>
  <si>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</si>
  <si>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</si>
  <si>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</si>
  <si>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</si>
  <si>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</si>
  <si>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</si>
  <si>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</si>
  <si>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</si>
  <si>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</si>
  <si>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</si>
  <si>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</si>
  <si>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</si>
  <si>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</si>
  <si>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</si>
  <si>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</si>
  <si>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</si>
  <si>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</si>
  <si>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</si>
  <si>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</si>
  <si>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</si>
  <si>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</si>
  <si>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</si>
  <si>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</si>
  <si>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</si>
  <si>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</si>
  <si>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</si>
  <si>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</si>
  <si>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</si>
  <si>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</si>
  <si>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</si>
  <si>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</si>
  <si>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</si>
  <si>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</si>
  <si>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</si>
  <si>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</si>
  <si>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</si>
  <si>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</si>
  <si>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</si>
  <si>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</si>
  <si>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</si>
  <si>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</si>
  <si>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</si>
  <si>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</si>
  <si>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</si>
  <si>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</si>
  <si>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</si>
  <si>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</si>
  <si>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</si>
  <si>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</si>
  <si>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</si>
  <si>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</si>
  <si>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</si>
  <si>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</si>
  <si>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</si>
  <si>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</si>
  <si>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</si>
  <si>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</si>
  <si>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</si>
  <si>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</si>
  <si>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</si>
  <si>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</si>
  <si>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</si>
  <si>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</si>
  <si>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</si>
  <si>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</si>
  <si>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</si>
  <si>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</si>
  <si>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</si>
  <si>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</si>
  <si>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</si>
  <si>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</si>
  <si>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</si>
  <si>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</si>
  <si>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</si>
  <si>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</si>
  <si>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</si>
  <si>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</si>
  <si>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</si>
  <si>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</si>
  <si>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</si>
  <si>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</si>
  <si>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</si>
  <si>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</si>
  <si>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</si>
  <si>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</si>
  <si>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</si>
  <si>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</si>
  <si>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</si>
  <si>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</si>
  <si>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</si>
  <si>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</si>
  <si>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</si>
  <si>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</si>
  <si>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</si>
  <si>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</si>
  <si>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</si>
  <si>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</si>
  <si>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</si>
  <si>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</si>
  <si>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</si>
  <si>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</si>
  <si>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</si>
  <si>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</si>
  <si>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</si>
  <si>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</si>
  <si>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</si>
  <si>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</si>
  <si>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</si>
  <si>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</si>
  <si>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</si>
  <si>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</si>
  <si>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</si>
  <si>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</si>
  <si>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</si>
  <si>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</si>
  <si>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</si>
  <si>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</si>
  <si>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</si>
  <si>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</si>
  <si>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</si>
  <si>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</si>
  <si>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</si>
  <si>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</si>
  <si>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</si>
  <si>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</si>
  <si>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</si>
  <si>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</si>
  <si>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</si>
  <si>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</si>
  <si>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</si>
  <si>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</si>
  <si>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</si>
  <si>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</si>
  <si>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</si>
  <si>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</si>
  <si>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</si>
  <si>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</si>
  <si>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</si>
  <si>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</si>
  <si>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</si>
  <si>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</si>
  <si>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</si>
  <si>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</si>
  <si>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</si>
  <si>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</si>
  <si>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</si>
  <si>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</si>
  <si>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</si>
  <si>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</si>
  <si>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</si>
  <si>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</si>
  <si>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</si>
  <si>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</si>
  <si>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</si>
  <si>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</si>
  <si>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</si>
  <si>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</si>
  <si>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</si>
  <si>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</si>
  <si>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</si>
  <si>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</si>
  <si>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</si>
  <si>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</si>
  <si>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</si>
  <si>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</si>
  <si>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</si>
  <si>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</si>
  <si>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</si>
  <si>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</si>
  <si>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</si>
  <si>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</si>
  <si>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</si>
  <si>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</si>
  <si>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</si>
  <si>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</si>
  <si>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</si>
  <si>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</si>
  <si>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</si>
  <si>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</si>
  <si>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</si>
  <si>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</si>
  <si>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</si>
  <si>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</si>
  <si>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</si>
  <si>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</si>
  <si>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</si>
  <si>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</si>
  <si>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</si>
  <si>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</si>
  <si>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</si>
  <si>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</si>
  <si>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</si>
  <si>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</si>
  <si>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</si>
  <si>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</si>
  <si>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</si>
  <si>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</si>
  <si>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</si>
  <si>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</si>
  <si>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</si>
  <si>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</si>
  <si>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</si>
  <si>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</si>
  <si>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</si>
  <si>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</si>
  <si>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</si>
  <si>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</si>
  <si>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</si>
  <si>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</si>
  <si>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</si>
  <si>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</si>
  <si>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</si>
  <si>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</si>
  <si>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</si>
  <si>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</si>
  <si>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</si>
  <si>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</si>
  <si>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</si>
  <si>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</si>
  <si>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</si>
  <si>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</si>
  <si>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</si>
  <si>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</si>
  <si>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</si>
  <si>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</si>
  <si>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</si>
  <si>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</si>
  <si>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</si>
  <si>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</si>
  <si>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</si>
  <si>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</si>
  <si>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</si>
  <si>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</si>
  <si>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</si>
  <si>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</si>
  <si>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</si>
  <si>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</si>
  <si>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</si>
  <si>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</si>
  <si>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</si>
  <si>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</si>
  <si>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</si>
  <si>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</si>
  <si>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</si>
  <si>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</si>
  <si>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</si>
  <si>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</si>
  <si>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</si>
  <si>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</si>
  <si>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</si>
  <si>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</si>
  <si>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</si>
  <si>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</si>
  <si>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</si>
  <si>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</si>
  <si>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</si>
  <si>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</si>
  <si>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</si>
  <si>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</si>
  <si>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</si>
  <si>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</si>
  <si>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</si>
  <si>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</si>
  <si>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</si>
  <si>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</si>
  <si>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</si>
  <si>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</si>
  <si>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</si>
  <si>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</si>
  <si>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</si>
  <si>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</si>
  <si>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</si>
  <si>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</si>
  <si>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</si>
  <si>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</si>
  <si>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</si>
  <si>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</si>
  <si>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</si>
  <si>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</si>
  <si>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</si>
  <si>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</si>
  <si>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</si>
  <si>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</si>
  <si>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</si>
  <si>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</si>
  <si>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</si>
  <si>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</si>
  <si>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</si>
  <si>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</si>
  <si>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</si>
  <si>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</si>
  <si>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</si>
  <si>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</si>
  <si>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</si>
  <si>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</si>
  <si>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</si>
  <si>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</si>
  <si>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</si>
  <si>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</si>
  <si>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</si>
  <si>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</si>
  <si>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</si>
  <si>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</si>
  <si>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</si>
  <si>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</si>
  <si>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</si>
  <si>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</si>
  <si>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</si>
  <si>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</si>
  <si>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</si>
  <si>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</si>
  <si>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</si>
  <si>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</si>
  <si>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</si>
  <si>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</si>
  <si>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</si>
  <si>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</si>
  <si>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</si>
  <si>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</si>
  <si>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</si>
  <si>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</si>
  <si>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</si>
  <si>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</si>
  <si>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</si>
  <si>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</si>
  <si>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</si>
  <si>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</si>
  <si>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</si>
  <si>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</si>
  <si>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</si>
  <si>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</si>
  <si>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</si>
  <si>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</si>
  <si>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</si>
  <si>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</si>
  <si>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</si>
  <si>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</si>
  <si>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</si>
  <si>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</si>
  <si>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</si>
  <si>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</si>
  <si>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</si>
  <si>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</si>
  <si>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</si>
  <si>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</si>
  <si>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</si>
  <si>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</si>
  <si>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</si>
  <si>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</si>
  <si>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</si>
  <si>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</si>
  <si>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</si>
  <si>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</si>
  <si>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</si>
  <si>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</si>
  <si>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</si>
  <si>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</si>
  <si>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</si>
  <si>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</si>
  <si>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</si>
  <si>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</si>
  <si>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</si>
  <si>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</si>
  <si>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</si>
  <si>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</si>
  <si>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</si>
  <si>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</si>
  <si>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</si>
  <si>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</si>
  <si>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</si>
  <si>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</si>
  <si>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</si>
  <si>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</si>
  <si>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</si>
  <si>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</si>
  <si>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</si>
  <si>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</si>
  <si>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</si>
  <si>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</si>
  <si>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</si>
  <si>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</si>
  <si>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</si>
  <si>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</si>
  <si>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</si>
  <si>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</si>
  <si>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</si>
  <si>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</si>
  <si>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</si>
  <si>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</si>
  <si>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</si>
  <si>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</si>
  <si>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</si>
  <si>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</si>
  <si>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</si>
  <si>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</si>
  <si>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</si>
  <si>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</si>
  <si>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</si>
  <si>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</si>
  <si>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</si>
  <si>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</si>
  <si>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</si>
  <si>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</si>
  <si>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</si>
  <si>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</si>
  <si>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</si>
  <si>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</si>
  <si>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</si>
  <si>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</si>
  <si>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</si>
  <si>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</si>
  <si>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</si>
  <si>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</si>
  <si>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</si>
  <si>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</si>
  <si>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</si>
  <si>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</si>
  <si>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</si>
  <si>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</si>
  <si>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</si>
  <si>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</si>
  <si>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</si>
  <si>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</si>
  <si>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</si>
  <si>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</si>
  <si>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</si>
  <si>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</si>
  <si>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</si>
  <si>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</si>
  <si>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</si>
  <si>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</si>
  <si>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</si>
  <si>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</si>
  <si>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</si>
  <si>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</si>
  <si>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</si>
  <si>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</si>
  <si>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</si>
  <si>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</si>
  <si>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</si>
  <si>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</si>
  <si>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</si>
  <si>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</si>
  <si>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</si>
  <si>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</si>
  <si>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</si>
  <si>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</si>
  <si>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</si>
  <si>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</si>
  <si>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</si>
  <si>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</si>
  <si>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</si>
  <si>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</si>
  <si>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</si>
  <si>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</si>
  <si>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</si>
  <si>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</si>
  <si>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</si>
  <si>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</si>
  <si>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</si>
  <si>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</si>
  <si>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</si>
  <si>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</si>
  <si>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</si>
  <si>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</si>
  <si>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</si>
  <si>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</si>
  <si>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</si>
  <si>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</si>
  <si>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</si>
  <si>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</si>
  <si>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</si>
  <si>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</si>
  <si>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</si>
  <si>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</si>
  <si>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</si>
  <si>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</si>
  <si>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</si>
  <si>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</si>
  <si>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</si>
  <si>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</si>
  <si>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</si>
  <si>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</si>
  <si>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</si>
  <si>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</si>
  <si>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</si>
  <si>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</si>
  <si>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</si>
  <si>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</si>
  <si>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</si>
  <si>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</si>
  <si>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</si>
  <si>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</si>
  <si>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</si>
  <si>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</si>
  <si>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</si>
  <si>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</si>
  <si>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</si>
  <si>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</si>
  <si>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</si>
  <si>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</si>
  <si>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</si>
  <si>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</si>
  <si>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</si>
  <si>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</si>
  <si>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</si>
  <si>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</si>
  <si>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</si>
  <si>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</si>
  <si>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</si>
  <si>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</si>
  <si>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</si>
  <si>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</si>
  <si>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</si>
  <si>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</si>
  <si>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</si>
  <si>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</si>
  <si>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</si>
  <si>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</si>
  <si>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</si>
  <si>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</si>
  <si>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</si>
  <si>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</si>
  <si>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</si>
  <si>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</si>
  <si>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</si>
  <si>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</si>
  <si>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</si>
  <si>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</si>
  <si>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</si>
  <si>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</si>
  <si>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</si>
  <si>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</si>
  <si>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</si>
  <si>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</si>
  <si>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</si>
  <si>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</si>
  <si>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</si>
  <si>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</si>
  <si>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</si>
  <si>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</si>
  <si>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</si>
  <si>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</si>
  <si>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</si>
  <si>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</si>
  <si>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</si>
  <si>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</si>
  <si>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</si>
  <si>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</si>
  <si>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</si>
  <si>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</si>
  <si>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</si>
  <si>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</si>
  <si>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</si>
  <si>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</si>
  <si>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</si>
  <si>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</si>
  <si>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</si>
  <si>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</si>
  <si>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</si>
  <si>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</si>
  <si>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</si>
  <si>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</si>
  <si>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</si>
  <si>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</si>
  <si>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</si>
  <si>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</si>
  <si>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</si>
  <si>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</si>
  <si>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</si>
  <si>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</si>
  <si>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</si>
  <si>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</si>
  <si>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</si>
  <si>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</si>
  <si>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</si>
  <si>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</si>
  <si>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</si>
  <si>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</si>
  <si>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</si>
  <si>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</si>
  <si>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</si>
  <si>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</si>
  <si>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</si>
  <si>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</si>
  <si>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</si>
  <si>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</si>
  <si>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</si>
  <si>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</si>
  <si>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</si>
  <si>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</si>
  <si>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</si>
  <si>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</si>
  <si>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</si>
  <si>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</si>
  <si>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</si>
  <si>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</si>
  <si>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</si>
  <si>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</si>
  <si>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</si>
  <si>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</si>
  <si>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</si>
  <si>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</si>
  <si>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</si>
  <si>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</si>
  <si>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</si>
  <si>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</si>
  <si>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</si>
  <si>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</si>
  <si>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</si>
  <si>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</si>
  <si>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</si>
  <si>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</si>
  <si>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</si>
  <si>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</si>
  <si>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</si>
  <si>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</si>
  <si>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</si>
  <si>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</si>
  <si>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</si>
  <si>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</si>
  <si>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</si>
  <si>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</si>
  <si>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</si>
  <si>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</si>
  <si>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</si>
  <si>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</si>
  <si>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</si>
  <si>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</si>
  <si>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</si>
  <si>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</si>
  <si>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</si>
  <si>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</si>
  <si>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</si>
  <si>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</si>
  <si>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</si>
  <si>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</si>
  <si>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</si>
  <si>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</si>
  <si>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</si>
  <si>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</si>
  <si>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</si>
  <si>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</si>
  <si>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</si>
  <si>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</si>
  <si>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</si>
  <si>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</si>
  <si>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</si>
  <si>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</si>
  <si>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</si>
  <si>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</si>
  <si>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</si>
  <si>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</si>
  <si>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</si>
  <si>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</si>
  <si>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</si>
  <si>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</si>
  <si>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</si>
  <si>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</si>
  <si>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</si>
  <si>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</si>
  <si>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</si>
  <si>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</si>
  <si>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</si>
  <si>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</si>
  <si>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</si>
  <si>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</si>
  <si>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</si>
  <si>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</si>
  <si>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</si>
  <si>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</si>
  <si>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</si>
  <si>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</si>
  <si>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</si>
  <si>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</si>
  <si>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</si>
  <si>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</si>
  <si>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</si>
  <si>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</si>
  <si>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</si>
  <si>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</si>
  <si>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</si>
  <si>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</si>
  <si>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</si>
  <si>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</si>
  <si>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</si>
  <si>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</si>
  <si>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</si>
  <si>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</si>
  <si>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</si>
  <si>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</si>
  <si>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</si>
  <si>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</si>
  <si>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</si>
  <si>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</si>
  <si>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</si>
  <si>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</si>
  <si>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</si>
  <si>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</si>
  <si>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</si>
  <si>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</si>
  <si>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</si>
  <si>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</si>
  <si>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</si>
  <si>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</si>
  <si>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</si>
  <si>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</si>
  <si>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</si>
  <si>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</si>
  <si>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</si>
  <si>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</si>
  <si>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</si>
  <si>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</si>
  <si>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</si>
  <si>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</si>
  <si>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</si>
  <si>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</si>
  <si>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</si>
  <si>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</si>
  <si>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</si>
  <si>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</si>
  <si>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</si>
  <si>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</si>
  <si>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</si>
  <si>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</si>
  <si>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</si>
  <si>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</si>
  <si>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</si>
  <si>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</si>
  <si>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</si>
  <si>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</si>
  <si>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</si>
  <si>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</si>
  <si>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</si>
  <si>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</si>
  <si>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</si>
  <si>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</si>
  <si>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</si>
  <si>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</si>
  <si>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</si>
  <si>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</si>
  <si>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</si>
  <si>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</si>
  <si>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</si>
  <si>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</si>
  <si>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</si>
  <si>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</si>
  <si>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</si>
  <si>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</si>
  <si>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</si>
  <si>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</si>
  <si>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</si>
  <si>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</si>
  <si>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</si>
  <si>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</si>
  <si>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</si>
  <si>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</si>
  <si>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</si>
  <si>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</si>
  <si>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</si>
  <si>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</si>
  <si>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</si>
  <si>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</si>
  <si>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</si>
  <si>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</si>
  <si>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</si>
  <si>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</si>
  <si>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</si>
  <si>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</si>
  <si>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</si>
  <si>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</si>
  <si>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</si>
  <si>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</si>
  <si>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</si>
  <si>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</si>
  <si>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</si>
  <si>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</si>
  <si>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</si>
  <si>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</si>
  <si>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</si>
  <si>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</si>
  <si>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</si>
  <si>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</si>
  <si>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</si>
  <si>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</si>
  <si>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</si>
  <si>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</si>
  <si>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</si>
  <si>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</si>
  <si>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</si>
  <si>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</si>
  <si>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</si>
  <si>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</si>
  <si>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</si>
  <si>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</si>
  <si>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</si>
  <si>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</si>
  <si>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</si>
  <si>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</si>
  <si>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</si>
  <si>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</si>
  <si>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</si>
  <si>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</si>
  <si>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</si>
  <si>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</si>
  <si>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</si>
  <si>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</si>
  <si>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</si>
  <si>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</si>
  <si>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</si>
  <si>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</si>
  <si>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</si>
  <si>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</si>
  <si>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</si>
  <si>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</si>
  <si>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</si>
  <si>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</si>
  <si>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</si>
  <si>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</si>
  <si>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</si>
  <si>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</si>
  <si>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</si>
  <si>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</si>
  <si>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</si>
  <si>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</si>
  <si>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</si>
  <si>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</si>
  <si>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</si>
  <si>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</si>
  <si>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</si>
  <si>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</si>
  <si>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</si>
  <si>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</si>
  <si>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</si>
  <si>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</si>
  <si>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</si>
  <si>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</si>
  <si>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</si>
  <si>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</si>
  <si>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</si>
  <si>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</si>
  <si>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</si>
  <si>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</si>
  <si>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</si>
  <si>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</si>
  <si>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</si>
  <si>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</si>
  <si>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</si>
  <si>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</si>
  <si>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</si>
  <si>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</si>
  <si>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</si>
  <si>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</si>
  <si>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</si>
  <si>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</si>
  <si>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</si>
  <si>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</si>
  <si>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</si>
  <si>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</si>
  <si>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</si>
  <si>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</si>
  <si>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</si>
  <si>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</si>
  <si>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</si>
  <si>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</si>
  <si>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</si>
  <si>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</si>
  <si>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</si>
  <si>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</si>
  <si>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</si>
  <si>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</si>
  <si>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</si>
  <si>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</si>
  <si>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</si>
  <si>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</si>
  <si>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</si>
  <si>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</si>
  <si>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</si>
  <si>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</si>
  <si>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</si>
  <si>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</si>
  <si>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</si>
  <si>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</si>
  <si>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</si>
  <si>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</si>
  <si>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</si>
  <si>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</si>
  <si>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</si>
  <si>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</si>
  <si>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</si>
  <si>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</si>
  <si>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</si>
  <si>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</si>
  <si>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</si>
  <si>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</si>
  <si>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</si>
  <si>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</si>
  <si>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</si>
  <si>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</si>
  <si>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</si>
  <si>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</si>
  <si>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</si>
  <si>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</si>
  <si>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</si>
  <si>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</si>
  <si>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</si>
  <si>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</si>
  <si>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</si>
  <si>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</si>
  <si>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</si>
  <si>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</si>
  <si>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</si>
  <si>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</si>
  <si>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</si>
  <si>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</si>
  <si>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</si>
  <si>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</si>
  <si>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</si>
  <si>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</si>
  <si>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</si>
  <si>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</si>
  <si>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</si>
  <si>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</si>
  <si>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</si>
  <si>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</si>
  <si>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</si>
  <si>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</si>
  <si>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</si>
  <si>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</si>
  <si>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</si>
  <si>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</si>
  <si>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</si>
  <si>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</si>
  <si>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</si>
  <si>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</si>
  <si>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</si>
  <si>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</si>
  <si>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</si>
  <si>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</si>
  <si>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</si>
  <si>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</si>
  <si>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</si>
  <si>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</si>
  <si>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</si>
  <si>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</si>
  <si>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</si>
  <si>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</si>
  <si>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</si>
  <si>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</si>
  <si>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</si>
  <si>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</si>
  <si>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</si>
  <si>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</si>
  <si>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</si>
  <si>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</si>
  <si>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</si>
  <si>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</si>
  <si>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</si>
  <si>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</si>
  <si>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</si>
  <si>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</si>
  <si>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</si>
  <si>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</si>
  <si>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</si>
  <si>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</si>
  <si>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</si>
  <si>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</si>
  <si>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</si>
  <si>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</si>
  <si>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</si>
  <si>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</si>
  <si>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</si>
  <si>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</si>
  <si>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</si>
  <si>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</si>
  <si>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</si>
  <si>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</si>
  <si>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</si>
  <si>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</si>
  <si>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</si>
  <si>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</si>
  <si>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</si>
  <si>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</si>
  <si>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</si>
  <si>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</si>
  <si>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</si>
  <si>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</si>
  <si>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</si>
  <si>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</si>
  <si>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</si>
  <si>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</si>
  <si>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</si>
  <si>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</si>
  <si>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</si>
  <si>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</si>
  <si>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</si>
  <si>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</si>
  <si>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</si>
  <si>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</si>
  <si>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</si>
  <si>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</si>
  <si>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</si>
  <si>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</si>
  <si>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</si>
  <si>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</si>
  <si>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</si>
  <si>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</si>
  <si>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</si>
  <si>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</si>
  <si>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</si>
  <si>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</si>
  <si>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</si>
  <si>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</si>
  <si>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</si>
  <si>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</si>
  <si>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</si>
  <si>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</si>
  <si>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</si>
  <si>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</si>
  <si>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</si>
  <si>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</si>
  <si>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</si>
  <si>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</si>
  <si>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</si>
  <si>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</si>
  <si>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</si>
  <si>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</si>
  <si>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</si>
  <si>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</si>
  <si>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</si>
  <si>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</si>
  <si>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</si>
  <si>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</si>
  <si>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</si>
  <si>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</si>
  <si>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</si>
  <si>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</si>
  <si>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</si>
  <si>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</si>
  <si>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</si>
  <si>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</si>
  <si>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</si>
  <si>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</si>
  <si>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</si>
  <si>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</si>
  <si>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</si>
  <si>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</si>
  <si>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</si>
  <si>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</si>
  <si>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</si>
  <si>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</si>
  <si>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</si>
  <si>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</si>
  <si>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</si>
  <si>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</si>
  <si>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</si>
  <si>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</si>
  <si>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</si>
  <si>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</si>
  <si>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</si>
  <si>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</si>
  <si>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</si>
  <si>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</si>
  <si>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</si>
  <si>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</si>
  <si>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</si>
  <si>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</si>
  <si>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</si>
  <si>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</si>
  <si>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</si>
  <si>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</si>
  <si>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</si>
  <si>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</si>
  <si>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</si>
  <si>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</si>
  <si>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</si>
  <si>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</si>
  <si>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</si>
  <si>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</si>
  <si>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</si>
  <si>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</si>
  <si>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</si>
  <si>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</si>
  <si>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</si>
  <si>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</si>
  <si>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</si>
  <si>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</si>
  <si>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</si>
  <si>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</si>
  <si>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</si>
  <si>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</si>
  <si>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</si>
  <si>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</si>
  <si>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</si>
  <si>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</si>
  <si>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</si>
  <si>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</si>
  <si>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</si>
  <si>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</si>
  <si>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</si>
  <si>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</si>
  <si>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</si>
  <si>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</si>
  <si>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</si>
  <si>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</si>
  <si>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</si>
  <si>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</si>
  <si>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</si>
  <si>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</si>
  <si>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</si>
  <si>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</si>
  <si>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</si>
  <si>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</si>
  <si>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</si>
  <si>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</si>
  <si>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</si>
  <si>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</si>
  <si>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</si>
  <si>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</si>
  <si>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</si>
  <si>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</si>
  <si>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</si>
  <si>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</si>
  <si>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</si>
  <si>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</si>
  <si>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</si>
  <si>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</si>
  <si>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</si>
  <si>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</si>
  <si>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</si>
  <si>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</si>
  <si>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</si>
  <si>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</si>
  <si>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</si>
  <si>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</si>
  <si>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</si>
  <si>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</si>
  <si>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</si>
  <si>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</si>
  <si>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</si>
  <si>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</si>
  <si>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</si>
  <si>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</si>
  <si>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</si>
  <si>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</si>
  <si>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</si>
  <si>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</si>
  <si>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</si>
  <si>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</si>
  <si>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</si>
  <si>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</si>
  <si>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</si>
  <si>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</si>
  <si>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</si>
  <si>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</si>
  <si>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</si>
  <si>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</si>
  <si>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</si>
  <si>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</si>
  <si>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</si>
  <si>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</si>
  <si>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</si>
  <si>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</si>
  <si>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</si>
  <si>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</si>
  <si>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</si>
  <si>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</si>
  <si>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</si>
  <si>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</si>
  <si>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</si>
  <si>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</si>
  <si>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</si>
  <si>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</si>
  <si>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</si>
  <si>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</si>
  <si>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</si>
  <si>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</si>
  <si>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</si>
  <si>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</si>
  <si>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</si>
  <si>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</si>
  <si>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</si>
  <si>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</si>
  <si>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</si>
  <si>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</si>
  <si>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</si>
  <si>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</si>
  <si>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</si>
  <si>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</si>
  <si>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</si>
  <si>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</si>
  <si>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</si>
  <si>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</si>
  <si>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</si>
  <si>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</si>
  <si>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</si>
  <si>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</si>
  <si>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</si>
  <si>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</si>
  <si>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</si>
  <si>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</si>
  <si>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</si>
  <si>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</si>
  <si>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</si>
  <si>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</si>
  <si>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</si>
  <si>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</si>
  <si>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</si>
  <si>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</si>
  <si>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</si>
  <si>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</si>
  <si>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</si>
  <si>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</si>
  <si>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</si>
  <si>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</si>
  <si>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</si>
  <si>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</si>
  <si>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</si>
  <si>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</si>
  <si>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</si>
  <si>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</si>
  <si>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</si>
  <si>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</si>
  <si>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</si>
  <si>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</si>
  <si>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</si>
  <si>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</si>
  <si>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</si>
  <si>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</si>
  <si>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</si>
  <si>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</si>
  <si>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</si>
  <si>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</si>
  <si>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</si>
  <si>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</si>
  <si>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</si>
  <si>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</si>
  <si>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</si>
  <si>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</si>
  <si>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</si>
  <si>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</si>
  <si>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</si>
  <si>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</si>
  <si>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</si>
  <si>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</si>
  <si>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</si>
  <si>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</si>
  <si>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</si>
  <si>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</si>
  <si>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</si>
  <si>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</si>
  <si>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</si>
  <si>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</si>
  <si>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</si>
  <si>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</si>
  <si>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</si>
  <si>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</si>
  <si>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</si>
  <si>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</si>
  <si>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</si>
  <si>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</si>
  <si>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</si>
  <si>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</si>
  <si>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</si>
  <si>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</si>
  <si>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</si>
  <si>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</si>
  <si>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</si>
  <si>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</si>
  <si>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</si>
  <si>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</si>
  <si>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</si>
  <si>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</si>
  <si>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</si>
  <si>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</si>
  <si>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</si>
  <si>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</si>
  <si>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</si>
  <si>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</si>
  <si>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</si>
  <si>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</si>
  <si>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</si>
  <si>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</si>
  <si>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</si>
  <si>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</si>
  <si>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</si>
  <si>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</si>
  <si>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</si>
  <si>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</si>
  <si>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</si>
  <si>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</si>
  <si>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</si>
  <si>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</si>
  <si>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</si>
  <si>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</si>
  <si>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</si>
  <si>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</si>
  <si>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</si>
  <si>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</si>
  <si>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</si>
  <si>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</si>
  <si>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</si>
  <si>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</si>
  <si>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</si>
  <si>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</si>
  <si>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</si>
  <si>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</si>
  <si>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</si>
  <si>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</si>
  <si>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</si>
  <si>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</si>
  <si>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</si>
  <si>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</si>
  <si>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</si>
  <si>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</si>
  <si>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</si>
  <si>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</si>
  <si>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</si>
  <si>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</si>
  <si>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</si>
  <si>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</si>
  <si>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</si>
  <si>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</si>
  <si>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</si>
  <si>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</si>
  <si>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</si>
  <si>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</si>
  <si>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</si>
  <si>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</si>
  <si>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</si>
  <si>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</si>
  <si>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</si>
  <si>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</si>
  <si>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</si>
  <si>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</si>
  <si>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</si>
  <si>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</si>
  <si>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</si>
  <si>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</si>
  <si>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</si>
  <si>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</si>
  <si>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</si>
  <si>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</si>
  <si>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</si>
  <si>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</si>
  <si>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</si>
  <si>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</si>
  <si>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</si>
  <si>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</si>
  <si>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</si>
  <si>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</si>
  <si>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</si>
  <si>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</si>
  <si>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</si>
  <si>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</si>
  <si>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</si>
  <si>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</si>
  <si>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</si>
  <si>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</si>
  <si>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</si>
  <si>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</si>
  <si>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</si>
  <si>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</si>
  <si>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</si>
  <si>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</si>
  <si>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</si>
  <si>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</si>
  <si>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</si>
  <si>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</si>
  <si>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</si>
  <si>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</si>
  <si>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</si>
  <si>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</si>
  <si>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</si>
  <si>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</si>
  <si>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</si>
  <si>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</si>
  <si>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</si>
  <si>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</si>
  <si>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</si>
  <si>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</si>
  <si>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</si>
  <si>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</si>
  <si>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</si>
  <si>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</si>
  <si>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</si>
  <si>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</si>
  <si>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</si>
  <si>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</si>
  <si>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</si>
  <si>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</si>
  <si>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</si>
  <si>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</si>
  <si>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</si>
  <si>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</si>
  <si>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</si>
  <si>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</si>
  <si>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</si>
  <si>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</si>
  <si>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</si>
  <si>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</si>
  <si>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</si>
  <si>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</si>
  <si>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</si>
  <si>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</si>
  <si>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</si>
  <si>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</si>
  <si>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</si>
  <si>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</si>
  <si>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</si>
  <si>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</si>
  <si>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</si>
  <si>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</si>
  <si>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</si>
  <si>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</si>
  <si>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</si>
  <si>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</si>
  <si>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</si>
  <si>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</si>
  <si>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</si>
  <si>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</si>
  <si>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</si>
  <si>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</si>
  <si>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</si>
  <si>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</si>
  <si>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</si>
  <si>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</si>
  <si>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</si>
  <si>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</si>
  <si>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</si>
  <si>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</si>
  <si>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</si>
  <si>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</si>
  <si>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</si>
  <si>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</si>
  <si>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</si>
  <si>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</si>
  <si>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</si>
  <si>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</si>
  <si>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</si>
  <si>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</si>
  <si>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</si>
  <si>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</si>
  <si>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</si>
  <si>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</si>
  <si>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</si>
  <si>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</si>
  <si>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</si>
  <si>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</si>
  <si>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</si>
  <si>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</si>
  <si>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</si>
  <si>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</si>
  <si>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</si>
  <si>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</si>
  <si>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</si>
  <si>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</si>
  <si>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</si>
  <si>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</si>
  <si>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</si>
  <si>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</si>
  <si>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</si>
  <si>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</si>
  <si>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</si>
  <si>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</si>
  <si>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</si>
  <si>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</si>
  <si>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</si>
  <si>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</si>
  <si>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</si>
  <si>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</si>
  <si>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</si>
  <si>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</si>
  <si>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</si>
  <si>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</si>
  <si>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</si>
  <si>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</si>
  <si>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</si>
  <si>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</si>
  <si>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</si>
  <si>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</si>
  <si>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</si>
  <si>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</si>
  <si>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</si>
  <si>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</si>
  <si>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</si>
  <si>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</si>
  <si>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</si>
  <si>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</si>
  <si>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</si>
  <si>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</si>
  <si>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</si>
  <si>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</si>
  <si>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</si>
  <si>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</si>
  <si>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</si>
  <si>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</si>
  <si>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</si>
  <si>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</si>
  <si>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</si>
  <si>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</si>
  <si>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</si>
  <si>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</si>
  <si>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</si>
  <si>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</si>
  <si>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</si>
  <si>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</si>
  <si>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</si>
  <si>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</si>
  <si>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</si>
  <si>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</si>
  <si>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</si>
  <si>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</si>
  <si>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</si>
  <si>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</si>
  <si>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</si>
  <si>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</si>
  <si>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</si>
  <si>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</si>
  <si>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</si>
  <si>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</si>
  <si>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</si>
  <si>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</si>
  <si>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</si>
  <si>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</si>
  <si>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</si>
  <si>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</si>
  <si>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</si>
  <si>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</si>
  <si>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</si>
  <si>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</si>
  <si>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</si>
  <si>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</si>
  <si>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</si>
  <si>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</si>
  <si>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</si>
  <si>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</si>
  <si>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</si>
  <si>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</si>
  <si>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</si>
  <si>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</si>
  <si>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</si>
  <si>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</si>
  <si>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</si>
  <si>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</si>
  <si>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</si>
  <si>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</si>
  <si>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</si>
  <si>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</si>
  <si>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</si>
  <si>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</si>
  <si>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</si>
  <si>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</si>
  <si>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</si>
  <si>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</si>
  <si>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</si>
  <si>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</si>
  <si>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</si>
  <si>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</si>
  <si>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</si>
  <si>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</si>
  <si>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</si>
  <si>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</si>
  <si>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</si>
  <si>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</si>
  <si>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</si>
  <si>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</si>
  <si>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</si>
  <si>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</si>
  <si>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</si>
  <si>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</si>
  <si>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</si>
  <si>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</si>
  <si>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</si>
  <si>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</si>
  <si>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</si>
  <si>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</si>
  <si>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</si>
  <si>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</si>
  <si>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</si>
  <si>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</si>
  <si>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</si>
  <si>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</si>
  <si>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</si>
  <si>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</si>
  <si>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</si>
  <si>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</si>
  <si>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</si>
  <si>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</si>
  <si>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</si>
  <si>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</si>
  <si>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</si>
  <si>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</si>
  <si>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</si>
  <si>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</si>
  <si>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</si>
  <si>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</si>
  <si>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</si>
  <si>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</si>
  <si>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</si>
  <si>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</si>
  <si>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</si>
  <si>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</si>
  <si>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</si>
  <si>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</si>
  <si>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</si>
  <si>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</si>
  <si>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</si>
  <si>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</si>
  <si>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</si>
  <si>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</si>
  <si>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</si>
  <si>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</si>
  <si>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</si>
  <si>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</si>
  <si>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</si>
  <si>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</si>
  <si>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</si>
  <si>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</si>
  <si>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</si>
  <si>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</si>
  <si>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</si>
  <si>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</si>
  <si>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</si>
  <si>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</si>
  <si>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</si>
  <si>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</si>
  <si>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</si>
  <si>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</si>
  <si>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</si>
  <si>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</si>
  <si>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</si>
  <si>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</si>
  <si>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</si>
  <si>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</si>
  <si>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</si>
  <si>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</si>
  <si>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</si>
  <si>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</si>
  <si>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</si>
  <si>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</si>
  <si>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</si>
  <si>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</si>
  <si>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</si>
  <si>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</si>
  <si>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</si>
  <si>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</si>
  <si>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</si>
  <si>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</si>
  <si>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</si>
  <si>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</si>
  <si>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</si>
  <si>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</si>
  <si>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</si>
  <si>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</si>
  <si>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</si>
  <si>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</si>
  <si>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</si>
  <si>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</si>
  <si>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</si>
  <si>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</si>
  <si>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</si>
  <si>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</si>
  <si>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</si>
  <si>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</si>
  <si>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</si>
  <si>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</si>
  <si>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</si>
  <si>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</si>
  <si>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</si>
  <si>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</si>
  <si>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</si>
  <si>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</si>
  <si>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</si>
  <si>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</si>
  <si>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</si>
  <si>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</si>
  <si>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</si>
  <si>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</si>
  <si>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</si>
  <si>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</si>
  <si>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</si>
  <si>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</si>
  <si>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</si>
  <si>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</si>
  <si>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</si>
  <si>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</si>
  <si>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</si>
  <si>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</si>
  <si>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</si>
  <si>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</si>
  <si>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</si>
  <si>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</si>
  <si>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</si>
  <si>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</si>
  <si>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</si>
  <si>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</si>
  <si>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</si>
  <si>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</si>
  <si>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</si>
  <si>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</si>
  <si>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</si>
  <si>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</si>
  <si>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</si>
  <si>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</si>
  <si>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</si>
  <si>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</si>
  <si>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</si>
  <si>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</si>
  <si>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</si>
  <si>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</si>
  <si>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</si>
  <si>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</si>
  <si>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</si>
  <si>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</si>
  <si>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</si>
  <si>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</si>
  <si>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</si>
  <si>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</si>
  <si>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</si>
  <si>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</si>
  <si>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</si>
  <si>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</si>
  <si>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</si>
  <si>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</si>
  <si>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</si>
  <si>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</si>
  <si>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</si>
  <si>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</si>
  <si>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</si>
  <si>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</si>
  <si>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</si>
  <si>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</si>
  <si>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</si>
  <si>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</si>
  <si>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</si>
  <si>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</si>
  <si>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</si>
  <si>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</si>
  <si>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</si>
  <si>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</si>
  <si>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</si>
  <si>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</si>
  <si>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</si>
  <si>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</si>
  <si>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Seven new catalog functions under the Back-Transformation subcategory (Smearing_Factor, Back_Transform_Response, Unit_Space_Predictions,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</si>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</sst>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xf numFmtId="0" fontId="0" fillId="0" borderId="2" xfId="0" applyBorder="1" applyAlignment="1">
      <alignment wrapText="1"/>
    </xf>
    <xf numFmtId="0" fontId="0" fillId="0" borderId="3" xfId="0" applyBorder="1" applyAlignment="1">
      <alignment wrapText="1"/>
    </xf>
    <xf numFmtId="0" fontId="0" fillId="0" borderId="5" xfId="0" applyBorder="1" applyAlignment="1">
      <alignment wrapText="1"/>
    </xf>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ED2F-4C3E-A802-8223F32B6A68}"/>
            </c:ext>
          </c:extLst>
        </c:ser>
        <c:dLbls>
          <c:showLegendKey val="0"/>
          <c:showVal val="0"/>
          <c:showCatName val="0"/>
          <c:showSerName val="0"/>
          <c:showPercent val="0"/>
          <c:showBubbleSize val="0"/>
        </c:dLbls>
        <c:axId val="2031841360"/>
        <c:axId val="1864424048"/>
      </c:scatterChart>
      <c:valAx>
        <c:axId val="2031841360"/>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864424048"/>
        <c:crosses val="autoZero"/>
        <c:crossBetween val="midCat"/>
      </c:valAx>
      <c:valAx>
        <c:axId val="1864424048"/>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20318413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02F2-488D-9A55-A772527AC4D4}"/>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02F2-488D-9A55-A772527AC4D4}"/>
            </c:ext>
          </c:extLst>
        </c:ser>
        <c:dLbls>
          <c:showLegendKey val="0"/>
          <c:showVal val="0"/>
          <c:showCatName val="0"/>
          <c:showSerName val="0"/>
          <c:showPercent val="0"/>
          <c:showBubbleSize val="0"/>
        </c:dLbls>
        <c:axId val="1570254160"/>
        <c:axId val="1864448048"/>
      </c:scatterChart>
      <c:valAx>
        <c:axId val="1570254160"/>
        <c:scaling>
          <c:orientation val="minMax"/>
          <c:max val="4.2007262122566909"/>
          <c:min val="-3.4516826175693711"/>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864448048"/>
        <c:crosses val="autoZero"/>
        <c:crossBetween val="midCat"/>
      </c:valAx>
      <c:valAx>
        <c:axId val="1864448048"/>
        <c:scaling>
          <c:orientation val="minMax"/>
          <c:max val="4.2007262122566909"/>
          <c:min val="-3.4516826175693711"/>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5702541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39CC-49D2-AB10-D82259B1097C}"/>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39CC-49D2-AB10-D82259B1097C}"/>
            </c:ext>
          </c:extLst>
        </c:ser>
        <c:dLbls>
          <c:showLegendKey val="0"/>
          <c:showVal val="0"/>
          <c:showCatName val="0"/>
          <c:showSerName val="0"/>
          <c:showPercent val="0"/>
          <c:showBubbleSize val="0"/>
        </c:dLbls>
        <c:axId val="1871649664"/>
        <c:axId val="1864445168"/>
      </c:scatterChart>
      <c:valAx>
        <c:axId val="1871649664"/>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864445168"/>
        <c:crosses val="autoZero"/>
        <c:crossBetween val="midCat"/>
      </c:valAx>
      <c:valAx>
        <c:axId val="1864445168"/>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8716496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4DD4-4F0E-84C5-6A62E03F4823}"/>
            </c:ext>
          </c:extLst>
        </c:ser>
        <c:dLbls>
          <c:showLegendKey val="0"/>
          <c:showVal val="0"/>
          <c:showCatName val="0"/>
          <c:showSerName val="0"/>
          <c:showPercent val="0"/>
          <c:showBubbleSize val="0"/>
        </c:dLbls>
        <c:axId val="1573408000"/>
        <c:axId val="1864443248"/>
      </c:scatterChart>
      <c:valAx>
        <c:axId val="1573408000"/>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864443248"/>
        <c:crosses val="autoZero"/>
        <c:crossBetween val="midCat"/>
      </c:valAx>
      <c:valAx>
        <c:axId val="1864443248"/>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57340800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8BEF-4B2B-9FA8-DF50F7AC1801}"/>
            </c:ext>
          </c:extLst>
        </c:ser>
        <c:dLbls>
          <c:showLegendKey val="0"/>
          <c:showVal val="0"/>
          <c:showCatName val="0"/>
          <c:showSerName val="0"/>
          <c:showPercent val="0"/>
          <c:showBubbleSize val="0"/>
        </c:dLbls>
        <c:gapWidth val="150"/>
        <c:axId val="2043530496"/>
        <c:axId val="1864467248"/>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8BEF-4B2B-9FA8-DF50F7AC1801}"/>
            </c:ext>
          </c:extLst>
        </c:ser>
        <c:dLbls>
          <c:showLegendKey val="0"/>
          <c:showVal val="0"/>
          <c:showCatName val="0"/>
          <c:showSerName val="0"/>
          <c:showPercent val="0"/>
          <c:showBubbleSize val="0"/>
        </c:dLbls>
        <c:marker val="1"/>
        <c:smooth val="0"/>
        <c:axId val="2043530496"/>
        <c:axId val="1864467248"/>
      </c:lineChart>
      <c:catAx>
        <c:axId val="2043530496"/>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864467248"/>
        <c:crosses val="autoZero"/>
        <c:auto val="1"/>
        <c:lblAlgn val="ctr"/>
        <c:lblOffset val="100"/>
        <c:noMultiLvlLbl val="0"/>
      </c:catAx>
      <c:valAx>
        <c:axId val="1864467248"/>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204353049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4503-4DB2-9398-AEC2437426C9}"/>
            </c:ext>
          </c:extLst>
        </c:ser>
        <c:dLbls>
          <c:showLegendKey val="0"/>
          <c:showVal val="0"/>
          <c:showCatName val="0"/>
          <c:showSerName val="0"/>
          <c:showPercent val="0"/>
          <c:showBubbleSize val="0"/>
        </c:dLbls>
        <c:axId val="2043528176"/>
        <c:axId val="1864459088"/>
      </c:scatterChart>
      <c:valAx>
        <c:axId val="2043528176"/>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864459088"/>
        <c:crosses val="autoZero"/>
        <c:crossBetween val="midCat"/>
      </c:valAx>
      <c:valAx>
        <c:axId val="1864459088"/>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20435281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A6CC-4F92-8059-C2C3EDDF8814}"/>
            </c:ext>
          </c:extLst>
        </c:ser>
        <c:dLbls>
          <c:showLegendKey val="0"/>
          <c:showVal val="0"/>
          <c:showCatName val="0"/>
          <c:showSerName val="0"/>
          <c:showPercent val="0"/>
          <c:showBubbleSize val="0"/>
        </c:dLbls>
        <c:gapWidth val="150"/>
        <c:axId val="2043527248"/>
        <c:axId val="1864478288"/>
      </c:barChart>
      <c:catAx>
        <c:axId val="2043527248"/>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864478288"/>
        <c:crosses val="autoZero"/>
        <c:auto val="1"/>
        <c:lblAlgn val="ctr"/>
        <c:lblOffset val="100"/>
        <c:noMultiLvlLbl val="0"/>
      </c:catAx>
      <c:valAx>
        <c:axId val="1864478288"/>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204352724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8AC13EDC-3E2B-58B2-B80A-6616E11CDE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9882B463-988C-83FC-1AE6-A0F427DC26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2860BF1C-D2D0-F812-D1DE-C258EE3193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6428867E-80E1-1FC8-83E9-D421864B4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1BB4715B-D1B3-E551-4157-2995CF4EFC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AE2AE997-FEBD-C63F-2286-3761630B53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3F3C0772-6885-39B1-B1CA-8B6B02A0D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709204-8997-4BA6-8590-A982C73EFEE7}" name="MileageData" displayName="MileageData" ref="A1:L407" totalsRowShown="0">
  <autoFilter ref="A1:L407" xr:uid="{18709204-8997-4BA6-8590-A982C73EFEE7}"/>
  <tableColumns count="12">
    <tableColumn id="1" xr3:uid="{485B7E57-6E1A-4313-9309-FAE86CC28D7B}" name="MPG"/>
    <tableColumn id="2" xr3:uid="{92D0554A-09CC-4798-A4DD-E3673E25203C}" name="Cylinders"/>
    <tableColumn id="3" xr3:uid="{59A5266A-EE2C-4582-8091-E9CA6971036B}" name="Displacement"/>
    <tableColumn id="4" xr3:uid="{20293C7D-57CF-4485-884C-22F43BD8042E}" name="Horsepower"/>
    <tableColumn id="5" xr3:uid="{3F7F58A4-CF40-48C3-B15F-C4B9B6B8A368}" name="Weight"/>
    <tableColumn id="6" xr3:uid="{10928008-5641-43E3-B6F3-2ECF57ADED8E}" name="Acceleration"/>
    <tableColumn id="7" xr3:uid="{0237621A-074E-4808-9B35-834ED56F72A1}" name="Model Year"/>
    <tableColumn id="8" xr3:uid="{AEB898CD-0717-4129-BA9A-7AED1CB03476}" name="Origin"/>
    <tableColumn id="9" xr3:uid="{953445C4-55DE-4B8B-A17E-791A1FDB1733}" name="Car Name"/>
    <tableColumn id="10" xr3:uid="{FC83797D-00F2-4582-A39E-C7C9BE87FABD}" name="Make"/>
    <tableColumn id="11" xr3:uid="{EB3572A4-4DA8-4ACB-990A-E62FD72FA322}" name="Model?"/>
    <tableColumn id="12" xr3:uid="{509BB345-954C-4BCB-A415-08A03CC0C711}"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3F9C8D-87F1-4E13-A63B-4AB6DE1F247A}" name="LifeExpectancyData" displayName="LifeExpectancyData" ref="A1:W2939" totalsRowShown="0">
  <autoFilter ref="A1:W2939" xr:uid="{2E3F9C8D-87F1-4E13-A63B-4AB6DE1F247A}"/>
  <tableColumns count="23">
    <tableColumn id="1" xr3:uid="{37B07928-B81B-48B2-A346-413BE07802C4}" name="Country"/>
    <tableColumn id="2" xr3:uid="{FB2770B9-C993-45AA-ABBC-B18EF589BDA9}" name="Year"/>
    <tableColumn id="3" xr3:uid="{E36FD12C-4191-4920-B49D-11E8A391789A}" name="Status"/>
    <tableColumn id="4" xr3:uid="{3A57ED60-4C66-4026-A7E9-8D0F77B17DF4}" name="Life expectancy"/>
    <tableColumn id="5" xr3:uid="{CD0CD730-B2D9-4FF1-9977-AB35E416D3FB}" name="Adult Mortality"/>
    <tableColumn id="6" xr3:uid="{36E9221A-B02F-44BB-BA05-FAE1E905BD5A}" name="infant deaths"/>
    <tableColumn id="7" xr3:uid="{CBA3E98D-5984-4E1C-B15E-57D8997A215F}" name="Alcohol"/>
    <tableColumn id="8" xr3:uid="{72BA57CF-45B8-479C-9658-12FDE1317F74}" name="percentage expenditure"/>
    <tableColumn id="9" xr3:uid="{03C8916D-17EC-4367-AEEA-20F2E7A8C605}" name="Hepatitis B"/>
    <tableColumn id="10" xr3:uid="{F24ADE24-60F5-49FA-893B-90D555569852}" name="Measles"/>
    <tableColumn id="11" xr3:uid="{B1CF9118-5A51-438A-B625-696860398AC8}" name="BMI"/>
    <tableColumn id="12" xr3:uid="{BC13A909-B146-4D7B-9741-65D975B6BDFE}" name="under-five deaths"/>
    <tableColumn id="13" xr3:uid="{B7781EE5-CDA3-4B36-BF32-B9AC12854A8B}" name="Polio"/>
    <tableColumn id="14" xr3:uid="{8A40AF68-D0A8-4D33-9AEF-C75CFC00BBFE}" name="Total expenditure"/>
    <tableColumn id="15" xr3:uid="{7D7ACD00-B8A6-4B6D-80D4-52A55202CF9C}" name="Diphtheria"/>
    <tableColumn id="16" xr3:uid="{663A3A88-5751-4ED2-AB61-447DEAAEF4F8}" name="HIV/AIDS"/>
    <tableColumn id="17" xr3:uid="{13D93D2D-AEE0-4CF1-AB5F-4C40BF5AB791}" name="GDP"/>
    <tableColumn id="18" xr3:uid="{AAF38101-59DE-4CB4-968A-1CA9166F48BE}" name="Population"/>
    <tableColumn id="19" xr3:uid="{B696FCEA-D4AF-4BDA-944C-1A2FD22AADD1}" name="thinness 1-19 years"/>
    <tableColumn id="20" xr3:uid="{D1D4A3AA-C925-4ACE-8BAF-C472B9A6F8CB}" name="thinness 5-9 years"/>
    <tableColumn id="21" xr3:uid="{EAA1BA72-10BA-4E2D-8F3E-AE00263CFFB8}" name="Income composition of resources"/>
    <tableColumn id="22" xr3:uid="{42B8B277-0C8E-4114-A70C-72A8FE2CCCD8}" name="Schooling"/>
    <tableColumn id="23" xr3:uid="{939A5239-0598-46FA-93FA-119CEF593D83}"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6574DAB-25CE-434B-986D-A57E0CB27B98}" name="ProductionLotsData" displayName="ProductionLotsData" ref="A1:K52" totalsRowShown="0">
  <autoFilter ref="A1:K52" xr:uid="{A6574DAB-25CE-434B-986D-A57E0CB27B98}"/>
  <tableColumns count="11">
    <tableColumn id="1" xr3:uid="{08C05CEC-50DD-417C-AF0D-B8D96588596D}" name="Lot_ID"/>
    <tableColumn id="2" xr3:uid="{725B211D-7AE0-4592-AB98-53ADFBED2679}" name="Facility"/>
    <tableColumn id="3" xr3:uid="{D7C9E259-ABC8-4930-B08A-CF858B6BCD2F}" name="Fiscal_Year"/>
    <tableColumn id="4" xr3:uid="{547B7FEC-88FF-4768-BDF5-6FFCD5F4A79A}" name="Lot_Quantity"/>
    <tableColumn id="5" xr3:uid="{73059893-F3BE-4CF1-A40B-72F4FC08057B}" name="Cumulative_Units"/>
    <tableColumn id="6" xr3:uid="{70BB8A7C-54C6-47C6-90D1-CF8A13EA5B26}" name="Experience_Stock"/>
    <tableColumn id="7" xr3:uid="{EFD36D77-D8B8-4676-B2EF-970DD0FDB9CF}" name="Unit_Cost_BY"/>
    <tableColumn id="8" xr3:uid="{01D67AC2-1FE3-4E71-AE16-6AE12BCE8D31}" name="log Cum Units"/>
    <tableColumn id="9" xr3:uid="{C2A69E48-C96A-4BF1-B8B5-AB3B606615C4}" name="log experience"/>
    <tableColumn id="10" xr3:uid="{B7EF4D3A-EA12-43CD-85DF-E9307F87EFC1}" name="log Unit Cost"/>
    <tableColumn id="11" xr3:uid="{2E2FA171-7EB7-4FC9-ACD3-80F86A6B9C29}"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E06B116-1C39-4776-8FAA-866125CEC968}" name="SpecTable" displayName="SpecTable" ref="B3:O15" totalsRowShown="0" headerRowDxfId="60">
  <autoFilter ref="B3:O15" xr:uid="{CE06B116-1C39-4776-8FAA-866125CEC968}"/>
  <tableColumns count="14">
    <tableColumn id="1" xr3:uid="{960C35DA-4445-44A3-A3FA-5502FEBAE78E}" name="Role"/>
    <tableColumn id="2" xr3:uid="{8BCC48A2-F167-4ABB-B8D5-2150422B1DF1}" name="Include"/>
    <tableColumn id="3" xr3:uid="{47DA3658-98B2-452A-94EF-4DDB3DB99A83}" name="Type"/>
    <tableColumn id="4" xr3:uid="{F787FA00-60F6-4BC6-ADEC-107694905C6B}" name="Reference Level"/>
    <tableColumn id="5" xr3:uid="{63BEBB32-F45F-4813-A649-A01CC62BE43F}" name="Order"/>
    <tableColumn id="6" xr3:uid="{05B71AEF-EC87-4CE0-964E-7996CB9724EF}" name="Transform"/>
    <tableColumn id="7" xr3:uid="{5A90A97E-FCB1-4F7A-804A-89F23CD66704}" name="Sequence"/>
    <tableColumn id="8" xr3:uid="{F0F5C7DB-CD9F-4333-9F40-2B58E5F140C1}" name="Sequence Period"/>
    <tableColumn id="9" xr3:uid="{89502F4C-2DB2-4B1E-B43F-56F4D17E94BD}" name="Period In Use" dataDxfId="59">
      <calculatedColumnFormula>IF(SpecTable[[#This Row],[Sequence]]&lt;&gt;TRUE,"",IF(N(SpecTable[[#This Row],[Sequence Period]])&lt;&gt;0,SpecTable[[#This Row],[Sequence Period]],IFERROR(Base_Period_Delta_Candidate(),"")))</calculatedColumnFormula>
    </tableColumn>
    <tableColumn id="10" xr3:uid="{815CA463-A5C6-442E-812A-F863FC0F9205}"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B8DE00E8-79A1-4890-9BAE-FA65CFDB2C72}"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A6F0D296-2C80-4DEA-8B8D-787BCC5F6B5B}" name="Interaction Term"/>
    <tableColumn id="13" xr3:uid="{A8E12BE3-2286-498E-B3E5-40F1872CBA40}" name="Interaction Operation"/>
    <tableColumn id="14" xr3:uid="{53305105-898C-4D1C-BBC2-FE2DD113CF4C}"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30AC8C-9C22-4E49-8CB3-3B04CD3145D0}" name="LAMBDAFunctionsCatalog" displayName="LAMBDAFunctionsCatalog" ref="A1:G140" totalsRowShown="0" headerRowDxfId="55" dataDxfId="54">
  <autoFilter ref="A1:G140" xr:uid="{1330AC8C-9C22-4E49-8CB3-3B04CD3145D0}"/>
  <tableColumns count="7">
    <tableColumn id="1" xr3:uid="{DC34209C-018B-45A6-844A-D48B0387DC22}" name="Function Name" dataDxfId="53"/>
    <tableColumn id="2" xr3:uid="{FC9CC224-1F12-41E2-990B-C42B152C750B}" name="Scope" dataDxfId="52"/>
    <tableColumn id="3" xr3:uid="{2B8728D3-12AD-42F2-A945-AD1A828754A6}" name="Definition" dataDxfId="51"/>
    <tableColumn id="4" xr3:uid="{24AD4306-3464-46AB-9EF3-ACBF1D05B197}" name="Arguments" dataDxfId="50"/>
    <tableColumn id="5" xr3:uid="{5ACC4BD8-9D4B-4E7F-AE91-D8359582FC08}" name="Yields" dataDxfId="49"/>
    <tableColumn id="6" xr3:uid="{B6DD5CB5-10D5-4627-9772-FA834A09E432}" name="Plain-Language Summary" dataDxfId="48"/>
    <tableColumn id="7" xr3:uid="{47A333FF-6DE9-4AF9-9E6F-490F3D598C16}"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2"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1869</v>
      </c>
      <c r="B7" s="18">
        <v>46236</v>
      </c>
      <c r="C7" t="s">
        <v>812</v>
      </c>
      <c r="D7" s="2" t="s">
        <v>1870</v>
      </c>
    </row>
    <row r="8" spans="1:4" ht="150" x14ac:dyDescent="0.25">
      <c r="A8" t="s">
        <v>1871</v>
      </c>
      <c r="B8" s="18">
        <v>46236</v>
      </c>
      <c r="C8" t="s">
        <v>812</v>
      </c>
      <c r="D8" s="2" t="s">
        <v>1872</v>
      </c>
    </row>
    <row r="9" spans="1:4" ht="300" x14ac:dyDescent="0.25">
      <c r="A9" t="s">
        <v>1847</v>
      </c>
      <c r="B9" s="18">
        <v>46236</v>
      </c>
      <c r="C9" t="s">
        <v>815</v>
      </c>
      <c r="D9" s="2" t="s">
        <v>1855</v>
      </c>
    </row>
    <row r="10" spans="1:4" ht="225" x14ac:dyDescent="0.25">
      <c r="A10" t="s">
        <v>1873</v>
      </c>
      <c r="B10" s="18">
        <v>46237</v>
      </c>
      <c r="C10" t="s">
        <v>812</v>
      </c>
      <c r="D10" s="2" t="s">
        <v>1874</v>
      </c>
    </row>
    <row r="11" spans="1:4" ht="390" x14ac:dyDescent="0.25">
      <c r="A11" t="s">
        <v>1906</v>
      </c>
      <c r="B11" s="18">
        <v>46237</v>
      </c>
      <c r="C11" t="s">
        <v>812</v>
      </c>
      <c r="D11" s="2" t="s">
        <v>1907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5A0C0-7217-4300-9639-24CED8A23B1C}">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1853</v>
      </c>
    </row>
    <row r="9" spans="1:1" ht="180" x14ac:dyDescent="0.25">
      <c r="A9" s="2" t="s">
        <v>1696</v>
      </c>
    </row>
    <row r="10" spans="1:1" ht="90" x14ac:dyDescent="0.25">
      <c r="A10" s="2" t="s">
        <v>805</v>
      </c>
    </row>
    <row r="11" spans="1:1" ht="360" x14ac:dyDescent="0.25">
      <c r="A11" s="2" t="s">
        <v>1905</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0.7109375" customWidth="1" outlineLevel="1"/>
    <col min="37" max="37" width="16.7109375" customWidth="1" outlineLevel="1"/>
    <col min="38" max="38" width="10.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0" width="12.7109375" style="7" customWidth="1" outlineLevel="1"/>
    <col min="51" max="51" width="9.7109375" style="7" customWidth="1" outlineLevel="1"/>
    <col min="52" max="53" width="12.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1851</v>
      </c>
      <c r="O1" s="3">
        <f>SUM(_xlfn.TAKE(Spec_Design_Columns,COLUMNS(Source_Data)))+N(Allow_Intercept)</f>
        <v>17</v>
      </c>
      <c r="P1" s="3" t="s">
        <v>878</v>
      </c>
      <c r="Q1" s="3" t="s">
        <v>879</v>
      </c>
      <c r="S1" s="4" t="s">
        <v>607</v>
      </c>
      <c r="AA1" s="4" t="s">
        <v>610</v>
      </c>
      <c r="AJ1" s="36" t="s">
        <v>634</v>
      </c>
      <c r="AK1" s="37"/>
      <c r="AL1" s="44"/>
      <c r="AN1" s="4" t="s">
        <v>643</v>
      </c>
      <c r="BR1" s="36" t="s">
        <v>1856</v>
      </c>
      <c r="BS1" s="45"/>
      <c r="BU1" s="4" t="s">
        <v>1845</v>
      </c>
      <c r="BW1" s="4" t="s">
        <v>1852</v>
      </c>
    </row>
    <row r="2" spans="1:91" ht="25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6" t="s">
        <v>1908</v>
      </c>
      <c r="AB2" s="2" t="str" cm="1">
        <f t="array" ref="AB2">_xlfn.LET(_xlpm.n_c,COLUMNS(Source_Data),_xlpm.p,_xlfn.XMATCH("Response (y)",_xlfn.TAKE(Spec_Role,_xlpm.n_c)),_xlpm.h,INDEX(_xlfn.TOROW(Header_Names),_xlpm.p),IFERROR(IF(INDEX(_xlfn.TAKE(Spec_Transform,_xlpm.n_c),_xlpm.p)="Log","Ln("&amp;_xlpm.h&amp;")",_xlpm.h),"(none)"))&amp;" ~ "&amp;IF(Allow_Intercept,"1 + ","0 + ")&amp;IFERROR(_xlfn.TEXTJOIN(" + ",TRUE,Constructed_Column_Names()),"")&amp;IF(SUMPRODUCT(N(_xlfn.TAKE(Spec_Role,COLUMNS(Source_Data))="Fixed Effects"))&gt;0," | "&amp;IFERROR(INDEX(_xlfn.TOROW(Header_Names),_xlfn.XMATCH("Fixed Effects",_xlfn.TAKE(Spec_Role,COLUMNS(Source_Data)))),"FE"),"")</f>
        <v>MPG ~ 1 + Horsepower + Weight + Model Year: 71 + Model Year: 72 + Model Year: 73 + Model Year: 74 + Model Year: 75 + Model Year: 76 + Model Year: 77 + Model Year: 78 + Model Year: 79 + Model Year: 80 + Model Year: 81 + Model Year: 82 + Origin: Europe + Origin: US</v>
      </c>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1916</v>
      </c>
      <c r="AL2" s="35" t="s">
        <v>1917</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1918</v>
      </c>
      <c r="BA2" s="28" t="s">
        <v>1919</v>
      </c>
      <c r="BR2" s="8" t="s">
        <v>1857</v>
      </c>
      <c r="BS2" s="24" t="b">
        <f>Allow_Intercept</f>
        <v>1</v>
      </c>
      <c r="BU2" s="3" t="s">
        <v>1920</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876</v>
      </c>
      <c r="J3" s="34" t="s">
        <v>877</v>
      </c>
      <c r="K3" s="34" t="s">
        <v>780</v>
      </c>
      <c r="L3" s="34" t="s">
        <v>799</v>
      </c>
      <c r="M3" s="34" t="s">
        <v>1848</v>
      </c>
      <c r="N3" s="34" t="s">
        <v>1849</v>
      </c>
      <c r="O3" s="34" t="s">
        <v>1850</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1909</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1858</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1910</v>
      </c>
      <c r="AH4" s="33" t="s">
        <v>1938</v>
      </c>
      <c r="AJ4" s="8" t="s">
        <v>1609</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1859</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1911</v>
      </c>
      <c r="AH5" s="11" cm="1">
        <f t="array" ref="AH5">Smearing_Factor(Design_Columns(),Design_Response(),Sample_Include(),Fit_Context())</f>
        <v>1</v>
      </c>
      <c r="AJ5" s="8" t="s">
        <v>1610</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1860</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1912</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1861</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1913</v>
      </c>
      <c r="AH7" s="11" cm="1">
        <f t="array" ref="AH7">Unit_Space_Adjusted_R_Squared(Design_Columns(),Design_Response(),Response_Column(),Sample_Include(),Fit_Context(),$AH$4)</f>
        <v>0.84556143954924157</v>
      </c>
      <c r="AJ7" s="8" t="s">
        <v>1611</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1914</v>
      </c>
      <c r="AH8" s="11" cm="1">
        <f t="array" ref="AH8">Unit_Space_RMSE(Design_Columns(),Design_Response(),Response_Column(),Sample_Include(),Fit_Context(),$AH$4)</f>
        <v>3.0672642753818775</v>
      </c>
      <c r="AJ8" s="8" t="s">
        <v>1612</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1915</v>
      </c>
      <c r="AH9" s="25" t="str" cm="1">
        <f t="array" ref="AH9">IF(Context_Response_Transform(Fit_Context())="Log","Original units (back-transformed)","Same as fit space")</f>
        <v>Same as fit space</v>
      </c>
      <c r="AJ9" s="8" t="s">
        <v>1613</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1615</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8" t="s">
        <v>1616</v>
      </c>
      <c r="AK14" s="39" cm="1">
        <f t="array" ref="AK14">Group_Count_At(Prediction_Group_Column(),$AK$12,Sample_Include())</f>
        <v>392</v>
      </c>
      <c r="AL14" s="11"/>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J15" s="46" t="str">
        <f>"Duan = Duan (1983) smearing — estimates the conditional mean. Naive = textbook EXP(ŷ) — the conditional median, biased for the mean. CI/PI bounds are back-transformed with EXP alone, so under Duan the point estimate does not sit at the interval centre."</f>
        <v>Duan = Duan (1983) smearing — estimates the conditional mean. Naive = textbook EXP(ŷ) — the conditional median, biased for the mean. CI/PI bounds are back-transformed with EXP alone, so under Duan the point estimate does not sit at the interval centre.</v>
      </c>
      <c r="AK15" s="47"/>
      <c r="AL15" s="48"/>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mergeCells count="1">
    <mergeCell ref="AJ15:AL15"/>
  </mergeCells>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3BA5A193-BE55-4564-A734-60B6E05F6FE9}">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3A70-63A3-4F22-AB3E-02C18674FAA4}">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0"/>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1862</v>
      </c>
      <c r="D115" s="2"/>
      <c r="E115" s="2" t="s">
        <v>1863</v>
      </c>
      <c r="F115" s="2" t="s">
        <v>1690</v>
      </c>
      <c r="G115" s="2" t="s">
        <v>1864</v>
      </c>
    </row>
    <row r="116" spans="1:7" ht="375" x14ac:dyDescent="0.25">
      <c r="A116" s="2" t="s">
        <v>794</v>
      </c>
      <c r="B116" s="2" t="s">
        <v>624</v>
      </c>
      <c r="C116" s="1" t="s">
        <v>1865</v>
      </c>
      <c r="D116" s="2"/>
      <c r="E116" s="2" t="s">
        <v>1866</v>
      </c>
      <c r="F116" s="2" t="s">
        <v>1691</v>
      </c>
      <c r="G116" s="2" t="s">
        <v>1765</v>
      </c>
    </row>
    <row r="117" spans="1:7" ht="409.5" x14ac:dyDescent="0.25">
      <c r="A117" s="2" t="s">
        <v>1692</v>
      </c>
      <c r="B117" s="2" t="s">
        <v>624</v>
      </c>
      <c r="C117" s="1" t="s">
        <v>1867</v>
      </c>
      <c r="D117" s="2"/>
      <c r="E117" s="2" t="s">
        <v>1868</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1846</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row r="133" spans="1:7" ht="315" x14ac:dyDescent="0.25">
      <c r="A133" s="2" t="s">
        <v>1875</v>
      </c>
      <c r="B133" s="2" t="s">
        <v>785</v>
      </c>
      <c r="C133" s="1" t="s">
        <v>1876</v>
      </c>
      <c r="D133" s="2" t="s">
        <v>1877</v>
      </c>
      <c r="E133" s="2" t="s">
        <v>1878</v>
      </c>
      <c r="F133" s="2" t="s">
        <v>1879</v>
      </c>
      <c r="G133" s="2" t="s">
        <v>1880</v>
      </c>
    </row>
    <row r="134" spans="1:7" ht="360" x14ac:dyDescent="0.25">
      <c r="A134" s="2" t="s">
        <v>1881</v>
      </c>
      <c r="B134" s="2" t="s">
        <v>785</v>
      </c>
      <c r="C134" s="1" t="s">
        <v>1882</v>
      </c>
      <c r="D134" s="2" t="s">
        <v>1883</v>
      </c>
      <c r="E134" s="2" t="s">
        <v>1884</v>
      </c>
      <c r="F134" s="2" t="s">
        <v>1885</v>
      </c>
      <c r="G134" s="2" t="s">
        <v>1886</v>
      </c>
    </row>
    <row r="135" spans="1:7" ht="409.5" x14ac:dyDescent="0.25">
      <c r="A135" s="2" t="s">
        <v>1887</v>
      </c>
      <c r="B135" s="2" t="s">
        <v>785</v>
      </c>
      <c r="C135" s="1" t="s">
        <v>1921</v>
      </c>
      <c r="D135" s="2" t="s">
        <v>1888</v>
      </c>
      <c r="E135" s="2" t="s">
        <v>1889</v>
      </c>
      <c r="F135" s="2" t="s">
        <v>1890</v>
      </c>
      <c r="G135" s="2" t="s">
        <v>1922</v>
      </c>
    </row>
    <row r="136" spans="1:7" ht="300" x14ac:dyDescent="0.25">
      <c r="A136" s="2" t="s">
        <v>1923</v>
      </c>
      <c r="B136" s="2" t="s">
        <v>785</v>
      </c>
      <c r="C136" s="1" t="s">
        <v>1924</v>
      </c>
      <c r="D136" s="2" t="s">
        <v>1925</v>
      </c>
      <c r="E136" s="2" t="s">
        <v>1926</v>
      </c>
      <c r="F136" s="2" t="s">
        <v>1927</v>
      </c>
      <c r="G136" s="2" t="s">
        <v>1928</v>
      </c>
    </row>
    <row r="137" spans="1:7" ht="375" x14ac:dyDescent="0.25">
      <c r="A137" s="2" t="s">
        <v>1891</v>
      </c>
      <c r="B137" s="2" t="s">
        <v>785</v>
      </c>
      <c r="C137" s="1" t="s">
        <v>1929</v>
      </c>
      <c r="D137" s="2" t="s">
        <v>1930</v>
      </c>
      <c r="E137" s="2" t="s">
        <v>1892</v>
      </c>
      <c r="F137" s="2" t="s">
        <v>1893</v>
      </c>
      <c r="G137" s="2" t="s">
        <v>1931</v>
      </c>
    </row>
    <row r="138" spans="1:7" ht="409.5" x14ac:dyDescent="0.25">
      <c r="A138" s="2" t="s">
        <v>1894</v>
      </c>
      <c r="B138" s="2" t="s">
        <v>785</v>
      </c>
      <c r="C138" s="1" t="s">
        <v>1932</v>
      </c>
      <c r="D138" s="2" t="s">
        <v>1933</v>
      </c>
      <c r="E138" s="2" t="s">
        <v>1895</v>
      </c>
      <c r="F138" s="2" t="s">
        <v>1896</v>
      </c>
      <c r="G138" s="2" t="s">
        <v>1934</v>
      </c>
    </row>
    <row r="139" spans="1:7" ht="375" x14ac:dyDescent="0.25">
      <c r="A139" s="2" t="s">
        <v>1897</v>
      </c>
      <c r="B139" s="2" t="s">
        <v>785</v>
      </c>
      <c r="C139" s="1" t="s">
        <v>1898</v>
      </c>
      <c r="D139" s="2" t="s">
        <v>1935</v>
      </c>
      <c r="E139" s="2" t="s">
        <v>1899</v>
      </c>
      <c r="F139" s="2" t="s">
        <v>1900</v>
      </c>
      <c r="G139" s="2" t="s">
        <v>1901</v>
      </c>
    </row>
    <row r="140" spans="1:7" ht="375" x14ac:dyDescent="0.25">
      <c r="A140" s="2" t="s">
        <v>1902</v>
      </c>
      <c r="B140" s="2" t="s">
        <v>785</v>
      </c>
      <c r="C140" s="1" t="s">
        <v>1936</v>
      </c>
      <c r="D140" s="2" t="s">
        <v>1930</v>
      </c>
      <c r="E140" s="2" t="s">
        <v>1903</v>
      </c>
      <c r="F140" s="2" t="s">
        <v>1904</v>
      </c>
      <c r="G140" s="2" t="s">
        <v>1937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2026-08-04T11:13:54Z</dcterms:modified>
</cp:coreProperties>
</file>