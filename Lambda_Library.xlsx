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8A507D03-D330-4039-978E-9C795EE3E10C}" xr6:coauthVersionLast="47" xr6:coauthVersionMax="47" xr10:uidLastSave="{00000000-0000-0000-0000-000000000000}"/>
  <bookViews>
    <workbookView xWindow="-15" yWindow="0" windowWidth="10680" windowHeight="6975" xr2:uid="{92D0E1A5-8335-431C-B56C-E9E74C0E0410}"/>
  </bookViews>
  <sheets>
    <sheet name="Mileage Data" sheetId="12" r:id="rId1"/>
    <sheet name="Life Expectancy Data" sheetId="2" r:id="rId2"/>
    <sheet name="Production Lots" sheetId="13" r:id="rId3"/>
    <sheet name="Version History" sheetId="6" r:id="rId4"/>
    <sheet name="Regression Instructions" sheetId="28" r:id="rId5"/>
    <sheet name="Regression" sheetId="7" r:id="rId6"/>
    <sheet name="Diagnostic Guide" sheetId="2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E21" i="7" s="1"/>
  <c r="AD21" i="7" a="1"/>
  <c r="AD21" i="7" s="1"/>
  <c r="AC21" i="7" a="1"/>
  <c r="AC21" i="7" s="1"/>
  <c r="AB21" i="7" a="1"/>
  <c r="AB21" i="7" s="1"/>
  <c r="AA21" i="7" a="1"/>
  <c r="AA21" i="7" s="1"/>
  <c r="Z21" i="7" a="1"/>
  <c r="Z21" i="7" s="1"/>
  <c r="Y21" i="7" a="1"/>
  <c r="Y21" i="7" s="1"/>
  <c r="X21" i="7" a="1"/>
  <c r="X21" i="7" s="1"/>
  <c r="AI19" i="7" a="1"/>
  <c r="AH62" i="7" s="1" a="1"/>
  <c r="AH62" i="7" s="1"/>
  <c r="AG19" i="7" a="1"/>
  <c r="AG19" i="7" s="1"/>
  <c r="Z17" i="7" a="1"/>
  <c r="Z17" i="7" s="1"/>
  <c r="Y17" i="7" a="1"/>
  <c r="Y17" i="7" s="1"/>
  <c r="AA16" i="7" a="1"/>
  <c r="AA16" i="7" s="1"/>
  <c r="Z16" i="7" a="1"/>
  <c r="Z16" i="7" s="1"/>
  <c r="Y16" i="7" a="1"/>
  <c r="Y16" i="7" s="1"/>
  <c r="AC15" i="7" a="1"/>
  <c r="AC15" i="7" s="1"/>
  <c r="AB15" i="7" a="1"/>
  <c r="AB15" i="7" s="1"/>
  <c r="AA15" i="7" a="1"/>
  <c r="AA15" i="7" s="1"/>
  <c r="Z15" i="7" a="1"/>
  <c r="Z15" i="7" s="1"/>
  <c r="Y15" i="7" a="1"/>
  <c r="Y15" i="7" s="1"/>
  <c r="L15" i="7"/>
  <c r="K15" i="7"/>
  <c r="J15" i="7"/>
  <c r="AH14" i="7" a="1"/>
  <c r="AH14" i="7"/>
  <c r="L14" i="7"/>
  <c r="K14" i="7"/>
  <c r="J14" i="7"/>
  <c r="AH13" i="7" a="1"/>
  <c r="AH13" i="7" s="1"/>
  <c r="L13" i="7"/>
  <c r="K13" i="7"/>
  <c r="J13" i="7"/>
  <c r="AH12" i="7"/>
  <c r="AB12" i="7" a="1"/>
  <c r="AB12" i="7" s="1"/>
  <c r="L12" i="7"/>
  <c r="K12" i="7"/>
  <c r="J12" i="7"/>
  <c r="AB11" i="7" a="1"/>
  <c r="AB11" i="7"/>
  <c r="L11" i="7"/>
  <c r="K11" i="7"/>
  <c r="J11" i="7"/>
  <c r="AB10" i="7" a="1"/>
  <c r="AB10" i="7" s="1"/>
  <c r="L10" i="7"/>
  <c r="K10" i="7"/>
  <c r="J10" i="7"/>
  <c r="AB9" i="7" a="1"/>
  <c r="AB9" i="7"/>
  <c r="L9" i="7"/>
  <c r="K9" i="7"/>
  <c r="J9" i="7"/>
  <c r="AB8" i="7" a="1"/>
  <c r="AB8" i="7" s="1"/>
  <c r="Y8" i="7" a="1"/>
  <c r="Y8" i="7" s="1"/>
  <c r="L8" i="7"/>
  <c r="K8" i="7"/>
  <c r="J8" i="7"/>
  <c r="AB7" i="7" a="1"/>
  <c r="AB7" i="7"/>
  <c r="Y7" i="7" a="1"/>
  <c r="Y7" i="7"/>
  <c r="L7" i="7"/>
  <c r="K7" i="7"/>
  <c r="J7" i="7"/>
  <c r="AB6" i="7" a="1"/>
  <c r="AB6" i="7" s="1"/>
  <c r="Y6" i="7" a="1"/>
  <c r="Y6" i="7" s="1"/>
  <c r="L6" i="7"/>
  <c r="K6" i="7"/>
  <c r="J6" i="7"/>
  <c r="AB5" i="7" a="1"/>
  <c r="AB5" i="7" s="1"/>
  <c r="Y5" i="7" a="1"/>
  <c r="Y5" i="7"/>
  <c r="L5" i="7"/>
  <c r="K5" i="7"/>
  <c r="J5" i="7"/>
  <c r="AB4" i="7" a="1"/>
  <c r="AB4" i="7" s="1"/>
  <c r="Y4" i="7" a="1"/>
  <c r="Y4" i="7" s="1"/>
  <c r="L4" i="7"/>
  <c r="K4" i="7"/>
  <c r="J4" i="7"/>
  <c r="A4" i="7" a="1"/>
  <c r="A4" i="7"/>
  <c r="AU3" i="7" a="1"/>
  <c r="AU3" i="7" s="1"/>
  <c r="AT3" i="7" a="1"/>
  <c r="AT3" i="7" s="1"/>
  <c r="AS3" i="7" a="1"/>
  <c r="AS3" i="7" s="1"/>
  <c r="AR3" i="7" a="1"/>
  <c r="AR3" i="7" s="1"/>
  <c r="AQ3" i="7" a="1"/>
  <c r="AQ3" i="7" s="1"/>
  <c r="AP3" i="7" a="1"/>
  <c r="AP3" i="7" s="1"/>
  <c r="AO3" i="7" a="1"/>
  <c r="AO3" i="7"/>
  <c r="AN3" i="7" a="1"/>
  <c r="AN3" i="7"/>
  <c r="AM3" i="7" a="1"/>
  <c r="AM3" i="7" s="1"/>
  <c r="AL3" i="7" a="1"/>
  <c r="AL3" i="7"/>
  <c r="AK3" i="7" a="1"/>
  <c r="AK3" i="7"/>
  <c r="V3" i="7" a="1"/>
  <c r="V3" i="7" s="1"/>
  <c r="U3" i="7" a="1"/>
  <c r="U3" i="7" s="1"/>
  <c r="T3" i="7" a="1"/>
  <c r="T3" i="7" s="1"/>
  <c r="S3" i="7" a="1"/>
  <c r="S3" i="7" s="1"/>
  <c r="R3" i="7" a="1"/>
  <c r="R3" i="7" s="1"/>
  <c r="Q3" i="7" a="1"/>
  <c r="Q3" i="7" s="1"/>
  <c r="P3" i="7" a="1"/>
  <c r="P3" i="7"/>
  <c r="AV2" i="7" a="1"/>
  <c r="AV2" i="7"/>
  <c r="AU2" i="7" a="1"/>
  <c r="AU2" i="7"/>
  <c r="AT2" i="7" a="1"/>
  <c r="AT2" i="7"/>
  <c r="AS2" i="7" a="1"/>
  <c r="AS2" i="7" s="1"/>
  <c r="AR2" i="7" a="1"/>
  <c r="AR2" i="7" s="1"/>
  <c r="AQ2" i="7" a="1"/>
  <c r="AQ2" i="7"/>
  <c r="AP2" i="7" a="1"/>
  <c r="AP2" i="7"/>
  <c r="AO2" i="7" a="1"/>
  <c r="AO2" i="7"/>
  <c r="AN2" i="7" a="1"/>
  <c r="AN2" i="7" s="1"/>
  <c r="AM2" i="7" a="1"/>
  <c r="AM2" i="7"/>
  <c r="AL2" i="7" a="1"/>
  <c r="AL2" i="7"/>
  <c r="AC2" i="7" a="1"/>
  <c r="AC2" i="7"/>
  <c r="M2" i="7" a="1"/>
  <c r="M2" i="7"/>
  <c r="L2" i="7" a="1"/>
  <c r="L2" i="7" s="1"/>
  <c r="K2" i="7" a="1"/>
  <c r="K2" i="7" s="1"/>
  <c r="J2" i="7" a="1"/>
  <c r="J2" i="7"/>
  <c r="I2" i="7" a="1"/>
  <c r="I2" i="7"/>
  <c r="E1" i="7" a="1"/>
  <c r="E1" i="7"/>
  <c r="B1" i="7" a="1"/>
  <c r="B1" i="7" s="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V3" i="7" l="1" a="1"/>
  <c r="AV3" i="7" s="1"/>
  <c r="AH23" i="7" a="1"/>
  <c r="AH23" i="7" s="1"/>
  <c r="AH33" i="7" a="1"/>
  <c r="AH33" i="7" s="1"/>
  <c r="AH43" i="7" a="1"/>
  <c r="AH43" i="7" s="1"/>
  <c r="AH53" i="7" a="1"/>
  <c r="AH53" i="7" s="1"/>
  <c r="AH24" i="7" a="1"/>
  <c r="AH24" i="7" s="1"/>
  <c r="AH34" i="7" a="1"/>
  <c r="AH34" i="7" s="1"/>
  <c r="AH44" i="7" a="1"/>
  <c r="AH44" i="7" s="1"/>
  <c r="AH54" i="7" a="1"/>
  <c r="AH54" i="7" s="1"/>
  <c r="AH25" i="7" a="1"/>
  <c r="AH25" i="7" s="1"/>
  <c r="AH35" i="7" a="1"/>
  <c r="AH35" i="7" s="1"/>
  <c r="AH45" i="7" a="1"/>
  <c r="AH45" i="7" s="1"/>
  <c r="AH55" i="7" a="1"/>
  <c r="AH55" i="7" s="1"/>
  <c r="AH26" i="7" a="1"/>
  <c r="AH26" i="7" s="1"/>
  <c r="AH36" i="7" a="1"/>
  <c r="AH36" i="7" s="1"/>
  <c r="AH46" i="7" a="1"/>
  <c r="AH46" i="7" s="1"/>
  <c r="AH56" i="7" a="1"/>
  <c r="AH56" i="7" s="1"/>
  <c r="AH27" i="7" a="1"/>
  <c r="AH27" i="7" s="1"/>
  <c r="AH37" i="7" a="1"/>
  <c r="AH37" i="7" s="1"/>
  <c r="AH47" i="7" a="1"/>
  <c r="AH47" i="7" s="1"/>
  <c r="AH57" i="7" a="1"/>
  <c r="AH57" i="7" s="1"/>
  <c r="AH28" i="7" a="1"/>
  <c r="AH28" i="7" s="1"/>
  <c r="AH38" i="7" a="1"/>
  <c r="AH38" i="7" s="1"/>
  <c r="AH48" i="7" a="1"/>
  <c r="AH48" i="7" s="1"/>
  <c r="AH58" i="7" a="1"/>
  <c r="AH58" i="7" s="1"/>
  <c r="AH29" i="7" a="1"/>
  <c r="AH29" i="7" s="1"/>
  <c r="AH39" i="7" a="1"/>
  <c r="AH39" i="7" s="1"/>
  <c r="AH49" i="7" a="1"/>
  <c r="AH49" i="7" s="1"/>
  <c r="AH59" i="7" a="1"/>
  <c r="AH59" i="7" s="1"/>
  <c r="AH30" i="7" a="1"/>
  <c r="AH30" i="7" s="1"/>
  <c r="AH40" i="7" a="1"/>
  <c r="AH40" i="7" s="1"/>
  <c r="AH50" i="7" a="1"/>
  <c r="AH50" i="7" s="1"/>
  <c r="AH60" i="7" a="1"/>
  <c r="AH60" i="7" s="1"/>
  <c r="AI19" i="7"/>
  <c r="AH19" i="7" s="1" a="1"/>
  <c r="AH19" i="7" s="1"/>
  <c r="AH3" i="7" s="1" a="1"/>
  <c r="AH3" i="7" s="1"/>
  <c r="AH21" i="7" a="1"/>
  <c r="AH21" i="7" s="1"/>
  <c r="AH31" i="7" a="1"/>
  <c r="AH31" i="7" s="1"/>
  <c r="AH41" i="7" a="1"/>
  <c r="AH41" i="7" s="1"/>
  <c r="AH51" i="7" a="1"/>
  <c r="AH51" i="7" s="1"/>
  <c r="AH61" i="7" a="1"/>
  <c r="AH61" i="7" s="1"/>
  <c r="AH20" i="7" a="1"/>
  <c r="AH20" i="7" s="1"/>
  <c r="AH22" i="7" a="1"/>
  <c r="AH22" i="7" s="1"/>
  <c r="AH32" i="7" a="1"/>
  <c r="AH32" i="7" s="1"/>
  <c r="AH42" i="7" a="1"/>
  <c r="AH42" i="7" s="1"/>
  <c r="AH52" i="7" a="1"/>
  <c r="AH52"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Q2" authorId="0" shapeId="0" xr:uid="{0299ACEE-0377-4B8A-A79E-8F40B43B6BB2}">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ADC2CE93-AE01-45D7-BE2C-226BCE8F0AE4}">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9E51D697-3C0B-4313-81D9-8FE1F21D3E9C}">
      <text>
        <r>
          <rPr>
            <b/>
            <sz val="9"/>
            <color indexed="81"/>
            <rFont val="Tahoma"/>
            <family val="2"/>
          </rPr>
          <t>Shows whether the data have a longer tail on one side. Positive means a longer right tail; negative means a longer left tail.</t>
        </r>
      </text>
    </comment>
    <comment ref="T2" authorId="0" shapeId="0" xr:uid="{1E8892D0-B754-411C-95EB-472EF2C6B1BB}">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D617B8D7-7975-491A-AB0C-8C54DD0D3A85}">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6877562D-E365-4C0F-A139-8E99A4001640}">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1610082C-B135-43F0-B1CD-41AF9638012D}">
      <text>
        <r>
          <rPr>
            <b/>
            <sz val="9"/>
            <color indexed="81"/>
            <rFont val="Tahoma"/>
            <family val="2"/>
          </rPr>
          <t>The actual observed outcome values.</t>
        </r>
      </text>
    </comment>
    <comment ref="AM2" authorId="0" shapeId="0" xr:uid="{171B4C50-8781-497A-88C8-9DA26943954B}">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D911BEDD-C6F6-496A-B6B7-9B89B68D1EF4}">
      <text>
        <r>
          <rPr>
            <b/>
            <sz val="9"/>
            <color indexed="81"/>
            <rFont val="Tahoma"/>
            <family val="2"/>
          </rPr>
          <t>Actual Y minus predicted Y. Positive means the row came in above the model's prediction; negative means below.</t>
        </r>
      </text>
    </comment>
    <comment ref="AO2" authorId="0" shapeId="0" xr:uid="{3E62E4B6-5340-4A53-B80E-D2DB0CB183B0}">
      <text>
        <r>
          <rPr>
            <b/>
            <sz val="9"/>
            <color indexed="81"/>
            <rFont val="Tahoma"/>
            <family val="2"/>
          </rPr>
          <t>Leverage. It shows how unusual a row's predictor values are relative to the rest of the data.</t>
        </r>
      </text>
    </comment>
    <comment ref="AP2" authorId="0" shapeId="0" xr:uid="{1E3EB87A-28BD-46CA-803B-57F2089281D3}">
      <text>
        <r>
          <rPr>
            <b/>
            <sz val="9"/>
            <color indexed="81"/>
            <rFont val="Tahoma"/>
            <family val="2"/>
          </rPr>
          <t>Residuals scaled to account for overall error size and leverage, making outliers easier to compare fairly.</t>
        </r>
      </text>
    </comment>
    <comment ref="AQ2" authorId="0" shapeId="0" xr:uid="{349FD701-4C6B-4C43-B794-B2FD092B472A}">
      <text>
        <r>
          <rPr>
            <b/>
            <sz val="9"/>
            <color indexed="81"/>
            <rFont val="Tahoma"/>
            <family val="2"/>
          </rPr>
          <t>How much a single row can pull the fitted coefficients and predictions around.</t>
        </r>
      </text>
    </comment>
    <comment ref="AR2" authorId="0" shapeId="0" xr:uid="{29F1C5DE-ADD8-4F5F-8DAF-871A30DA4DCB}">
      <text>
        <r>
          <rPr>
            <b/>
            <sz val="9"/>
            <color indexed="81"/>
            <rFont val="Tahoma"/>
            <family val="2"/>
          </rPr>
          <t>Expected bell-curve quantiles used for the Q-Q comparison.</t>
        </r>
      </text>
    </comment>
    <comment ref="AS2" authorId="0" shapeId="0" xr:uid="{5F9DEB92-6A69-4C46-8929-642F4A9D1989}">
      <text>
        <r>
          <rPr>
            <b/>
            <sz val="9"/>
            <color indexed="81"/>
            <rFont val="Tahoma"/>
            <family val="2"/>
          </rPr>
          <t>Studentized residuals sorted from smallest to largest for the Q-Q plot.</t>
        </r>
      </text>
    </comment>
    <comment ref="AT2" authorId="0" shapeId="0" xr:uid="{19EEBE66-14D5-412F-B4B6-5F6C0F630E68}">
      <text>
        <r>
          <rPr>
            <b/>
            <sz val="9"/>
            <color indexed="81"/>
            <rFont val="Tahoma"/>
            <family val="2"/>
          </rPr>
          <t>The square root of the absolute studentized residual. A flat pattern suggests stable error spread.</t>
        </r>
      </text>
    </comment>
    <comment ref="AU2" authorId="0" shapeId="0" xr:uid="{DBB3E78C-FAAE-499C-9F65-627C9AA1AF2B}">
      <text>
        <r>
          <rPr>
            <b/>
            <sz val="9"/>
            <color indexed="81"/>
            <rFont val="Tahoma"/>
            <family val="2"/>
          </rPr>
          <t>The prediction error for a row when that row is left out of the fitting step (the leave-one-out / LOOCV residual). Summing its squares gives PRESS.</t>
        </r>
      </text>
    </comment>
    <comment ref="AG3" authorId="0" shapeId="0" xr:uid="{5959C0DF-DB15-4937-BC76-61677DA22D94}">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D314213D-1B28-4A7B-A9F8-52C2F8D44AB6}">
      <text>
        <r>
          <rPr>
            <b/>
            <sz val="9"/>
            <color indexed="81"/>
            <rFont val="Tahoma"/>
            <family val="2"/>
          </rPr>
          <t>Reserved for a future release — not yet used by any formula.</t>
        </r>
      </text>
    </comment>
    <comment ref="G4" authorId="0" shapeId="0" xr:uid="{D9E98889-3B41-4C72-A9B8-28F0732765C2}">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502076E0-7FEA-418A-8007-17C7A33BA24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97E7286D-CCB9-46BF-A64F-006ADAC18C18}">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6BC02658-471D-4DEE-9478-7AE811B31CF9}">
      <text>
        <r>
          <rPr>
            <b/>
            <sz val="9"/>
            <color indexed="81"/>
            <rFont val="Tahoma"/>
            <family val="2"/>
          </rPr>
          <t>How closely the model's predicted Y values track the actual Y values overall.</t>
        </r>
      </text>
    </comment>
    <comment ref="AA4" authorId="0" shapeId="0" xr:uid="{DF89054F-E70A-413C-BC4C-DF1597DAFE3E}">
      <text>
        <r>
          <rPr>
            <b/>
            <sz val="9"/>
            <color indexed="81"/>
            <rFont val="Tahoma"/>
            <family val="2"/>
          </rPr>
          <t>A leave-one-out prediction error score. Lower is better because it means the model predicts unseen rows more accurately.</t>
        </r>
      </text>
    </comment>
    <comment ref="AG4" authorId="0" shapeId="0" xr:uid="{9690EBF7-D022-4980-9E66-36BB231390DE}">
      <text>
        <r>
          <rPr>
            <b/>
            <sz val="9"/>
            <color indexed="81"/>
            <rFont val="Tahoma"/>
            <family val="2"/>
          </rPr>
          <t>The standard error for a new prediction. It reflects both model uncertainty and ordinary row-to-row noise.</t>
        </r>
      </text>
    </comment>
    <comment ref="X5" authorId="0" shapeId="0" xr:uid="{945C7B14-098B-4D5D-BE77-1A761233CEDA}">
      <text>
        <r>
          <rPr>
            <b/>
            <sz val="9"/>
            <color indexed="81"/>
            <rFont val="Tahoma"/>
            <family val="2"/>
          </rPr>
          <t>The share of the outcome's variation explained by the model.</t>
        </r>
      </text>
    </comment>
    <comment ref="AA5" authorId="0" shapeId="0" xr:uid="{8B6FF4CF-6EE3-472D-B94D-5A164E41A445}">
      <text>
        <r>
          <rPr>
            <b/>
            <sz val="9"/>
            <color indexed="81"/>
            <rFont val="Tahoma"/>
            <family val="2"/>
          </rPr>
          <t>An out-of-sample version of R Square based on leave-one-out prediction. Negative values mean the model predicts worse than just using the average Y.</t>
        </r>
      </text>
    </comment>
    <comment ref="AG5" authorId="0" shapeId="0" xr:uid="{C7962C41-377D-414D-B89D-9032BE77500B}">
      <text>
        <r>
          <rPr>
            <b/>
            <sz val="9"/>
            <color indexed="81"/>
            <rFont val="Tahoma"/>
            <family val="2"/>
          </rPr>
          <t>The t-distribution cutoff at the chosen confidence level. Multiply by SE Prediction to get the prediction interval half-width.</t>
        </r>
      </text>
    </comment>
    <comment ref="X6" authorId="0" shapeId="0" xr:uid="{51E00C1A-BC69-4F37-863F-2CF83CF2AD2A}">
      <text>
        <r>
          <rPr>
            <b/>
            <sz val="9"/>
            <color indexed="81"/>
            <rFont val="Tahoma"/>
            <family val="2"/>
          </rPr>
          <t>R Square with a penalty for adding predictors that do not help enough.</t>
        </r>
      </text>
    </comment>
    <comment ref="AA6" authorId="0" shapeId="0" xr:uid="{256FA019-2E02-477A-99E7-6EDB099F3A41}">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9ABCBA41-229D-4836-9EB8-B580817D815A}">
      <text>
        <r>
          <rPr>
            <b/>
            <sz val="9"/>
            <color indexed="81"/>
            <rFont val="Tahoma"/>
            <family val="2"/>
          </rPr>
          <t>The lower bound of the 95% confidence interval.</t>
        </r>
      </text>
    </comment>
    <comment ref="X7" authorId="0" shapeId="0" xr:uid="{4B985D74-BEF6-4FE7-A7FC-899B2613EEA0}">
      <text>
        <r>
          <rPr>
            <b/>
            <sz val="9"/>
            <color indexed="81"/>
            <rFont val="Tahoma"/>
            <family val="2"/>
          </rPr>
          <t>The typical size of the model's prediction errors, measured in the same units as Y.</t>
        </r>
      </text>
    </comment>
    <comment ref="AA7" authorId="0" shapeId="0" xr:uid="{94311EDD-803A-47F2-AC2C-2A740AA38F19}">
      <text>
        <r>
          <rPr>
            <b/>
            <sz val="9"/>
            <color indexed="81"/>
            <rFont val="Tahoma"/>
            <family val="2"/>
          </rPr>
          <t>A model-comparison score that balances fit against complexity. Lower is better when comparing models on the same data.</t>
        </r>
      </text>
    </comment>
    <comment ref="AG7" authorId="0" shapeId="0" xr:uid="{365BD116-3A0D-4AA3-BBEE-F7F7C46080C9}">
      <text>
        <r>
          <rPr>
            <b/>
            <sz val="9"/>
            <color indexed="81"/>
            <rFont val="Tahoma"/>
            <family val="2"/>
          </rPr>
          <t>The upper bound of the 95% confidence interval.</t>
        </r>
      </text>
    </comment>
    <comment ref="X8" authorId="0" shapeId="0" xr:uid="{156F7F96-CDBF-4845-9834-1342E96B69AB}">
      <text>
        <r>
          <rPr>
            <b/>
            <sz val="9"/>
            <color indexed="81"/>
            <rFont val="Tahoma"/>
            <family val="2"/>
          </rPr>
          <t>The number of rows actually used in the regression after filtering.</t>
        </r>
      </text>
    </comment>
    <comment ref="AA8" authorId="0" shapeId="0" xr:uid="{514092DE-6502-40FD-86F4-FCB34A68B8C2}">
      <text>
        <r>
          <rPr>
            <b/>
            <sz val="9"/>
            <color indexed="81"/>
            <rFont val="Tahoma"/>
            <family val="2"/>
          </rPr>
          <t>Another model-comparison score like AIC, but it penalizes extra predictors more strongly.</t>
        </r>
      </text>
    </comment>
    <comment ref="AG8" authorId="0" shapeId="0" xr:uid="{FCEA2273-BD1D-406C-86C6-576ABD5E2CB2}">
      <text>
        <r>
          <rPr>
            <b/>
            <sz val="9"/>
            <color indexed="81"/>
            <rFont val="Tahoma"/>
            <family val="2"/>
          </rPr>
          <t>The probability level associated with the interval. With alpha 0.05, this is 95%.</t>
        </r>
      </text>
    </comment>
    <comment ref="AA9" authorId="0" shapeId="0" xr:uid="{E4D7ACD4-74DD-4C5B-BC4F-D1576DB271ED}">
      <text>
        <r>
          <rPr>
            <b/>
            <sz val="9"/>
            <color indexed="81"/>
            <rFont val="Tahoma"/>
            <family val="2"/>
          </rPr>
          <t>AIC with an extra correction for small samples.</t>
        </r>
      </text>
    </comment>
    <comment ref="AA10" authorId="0" shapeId="0" xr:uid="{C93A111F-B8A3-411E-BD3C-B156B42EEEDF}">
      <text>
        <r>
          <rPr>
            <b/>
            <sz val="9"/>
            <color indexed="81"/>
            <rFont val="Tahoma"/>
            <family val="2"/>
          </rPr>
          <t>A numeric check of how close the residuals are to a normal bell shape. Values closer to 1 are better.</t>
        </r>
      </text>
    </comment>
    <comment ref="AA11" authorId="0" shapeId="0" xr:uid="{6F5134BD-4B18-484B-980E-567AAF055BD0}">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0410B410-46E5-4159-B08E-0A1AAA85CA85}">
      <text>
        <r>
          <rPr>
            <b/>
            <sz val="9"/>
            <color indexed="81"/>
            <rFont val="Tahoma"/>
            <family val="2"/>
          </rPr>
          <t>The cutoff for statistical significance. At 0.05, results with p-values below 0.05 are treated as statistically significant.</t>
        </r>
      </text>
    </comment>
    <comment ref="AA12" authorId="0" shapeId="0" xr:uid="{BA7B76DE-216F-4134-9D3B-A7B37A202761}">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C0046CA0-0105-44AA-BB6A-DCA54B88DA9C}">
      <text>
        <r>
          <rPr>
            <b/>
            <sz val="9"/>
            <color indexed="81"/>
            <rFont val="Tahoma"/>
            <family val="2"/>
          </rPr>
          <t>The number of independent data points available to estimate each part of the model — total rows minus one for each estimated parameter.</t>
        </r>
      </text>
    </comment>
    <comment ref="Z14" authorId="0" shapeId="0" xr:uid="{131F0819-71FF-4E1B-AB00-EB3FCAFAB2AA}">
      <text>
        <r>
          <rPr>
            <b/>
            <sz val="9"/>
            <color indexed="81"/>
            <rFont val="Tahoma"/>
            <family val="2"/>
          </rPr>
          <t>The total variation attributed to that source — regression, residual, or total. The raw material from which MS and F are calculated.</t>
        </r>
      </text>
    </comment>
    <comment ref="AA14" authorId="0" shapeId="0" xr:uid="{72788317-3BA8-4A94-8624-C35A82DFDB58}">
      <text>
        <r>
          <rPr>
            <b/>
            <sz val="9"/>
            <color indexed="81"/>
            <rFont val="Tahoma"/>
            <family val="2"/>
          </rPr>
          <t>Sum of squares averaged over its degrees of freedom — a per-unit measure of variation for that source.</t>
        </r>
      </text>
    </comment>
    <comment ref="AB14" authorId="0" shapeId="0" xr:uid="{BE7B18E5-B52C-41D1-A182-F9EA9C06A37D}">
      <text>
        <r>
          <rPr>
            <b/>
            <sz val="9"/>
            <color indexed="81"/>
            <rFont val="Tahoma"/>
            <family val="2"/>
          </rPr>
          <t>The model-vs-noise ratio used in the overall regression significance test.</t>
        </r>
      </text>
    </comment>
    <comment ref="AC14" authorId="0" shapeId="0" xr:uid="{C5128C3F-6E3A-4829-99E0-027633DAF5D2}">
      <text>
        <r>
          <rPr>
            <b/>
            <sz val="9"/>
            <color indexed="81"/>
            <rFont val="Tahoma"/>
            <family val="2"/>
          </rPr>
          <t>The p-value for the overall F test. Small values mean the model as a whole is unlikely to be pure noise.</t>
        </r>
      </text>
    </comment>
    <comment ref="X15" authorId="0" shapeId="0" xr:uid="{6BC61109-9983-4E01-94F0-0EBBE77CB6FA}">
      <text>
        <r>
          <rPr>
            <b/>
            <sz val="9"/>
            <color indexed="81"/>
            <rFont val="Tahoma"/>
            <family val="2"/>
          </rPr>
          <t>The variation explained by the predictors taken together.</t>
        </r>
      </text>
    </comment>
    <comment ref="X16" authorId="0" shapeId="0" xr:uid="{B35FB620-A4FA-477C-99EC-5B089A0637FD}">
      <text>
        <r>
          <rPr>
            <b/>
            <sz val="9"/>
            <color indexed="81"/>
            <rFont val="Tahoma"/>
            <family val="2"/>
          </rPr>
          <t>The variation the model does not explain.</t>
        </r>
      </text>
    </comment>
    <comment ref="X17" authorId="0" shapeId="0" xr:uid="{E76089C1-D126-41E9-ACAD-3A3F485E4125}">
      <text>
        <r>
          <rPr>
            <b/>
            <sz val="9"/>
            <color indexed="81"/>
            <rFont val="Tahoma"/>
            <family val="2"/>
          </rPr>
          <t>All variation in the outcome before splitting it into explained and unexplained parts.</t>
        </r>
      </text>
    </comment>
    <comment ref="AI17" authorId="0" shapeId="0" xr:uid="{0690665D-FCE6-46D8-A4A2-02DEAC8BEBA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2A98A1A1-3505-4470-A287-279CCCA8480E}">
      <text>
        <r>
          <rPr>
            <b/>
            <sz val="9"/>
            <color indexed="81"/>
            <rFont val="Tahoma"/>
            <family val="2"/>
          </rPr>
          <t>The fitted weights used to turn predictor values into predictions.</t>
        </r>
      </text>
    </comment>
    <comment ref="Z20" authorId="0" shapeId="0" xr:uid="{037B1338-0A13-4D45-B3E2-A59648C9869B}">
      <text>
        <r>
          <rPr>
            <b/>
            <sz val="9"/>
            <color indexed="81"/>
            <rFont val="Tahoma"/>
            <family val="2"/>
          </rPr>
          <t>How uncertain each coefficient estimate is.</t>
        </r>
      </text>
    </comment>
    <comment ref="AA20" authorId="0" shapeId="0" xr:uid="{59714086-B467-40CC-81F2-78B0F225F5E7}">
      <text>
        <r>
          <rPr>
            <b/>
            <sz val="9"/>
            <color indexed="81"/>
            <rFont val="Tahoma"/>
            <family val="2"/>
          </rPr>
          <t>How many standard errors the coefficient is away from zero.</t>
        </r>
      </text>
    </comment>
    <comment ref="AB20" authorId="0" shapeId="0" xr:uid="{3685F694-03BA-452C-A579-B7D60DAC2F55}">
      <text>
        <r>
          <rPr>
            <b/>
            <sz val="9"/>
            <color indexed="81"/>
            <rFont val="Tahoma"/>
            <family val="2"/>
          </rPr>
          <t>How surprising this coefficient would be if its true effect were zero. Smaller values mean stronger evidence of a real effect.</t>
        </r>
      </text>
    </comment>
    <comment ref="AC20" authorId="0" shapeId="0" xr:uid="{F631BD6D-C9FE-4178-980E-46858CBA892B}">
      <text>
        <r>
          <rPr>
            <b/>
            <sz val="9"/>
            <color indexed="81"/>
            <rFont val="Tahoma"/>
            <family val="2"/>
          </rPr>
          <t>The lower bound of the 95% confidence interval.</t>
        </r>
      </text>
    </comment>
    <comment ref="AD20" authorId="0" shapeId="0" xr:uid="{F3999333-407E-4BA1-B248-66D5C085EF96}">
      <text>
        <r>
          <rPr>
            <b/>
            <sz val="9"/>
            <color indexed="81"/>
            <rFont val="Tahoma"/>
            <family val="2"/>
          </rPr>
          <t>The upper bound of the 95% confidence interval.</t>
        </r>
      </text>
    </comment>
    <comment ref="AE20" authorId="0" shapeId="0" xr:uid="{13A52C03-7AFE-4C77-9130-521BDEE6D2B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<sst xmlns="http://schemas.openxmlformats.org/spreadsheetml/2006/main" count="8750" uniqueCount="1842">
  <si>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</si>
  <si>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</si>
  <si>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</si>
  <si>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</si>
  <si>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</si>
  <si>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</si>
  <si>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</si>
  <si>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</si>
  <si>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</si>
  <si>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</si>
  <si>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</si>
  <si>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</si>
  <si>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</si>
  <si>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</si>
  <si>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</si>
  <si>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</si>
  <si>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</si>
  <si>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</si>
  <si>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</si>
  <si>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</si>
  <si>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</si>
  <si>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</si>
  <si>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</si>
  <si>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</si>
  <si>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</si>
  <si>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</si>
  <si>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</si>
  <si>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</si>
  <si>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</si>
  <si>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</si>
  <si>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</si>
  <si>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</si>
  <si>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</si>
  <si>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</si>
  <si>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</si>
  <si>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</si>
  <si>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</si>
  <si>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</si>
  <si>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</si>
  <si>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</si>
  <si>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</si>
  <si>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</si>
  <si>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</si>
  <si>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</si>
  <si>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</si>
  <si>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</si>
  <si>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</si>
  <si>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</si>
  <si>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</si>
  <si>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</si>
  <si>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</si>
  <si>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</si>
  <si>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</si>
  <si>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</si>
  <si>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</si>
  <si>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</si>
  <si>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</si>
  <si>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</si>
  <si>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</si>
  <si>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</si>
  <si>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</si>
  <si>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</si>
  <si>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</si>
  <si>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</si>
  <si>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</si>
  <si>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</si>
  <si>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</si>
  <si>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</si>
  <si>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</si>
  <si>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</si>
  <si>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</si>
  <si>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</si>
  <si>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</si>
  <si>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</si>
  <si>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</si>
  <si>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</si>
  <si>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</si>
  <si>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</si>
  <si>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</si>
  <si>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</si>
  <si>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</si>
  <si>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</si>
  <si>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</si>
  <si>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</si>
  <si>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</si>
  <si>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</si>
  <si>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</si>
  <si>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</si>
  <si>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</si>
  <si>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</si>
  <si>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</si>
  <si>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</si>
  <si>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</si>
  <si>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</si>
  <si>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</si>
  <si>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</si>
  <si>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</si>
  <si>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</si>
  <si>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</si>
  <si>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</si>
  <si>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</si>
  <si>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</si>
  <si>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</si>
  <si>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</si>
  <si>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</si>
  <si>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</si>
  <si>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</si>
  <si>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</si>
  <si>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</si>
  <si>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</si>
  <si>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</si>
  <si>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</si>
  <si>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</si>
  <si>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</si>
  <si>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</si>
  <si>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</si>
  <si>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</si>
  <si>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</si>
  <si>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</si>
  <si>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</si>
  <si>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</si>
  <si>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</si>
  <si>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</si>
  <si>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</si>
  <si>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</si>
  <si>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</si>
  <si>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</si>
  <si>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</si>
  <si>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</si>
  <si>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</si>
  <si>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</si>
  <si>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</si>
  <si>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</si>
  <si>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</si>
  <si>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</si>
  <si>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</si>
  <si>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</si>
  <si>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</si>
  <si>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</si>
  <si>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</si>
  <si>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</si>
  <si>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</si>
  <si>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</si>
  <si>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</si>
  <si>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</si>
  <si>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</si>
  <si>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</si>
  <si>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</si>
  <si>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</si>
  <si>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</si>
  <si>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</si>
  <si>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</si>
  <si>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</si>
  <si>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</si>
  <si>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</si>
  <si>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</si>
  <si>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</si>
  <si>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</si>
  <si>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</si>
  <si>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</si>
  <si>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</si>
  <si>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</si>
  <si>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</si>
  <si>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</si>
  <si>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</si>
  <si>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</si>
  <si>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</si>
  <si>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</si>
  <si>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</si>
  <si>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</si>
  <si>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</si>
  <si>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</si>
  <si>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</si>
  <si>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</si>
  <si>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</si>
  <si>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</si>
  <si>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</si>
  <si>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</si>
  <si>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</si>
  <si>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</si>
  <si>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</si>
  <si>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</si>
  <si>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</si>
  <si>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</si>
  <si>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</si>
  <si>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</si>
  <si>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</si>
  <si>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</si>
  <si>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</si>
  <si>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</si>
  <si>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</si>
  <si>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</si>
  <si>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</si>
  <si>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</si>
  <si>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</si>
  <si>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</si>
  <si>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</si>
  <si>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</si>
  <si>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</si>
  <si>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</si>
  <si>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</si>
  <si>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</si>
  <si>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</si>
  <si>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</si>
  <si>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</si>
  <si>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</si>
  <si>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</si>
  <si>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</si>
  <si>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</si>
  <si>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</si>
  <si>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</si>
  <si>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</si>
  <si>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</si>
  <si>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</si>
  <si>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</si>
  <si>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</si>
  <si>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</si>
  <si>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</si>
  <si>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</si>
  <si>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</si>
  <si>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</si>
  <si>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</si>
  <si>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</si>
  <si>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</si>
  <si>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</si>
  <si>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</si>
  <si>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</si>
  <si>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</si>
  <si>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</si>
  <si>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</si>
  <si>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</si>
  <si>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</si>
  <si>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</si>
  <si>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</si>
  <si>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</si>
  <si>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</si>
  <si>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</si>
  <si>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</si>
  <si>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</si>
  <si>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</si>
  <si>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</si>
  <si>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</si>
  <si>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</si>
  <si>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</si>
  <si>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</si>
  <si>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</si>
  <si>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</si>
  <si>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</si>
  <si>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</si>
  <si>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</si>
  <si>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</si>
  <si>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</si>
  <si>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</si>
  <si>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</si>
  <si>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</si>
  <si>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</si>
  <si>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</si>
  <si>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</si>
  <si>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</si>
  <si>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</si>
  <si>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</si>
  <si>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</si>
  <si>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</si>
  <si>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</si>
  <si>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</si>
  <si>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</si>
  <si>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</si>
  <si>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</si>
  <si>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</si>
  <si>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</si>
  <si>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</si>
  <si>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</si>
  <si>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</si>
  <si>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</si>
  <si>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</si>
  <si>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</si>
  <si>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</si>
  <si>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</si>
  <si>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</si>
  <si>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</si>
  <si>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</si>
  <si>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</si>
  <si>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</si>
  <si>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</si>
  <si>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</si>
  <si>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</si>
  <si>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</si>
  <si>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</si>
  <si>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</si>
  <si>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</si>
  <si>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</si>
  <si>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</si>
  <si>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</si>
  <si>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</si>
  <si>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</si>
  <si>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</si>
  <si>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</si>
  <si>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</si>
  <si>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</si>
  <si>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</si>
  <si>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</si>
  <si>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</si>
  <si>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</si>
  <si>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</si>
  <si>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</si>
  <si>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</si>
  <si>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</si>
  <si>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</si>
  <si>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</si>
  <si>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</si>
  <si>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</si>
  <si>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</si>
  <si>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</si>
  <si>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</si>
  <si>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</si>
  <si>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</si>
  <si>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</si>
  <si>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</si>
  <si>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</si>
  <si>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</si>
  <si>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</si>
  <si>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</si>
  <si>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</si>
  <si>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</si>
  <si>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</si>
  <si>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</si>
  <si>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</si>
  <si>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</si>
  <si>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</si>
  <si>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</si>
  <si>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</si>
  <si>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</si>
  <si>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</si>
  <si>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</si>
  <si>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</si>
  <si>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</si>
  <si>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</si>
  <si>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</si>
  <si>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</si>
  <si>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</si>
  <si>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</si>
  <si>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</si>
  <si>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</si>
  <si>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</si>
  <si>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</si>
  <si>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</si>
  <si>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</si>
  <si>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</si>
  <si>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</si>
  <si>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</si>
  <si>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</si>
  <si>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</si>
  <si>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</si>
  <si>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</si>
  <si>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</si>
  <si>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</si>
  <si>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</si>
  <si>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</si>
  <si>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</si>
  <si>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</si>
  <si>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</si>
  <si>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</si>
  <si>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</si>
  <si>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</si>
  <si>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</si>
  <si>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</si>
  <si>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</si>
  <si>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</si>
  <si>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</si>
  <si>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</si>
  <si>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</si>
  <si>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</si>
  <si>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</si>
  <si>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</si>
  <si>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</si>
  <si>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</si>
  <si>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</si>
  <si>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</si>
  <si>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</si>
  <si>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</si>
  <si>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</si>
  <si>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</si>
  <si>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</si>
  <si>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</si>
  <si>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</si>
  <si>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</si>
  <si>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</si>
  <si>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</si>
  <si>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</si>
  <si>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</si>
  <si>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</si>
  <si>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</si>
  <si>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</si>
  <si>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</si>
  <si>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</si>
  <si>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</si>
  <si>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</si>
  <si>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</si>
  <si>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</si>
  <si>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</si>
  <si>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</si>
  <si>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</si>
  <si>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</si>
  <si>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</si>
  <si>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</si>
  <si>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</si>
  <si>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</si>
  <si>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</si>
  <si>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</si>
  <si>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</si>
  <si>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</si>
  <si>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</si>
  <si>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</si>
  <si>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</si>
  <si>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</si>
  <si>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</si>
  <si>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</si>
  <si>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</si>
  <si>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</si>
  <si>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</si>
  <si>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</si>
  <si>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</si>
  <si>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</si>
  <si>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</si>
  <si>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</si>
  <si>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</si>
  <si>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</si>
  <si>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</si>
  <si>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</si>
  <si>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</si>
  <si>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</si>
  <si>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</si>
  <si>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</si>
  <si>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</si>
  <si>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</si>
  <si>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</si>
  <si>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</si>
  <si>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</si>
  <si>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</si>
  <si>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</si>
  <si>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</si>
  <si>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</si>
  <si>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</si>
  <si>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</si>
  <si>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</si>
  <si>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</si>
  <si>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</si>
  <si>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</si>
  <si>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</si>
  <si>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</si>
  <si>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</si>
  <si>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</si>
  <si>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</si>
  <si>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</si>
  <si>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</si>
  <si>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</si>
  <si>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</si>
  <si>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</si>
  <si>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</si>
  <si>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</si>
  <si>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</si>
  <si>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</si>
  <si>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</si>
  <si>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</si>
  <si>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</si>
  <si>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</si>
  <si>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</si>
  <si>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</si>
  <si>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</si>
  <si>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</si>
  <si>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</si>
  <si>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</si>
  <si>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</si>
  <si>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</si>
  <si>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</si>
  <si>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</si>
  <si>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</si>
  <si>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</si>
  <si>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</si>
  <si>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</si>
  <si>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</si>
  <si>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</si>
  <si>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</si>
  <si>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</si>
  <si>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</si>
  <si>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</si>
  <si>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</si>
  <si>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</si>
  <si>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</si>
  <si>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</si>
  <si>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</si>
  <si>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</si>
  <si>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</si>
  <si>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</si>
  <si>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</si>
  <si>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</si>
  <si>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</si>
  <si>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</si>
  <si>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</si>
  <si>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</si>
  <si>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</si>
  <si>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</si>
  <si>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</si>
  <si>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</si>
  <si>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</si>
  <si>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</si>
  <si>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</si>
  <si>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</si>
  <si>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</si>
  <si>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</si>
  <si>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</si>
  <si>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</si>
  <si>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</si>
  <si>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</si>
  <si>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</si>
  <si>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</si>
  <si>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</si>
  <si>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</si>
  <si>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</si>
  <si>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</si>
  <si>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</si>
  <si>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</si>
  <si>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</si>
  <si>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</si>
  <si>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</si>
  <si>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</si>
  <si>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</si>
  <si>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</si>
  <si>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</si>
  <si>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</si>
  <si>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</si>
  <si>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</si>
  <si>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</si>
  <si>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</si>
  <si>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</si>
  <si>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</si>
  <si>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</si>
  <si>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</si>
  <si>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</si>
  <si>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</si>
  <si>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</si>
  <si>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</si>
  <si>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</si>
  <si>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</si>
  <si>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</si>
  <si>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</si>
  <si>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</si>
  <si>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</si>
  <si>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</si>
  <si>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</si>
  <si>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</si>
  <si>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</si>
  <si>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</si>
  <si>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</si>
  <si>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</si>
  <si>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</si>
  <si>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</si>
  <si>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</si>
  <si>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</si>
  <si>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</si>
  <si>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</si>
  <si>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</si>
  <si>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</si>
  <si>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</si>
  <si>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</si>
  <si>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</si>
  <si>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</si>
  <si>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</si>
  <si>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</si>
  <si>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</si>
  <si>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</si>
  <si>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</si>
  <si>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</si>
  <si>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</si>
  <si>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</si>
  <si>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</si>
  <si>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</si>
  <si>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</si>
  <si>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</si>
  <si>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</si>
  <si>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</si>
  <si>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</si>
  <si>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</si>
  <si>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</si>
  <si>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</si>
  <si>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</si>
  <si>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</si>
  <si>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</si>
  <si>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</si>
  <si>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</si>
  <si>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</si>
  <si>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</si>
  <si>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</si>
  <si>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</si>
  <si>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</si>
  <si>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</si>
  <si>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</si>
  <si>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</si>
  <si>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</si>
  <si>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</si>
  <si>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</si>
  <si>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</si>
  <si>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</si>
  <si>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</si>
  <si>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</si>
  <si>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</si>
  <si>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</si>
  <si>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</si>
  <si>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</si>
  <si>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</si>
  <si>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</si>
  <si>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</si>
  <si>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</si>
  <si>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</si>
  <si>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</si>
  <si>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</si>
  <si>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</si>
  <si>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</si>
  <si>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</si>
  <si>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</si>
  <si>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</si>
  <si>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</si>
  <si>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</si>
  <si>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</si>
  <si>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</si>
  <si>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</si>
  <si>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</si>
  <si>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</si>
  <si>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</si>
  <si>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</si>
  <si>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</si>
  <si>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</si>
  <si>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</si>
  <si>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</si>
  <si>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</si>
  <si>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</si>
  <si>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</si>
  <si>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</si>
  <si>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</si>
  <si>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</si>
  <si>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</si>
  <si>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</si>
  <si>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</si>
  <si>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</si>
  <si>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</si>
  <si>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</si>
  <si>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</si>
  <si>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</si>
  <si>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</si>
  <si>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</si>
  <si>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</si>
  <si>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</si>
  <si>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</si>
  <si>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</si>
  <si>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</si>
  <si>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</si>
  <si>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</si>
  <si>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</si>
  <si>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</si>
  <si>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</si>
  <si>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</si>
  <si>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</si>
  <si>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</si>
  <si>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</si>
  <si>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</si>
  <si>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</si>
  <si>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</si>
  <si>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</si>
  <si>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</si>
  <si>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</si>
  <si>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</si>
  <si>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</si>
  <si>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</si>
  <si>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</si>
  <si>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</si>
  <si>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</si>
  <si>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</si>
  <si>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</si>
  <si>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</si>
  <si>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</si>
  <si>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</si>
  <si>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</si>
  <si>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</si>
  <si>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</si>
  <si>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</si>
  <si>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</si>
  <si>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</si>
  <si>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</si>
  <si>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</si>
  <si>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</si>
  <si>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</si>
  <si>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</si>
  <si>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</si>
  <si>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</si>
  <si>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</si>
  <si>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</si>
  <si>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</si>
  <si>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</si>
  <si>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</si>
  <si>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</si>
  <si>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</si>
  <si>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</si>
  <si>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</si>
  <si>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</si>
  <si>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</si>
  <si>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</si>
  <si>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</si>
  <si>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</si>
  <si>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</si>
  <si>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</si>
  <si>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</si>
  <si>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</si>
  <si>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</si>
  <si>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</si>
  <si>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</si>
  <si>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</si>
  <si>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</si>
  <si>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</si>
  <si>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</si>
  <si>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</si>
  <si>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</si>
  <si>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</si>
  <si>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</si>
  <si>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</si>
  <si>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</si>
  <si>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</si>
  <si>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</si>
  <si>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</si>
  <si>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</si>
  <si>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</si>
  <si>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</si>
  <si>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</si>
  <si>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</si>
  <si>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</si>
  <si>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</si>
  <si>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</si>
  <si>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</si>
  <si>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</si>
  <si>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</si>
  <si>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</si>
  <si>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</si>
  <si>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</si>
  <si>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</si>
  <si>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</si>
  <si>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</si>
  <si>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</si>
  <si>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</si>
  <si>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</si>
  <si>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</si>
  <si>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</si>
  <si>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</si>
  <si>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</si>
  <si>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</si>
  <si>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</si>
  <si>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</si>
  <si>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</si>
  <si>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</si>
  <si>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</si>
  <si>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</si>
  <si>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</si>
  <si>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</si>
  <si>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</si>
  <si>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</si>
  <si>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</si>
  <si>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</si>
  <si>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</si>
  <si>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</si>
  <si>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</si>
  <si>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</si>
  <si>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</si>
  <si>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</si>
  <si>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</si>
  <si>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</si>
  <si>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</si>
  <si>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</si>
  <si>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</si>
  <si>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</si>
  <si>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</si>
  <si>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</si>
  <si>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</si>
  <si>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</si>
  <si>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</si>
  <si>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</si>
  <si>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</si>
  <si>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</si>
  <si>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</si>
  <si>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</si>
  <si>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</si>
  <si>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</si>
  <si>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</si>
  <si>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</si>
  <si>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</si>
  <si>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</si>
  <si>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</si>
  <si>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</si>
  <si>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</si>
  <si>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</si>
  <si>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</si>
  <si>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</si>
  <si>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</si>
  <si>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</si>
  <si>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</si>
  <si>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</si>
  <si>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</si>
  <si>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</si>
  <si>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</si>
  <si>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</si>
  <si>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</si>
  <si>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</si>
  <si>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</si>
  <si>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</si>
  <si>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</si>
  <si>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</si>
  <si>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</si>
  <si>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</si>
  <si>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</si>
  <si>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</si>
  <si>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</si>
  <si>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</si>
  <si>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</si>
  <si>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</si>
  <si>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</si>
  <si>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</si>
  <si>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</si>
  <si>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</si>
  <si>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</si>
  <si>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</si>
  <si>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</si>
  <si>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</si>
  <si>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</si>
  <si>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</si>
  <si>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</si>
  <si>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</si>
  <si>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</si>
  <si>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</si>
  <si>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</si>
  <si>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</si>
  <si>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</si>
  <si>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</si>
  <si>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</si>
  <si>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</si>
  <si>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</si>
  <si>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</si>
  <si>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</si>
  <si>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</si>
  <si>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</si>
  <si>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</si>
  <si>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</si>
  <si>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</si>
  <si>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</si>
  <si>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</si>
  <si>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</si>
  <si>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</si>
  <si>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</si>
  <si>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</si>
  <si>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</si>
  <si>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</si>
  <si>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</si>
  <si>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</si>
  <si>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</si>
  <si>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</si>
  <si>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</si>
  <si>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</si>
  <si>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</si>
  <si>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</si>
  <si>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</si>
  <si>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</si>
  <si>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</si>
  <si>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</si>
  <si>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</si>
  <si>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</si>
  <si>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</si>
  <si>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</si>
  <si>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</si>
  <si>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</si>
  <si>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</si>
  <si>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</si>
  <si>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</si>
  <si>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</si>
  <si>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</si>
  <si>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</si>
  <si>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</si>
  <si>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</si>
  <si>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</si>
  <si>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</si>
  <si>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</si>
  <si>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</si>
  <si>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</si>
  <si>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</si>
  <si>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</si>
  <si>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</si>
  <si>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</si>
  <si>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</si>
  <si>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</si>
  <si>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</si>
  <si>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</si>
  <si>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</si>
  <si>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</si>
  <si>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</si>
  <si>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</si>
  <si>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</si>
  <si>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</si>
  <si>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</si>
  <si>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</si>
  <si>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</si>
  <si>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</si>
  <si>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</si>
  <si>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</si>
  <si>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</si>
  <si>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</si>
  <si>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</si>
  <si>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</si>
  <si>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</si>
  <si>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</si>
  <si>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</si>
  <si>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</si>
  <si>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</si>
  <si>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</si>
  <si>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</si>
  <si>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</si>
  <si>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</si>
  <si>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</si>
  <si>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</si>
  <si>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</si>
  <si>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</si>
  <si>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</si>
  <si>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</si>
  <si>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</si>
  <si>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</si>
  <si>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</si>
  <si>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</si>
  <si>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</si>
  <si>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</si>
  <si>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</si>
  <si>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</si>
  <si>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</si>
  <si>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</si>
  <si>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</si>
  <si>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</si>
  <si>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</si>
  <si>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</si>
  <si>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</si>
  <si>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</si>
  <si>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</si>
  <si>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</si>
  <si>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</si>
  <si>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</si>
  <si>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</si>
  <si>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</si>
  <si>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</si>
  <si>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</si>
  <si>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</si>
  <si>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</si>
  <si>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</si>
  <si>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</si>
  <si>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</si>
  <si>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</si>
  <si>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</si>
  <si>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</si>
  <si>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</si>
  <si>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</si>
  <si>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</si>
  <si>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</si>
  <si>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</si>
  <si>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</si>
  <si>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</si>
  <si>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</si>
  <si>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</si>
  <si>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</si>
  <si>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</si>
  <si>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</si>
  <si>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</si>
  <si>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</si>
  <si>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</si>
  <si>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</si>
  <si>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</si>
  <si>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</si>
  <si>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</si>
  <si>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</si>
  <si>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</si>
  <si>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</si>
  <si>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</si>
  <si>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</si>
  <si>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</si>
  <si>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</si>
  <si>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</si>
  <si>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</si>
  <si>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</si>
  <si>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</si>
  <si>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</si>
  <si>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</si>
  <si>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</si>
  <si>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</si>
  <si>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</si>
  <si>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</si>
  <si>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</si>
  <si>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</si>
  <si>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</si>
  <si>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</si>
  <si>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</si>
  <si>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</si>
  <si>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</si>
  <si>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</si>
  <si>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</si>
  <si>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</si>
  <si>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</si>
  <si>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</si>
  <si>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</si>
  <si>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</si>
  <si>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</si>
  <si>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</si>
  <si>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</si>
  <si>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</si>
  <si>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</si>
  <si>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</si>
  <si>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</si>
  <si>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</si>
  <si>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</si>
  <si>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</si>
  <si>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</si>
  <si>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</si>
  <si>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</si>
  <si>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</si>
  <si>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</si>
  <si>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</si>
  <si>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</si>
  <si>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</si>
  <si>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</si>
  <si>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</si>
  <si>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</si>
  <si>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</si>
  <si>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</si>
  <si>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</si>
  <si>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</si>
  <si>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</si>
  <si>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</si>
  <si>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</si>
  <si>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</si>
  <si>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</si>
  <si>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</si>
  <si>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</si>
  <si>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</si>
  <si>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</si>
  <si>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</si>
  <si>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</si>
  <si>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</si>
  <si>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</si>
  <si>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</si>
  <si>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</si>
  <si>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</si>
  <si>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</si>
  <si>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</si>
  <si>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</si>
  <si>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</si>
  <si>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</si>
  <si>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</si>
  <si>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</si>
  <si>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</si>
  <si>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</si>
  <si>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</si>
  <si>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</si>
  <si>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</si>
  <si>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</si>
  <si>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</si>
  <si>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</si>
  <si>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</si>
  <si>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</si>
  <si>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</si>
  <si>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</si>
  <si>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</si>
  <si>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</si>
  <si>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</si>
  <si>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</si>
  <si>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</si>
  <si>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</si>
  <si>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</si>
  <si>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</si>
  <si>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</si>
  <si>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</si>
  <si>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</si>
  <si>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</si>
  <si>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</si>
  <si>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</si>
  <si>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</si>
  <si>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</si>
  <si>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</si>
  <si>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</si>
  <si>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</si>
  <si>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</si>
  <si>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</si>
  <si>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</si>
  <si>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</si>
  <si>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</si>
  <si>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</si>
  <si>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</si>
  <si>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</si>
  <si>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</si>
  <si>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</si>
  <si>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</si>
  <si>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</si>
  <si>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</si>
  <si>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</si>
  <si>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</si>
  <si>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</si>
  <si>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</si>
  <si>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</si>
  <si>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</si>
  <si>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</si>
  <si>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</si>
  <si>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</si>
  <si>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</si>
  <si>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</si>
  <si>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</si>
  <si>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</si>
  <si>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</si>
  <si>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</si>
  <si>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</si>
  <si>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</si>
  <si>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</si>
  <si>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</si>
  <si>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</si>
  <si>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</si>
  <si>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</si>
  <si>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</si>
  <si>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</si>
  <si>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</si>
  <si>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</si>
  <si>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</si>
  <si>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</si>
  <si>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</si>
  <si>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</si>
  <si>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</si>
  <si>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</si>
  <si>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</si>
  <si>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</si>
  <si>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</si>
  <si>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</si>
  <si>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</si>
  <si>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</si>
  <si>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</si>
  <si>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</si>
  <si>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</si>
  <si>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</si>
  <si>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</si>
  <si>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</si>
  <si>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</si>
  <si>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</si>
  <si>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</si>
  <si>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</si>
  <si>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</si>
  <si>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</si>
  <si>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</si>
  <si>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</si>
  <si>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</si>
  <si>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</si>
  <si>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</si>
  <si>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</si>
  <si>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</si>
  <si>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</si>
  <si>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</si>
  <si>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</si>
  <si>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</si>
  <si>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</si>
  <si>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</si>
  <si>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</si>
  <si>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</si>
  <si>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</si>
  <si>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</si>
  <si>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</si>
  <si>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</si>
  <si>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</si>
  <si>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</si>
  <si>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</si>
  <si>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</si>
  <si>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</si>
  <si>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</si>
  <si>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</si>
  <si>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</si>
  <si>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</si>
  <si>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</si>
  <si>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</si>
  <si>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</si>
  <si>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</si>
  <si>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</si>
  <si>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</si>
  <si>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</si>
  <si>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</si>
  <si>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</si>
  <si>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</si>
  <si>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</si>
  <si>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</si>
  <si>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</si>
  <si>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</si>
  <si>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</si>
  <si>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</si>
  <si>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</si>
  <si>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</si>
  <si>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</si>
  <si>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</si>
  <si>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</si>
  <si>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</si>
  <si>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</si>
  <si>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</si>
  <si>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</si>
  <si>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</si>
  <si>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</si>
  <si>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</si>
  <si>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</si>
  <si>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</si>
  <si>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</si>
  <si>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</si>
  <si>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</si>
  <si>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</si>
  <si>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</si>
  <si>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</si>
  <si>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</si>
  <si>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</si>
  <si>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</si>
  <si>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</si>
  <si>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</si>
  <si>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</si>
  <si>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</si>
  <si>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</si>
  <si>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</si>
  <si>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</si>
  <si>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</si>
  <si>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</si>
  <si>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</si>
  <si>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</si>
  <si>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</si>
  <si>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</si>
  <si>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</si>
  <si>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</si>
  <si>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</si>
  <si>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</si>
  <si>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</si>
  <si>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</si>
  <si>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</si>
  <si>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</si>
  <si>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</si>
  <si>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</si>
  <si>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</si>
  <si>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</si>
  <si>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</si>
  <si>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</si>
  <si>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</si>
  <si>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</si>
  <si>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</si>
  <si>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</si>
  <si>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</si>
  <si>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</si>
  <si>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</si>
  <si>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</si>
  <si>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</si>
  <si>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</si>
  <si>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</si>
  <si>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</si>
  <si>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</si>
  <si>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</si>
  <si>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</si>
  <si>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</si>
  <si>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</si>
  <si>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</si>
  <si>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</si>
  <si>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</si>
  <si>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</si>
  <si>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</si>
  <si>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</si>
  <si>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</si>
  <si>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</si>
  <si>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</si>
  <si>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</si>
  <si>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</si>
  <si>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</si>
  <si>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</si>
  <si>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</si>
  <si>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</si>
  <si>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</si>
  <si>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</si>
  <si>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</si>
  <si>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</si>
  <si>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</si>
  <si>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</si>
  <si>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</si>
  <si>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</si>
  <si>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</si>
  <si>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</si>
  <si>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</si>
  <si>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</si>
  <si>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</si>
  <si>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</si>
  <si>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</si>
  <si>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</si>
  <si>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</si>
  <si>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</si>
  <si>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</si>
  <si>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</si>
  <si>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</si>
  <si>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</si>
  <si>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</si>
  <si>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</si>
  <si>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</si>
  <si>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</si>
  <si>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</si>
  <si>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</si>
  <si>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</si>
  <si>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</si>
  <si>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</si>
  <si>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</si>
  <si>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</si>
  <si>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</si>
  <si>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</si>
  <si>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</si>
  <si>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</si>
  <si>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</si>
  <si>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</si>
  <si>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</si>
  <si>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</si>
  <si>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</si>
  <si>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</si>
  <si>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</si>
  <si>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</si>
  <si>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</si>
  <si>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</si>
  <si>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</si>
  <si>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</si>
  <si>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</si>
  <si>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</si>
  <si>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</si>
  <si>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</si>
  <si>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</si>
  <si>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</si>
  <si>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</si>
  <si>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</si>
  <si>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</si>
  <si>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</si>
  <si>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</si>
  <si>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</si>
  <si>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</si>
  <si>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</si>
  <si>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</si>
  <si>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</si>
  <si>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</si>
  <si>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</si>
  <si>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</si>
  <si>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</si>
  <si>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</si>
  <si>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</si>
  <si>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</si>
  <si>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</si>
  <si>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</si>
  <si>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</si>
  <si>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</si>
  <si>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</si>
  <si>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</si>
  <si>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</si>
  <si>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</si>
  <si>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</si>
  <si>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</si>
  <si>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</si>
  <si>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</si>
  <si>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</si>
  <si>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</si>
  <si>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</si>
  <si>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</si>
  <si>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</si>
  <si>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</si>
  <si>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</si>
  <si>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</si>
  <si>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</si>
  <si>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</si>
  <si>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</si>
  <si>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</si>
  <si>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</si>
  <si>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</si>
  <si>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</si>
  <si>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</si>
  <si>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</si>
  <si>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</si>
  <si>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</si>
  <si>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</si>
  <si>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</si>
  <si>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</si>
  <si>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</si>
  <si>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</si>
  <si>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</si>
  <si>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</si>
  <si>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</si>
  <si>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</si>
  <si>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</si>
  <si>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</si>
  <si>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</si>
  <si>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</si>
  <si>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</si>
  <si>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</si>
  <si>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</si>
  <si>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</si>
  <si>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</si>
  <si>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</si>
  <si>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</si>
  <si>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</si>
  <si>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</si>
  <si>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</si>
  <si>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</si>
  <si>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</si>
  <si>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</si>
  <si>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</si>
  <si>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</si>
  <si>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</si>
  <si>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</si>
  <si>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</si>
  <si>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</si>
  <si>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</si>
  <si>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</si>
  <si>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</si>
  <si>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</si>
  <si>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</si>
  <si>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</si>
  <si>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</si>
  <si>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</si>
  <si>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</si>
  <si>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</si>
  <si>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</si>
  <si>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</si>
  <si>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</si>
  <si>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</si>
  <si>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</si>
  <si>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</si>
  <si>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</si>
  <si>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</si>
  <si>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</si>
  <si>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</si>
  <si>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</si>
  <si>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</si>
  <si>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</si>
  <si>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</si>
  <si>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</si>
  <si>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</si>
  <si>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</si>
  <si>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</si>
  <si>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</si>
  <si>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</si>
  <si>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</si>
  <si>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</si>
  <si>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</si>
  <si>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</si>
  <si>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</si>
  <si>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</si>
  <si>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</si>
  <si>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</si>
  <si>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</si>
  <si>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</si>
  <si>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</si>
  <si>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</si>
  <si>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</si>
  <si>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</si>
  <si>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</si>
  <si>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</si>
  <si>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</si>
  <si>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</si>
  <si>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</si>
  <si>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</si>
  <si>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</si>
  <si>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</si>
  <si>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</si>
  <si>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</si>
  <si>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</si>
  <si>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</si>
  <si>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</si>
  <si>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</si>
  <si>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</si>
  <si>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</si>
  <si>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</si>
  <si>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</si>
  <si>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</si>
  <si>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</si>
  <si>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</si>
  <si>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</si>
  <si>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</si>
  <si>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</si>
  <si>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</si>
  <si>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</si>
  <si>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</si>
  <si>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</si>
  <si>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</si>
  <si>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</si>
  <si>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</si>
  <si>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</si>
  <si>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</si>
  <si>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</si>
  <si>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</si>
  <si>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</si>
  <si>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</si>
  <si>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</si>
  <si>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</si>
  <si>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</si>
  <si>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</si>
  <si>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</si>
  <si>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</si>
  <si>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</si>
  <si>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</si>
  <si>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</si>
  <si>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</si>
  <si>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</si>
  <si>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</si>
  <si>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</si>
  <si>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</si>
  <si>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</si>
  <si>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</si>
  <si>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</si>
  <si>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</si>
  <si>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</si>
  <si>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</si>
  <si>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</si>
  <si>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</si>
  <si>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</si>
  <si>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</si>
  <si>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</si>
  <si>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</si>
  <si>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</si>
  <si>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</si>
  <si>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</si>
  <si>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</si>
  <si>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</si>
  <si>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</si>
  <si>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</si>
  <si>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</si>
  <si>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</si>
  <si>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</si>
  <si>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</si>
  <si>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</si>
  <si>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</si>
  <si>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</si>
  <si>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</si>
  <si>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</si>
  <si>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</si>
  <si>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</si>
  <si>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</si>
  <si>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</si>
  <si>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</si>
  <si>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</si>
  <si>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</si>
  <si>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</si>
  <si>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</si>
  <si>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</si>
  <si>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</si>
  <si>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</si>
  <si>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</si>
  <si>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</si>
  <si>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</si>
  <si>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</si>
  <si>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</si>
  <si>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</si>
  <si>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</si>
  <si>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</si>
  <si>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</si>
  <si>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</si>
  <si>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</si>
  <si>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</si>
  <si>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</si>
  <si>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</si>
  <si>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</si>
  <si>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</si>
  <si>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</si>
  <si>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</si>
  <si>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</si>
  <si>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</si>
  <si>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</si>
  <si>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</si>
  <si>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</si>
  <si>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</si>
  <si>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</si>
  <si>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</si>
  <si>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</si>
  <si>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</si>
  <si>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</si>
  <si>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</si>
  <si>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</si>
  <si>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</si>
  <si>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</si>
  <si>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</si>
  <si>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</si>
  <si>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</si>
  <si>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</si>
  <si>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</si>
  <si>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</si>
  <si>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</si>
  <si>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</si>
  <si>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</si>
  <si>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</si>
  <si>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</si>
  <si>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</si>
  <si>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</si>
  <si>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</si>
  <si>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</si>
  <si>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</si>
  <si>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</si>
  <si>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</si>
  <si>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</si>
  <si>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</si>
  <si>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</si>
  <si>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</si>
  <si>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</si>
  <si>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</si>
  <si>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</si>
  <si>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</si>
  <si>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</si>
  <si>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</si>
  <si>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</si>
  <si>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</si>
  <si>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</si>
  <si>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</si>
  <si>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</si>
  <si>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</si>
  <si>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</si>
  <si>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</si>
  <si>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</si>
  <si>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</si>
  <si>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</si>
  <si>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</si>
  <si>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</si>
  <si>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</si>
  <si>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</si>
  <si>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</si>
  <si>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</si>
  <si>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</si>
  <si>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</si>
  <si>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</si>
  <si>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</si>
  <si>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</si>
  <si>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</si>
  <si>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</si>
  <si>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</si>
  <si>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</si>
  <si>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</si>
  <si>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</si>
  <si>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</si>
  <si>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</si>
  <si>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</si>
  <si>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</si>
  <si>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</si>
  <si>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</si>
  <si>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</si>
  <si>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</si>
  <si>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</si>
  <si>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</si>
  <si>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</si>
  <si>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</si>
  <si>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</si>
  <si>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</si>
  <si>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</si>
  <si>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</si>
  <si>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</si>
  <si>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</si>
  <si>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</si>
  <si>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</si>
  <si>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</si>
  <si>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</si>
  <si>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</si>
  <si>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</si>
  <si>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</si>
  <si>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</si>
  <si>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</si>
  <si>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</si>
  <si>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</si>
  <si>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</si>
  <si>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</si>
  <si>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</si>
  <si>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</si>
  <si>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</si>
  <si>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</si>
  <si>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</si>
  <si>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</si>
  <si>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</si>
  <si>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</si>
  <si>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</si>
  <si>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</si>
  <si>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</si>
  <si>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</si>
  <si>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</si>
  <si>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</si>
  <si>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</si>
  <si>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</si>
  <si>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</si>
  <si>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</si>
  <si>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</si>
  <si>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</si>
  <si>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</si>
  <si>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</si>
  <si>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</si>
  <si>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</si>
  <si>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</si>
  <si>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</si>
  <si>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</si>
  <si>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</si>
  <si>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</si>
  <si>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</si>
  <si>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</si>
  <si>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</si>
  <si>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</si>
  <si>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</si>
  <si>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</si>
  <si>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</si>
  <si>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</si>
  <si>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</si>
  <si>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</si>
  <si>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</si>
  <si>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</si>
  <si>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</si>
  <si>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</si>
  <si>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</si>
  <si>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</si>
  <si>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</si>
  <si>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</si>
  <si>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</si>
  <si>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</si>
  <si>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</si>
  <si>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</si>
  <si>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</si>
  <si>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</si>
  <si>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</si>
  <si>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</si>
  <si>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</si>
  <si>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</si>
  <si>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</si>
  <si>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</si>
  <si>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</si>
  <si>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</si>
  <si>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</si>
  <si>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</si>
  <si>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</si>
  <si>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</si>
  <si>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</si>
  <si>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</si>
  <si>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</si>
  <si>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</si>
  <si>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</si>
  <si>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</si>
  <si>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</si>
  <si>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</si>
  <si>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</si>
  <si>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</si>
  <si>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</si>
  <si>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</si>
  <si>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</si>
  <si>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</si>
  <si>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</si>
  <si>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</si>
  <si>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</si>
  <si>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</si>
  <si>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</si>
  <si>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</si>
  <si>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</si>
  <si>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</si>
  <si>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</si>
  <si>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</si>
  <si>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</si>
  <si>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</si>
  <si>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</si>
  <si>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</si>
  <si>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</si>
  <si>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</si>
  <si>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</si>
  <si>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</si>
  <si>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</si>
  <si>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</si>
  <si>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</si>
  <si>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</si>
  <si>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</si>
  <si>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</si>
  <si>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</si>
  <si>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</si>
  <si>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</si>
  <si>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</si>
  <si>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</si>
  <si>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</si>
  <si>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</si>
  <si>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</si>
  <si>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</si>
  <si>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</si>
  <si>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</si>
  <si>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</si>
  <si>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</si>
  <si>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</si>
  <si>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</si>
  <si>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</si>
  <si>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</si>
  <si>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</si>
  <si>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</si>
  <si>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</si>
  <si>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</si>
  <si>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</si>
  <si>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</si>
  <si>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</si>
  <si>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</si>
  <si>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</si>
  <si>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</si>
  <si>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</si>
  <si>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</si>
  <si>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</si>
  <si>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</si>
  <si>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</si>
  <si>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</si>
  <si>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</si>
  <si>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</si>
  <si>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</si>
  <si>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</si>
  <si>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</si>
  <si>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</si>
  <si>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</si>
  <si>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</si>
  <si>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</si>
  <si>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</si>
  <si>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</si>
  <si>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</si>
  <si>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</si>
  <si>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</si>
  <si>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</si>
  <si>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</si>
  <si>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</si>
  <si>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</si>
  <si>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</si>
  <si>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</si>
  <si>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</si>
  <si>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</si>
  <si>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</si>
  <si>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</si>
  <si>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</si>
  <si>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</si>
  <si>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</si>
  <si>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</si>
  <si>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</si>
  <si>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</si>
  <si>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</si>
  <si>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</si>
  <si>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</si>
  <si>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</si>
  <si>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</si>
  <si>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</si>
  <si>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PI Upper</t>
  </si>
  <si>
    <t>None</t>
  </si>
  <si>
    <t>Categorical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</si>
</sst>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D49E-4696-95E5-601B179D4938}"/>
            </c:ext>
          </c:extLst>
        </c:ser>
        <c:dLbls>
          <c:showLegendKey val="0"/>
          <c:showVal val="0"/>
          <c:showCatName val="0"/>
          <c:showSerName val="0"/>
          <c:showPercent val="0"/>
          <c:showBubbleSize val="0"/>
        </c:dLbls>
        <c:axId val="1032479231"/>
        <c:axId val="1032481631"/>
      </c:scatterChart>
      <c:valAx>
        <c:axId val="103247923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032481631"/>
        <c:crosses val="autoZero"/>
        <c:crossBetween val="midCat"/>
      </c:valAx>
      <c:valAx>
        <c:axId val="103248163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0324792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D226-46E6-AE50-8D79019FF854}"/>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D226-46E6-AE50-8D79019FF854}"/>
            </c:ext>
          </c:extLst>
        </c:ser>
        <c:dLbls>
          <c:showLegendKey val="0"/>
          <c:showVal val="0"/>
          <c:showCatName val="0"/>
          <c:showSerName val="0"/>
          <c:showPercent val="0"/>
          <c:showBubbleSize val="0"/>
        </c:dLbls>
        <c:axId val="1032481151"/>
        <c:axId val="719275487"/>
      </c:scatterChart>
      <c:valAx>
        <c:axId val="1032481151"/>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719275487"/>
        <c:crosses val="autoZero"/>
        <c:crossBetween val="midCat"/>
      </c:valAx>
      <c:valAx>
        <c:axId val="719275487"/>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0324811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F56D-4739-971A-170A7801140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F56D-4739-971A-170A78011405}"/>
            </c:ext>
          </c:extLst>
        </c:ser>
        <c:dLbls>
          <c:showLegendKey val="0"/>
          <c:showVal val="0"/>
          <c:showCatName val="0"/>
          <c:showSerName val="0"/>
          <c:showPercent val="0"/>
          <c:showBubbleSize val="0"/>
        </c:dLbls>
        <c:axId val="1017241903"/>
        <c:axId val="1017243343"/>
      </c:scatterChart>
      <c:valAx>
        <c:axId val="1017241903"/>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017243343"/>
        <c:crosses val="autoZero"/>
        <c:crossBetween val="midCat"/>
      </c:valAx>
      <c:valAx>
        <c:axId val="1017243343"/>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0172419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1547-4D53-88C8-E86CB3B73ECA}"/>
            </c:ext>
          </c:extLst>
        </c:ser>
        <c:dLbls>
          <c:showLegendKey val="0"/>
          <c:showVal val="0"/>
          <c:showCatName val="0"/>
          <c:showSerName val="0"/>
          <c:showPercent val="0"/>
          <c:showBubbleSize val="0"/>
        </c:dLbls>
        <c:axId val="1017232783"/>
        <c:axId val="1017236143"/>
      </c:scatterChart>
      <c:valAx>
        <c:axId val="101723278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017236143"/>
        <c:crosses val="autoZero"/>
        <c:crossBetween val="midCat"/>
      </c:valAx>
      <c:valAx>
        <c:axId val="101723614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0172327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5167-4E40-8EAE-7EB9FDEA3F4D}"/>
            </c:ext>
          </c:extLst>
        </c:ser>
        <c:dLbls>
          <c:showLegendKey val="0"/>
          <c:showVal val="0"/>
          <c:showCatName val="0"/>
          <c:showSerName val="0"/>
          <c:showPercent val="0"/>
          <c:showBubbleSize val="0"/>
        </c:dLbls>
        <c:gapWidth val="150"/>
        <c:axId val="1017238543"/>
        <c:axId val="1017239023"/>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1.0355921898592959E-2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1.2041954383457973E-2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1.7043893646453555E-2</c:v>
                </c:pt>
                <c:pt idx="111">
                  <c:v>#N/A</c:v>
                </c:pt>
                <c:pt idx="112">
                  <c:v>#N/A</c:v>
                </c:pt>
                <c:pt idx="113">
                  <c:v>#N/A</c:v>
                </c:pt>
                <c:pt idx="114">
                  <c:v>#N/A</c:v>
                </c:pt>
                <c:pt idx="115">
                  <c:v>1.5232369994827872E-2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1.1411024261701269E-2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4.6959959279888761E-2</c:v>
                </c:pt>
                <c:pt idx="243">
                  <c:v>1.4175460654412718E-2</c:v>
                </c:pt>
                <c:pt idx="244">
                  <c:v>#N/A</c:v>
                </c:pt>
                <c:pt idx="245">
                  <c:v>2.409028614825447E-2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1.3507185613380037E-2</c:v>
                </c:pt>
                <c:pt idx="274">
                  <c:v>#N/A</c:v>
                </c:pt>
                <c:pt idx="275">
                  <c:v>1.1369816866149523E-2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1.1625515480960857E-2</c:v>
                </c:pt>
                <c:pt idx="308">
                  <c:v>#N/A</c:v>
                </c:pt>
                <c:pt idx="309">
                  <c:v>#N/A</c:v>
                </c:pt>
                <c:pt idx="310">
                  <c:v>#N/A</c:v>
                </c:pt>
                <c:pt idx="311">
                  <c:v>#N/A</c:v>
                </c:pt>
                <c:pt idx="312">
                  <c:v>#N/A</c:v>
                </c:pt>
                <c:pt idx="313">
                  <c:v>#N/A</c:v>
                </c:pt>
                <c:pt idx="314">
                  <c:v>2.2225518853665093E-2</c:v>
                </c:pt>
                <c:pt idx="315">
                  <c:v>#N/A</c:v>
                </c:pt>
                <c:pt idx="316">
                  <c:v>#N/A</c:v>
                </c:pt>
                <c:pt idx="317">
                  <c:v>#N/A</c:v>
                </c:pt>
                <c:pt idx="318">
                  <c:v>#N/A</c:v>
                </c:pt>
                <c:pt idx="319">
                  <c:v>#N/A</c:v>
                </c:pt>
                <c:pt idx="320">
                  <c:v>3.1509345424163913E-2</c:v>
                </c:pt>
                <c:pt idx="321">
                  <c:v>#N/A</c:v>
                </c:pt>
                <c:pt idx="322">
                  <c:v>#N/A</c:v>
                </c:pt>
                <c:pt idx="323">
                  <c:v>2.0873683660506931E-2</c:v>
                </c:pt>
                <c:pt idx="324">
                  <c:v>2.4238765461914558E-2</c:v>
                </c:pt>
                <c:pt idx="325">
                  <c:v>#N/A</c:v>
                </c:pt>
                <c:pt idx="326">
                  <c:v>#N/A</c:v>
                </c:pt>
                <c:pt idx="327">
                  <c:v>1.5138834664552051E-2</c:v>
                </c:pt>
                <c:pt idx="328">
                  <c:v>#N/A</c:v>
                </c:pt>
                <c:pt idx="329">
                  <c:v>2.0426309022841115E-2</c:v>
                </c:pt>
                <c:pt idx="330">
                  <c:v>#N/A</c:v>
                </c:pt>
                <c:pt idx="331">
                  <c:v>3.3725966329777535E-2</c:v>
                </c:pt>
                <c:pt idx="332">
                  <c:v>#N/A</c:v>
                </c:pt>
                <c:pt idx="333">
                  <c:v>#N/A</c:v>
                </c:pt>
                <c:pt idx="334">
                  <c:v>#N/A</c:v>
                </c:pt>
                <c:pt idx="335">
                  <c:v>#N/A</c:v>
                </c:pt>
                <c:pt idx="336">
                  <c:v>#N/A</c:v>
                </c:pt>
                <c:pt idx="337">
                  <c:v>#N/A</c:v>
                </c:pt>
                <c:pt idx="338">
                  <c:v>#N/A</c:v>
                </c:pt>
                <c:pt idx="339">
                  <c:v>#N/A</c:v>
                </c:pt>
                <c:pt idx="340">
                  <c:v>1.3865269089159291E-2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1.0279387077060626E-2</c:v>
                </c:pt>
                <c:pt idx="361">
                  <c:v>1.4946822807055393E-2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2.4396798261845723E-2</c:v>
                </c:pt>
                <c:pt idx="382">
                  <c:v>#N/A</c:v>
                </c:pt>
                <c:pt idx="383">
                  <c:v>1.1725485358042654E-2</c:v>
                </c:pt>
                <c:pt idx="384">
                  <c:v>#N/A</c:v>
                </c:pt>
                <c:pt idx="385">
                  <c:v>#N/A</c:v>
                </c:pt>
                <c:pt idx="386">
                  <c:v>#N/A</c:v>
                </c:pt>
                <c:pt idx="387">
                  <c:v>#N/A</c:v>
                </c:pt>
                <c:pt idx="388">
                  <c:v>2.7739153271081101E-2</c:v>
                </c:pt>
                <c:pt idx="389">
                  <c:v>#N/A</c:v>
                </c:pt>
                <c:pt idx="390">
                  <c:v>#N/A</c:v>
                </c:pt>
                <c:pt idx="391">
                  <c:v>#N/A</c:v>
                </c:pt>
              </c:numCache>
            </c:numRef>
          </c:val>
          <c:smooth val="0"/>
          <c:extLst>
            <c:ext xmlns:c16="http://schemas.microsoft.com/office/drawing/2014/chart" uri="{C3380CC4-5D6E-409C-BE32-E72D297353CC}">
              <c16:uniqueId val="{00000002-5167-4E40-8EAE-7EB9FDEA3F4D}"/>
            </c:ext>
          </c:extLst>
        </c:ser>
        <c:dLbls>
          <c:showLegendKey val="0"/>
          <c:showVal val="0"/>
          <c:showCatName val="0"/>
          <c:showSerName val="0"/>
          <c:showPercent val="0"/>
          <c:showBubbleSize val="0"/>
        </c:dLbls>
        <c:marker val="1"/>
        <c:smooth val="0"/>
        <c:axId val="1017238543"/>
        <c:axId val="1017239023"/>
      </c:lineChart>
      <c:catAx>
        <c:axId val="10172385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017239023"/>
        <c:crosses val="autoZero"/>
        <c:auto val="1"/>
        <c:lblAlgn val="ctr"/>
        <c:lblOffset val="100"/>
        <c:noMultiLvlLbl val="0"/>
      </c:catAx>
      <c:valAx>
        <c:axId val="101723902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0172385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B663-4393-8799-B79689B24A1E}"/>
            </c:ext>
          </c:extLst>
        </c:ser>
        <c:dLbls>
          <c:showLegendKey val="0"/>
          <c:showVal val="0"/>
          <c:showCatName val="0"/>
          <c:showSerName val="0"/>
          <c:showPercent val="0"/>
          <c:showBubbleSize val="0"/>
        </c:dLbls>
        <c:axId val="1017242863"/>
        <c:axId val="1017241423"/>
      </c:scatterChart>
      <c:valAx>
        <c:axId val="101724286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017241423"/>
        <c:crosses val="autoZero"/>
        <c:crossBetween val="midCat"/>
      </c:valAx>
      <c:valAx>
        <c:axId val="101724142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0172428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6696-4C42-8AE4-7461AF8BAD69}"/>
            </c:ext>
          </c:extLst>
        </c:ser>
        <c:dLbls>
          <c:showLegendKey val="0"/>
          <c:showVal val="0"/>
          <c:showCatName val="0"/>
          <c:showSerName val="0"/>
          <c:showPercent val="0"/>
          <c:showBubbleSize val="0"/>
        </c:dLbls>
        <c:gapWidth val="150"/>
        <c:axId val="1017231343"/>
        <c:axId val="1017232783"/>
      </c:barChart>
      <c:catAx>
        <c:axId val="10172313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017232783"/>
        <c:crosses val="autoZero"/>
        <c:auto val="1"/>
        <c:lblAlgn val="ctr"/>
        <c:lblOffset val="100"/>
        <c:noMultiLvlLbl val="0"/>
      </c:catAx>
      <c:valAx>
        <c:axId val="1017232783"/>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0172313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48</xdr:col>
      <xdr:colOff>0</xdr:colOff>
      <xdr:row>2</xdr:row>
      <xdr:rowOff>0</xdr:rowOff>
    </xdr:from>
    <xdr:to>
      <xdr:col>53</xdr:col>
      <xdr:colOff>12700</xdr:colOff>
      <xdr:row>22</xdr:row>
      <xdr:rowOff>127000</xdr:rowOff>
    </xdr:to>
    <xdr:graphicFrame macro="">
      <xdr:nvGraphicFramePr>
        <xdr:cNvPr id="9" name="Chart 8">
          <a:extLst>
            <a:ext uri="{FF2B5EF4-FFF2-40B4-BE49-F238E27FC236}">
              <a16:creationId xmlns:a16="http://schemas.microsoft.com/office/drawing/2014/main" id="{4E91A919-41C6-9C05-5DC1-AF044D5D7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10" name="Chart 9">
          <a:extLst>
            <a:ext uri="{FF2B5EF4-FFF2-40B4-BE49-F238E27FC236}">
              <a16:creationId xmlns:a16="http://schemas.microsoft.com/office/drawing/2014/main" id="{7E0235E6-B31F-3C01-584D-E0C1B27591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11" name="Chart 10">
          <a:extLst>
            <a:ext uri="{FF2B5EF4-FFF2-40B4-BE49-F238E27FC236}">
              <a16:creationId xmlns:a16="http://schemas.microsoft.com/office/drawing/2014/main" id="{0ED560E8-4E92-173E-A850-6AC6EFD3DF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12" name="Chart 11">
          <a:extLst>
            <a:ext uri="{FF2B5EF4-FFF2-40B4-BE49-F238E27FC236}">
              <a16:creationId xmlns:a16="http://schemas.microsoft.com/office/drawing/2014/main" id="{6E4891B1-781D-AADB-C09A-9D1740556B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13" name="Chart 12">
          <a:extLst>
            <a:ext uri="{FF2B5EF4-FFF2-40B4-BE49-F238E27FC236}">
              <a16:creationId xmlns:a16="http://schemas.microsoft.com/office/drawing/2014/main" id="{FBDD0E69-9134-8CF9-3ED4-A8172C9074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14" name="Chart 13">
          <a:extLst>
            <a:ext uri="{FF2B5EF4-FFF2-40B4-BE49-F238E27FC236}">
              <a16:creationId xmlns:a16="http://schemas.microsoft.com/office/drawing/2014/main" id="{E34A1934-2336-3D53-C7DD-1A4995FDCC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15" name="Chart 14">
          <a:extLst>
            <a:ext uri="{FF2B5EF4-FFF2-40B4-BE49-F238E27FC236}">
              <a16:creationId xmlns:a16="http://schemas.microsoft.com/office/drawing/2014/main" id="{231DD25E-F3CB-1D7D-A430-923570316A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99FEAF-BA30-4467-8D40-4A2F12ACD7C4}" name="MileageData" displayName="MileageData" ref="A1:L407" totalsRowShown="0">
  <autoFilter ref="A1:L407" xr:uid="{4099FEAF-BA30-4467-8D40-4A2F12ACD7C4}"/>
  <tableColumns count="12">
    <tableColumn id="1" xr3:uid="{0807A418-6D71-43D3-B5E1-6A02AAB268F7}" name="MPG"/>
    <tableColumn id="2" xr3:uid="{AF798D88-287E-4F49-B20A-0DFF2CFA494C}" name="Cylinders"/>
    <tableColumn id="3" xr3:uid="{20869E0B-D149-4146-ADBB-58ADC967EDA3}" name="Displacement"/>
    <tableColumn id="4" xr3:uid="{2EB60FE2-8776-46AE-B4B6-9FBC28B24A8B}" name="Horsepower"/>
    <tableColumn id="5" xr3:uid="{8796E00F-5EFF-4F98-8C6B-381EFF007C27}" name="Weight"/>
    <tableColumn id="6" xr3:uid="{4788DF47-108A-4EE3-8381-39C244786448}" name="Acceleration"/>
    <tableColumn id="7" xr3:uid="{506262FA-6485-456F-AFE3-FC7D9716898C}" name="Model Year"/>
    <tableColumn id="8" xr3:uid="{B5FAE417-42BA-4665-AFB8-07012C97416A}" name="Origin"/>
    <tableColumn id="9" xr3:uid="{6686B15F-29E2-416E-8307-FC017CB4F99C}" name="Car Name"/>
    <tableColumn id="10" xr3:uid="{64DAC18A-5945-40E8-B78B-653A3585C524}" name="Make"/>
    <tableColumn id="11" xr3:uid="{2DC6C186-CF3A-4A18-A3BD-9089AB1E5DBD}" name="Model?"/>
    <tableColumn id="12" xr3:uid="{4E9F7D67-5D46-4734-86BA-9415D63B8650}"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A31870-78BB-4DE8-A7B6-946B415ED5FF}" name="LifeExpectancyData" displayName="LifeExpectancyData" ref="A1:W2939" totalsRowShown="0">
  <autoFilter ref="A1:W2939" xr:uid="{2EA31870-78BB-4DE8-A7B6-946B415ED5FF}"/>
  <tableColumns count="23">
    <tableColumn id="1" xr3:uid="{38A12A7D-0DA3-4CE9-83E2-89433DA0686E}" name="Country"/>
    <tableColumn id="2" xr3:uid="{44835BB0-4837-4531-88B7-1B521907D308}" name="Year"/>
    <tableColumn id="3" xr3:uid="{BDE0090C-61C1-4EED-B00E-62C4D4C8B2B0}" name="Status"/>
    <tableColumn id="4" xr3:uid="{A865145E-9C97-4428-8385-18FEF7D97A73}" name="Life expectancy"/>
    <tableColumn id="5" xr3:uid="{7FB31874-D190-4EA8-B6F8-026D464CAFC7}" name="Adult Mortality"/>
    <tableColumn id="6" xr3:uid="{F0936E9A-8CF7-4234-B76B-F3FBCCCAAF84}" name="infant deaths"/>
    <tableColumn id="7" xr3:uid="{D7B020C1-6AE9-4480-A35F-5286A984BA57}" name="Alcohol"/>
    <tableColumn id="8" xr3:uid="{EA91EB29-3047-4E8E-A410-7EFC3F4AF795}" name="percentage expenditure"/>
    <tableColumn id="9" xr3:uid="{E34158D5-3624-4F20-BFA0-92EF2871ABED}" name="Hepatitis B"/>
    <tableColumn id="10" xr3:uid="{0EA8F696-D3A3-457A-B2E5-54E992D30AFF}" name="Measles"/>
    <tableColumn id="11" xr3:uid="{14681F44-0859-47DD-97D4-692365503D5D}" name="BMI"/>
    <tableColumn id="12" xr3:uid="{CDA8E666-4ACF-4BCF-B3A3-557796747095}" name="under-five deaths"/>
    <tableColumn id="13" xr3:uid="{DB82211E-9211-40B7-9102-7286A6C3E587}" name="Polio"/>
    <tableColumn id="14" xr3:uid="{C567CAA1-ACCE-4E85-819D-F4E13F43BDA7}" name="Total expenditure"/>
    <tableColumn id="15" xr3:uid="{B17C9364-38B5-4A9E-84AE-AF18ECE6E23B}" name="Diphtheria"/>
    <tableColumn id="16" xr3:uid="{A1A8E183-F867-4DC7-A77D-1B07195085AF}" name="HIV/AIDS"/>
    <tableColumn id="17" xr3:uid="{CD6F3D8A-87F0-41FA-BDE6-C94F3246C21E}" name="GDP"/>
    <tableColumn id="18" xr3:uid="{6491C2B7-205F-4DDD-AE0D-70860FCA9697}" name="Population"/>
    <tableColumn id="19" xr3:uid="{7B54E4E1-884B-4570-B1E1-F382FA4ED48B}" name="thinness 1-19 years"/>
    <tableColumn id="20" xr3:uid="{34EE5E05-A795-4CFA-8FDF-6D2933A29FAA}" name="thinness 5-9 years"/>
    <tableColumn id="21" xr3:uid="{8E4B77C2-5B3D-4F15-B285-5F7D4FF127F3}" name="Income composition of resources"/>
    <tableColumn id="22" xr3:uid="{2A37516F-0391-49EF-BD5B-D8483F4877AA}" name="Schooling"/>
    <tableColumn id="23" xr3:uid="{48973535-BCDA-4448-AD77-6F0AFB247244}"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A5525EA-EF45-4A9D-8835-1AD0982D84E7}" name="ProductionLotsData" displayName="ProductionLotsData" ref="A1:K52" totalsRowShown="0">
  <autoFilter ref="A1:K52" xr:uid="{9A5525EA-EF45-4A9D-8835-1AD0982D84E7}"/>
  <tableColumns count="11">
    <tableColumn id="1" xr3:uid="{6D8A178E-1CD6-4057-BF26-6F37C43A7ADF}" name="Lot_ID"/>
    <tableColumn id="2" xr3:uid="{D26E0687-D556-430F-8881-F2DC911DB814}" name="Facility"/>
    <tableColumn id="3" xr3:uid="{BDA5BC1B-6C05-480C-A398-954475B754CC}" name="Fiscal_Year"/>
    <tableColumn id="4" xr3:uid="{F97927C0-3615-4703-85E7-36B003C6F33E}" name="Lot_Quantity"/>
    <tableColumn id="5" xr3:uid="{C7CDFABA-053F-474A-8CEC-5F8E45FDAD40}" name="Cumulative_Units"/>
    <tableColumn id="6" xr3:uid="{9797997D-0BEC-4F4C-8E4D-504B34EDE3AB}" name="Experience_Stock"/>
    <tableColumn id="7" xr3:uid="{6374AE93-F5B1-4AD2-BAFD-7CE5874C436B}" name="Unit_Cost_BY"/>
    <tableColumn id="8" xr3:uid="{3FCAA03C-478F-4CC6-974A-B931DE72BB50}" name="log Cum Units"/>
    <tableColumn id="9" xr3:uid="{FAFFABF3-AEA0-4764-9D1C-7CD117D138AF}" name="log experience"/>
    <tableColumn id="10" xr3:uid="{094ECB8E-4D54-462D-B78B-17E95292AA75}" name="log Unit Cost"/>
    <tableColumn id="11" xr3:uid="{FCE488C3-DC28-44E4-A061-E4BD2B4DA8F2}"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B4A314F-11A7-4E32-BB5F-392D205630A5}" name="SpecTable" displayName="SpecTable" ref="B3:L15" totalsRowShown="0" headerRowDxfId="50">
  <autoFilter ref="B3:L15" xr:uid="{8B4A314F-11A7-4E32-BB5F-392D205630A5}"/>
  <tableColumns count="11">
    <tableColumn id="1" xr3:uid="{24611EF0-C953-4DFC-B25B-85985A422F2D}" name="Role"/>
    <tableColumn id="2" xr3:uid="{F9737E44-80C3-4FEF-B014-695E610D730D}" name="Include"/>
    <tableColumn id="3" xr3:uid="{51319850-22AA-4DC7-B573-D8836B10516E}" name="Type"/>
    <tableColumn id="4" xr3:uid="{6E9E3E36-1605-4E8C-B1BE-E1EB9E5CC2A1}" name="Reference Level"/>
    <tableColumn id="5" xr3:uid="{17697FCA-FEDE-45D6-8669-43CDC76E599E}" name="Order"/>
    <tableColumn id="6" xr3:uid="{0878B85D-86B7-4612-A039-15B949D8BE4C}" name="Transform"/>
    <tableColumn id="7" xr3:uid="{2E796D42-0EC1-40F1-83E6-1F34EA8E91ED}" name="Sequence"/>
    <tableColumn id="8" xr3:uid="{1C00EC7E-A60B-46D2-B348-062726A8EB8B}" name="Sequence Period"/>
    <tableColumn id="9" xr3:uid="{739683DE-8836-4881-A164-654EBE43E53C}" name="Period In Use" dataDxfId="49">
      <calculatedColumnFormula>IF(SpecTable[[#This Row],[Sequence]]&lt;&gt;TRUE,"",IF(N(SpecTable[[#This Row],[Sequence Period]])&lt;&gt;0,SpecTable[[#This Row],[Sequence Period]],IFERROR(Base_Period_Delta_Candidate(),"")))</calculatedColumnFormula>
    </tableColumn>
    <tableColumn id="10" xr3:uid="{5FBA18A2-C626-4955-BD50-A760300AC268}"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44745967-163F-4D05-BD95-AD9849724A9A}"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57AE89-6ECD-4F90-9373-66EC44788B04}" name="LAMBDAFunctionsCatalog" displayName="LAMBDAFunctionsCatalog" ref="A1:G127" totalsRowShown="0" headerRowDxfId="46" dataDxfId="45">
  <autoFilter ref="A1:G127" xr:uid="{C957AE89-6ECD-4F90-9373-66EC44788B04}"/>
  <tableColumns count="7">
    <tableColumn id="1" xr3:uid="{961612E9-FA9C-4A3A-9D49-B87FAC4366EC}" name="Function Name" dataDxfId="44"/>
    <tableColumn id="2" xr3:uid="{5BB5E51F-9007-449E-B5E6-01D0EBA49CB9}" name="Scope" dataDxfId="43"/>
    <tableColumn id="3" xr3:uid="{C75608D0-0956-4559-9AF0-FDB88BD2FDF1}" name="Definition" dataDxfId="42"/>
    <tableColumn id="4" xr3:uid="{B2E095AF-06AF-41FA-A30F-1C6A10A955B4}" name="Arguments" dataDxfId="41"/>
    <tableColumn id="5" xr3:uid="{DE23D45D-96EF-4EEC-80AA-F7DF5568A23A}" name="Yields" dataDxfId="40"/>
    <tableColumn id="6" xr3:uid="{B2EEE663-2430-4C48-87EC-2CA06D0445C9}" name="Plain-Language Summary" dataDxfId="39"/>
    <tableColumn id="7" xr3:uid="{D1E16ACB-2969-4416-B786-64DD750E38A9}"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600" topLeftCell="A374"/>
      <selection activeCell="G386" sqref="G386"/>
      <selection pane="bottomLeft" activeCell="A374" sqref="A374"/>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952</v>
      </c>
      <c r="B1" t="s">
        <v>953</v>
      </c>
      <c r="C1" t="s">
        <v>954</v>
      </c>
      <c r="D1" t="s">
        <v>955</v>
      </c>
      <c r="E1" t="s">
        <v>956</v>
      </c>
      <c r="F1" t="s">
        <v>957</v>
      </c>
      <c r="G1" t="s">
        <v>958</v>
      </c>
      <c r="H1" t="s">
        <v>959</v>
      </c>
      <c r="I1" t="s">
        <v>960</v>
      </c>
      <c r="J1" t="s">
        <v>961</v>
      </c>
      <c r="K1" t="s">
        <v>962</v>
      </c>
      <c r="L1" t="s">
        <v>361</v>
      </c>
    </row>
    <row r="2" spans="1:12" x14ac:dyDescent="0.25">
      <c r="A2">
        <v>18</v>
      </c>
      <c r="B2">
        <v>8</v>
      </c>
      <c r="C2">
        <v>307</v>
      </c>
      <c r="D2">
        <v>130</v>
      </c>
      <c r="E2">
        <v>3504</v>
      </c>
      <c r="F2">
        <v>12</v>
      </c>
      <c r="G2">
        <v>70</v>
      </c>
      <c r="H2" t="s">
        <v>1621</v>
      </c>
      <c r="I2" t="s">
        <v>963</v>
      </c>
      <c r="J2" t="s">
        <v>964</v>
      </c>
      <c r="K2" t="s">
        <v>965</v>
      </c>
      <c r="L2" t="b">
        <f>Data_Completeness(MileageData[[#This Row],[MPG]:[Acceleration]])</f>
        <v>1</v>
      </c>
    </row>
    <row r="3" spans="1:12" x14ac:dyDescent="0.25">
      <c r="A3">
        <v>15</v>
      </c>
      <c r="B3">
        <v>8</v>
      </c>
      <c r="C3">
        <v>350</v>
      </c>
      <c r="D3">
        <v>165</v>
      </c>
      <c r="E3">
        <v>3693</v>
      </c>
      <c r="F3">
        <v>11.5</v>
      </c>
      <c r="G3">
        <v>70</v>
      </c>
      <c r="H3" t="s">
        <v>1621</v>
      </c>
      <c r="I3" t="s">
        <v>966</v>
      </c>
      <c r="J3" t="s">
        <v>967</v>
      </c>
      <c r="K3" t="s">
        <v>968</v>
      </c>
      <c r="L3" t="b">
        <f>Data_Completeness(MileageData[[#This Row],[MPG]:[Acceleration]])</f>
        <v>1</v>
      </c>
    </row>
    <row r="4" spans="1:12" x14ac:dyDescent="0.25">
      <c r="A4">
        <v>18</v>
      </c>
      <c r="B4">
        <v>8</v>
      </c>
      <c r="C4">
        <v>318</v>
      </c>
      <c r="D4">
        <v>150</v>
      </c>
      <c r="E4">
        <v>3436</v>
      </c>
      <c r="F4">
        <v>11</v>
      </c>
      <c r="G4">
        <v>70</v>
      </c>
      <c r="H4" t="s">
        <v>1621</v>
      </c>
      <c r="I4" t="s">
        <v>969</v>
      </c>
      <c r="J4" t="s">
        <v>970</v>
      </c>
      <c r="K4" t="s">
        <v>971</v>
      </c>
      <c r="L4" t="b">
        <f>Data_Completeness(MileageData[[#This Row],[MPG]:[Acceleration]])</f>
        <v>1</v>
      </c>
    </row>
    <row r="5" spans="1:12" x14ac:dyDescent="0.25">
      <c r="A5">
        <v>16</v>
      </c>
      <c r="B5">
        <v>8</v>
      </c>
      <c r="C5">
        <v>304</v>
      </c>
      <c r="D5">
        <v>150</v>
      </c>
      <c r="E5">
        <v>3433</v>
      </c>
      <c r="F5">
        <v>12</v>
      </c>
      <c r="G5">
        <v>70</v>
      </c>
      <c r="H5" t="s">
        <v>1621</v>
      </c>
      <c r="I5" t="s">
        <v>972</v>
      </c>
      <c r="J5" t="s">
        <v>973</v>
      </c>
      <c r="K5" t="s">
        <v>974</v>
      </c>
      <c r="L5" t="b">
        <f>Data_Completeness(MileageData[[#This Row],[MPG]:[Acceleration]])</f>
        <v>1</v>
      </c>
    </row>
    <row r="6" spans="1:12" x14ac:dyDescent="0.25">
      <c r="A6">
        <v>17</v>
      </c>
      <c r="B6">
        <v>8</v>
      </c>
      <c r="C6">
        <v>302</v>
      </c>
      <c r="D6">
        <v>140</v>
      </c>
      <c r="E6">
        <v>3449</v>
      </c>
      <c r="F6">
        <v>10.5</v>
      </c>
      <c r="G6">
        <v>70</v>
      </c>
      <c r="H6" t="s">
        <v>1621</v>
      </c>
      <c r="I6" t="s">
        <v>975</v>
      </c>
      <c r="J6" t="s">
        <v>976</v>
      </c>
      <c r="K6" t="s">
        <v>977</v>
      </c>
      <c r="L6" t="b">
        <f>Data_Completeness(MileageData[[#This Row],[MPG]:[Acceleration]])</f>
        <v>1</v>
      </c>
    </row>
    <row r="7" spans="1:12" x14ac:dyDescent="0.25">
      <c r="A7">
        <v>15</v>
      </c>
      <c r="B7">
        <v>8</v>
      </c>
      <c r="C7">
        <v>429</v>
      </c>
      <c r="D7">
        <v>198</v>
      </c>
      <c r="E7">
        <v>4341</v>
      </c>
      <c r="F7">
        <v>10</v>
      </c>
      <c r="G7">
        <v>70</v>
      </c>
      <c r="H7" t="s">
        <v>1621</v>
      </c>
      <c r="I7" t="s">
        <v>978</v>
      </c>
      <c r="J7" t="s">
        <v>976</v>
      </c>
      <c r="K7" t="s">
        <v>979</v>
      </c>
      <c r="L7" t="b">
        <f>Data_Completeness(MileageData[[#This Row],[MPG]:[Acceleration]])</f>
        <v>1</v>
      </c>
    </row>
    <row r="8" spans="1:12" x14ac:dyDescent="0.25">
      <c r="A8">
        <v>14</v>
      </c>
      <c r="B8">
        <v>8</v>
      </c>
      <c r="C8">
        <v>454</v>
      </c>
      <c r="D8">
        <v>220</v>
      </c>
      <c r="E8">
        <v>4354</v>
      </c>
      <c r="F8">
        <v>9</v>
      </c>
      <c r="G8">
        <v>70</v>
      </c>
      <c r="H8" t="s">
        <v>1621</v>
      </c>
      <c r="I8" t="s">
        <v>980</v>
      </c>
      <c r="J8" t="s">
        <v>964</v>
      </c>
      <c r="K8" t="s">
        <v>981</v>
      </c>
      <c r="L8" t="b">
        <f>Data_Completeness(MileageData[[#This Row],[MPG]:[Acceleration]])</f>
        <v>1</v>
      </c>
    </row>
    <row r="9" spans="1:12" x14ac:dyDescent="0.25">
      <c r="A9">
        <v>14</v>
      </c>
      <c r="B9">
        <v>8</v>
      </c>
      <c r="C9">
        <v>440</v>
      </c>
      <c r="D9">
        <v>215</v>
      </c>
      <c r="E9">
        <v>4312</v>
      </c>
      <c r="F9">
        <v>8.5</v>
      </c>
      <c r="G9">
        <v>70</v>
      </c>
      <c r="H9" t="s">
        <v>1621</v>
      </c>
      <c r="I9" t="s">
        <v>982</v>
      </c>
      <c r="J9" t="s">
        <v>970</v>
      </c>
      <c r="K9" t="s">
        <v>983</v>
      </c>
      <c r="L9" t="b">
        <f>Data_Completeness(MileageData[[#This Row],[MPG]:[Acceleration]])</f>
        <v>1</v>
      </c>
    </row>
    <row r="10" spans="1:12" x14ac:dyDescent="0.25">
      <c r="A10">
        <v>14</v>
      </c>
      <c r="B10">
        <v>8</v>
      </c>
      <c r="C10">
        <v>455</v>
      </c>
      <c r="D10">
        <v>225</v>
      </c>
      <c r="E10">
        <v>4425</v>
      </c>
      <c r="F10">
        <v>10</v>
      </c>
      <c r="G10">
        <v>70</v>
      </c>
      <c r="H10" t="s">
        <v>1621</v>
      </c>
      <c r="I10" t="s">
        <v>984</v>
      </c>
      <c r="J10" t="s">
        <v>985</v>
      </c>
      <c r="K10" t="s">
        <v>986</v>
      </c>
      <c r="L10" t="b">
        <f>Data_Completeness(MileageData[[#This Row],[MPG]:[Acceleration]])</f>
        <v>1</v>
      </c>
    </row>
    <row r="11" spans="1:12" x14ac:dyDescent="0.25">
      <c r="A11">
        <v>15</v>
      </c>
      <c r="B11">
        <v>8</v>
      </c>
      <c r="C11">
        <v>390</v>
      </c>
      <c r="D11">
        <v>190</v>
      </c>
      <c r="E11">
        <v>3850</v>
      </c>
      <c r="F11">
        <v>8.5</v>
      </c>
      <c r="G11">
        <v>70</v>
      </c>
      <c r="H11" t="s">
        <v>1621</v>
      </c>
      <c r="I11" t="s">
        <v>987</v>
      </c>
      <c r="J11" t="s">
        <v>973</v>
      </c>
      <c r="K11" t="s">
        <v>988</v>
      </c>
      <c r="L11" t="b">
        <f>Data_Completeness(MileageData[[#This Row],[MPG]:[Acceleration]])</f>
        <v>1</v>
      </c>
    </row>
    <row r="12" spans="1:12" x14ac:dyDescent="0.25">
      <c r="B12">
        <v>4</v>
      </c>
      <c r="C12">
        <v>133</v>
      </c>
      <c r="D12">
        <v>115</v>
      </c>
      <c r="E12">
        <v>3090</v>
      </c>
      <c r="F12">
        <v>17.5</v>
      </c>
      <c r="G12">
        <v>70</v>
      </c>
      <c r="H12" t="s">
        <v>1622</v>
      </c>
      <c r="I12" t="s">
        <v>989</v>
      </c>
      <c r="J12" t="s">
        <v>990</v>
      </c>
      <c r="K12" t="s">
        <v>991</v>
      </c>
      <c r="L12" t="b">
        <f>Data_Completeness(MileageData[[#This Row],[MPG]:[Acceleration]])</f>
        <v>0</v>
      </c>
    </row>
    <row r="13" spans="1:12" x14ac:dyDescent="0.25">
      <c r="B13">
        <v>8</v>
      </c>
      <c r="C13">
        <v>350</v>
      </c>
      <c r="D13">
        <v>165</v>
      </c>
      <c r="E13">
        <v>4142</v>
      </c>
      <c r="F13">
        <v>11.5</v>
      </c>
      <c r="G13">
        <v>70</v>
      </c>
      <c r="H13" t="s">
        <v>1621</v>
      </c>
      <c r="I13" t="s">
        <v>992</v>
      </c>
      <c r="J13" t="s">
        <v>964</v>
      </c>
      <c r="K13" t="s">
        <v>993</v>
      </c>
      <c r="L13" t="b">
        <f>Data_Completeness(MileageData[[#This Row],[MPG]:[Acceleration]])</f>
        <v>0</v>
      </c>
    </row>
    <row r="14" spans="1:12" x14ac:dyDescent="0.25">
      <c r="B14">
        <v>8</v>
      </c>
      <c r="C14">
        <v>351</v>
      </c>
      <c r="D14">
        <v>153</v>
      </c>
      <c r="E14">
        <v>4034</v>
      </c>
      <c r="F14">
        <v>11</v>
      </c>
      <c r="G14">
        <v>70</v>
      </c>
      <c r="H14" t="s">
        <v>1621</v>
      </c>
      <c r="I14" t="s">
        <v>994</v>
      </c>
      <c r="J14" t="s">
        <v>976</v>
      </c>
      <c r="K14" t="s">
        <v>995</v>
      </c>
      <c r="L14" t="b">
        <f>Data_Completeness(MileageData[[#This Row],[MPG]:[Acceleration]])</f>
        <v>0</v>
      </c>
    </row>
    <row r="15" spans="1:12" x14ac:dyDescent="0.25">
      <c r="B15">
        <v>8</v>
      </c>
      <c r="C15">
        <v>383</v>
      </c>
      <c r="D15">
        <v>175</v>
      </c>
      <c r="E15">
        <v>4166</v>
      </c>
      <c r="F15">
        <v>10.5</v>
      </c>
      <c r="G15">
        <v>70</v>
      </c>
      <c r="H15" t="s">
        <v>1621</v>
      </c>
      <c r="I15" t="s">
        <v>996</v>
      </c>
      <c r="J15" t="s">
        <v>970</v>
      </c>
      <c r="K15" t="s">
        <v>997</v>
      </c>
      <c r="L15" t="b">
        <f>Data_Completeness(MileageData[[#This Row],[MPG]:[Acceleration]])</f>
        <v>0</v>
      </c>
    </row>
    <row r="16" spans="1:12" x14ac:dyDescent="0.25">
      <c r="B16">
        <v>8</v>
      </c>
      <c r="C16">
        <v>360</v>
      </c>
      <c r="D16">
        <v>175</v>
      </c>
      <c r="E16">
        <v>3850</v>
      </c>
      <c r="F16">
        <v>11</v>
      </c>
      <c r="G16">
        <v>70</v>
      </c>
      <c r="H16" t="s">
        <v>1621</v>
      </c>
      <c r="I16" t="s">
        <v>998</v>
      </c>
      <c r="J16" t="s">
        <v>973</v>
      </c>
      <c r="K16" t="s">
        <v>999</v>
      </c>
      <c r="L16" t="b">
        <f>Data_Completeness(MileageData[[#This Row],[MPG]:[Acceleration]])</f>
        <v>0</v>
      </c>
    </row>
    <row r="17" spans="1:12" x14ac:dyDescent="0.25">
      <c r="A17">
        <v>15</v>
      </c>
      <c r="B17">
        <v>8</v>
      </c>
      <c r="C17">
        <v>383</v>
      </c>
      <c r="D17">
        <v>170</v>
      </c>
      <c r="E17">
        <v>3563</v>
      </c>
      <c r="F17">
        <v>10</v>
      </c>
      <c r="G17">
        <v>70</v>
      </c>
      <c r="H17" t="s">
        <v>1621</v>
      </c>
      <c r="I17" t="s">
        <v>1000</v>
      </c>
      <c r="J17" t="s">
        <v>1001</v>
      </c>
      <c r="K17" t="s">
        <v>1002</v>
      </c>
      <c r="L17" t="b">
        <f>Data_Completeness(MileageData[[#This Row],[MPG]:[Acceleration]])</f>
        <v>1</v>
      </c>
    </row>
    <row r="18" spans="1:12" x14ac:dyDescent="0.25">
      <c r="A18">
        <v>14</v>
      </c>
      <c r="B18">
        <v>8</v>
      </c>
      <c r="C18">
        <v>340</v>
      </c>
      <c r="D18">
        <v>160</v>
      </c>
      <c r="E18">
        <v>3609</v>
      </c>
      <c r="F18">
        <v>8</v>
      </c>
      <c r="G18">
        <v>70</v>
      </c>
      <c r="H18" t="s">
        <v>1621</v>
      </c>
      <c r="I18" t="s">
        <v>1003</v>
      </c>
      <c r="J18" t="s">
        <v>970</v>
      </c>
      <c r="K18" s="34" t="s">
        <v>1612</v>
      </c>
      <c r="L18" t="b">
        <f>Data_Completeness(MileageData[[#This Row],[MPG]:[Acceleration]])</f>
        <v>1</v>
      </c>
    </row>
    <row r="19" spans="1:12" x14ac:dyDescent="0.25">
      <c r="B19">
        <v>8</v>
      </c>
      <c r="C19">
        <v>302</v>
      </c>
      <c r="D19">
        <v>140</v>
      </c>
      <c r="E19">
        <v>3353</v>
      </c>
      <c r="F19">
        <v>8</v>
      </c>
      <c r="G19">
        <v>70</v>
      </c>
      <c r="H19" t="s">
        <v>1621</v>
      </c>
      <c r="I19" t="s">
        <v>1004</v>
      </c>
      <c r="J19" t="s">
        <v>976</v>
      </c>
      <c r="K19" t="s">
        <v>1005</v>
      </c>
      <c r="L19" t="b">
        <f>Data_Completeness(MileageData[[#This Row],[MPG]:[Acceleration]])</f>
        <v>0</v>
      </c>
    </row>
    <row r="20" spans="1:12" x14ac:dyDescent="0.25">
      <c r="A20">
        <v>15</v>
      </c>
      <c r="B20">
        <v>8</v>
      </c>
      <c r="C20">
        <v>400</v>
      </c>
      <c r="D20">
        <v>150</v>
      </c>
      <c r="E20">
        <v>3761</v>
      </c>
      <c r="F20">
        <v>9.5</v>
      </c>
      <c r="G20">
        <v>70</v>
      </c>
      <c r="H20" t="s">
        <v>1621</v>
      </c>
      <c r="I20" t="s">
        <v>1006</v>
      </c>
      <c r="J20" t="s">
        <v>964</v>
      </c>
      <c r="K20" t="s">
        <v>1007</v>
      </c>
      <c r="L20" t="b">
        <f>Data_Completeness(MileageData[[#This Row],[MPG]:[Acceleration]])</f>
        <v>1</v>
      </c>
    </row>
    <row r="21" spans="1:12" x14ac:dyDescent="0.25">
      <c r="A21">
        <v>14</v>
      </c>
      <c r="B21">
        <v>8</v>
      </c>
      <c r="C21">
        <v>455</v>
      </c>
      <c r="D21">
        <v>225</v>
      </c>
      <c r="E21">
        <v>3086</v>
      </c>
      <c r="F21">
        <v>10</v>
      </c>
      <c r="G21">
        <v>70</v>
      </c>
      <c r="H21" t="s">
        <v>1621</v>
      </c>
      <c r="I21" t="s">
        <v>1008</v>
      </c>
      <c r="J21" t="s">
        <v>967</v>
      </c>
      <c r="K21" t="s">
        <v>1009</v>
      </c>
      <c r="L21" t="b">
        <f>Data_Completeness(MileageData[[#This Row],[MPG]:[Acceleration]])</f>
        <v>1</v>
      </c>
    </row>
    <row r="22" spans="1:12" x14ac:dyDescent="0.25">
      <c r="A22">
        <v>24</v>
      </c>
      <c r="B22">
        <v>4</v>
      </c>
      <c r="C22">
        <v>113</v>
      </c>
      <c r="D22">
        <v>95</v>
      </c>
      <c r="E22">
        <v>2372</v>
      </c>
      <c r="F22">
        <v>15</v>
      </c>
      <c r="G22">
        <v>70</v>
      </c>
      <c r="H22" t="s">
        <v>1623</v>
      </c>
      <c r="I22" t="s">
        <v>1010</v>
      </c>
      <c r="J22" t="s">
        <v>1011</v>
      </c>
      <c r="K22" t="s">
        <v>1012</v>
      </c>
      <c r="L22" t="b">
        <f>Data_Completeness(MileageData[[#This Row],[MPG]:[Acceleration]])</f>
        <v>1</v>
      </c>
    </row>
    <row r="23" spans="1:12" x14ac:dyDescent="0.25">
      <c r="A23">
        <v>22</v>
      </c>
      <c r="B23">
        <v>6</v>
      </c>
      <c r="C23">
        <v>198</v>
      </c>
      <c r="D23">
        <v>95</v>
      </c>
      <c r="E23">
        <v>2833</v>
      </c>
      <c r="F23">
        <v>15.5</v>
      </c>
      <c r="G23">
        <v>70</v>
      </c>
      <c r="H23" t="s">
        <v>1621</v>
      </c>
      <c r="I23" t="s">
        <v>1013</v>
      </c>
      <c r="J23" t="s">
        <v>970</v>
      </c>
      <c r="K23" t="s">
        <v>1014</v>
      </c>
      <c r="L23" t="b">
        <f>Data_Completeness(MileageData[[#This Row],[MPG]:[Acceleration]])</f>
        <v>1</v>
      </c>
    </row>
    <row r="24" spans="1:12" x14ac:dyDescent="0.25">
      <c r="A24">
        <v>18</v>
      </c>
      <c r="B24">
        <v>6</v>
      </c>
      <c r="C24">
        <v>199</v>
      </c>
      <c r="D24">
        <v>97</v>
      </c>
      <c r="E24">
        <v>2774</v>
      </c>
      <c r="F24">
        <v>15.5</v>
      </c>
      <c r="G24">
        <v>70</v>
      </c>
      <c r="H24" t="s">
        <v>1621</v>
      </c>
      <c r="I24" t="s">
        <v>1015</v>
      </c>
      <c r="J24" t="s">
        <v>973</v>
      </c>
      <c r="K24" t="s">
        <v>1016</v>
      </c>
      <c r="L24" t="b">
        <f>Data_Completeness(MileageData[[#This Row],[MPG]:[Acceleration]])</f>
        <v>1</v>
      </c>
    </row>
    <row r="25" spans="1:12" x14ac:dyDescent="0.25">
      <c r="A25">
        <v>21</v>
      </c>
      <c r="B25">
        <v>6</v>
      </c>
      <c r="C25">
        <v>200</v>
      </c>
      <c r="D25">
        <v>85</v>
      </c>
      <c r="E25">
        <v>2587</v>
      </c>
      <c r="F25">
        <v>16</v>
      </c>
      <c r="G25">
        <v>70</v>
      </c>
      <c r="H25" t="s">
        <v>1621</v>
      </c>
      <c r="I25" t="s">
        <v>1017</v>
      </c>
      <c r="J25" t="s">
        <v>976</v>
      </c>
      <c r="K25" t="s">
        <v>1018</v>
      </c>
      <c r="L25" t="b">
        <f>Data_Completeness(MileageData[[#This Row],[MPG]:[Acceleration]])</f>
        <v>1</v>
      </c>
    </row>
    <row r="26" spans="1:12" x14ac:dyDescent="0.25">
      <c r="A26">
        <v>27</v>
      </c>
      <c r="B26">
        <v>4</v>
      </c>
      <c r="C26">
        <v>97</v>
      </c>
      <c r="D26">
        <v>88</v>
      </c>
      <c r="E26">
        <v>2130</v>
      </c>
      <c r="F26">
        <v>14.5</v>
      </c>
      <c r="G26">
        <v>70</v>
      </c>
      <c r="H26" t="s">
        <v>1623</v>
      </c>
      <c r="I26" t="s">
        <v>1019</v>
      </c>
      <c r="J26" t="s">
        <v>1020</v>
      </c>
      <c r="K26" t="s">
        <v>1021</v>
      </c>
      <c r="L26" t="b">
        <f>Data_Completeness(MileageData[[#This Row],[MPG]:[Acceleration]])</f>
        <v>1</v>
      </c>
    </row>
    <row r="27" spans="1:12" x14ac:dyDescent="0.25">
      <c r="A27">
        <v>26</v>
      </c>
      <c r="B27">
        <v>4</v>
      </c>
      <c r="C27">
        <v>97</v>
      </c>
      <c r="D27">
        <v>46</v>
      </c>
      <c r="E27">
        <v>1835</v>
      </c>
      <c r="F27">
        <v>20.5</v>
      </c>
      <c r="G27">
        <v>70</v>
      </c>
      <c r="H27" t="s">
        <v>1622</v>
      </c>
      <c r="I27" t="s">
        <v>1022</v>
      </c>
      <c r="J27" t="s">
        <v>1023</v>
      </c>
      <c r="K27" t="s">
        <v>1024</v>
      </c>
      <c r="L27" t="b">
        <f>Data_Completeness(MileageData[[#This Row],[MPG]:[Acceleration]])</f>
        <v>1</v>
      </c>
    </row>
    <row r="28" spans="1:12" x14ac:dyDescent="0.25">
      <c r="A28">
        <v>25</v>
      </c>
      <c r="B28">
        <v>4</v>
      </c>
      <c r="C28">
        <v>110</v>
      </c>
      <c r="D28">
        <v>87</v>
      </c>
      <c r="E28">
        <v>2672</v>
      </c>
      <c r="F28">
        <v>17.5</v>
      </c>
      <c r="G28">
        <v>70</v>
      </c>
      <c r="H28" t="s">
        <v>1622</v>
      </c>
      <c r="I28" t="s">
        <v>1025</v>
      </c>
      <c r="J28" t="s">
        <v>1026</v>
      </c>
      <c r="K28">
        <v>504</v>
      </c>
      <c r="L28" t="b">
        <f>Data_Completeness(MileageData[[#This Row],[MPG]:[Acceleration]])</f>
        <v>1</v>
      </c>
    </row>
    <row r="29" spans="1:12" x14ac:dyDescent="0.25">
      <c r="A29">
        <v>24</v>
      </c>
      <c r="B29">
        <v>4</v>
      </c>
      <c r="C29">
        <v>107</v>
      </c>
      <c r="D29">
        <v>90</v>
      </c>
      <c r="E29">
        <v>2430</v>
      </c>
      <c r="F29">
        <v>14.5</v>
      </c>
      <c r="G29">
        <v>70</v>
      </c>
      <c r="H29" t="s">
        <v>1622</v>
      </c>
      <c r="I29" t="s">
        <v>1027</v>
      </c>
      <c r="J29" t="s">
        <v>1028</v>
      </c>
      <c r="K29" t="s">
        <v>1029</v>
      </c>
      <c r="L29" t="b">
        <f>Data_Completeness(MileageData[[#This Row],[MPG]:[Acceleration]])</f>
        <v>1</v>
      </c>
    </row>
    <row r="30" spans="1:12" x14ac:dyDescent="0.25">
      <c r="A30">
        <v>25</v>
      </c>
      <c r="B30">
        <v>4</v>
      </c>
      <c r="C30">
        <v>104</v>
      </c>
      <c r="D30">
        <v>95</v>
      </c>
      <c r="E30">
        <v>2375</v>
      </c>
      <c r="F30">
        <v>17.5</v>
      </c>
      <c r="G30">
        <v>70</v>
      </c>
      <c r="H30" t="s">
        <v>1622</v>
      </c>
      <c r="I30" t="s">
        <v>1030</v>
      </c>
      <c r="J30" t="s">
        <v>1031</v>
      </c>
      <c r="K30" t="s">
        <v>1032</v>
      </c>
      <c r="L30" t="b">
        <f>Data_Completeness(MileageData[[#This Row],[MPG]:[Acceleration]])</f>
        <v>1</v>
      </c>
    </row>
    <row r="31" spans="1:12" x14ac:dyDescent="0.25">
      <c r="A31">
        <v>26</v>
      </c>
      <c r="B31">
        <v>4</v>
      </c>
      <c r="C31">
        <v>121</v>
      </c>
      <c r="D31">
        <v>113</v>
      </c>
      <c r="E31">
        <v>2234</v>
      </c>
      <c r="F31">
        <v>12.5</v>
      </c>
      <c r="G31">
        <v>70</v>
      </c>
      <c r="H31" t="s">
        <v>1622</v>
      </c>
      <c r="I31" t="s">
        <v>1033</v>
      </c>
      <c r="J31" t="s">
        <v>1034</v>
      </c>
      <c r="K31">
        <v>2002</v>
      </c>
      <c r="L31" t="b">
        <f>Data_Completeness(MileageData[[#This Row],[MPG]:[Acceleration]])</f>
        <v>1</v>
      </c>
    </row>
    <row r="32" spans="1:12" x14ac:dyDescent="0.25">
      <c r="A32">
        <v>21</v>
      </c>
      <c r="B32">
        <v>6</v>
      </c>
      <c r="C32">
        <v>199</v>
      </c>
      <c r="D32">
        <v>90</v>
      </c>
      <c r="E32">
        <v>2648</v>
      </c>
      <c r="F32">
        <v>15</v>
      </c>
      <c r="G32">
        <v>70</v>
      </c>
      <c r="H32" t="s">
        <v>1621</v>
      </c>
      <c r="I32" t="s">
        <v>1035</v>
      </c>
      <c r="J32" t="s">
        <v>973</v>
      </c>
      <c r="K32" t="s">
        <v>1036</v>
      </c>
      <c r="L32" t="b">
        <f>Data_Completeness(MileageData[[#This Row],[MPG]:[Acceleration]])</f>
        <v>1</v>
      </c>
    </row>
    <row r="33" spans="1:12" x14ac:dyDescent="0.25">
      <c r="A33">
        <v>10</v>
      </c>
      <c r="B33">
        <v>8</v>
      </c>
      <c r="C33">
        <v>360</v>
      </c>
      <c r="D33">
        <v>215</v>
      </c>
      <c r="E33">
        <v>4615</v>
      </c>
      <c r="F33">
        <v>14</v>
      </c>
      <c r="G33">
        <v>70</v>
      </c>
      <c r="H33" t="s">
        <v>1621</v>
      </c>
      <c r="I33" t="s">
        <v>1037</v>
      </c>
      <c r="J33" t="s">
        <v>976</v>
      </c>
      <c r="K33" t="s">
        <v>1038</v>
      </c>
      <c r="L33" t="b">
        <f>Data_Completeness(MileageData[[#This Row],[MPG]:[Acceleration]])</f>
        <v>1</v>
      </c>
    </row>
    <row r="34" spans="1:12" x14ac:dyDescent="0.25">
      <c r="A34">
        <v>10</v>
      </c>
      <c r="B34">
        <v>8</v>
      </c>
      <c r="C34">
        <v>307</v>
      </c>
      <c r="D34">
        <v>200</v>
      </c>
      <c r="E34">
        <v>4376</v>
      </c>
      <c r="F34">
        <v>15</v>
      </c>
      <c r="G34">
        <v>70</v>
      </c>
      <c r="H34" t="s">
        <v>1621</v>
      </c>
      <c r="I34" t="s">
        <v>1039</v>
      </c>
      <c r="J34" t="s">
        <v>1040</v>
      </c>
      <c r="K34" t="s">
        <v>1041</v>
      </c>
      <c r="L34" t="b">
        <f>Data_Completeness(MileageData[[#This Row],[MPG]:[Acceleration]])</f>
        <v>1</v>
      </c>
    </row>
    <row r="35" spans="1:12" x14ac:dyDescent="0.25">
      <c r="A35">
        <v>11</v>
      </c>
      <c r="B35">
        <v>8</v>
      </c>
      <c r="C35">
        <v>318</v>
      </c>
      <c r="D35">
        <v>210</v>
      </c>
      <c r="E35">
        <v>4382</v>
      </c>
      <c r="F35">
        <v>13.5</v>
      </c>
      <c r="G35">
        <v>70</v>
      </c>
      <c r="H35" t="s">
        <v>1621</v>
      </c>
      <c r="I35" t="s">
        <v>1042</v>
      </c>
      <c r="J35" t="s">
        <v>1001</v>
      </c>
      <c r="K35" t="s">
        <v>1043</v>
      </c>
      <c r="L35" t="b">
        <f>Data_Completeness(MileageData[[#This Row],[MPG]:[Acceleration]])</f>
        <v>1</v>
      </c>
    </row>
    <row r="36" spans="1:12" x14ac:dyDescent="0.25">
      <c r="A36">
        <v>9</v>
      </c>
      <c r="B36">
        <v>8</v>
      </c>
      <c r="C36">
        <v>304</v>
      </c>
      <c r="D36">
        <v>193</v>
      </c>
      <c r="E36">
        <v>4732</v>
      </c>
      <c r="F36">
        <v>18.5</v>
      </c>
      <c r="G36">
        <v>70</v>
      </c>
      <c r="H36" t="s">
        <v>1621</v>
      </c>
      <c r="I36" t="s">
        <v>1044</v>
      </c>
      <c r="J36" t="s">
        <v>1045</v>
      </c>
      <c r="K36" t="s">
        <v>1046</v>
      </c>
      <c r="L36" t="b">
        <f>Data_Completeness(MileageData[[#This Row],[MPG]:[Acceleration]])</f>
        <v>1</v>
      </c>
    </row>
    <row r="37" spans="1:12" x14ac:dyDescent="0.25">
      <c r="A37">
        <v>27</v>
      </c>
      <c r="B37">
        <v>4</v>
      </c>
      <c r="C37">
        <v>97</v>
      </c>
      <c r="D37">
        <v>88</v>
      </c>
      <c r="E37">
        <v>2130</v>
      </c>
      <c r="F37">
        <v>14.5</v>
      </c>
      <c r="G37">
        <v>71</v>
      </c>
      <c r="H37" t="s">
        <v>1623</v>
      </c>
      <c r="I37" t="s">
        <v>1019</v>
      </c>
      <c r="J37" t="s">
        <v>1020</v>
      </c>
      <c r="K37" t="s">
        <v>1021</v>
      </c>
      <c r="L37" t="b">
        <f>Data_Completeness(MileageData[[#This Row],[MPG]:[Acceleration]])</f>
        <v>1</v>
      </c>
    </row>
    <row r="38" spans="1:12" x14ac:dyDescent="0.25">
      <c r="A38">
        <v>28</v>
      </c>
      <c r="B38">
        <v>4</v>
      </c>
      <c r="C38">
        <v>140</v>
      </c>
      <c r="D38">
        <v>90</v>
      </c>
      <c r="E38">
        <v>2264</v>
      </c>
      <c r="F38">
        <v>15.5</v>
      </c>
      <c r="G38">
        <v>71</v>
      </c>
      <c r="H38" t="s">
        <v>1621</v>
      </c>
      <c r="I38" t="s">
        <v>1047</v>
      </c>
      <c r="J38" t="s">
        <v>964</v>
      </c>
      <c r="K38" t="s">
        <v>1048</v>
      </c>
      <c r="L38" t="b">
        <f>Data_Completeness(MileageData[[#This Row],[MPG]:[Acceleration]])</f>
        <v>1</v>
      </c>
    </row>
    <row r="39" spans="1:12" x14ac:dyDescent="0.25">
      <c r="A39">
        <v>25</v>
      </c>
      <c r="B39">
        <v>4</v>
      </c>
      <c r="C39">
        <v>113</v>
      </c>
      <c r="D39">
        <v>95</v>
      </c>
      <c r="E39">
        <v>2228</v>
      </c>
      <c r="F39">
        <v>14</v>
      </c>
      <c r="G39">
        <v>71</v>
      </c>
      <c r="H39" t="s">
        <v>1623</v>
      </c>
      <c r="I39" t="s">
        <v>1049</v>
      </c>
      <c r="J39" t="s">
        <v>1011</v>
      </c>
      <c r="K39" t="s">
        <v>1050</v>
      </c>
      <c r="L39" t="b">
        <f>Data_Completeness(MileageData[[#This Row],[MPG]:[Acceleration]])</f>
        <v>1</v>
      </c>
    </row>
    <row r="40" spans="1:12" x14ac:dyDescent="0.25">
      <c r="A40">
        <v>25</v>
      </c>
      <c r="B40">
        <v>4</v>
      </c>
      <c r="C40">
        <v>98</v>
      </c>
      <c r="E40">
        <v>2046</v>
      </c>
      <c r="F40">
        <v>19</v>
      </c>
      <c r="G40">
        <v>71</v>
      </c>
      <c r="H40" t="s">
        <v>1621</v>
      </c>
      <c r="I40" t="s">
        <v>1051</v>
      </c>
      <c r="J40" t="s">
        <v>976</v>
      </c>
      <c r="K40" t="s">
        <v>1052</v>
      </c>
      <c r="L40" t="b">
        <f>Data_Completeness(MileageData[[#This Row],[MPG]:[Acceleration]])</f>
        <v>0</v>
      </c>
    </row>
    <row r="41" spans="1:12" x14ac:dyDescent="0.25">
      <c r="B41">
        <v>4</v>
      </c>
      <c r="C41">
        <v>97</v>
      </c>
      <c r="D41">
        <v>48</v>
      </c>
      <c r="E41">
        <v>1978</v>
      </c>
      <c r="F41">
        <v>20</v>
      </c>
      <c r="G41">
        <v>71</v>
      </c>
      <c r="H41" t="s">
        <v>1622</v>
      </c>
      <c r="I41" t="s">
        <v>1053</v>
      </c>
      <c r="J41" t="s">
        <v>1023</v>
      </c>
      <c r="K41" t="s">
        <v>1054</v>
      </c>
      <c r="L41" t="b">
        <f>Data_Completeness(MileageData[[#This Row],[MPG]:[Acceleration]])</f>
        <v>0</v>
      </c>
    </row>
    <row r="42" spans="1:12" x14ac:dyDescent="0.25">
      <c r="A42">
        <v>19</v>
      </c>
      <c r="B42">
        <v>6</v>
      </c>
      <c r="C42">
        <v>232</v>
      </c>
      <c r="D42">
        <v>100</v>
      </c>
      <c r="E42">
        <v>2634</v>
      </c>
      <c r="F42">
        <v>13</v>
      </c>
      <c r="G42">
        <v>71</v>
      </c>
      <c r="H42" t="s">
        <v>1621</v>
      </c>
      <c r="I42" t="s">
        <v>1035</v>
      </c>
      <c r="J42" t="s">
        <v>973</v>
      </c>
      <c r="K42" t="s">
        <v>1036</v>
      </c>
      <c r="L42" t="b">
        <f>Data_Completeness(MileageData[[#This Row],[MPG]:[Acceleration]])</f>
        <v>1</v>
      </c>
    </row>
    <row r="43" spans="1:12" x14ac:dyDescent="0.25">
      <c r="A43">
        <v>16</v>
      </c>
      <c r="B43">
        <v>6</v>
      </c>
      <c r="C43">
        <v>225</v>
      </c>
      <c r="D43">
        <v>105</v>
      </c>
      <c r="E43">
        <v>3439</v>
      </c>
      <c r="F43">
        <v>15.5</v>
      </c>
      <c r="G43">
        <v>71</v>
      </c>
      <c r="H43" t="s">
        <v>1621</v>
      </c>
      <c r="I43" t="s">
        <v>1055</v>
      </c>
      <c r="J43" t="s">
        <v>970</v>
      </c>
      <c r="K43" t="s">
        <v>1056</v>
      </c>
      <c r="L43" t="b">
        <f>Data_Completeness(MileageData[[#This Row],[MPG]:[Acceleration]])</f>
        <v>1</v>
      </c>
    </row>
    <row r="44" spans="1:12" x14ac:dyDescent="0.25">
      <c r="A44">
        <v>17</v>
      </c>
      <c r="B44">
        <v>6</v>
      </c>
      <c r="C44">
        <v>250</v>
      </c>
      <c r="D44">
        <v>100</v>
      </c>
      <c r="E44">
        <v>3329</v>
      </c>
      <c r="F44">
        <v>15.5</v>
      </c>
      <c r="G44">
        <v>71</v>
      </c>
      <c r="H44" t="s">
        <v>1621</v>
      </c>
      <c r="I44" t="s">
        <v>963</v>
      </c>
      <c r="J44" t="s">
        <v>964</v>
      </c>
      <c r="K44" t="s">
        <v>965</v>
      </c>
      <c r="L44" t="b">
        <f>Data_Completeness(MileageData[[#This Row],[MPG]:[Acceleration]])</f>
        <v>1</v>
      </c>
    </row>
    <row r="45" spans="1:12" x14ac:dyDescent="0.25">
      <c r="A45">
        <v>19</v>
      </c>
      <c r="B45">
        <v>6</v>
      </c>
      <c r="C45">
        <v>250</v>
      </c>
      <c r="D45">
        <v>88</v>
      </c>
      <c r="E45">
        <v>3302</v>
      </c>
      <c r="F45">
        <v>15.5</v>
      </c>
      <c r="G45">
        <v>71</v>
      </c>
      <c r="H45" t="s">
        <v>1621</v>
      </c>
      <c r="I45" t="s">
        <v>1057</v>
      </c>
      <c r="J45" t="s">
        <v>976</v>
      </c>
      <c r="K45" t="s">
        <v>1058</v>
      </c>
      <c r="L45" t="b">
        <f>Data_Completeness(MileageData[[#This Row],[MPG]:[Acceleration]])</f>
        <v>1</v>
      </c>
    </row>
    <row r="46" spans="1:12" x14ac:dyDescent="0.25">
      <c r="A46">
        <v>18</v>
      </c>
      <c r="B46">
        <v>6</v>
      </c>
      <c r="C46">
        <v>232</v>
      </c>
      <c r="D46">
        <v>100</v>
      </c>
      <c r="E46">
        <v>3288</v>
      </c>
      <c r="F46">
        <v>15.5</v>
      </c>
      <c r="G46">
        <v>71</v>
      </c>
      <c r="H46" t="s">
        <v>1621</v>
      </c>
      <c r="I46" t="s">
        <v>1059</v>
      </c>
      <c r="J46" t="s">
        <v>973</v>
      </c>
      <c r="K46" t="s">
        <v>1060</v>
      </c>
      <c r="L46" t="b">
        <f>Data_Completeness(MileageData[[#This Row],[MPG]:[Acceleration]])</f>
        <v>1</v>
      </c>
    </row>
    <row r="47" spans="1:12" x14ac:dyDescent="0.25">
      <c r="A47">
        <v>14</v>
      </c>
      <c r="B47">
        <v>8</v>
      </c>
      <c r="C47">
        <v>350</v>
      </c>
      <c r="D47">
        <v>165</v>
      </c>
      <c r="E47">
        <v>4209</v>
      </c>
      <c r="F47">
        <v>12</v>
      </c>
      <c r="G47">
        <v>71</v>
      </c>
      <c r="H47" t="s">
        <v>1621</v>
      </c>
      <c r="I47" t="s">
        <v>980</v>
      </c>
      <c r="J47" t="s">
        <v>964</v>
      </c>
      <c r="K47" t="s">
        <v>981</v>
      </c>
      <c r="L47" t="b">
        <f>Data_Completeness(MileageData[[#This Row],[MPG]:[Acceleration]])</f>
        <v>1</v>
      </c>
    </row>
    <row r="48" spans="1:12" x14ac:dyDescent="0.25">
      <c r="A48">
        <v>14</v>
      </c>
      <c r="B48">
        <v>8</v>
      </c>
      <c r="C48">
        <v>400</v>
      </c>
      <c r="D48">
        <v>175</v>
      </c>
      <c r="E48">
        <v>4464</v>
      </c>
      <c r="F48">
        <v>11.5</v>
      </c>
      <c r="G48">
        <v>71</v>
      </c>
      <c r="H48" t="s">
        <v>1621</v>
      </c>
      <c r="I48" t="s">
        <v>1061</v>
      </c>
      <c r="J48" t="s">
        <v>985</v>
      </c>
      <c r="K48" t="s">
        <v>1062</v>
      </c>
      <c r="L48" t="b">
        <f>Data_Completeness(MileageData[[#This Row],[MPG]:[Acceleration]])</f>
        <v>1</v>
      </c>
    </row>
    <row r="49" spans="1:12" x14ac:dyDescent="0.25">
      <c r="A49">
        <v>14</v>
      </c>
      <c r="B49">
        <v>8</v>
      </c>
      <c r="C49">
        <v>351</v>
      </c>
      <c r="D49">
        <v>153</v>
      </c>
      <c r="E49">
        <v>4154</v>
      </c>
      <c r="F49">
        <v>13.5</v>
      </c>
      <c r="G49">
        <v>71</v>
      </c>
      <c r="H49" t="s">
        <v>1621</v>
      </c>
      <c r="I49" t="s">
        <v>978</v>
      </c>
      <c r="J49" t="s">
        <v>976</v>
      </c>
      <c r="K49" t="s">
        <v>979</v>
      </c>
      <c r="L49" t="b">
        <f>Data_Completeness(MileageData[[#This Row],[MPG]:[Acceleration]])</f>
        <v>1</v>
      </c>
    </row>
    <row r="50" spans="1:12" x14ac:dyDescent="0.25">
      <c r="A50">
        <v>14</v>
      </c>
      <c r="B50">
        <v>8</v>
      </c>
      <c r="C50">
        <v>318</v>
      </c>
      <c r="D50">
        <v>150</v>
      </c>
      <c r="E50">
        <v>4096</v>
      </c>
      <c r="F50">
        <v>13</v>
      </c>
      <c r="G50">
        <v>71</v>
      </c>
      <c r="H50" t="s">
        <v>1621</v>
      </c>
      <c r="I50" t="s">
        <v>982</v>
      </c>
      <c r="J50" t="s">
        <v>970</v>
      </c>
      <c r="K50" t="s">
        <v>983</v>
      </c>
      <c r="L50" t="b">
        <f>Data_Completeness(MileageData[[#This Row],[MPG]:[Acceleration]])</f>
        <v>1</v>
      </c>
    </row>
    <row r="51" spans="1:12" x14ac:dyDescent="0.25">
      <c r="A51">
        <v>12</v>
      </c>
      <c r="B51">
        <v>8</v>
      </c>
      <c r="C51">
        <v>383</v>
      </c>
      <c r="D51">
        <v>180</v>
      </c>
      <c r="E51">
        <v>4955</v>
      </c>
      <c r="F51">
        <v>11.5</v>
      </c>
      <c r="G51">
        <v>71</v>
      </c>
      <c r="H51" t="s">
        <v>1621</v>
      </c>
      <c r="I51" t="s">
        <v>1063</v>
      </c>
      <c r="J51" t="s">
        <v>1001</v>
      </c>
      <c r="K51" t="s">
        <v>1064</v>
      </c>
      <c r="L51" t="b">
        <f>Data_Completeness(MileageData[[#This Row],[MPG]:[Acceleration]])</f>
        <v>1</v>
      </c>
    </row>
    <row r="52" spans="1:12" x14ac:dyDescent="0.25">
      <c r="A52">
        <v>13</v>
      </c>
      <c r="B52">
        <v>8</v>
      </c>
      <c r="C52">
        <v>400</v>
      </c>
      <c r="D52">
        <v>170</v>
      </c>
      <c r="E52">
        <v>4746</v>
      </c>
      <c r="F52">
        <v>12</v>
      </c>
      <c r="G52">
        <v>71</v>
      </c>
      <c r="H52" t="s">
        <v>1621</v>
      </c>
      <c r="I52" t="s">
        <v>1065</v>
      </c>
      <c r="J52" t="s">
        <v>976</v>
      </c>
      <c r="K52" t="s">
        <v>1066</v>
      </c>
      <c r="L52" t="b">
        <f>Data_Completeness(MileageData[[#This Row],[MPG]:[Acceleration]])</f>
        <v>1</v>
      </c>
    </row>
    <row r="53" spans="1:12" x14ac:dyDescent="0.25">
      <c r="A53">
        <v>13</v>
      </c>
      <c r="B53">
        <v>8</v>
      </c>
      <c r="C53">
        <v>400</v>
      </c>
      <c r="D53">
        <v>175</v>
      </c>
      <c r="E53">
        <v>5140</v>
      </c>
      <c r="F53">
        <v>12</v>
      </c>
      <c r="G53">
        <v>71</v>
      </c>
      <c r="H53" t="s">
        <v>1621</v>
      </c>
      <c r="I53" t="s">
        <v>1067</v>
      </c>
      <c r="J53" t="s">
        <v>985</v>
      </c>
      <c r="K53" t="s">
        <v>1068</v>
      </c>
      <c r="L53" t="b">
        <f>Data_Completeness(MileageData[[#This Row],[MPG]:[Acceleration]])</f>
        <v>1</v>
      </c>
    </row>
    <row r="54" spans="1:12" x14ac:dyDescent="0.25">
      <c r="A54">
        <v>18</v>
      </c>
      <c r="B54">
        <v>6</v>
      </c>
      <c r="C54">
        <v>258</v>
      </c>
      <c r="D54">
        <v>110</v>
      </c>
      <c r="E54">
        <v>2962</v>
      </c>
      <c r="F54">
        <v>13.5</v>
      </c>
      <c r="G54">
        <v>71</v>
      </c>
      <c r="H54" t="s">
        <v>1621</v>
      </c>
      <c r="I54" t="s">
        <v>1069</v>
      </c>
      <c r="J54" t="s">
        <v>973</v>
      </c>
      <c r="K54" t="s">
        <v>1070</v>
      </c>
      <c r="L54" t="b">
        <f>Data_Completeness(MileageData[[#This Row],[MPG]:[Acceleration]])</f>
        <v>1</v>
      </c>
    </row>
    <row r="55" spans="1:12" x14ac:dyDescent="0.25">
      <c r="A55">
        <v>22</v>
      </c>
      <c r="B55">
        <v>4</v>
      </c>
      <c r="C55">
        <v>140</v>
      </c>
      <c r="D55">
        <v>72</v>
      </c>
      <c r="E55">
        <v>2408</v>
      </c>
      <c r="F55">
        <v>19</v>
      </c>
      <c r="G55">
        <v>71</v>
      </c>
      <c r="H55" t="s">
        <v>1621</v>
      </c>
      <c r="I55" t="s">
        <v>1071</v>
      </c>
      <c r="J55" t="s">
        <v>964</v>
      </c>
      <c r="K55" t="s">
        <v>1072</v>
      </c>
      <c r="L55" t="b">
        <f>Data_Completeness(MileageData[[#This Row],[MPG]:[Acceleration]])</f>
        <v>1</v>
      </c>
    </row>
    <row r="56" spans="1:12" x14ac:dyDescent="0.25">
      <c r="A56">
        <v>19</v>
      </c>
      <c r="B56">
        <v>6</v>
      </c>
      <c r="C56">
        <v>250</v>
      </c>
      <c r="D56">
        <v>100</v>
      </c>
      <c r="E56">
        <v>3282</v>
      </c>
      <c r="F56">
        <v>15</v>
      </c>
      <c r="G56">
        <v>71</v>
      </c>
      <c r="H56" t="s">
        <v>1621</v>
      </c>
      <c r="I56" t="s">
        <v>1073</v>
      </c>
      <c r="J56" t="s">
        <v>985</v>
      </c>
      <c r="K56" t="s">
        <v>1074</v>
      </c>
      <c r="L56" t="b">
        <f>Data_Completeness(MileageData[[#This Row],[MPG]:[Acceleration]])</f>
        <v>1</v>
      </c>
    </row>
    <row r="57" spans="1:12" x14ac:dyDescent="0.25">
      <c r="A57">
        <v>18</v>
      </c>
      <c r="B57">
        <v>6</v>
      </c>
      <c r="C57">
        <v>250</v>
      </c>
      <c r="D57">
        <v>88</v>
      </c>
      <c r="E57">
        <v>3139</v>
      </c>
      <c r="F57">
        <v>14.5</v>
      </c>
      <c r="G57">
        <v>71</v>
      </c>
      <c r="H57" t="s">
        <v>1621</v>
      </c>
      <c r="I57" t="s">
        <v>1075</v>
      </c>
      <c r="J57" t="s">
        <v>976</v>
      </c>
      <c r="K57" t="s">
        <v>1076</v>
      </c>
      <c r="L57" t="b">
        <f>Data_Completeness(MileageData[[#This Row],[MPG]:[Acceleration]])</f>
        <v>1</v>
      </c>
    </row>
    <row r="58" spans="1:12" x14ac:dyDescent="0.25">
      <c r="A58">
        <v>23</v>
      </c>
      <c r="B58">
        <v>4</v>
      </c>
      <c r="C58">
        <v>122</v>
      </c>
      <c r="D58">
        <v>86</v>
      </c>
      <c r="E58">
        <v>2220</v>
      </c>
      <c r="F58">
        <v>14</v>
      </c>
      <c r="G58">
        <v>71</v>
      </c>
      <c r="H58" t="s">
        <v>1621</v>
      </c>
      <c r="I58" t="s">
        <v>1077</v>
      </c>
      <c r="J58" t="s">
        <v>1078</v>
      </c>
      <c r="K58" t="s">
        <v>1079</v>
      </c>
      <c r="L58" t="b">
        <f>Data_Completeness(MileageData[[#This Row],[MPG]:[Acceleration]])</f>
        <v>1</v>
      </c>
    </row>
    <row r="59" spans="1:12" x14ac:dyDescent="0.25">
      <c r="A59">
        <v>28</v>
      </c>
      <c r="B59">
        <v>4</v>
      </c>
      <c r="C59">
        <v>116</v>
      </c>
      <c r="D59">
        <v>90</v>
      </c>
      <c r="E59">
        <v>2123</v>
      </c>
      <c r="F59">
        <v>14</v>
      </c>
      <c r="G59">
        <v>71</v>
      </c>
      <c r="H59" t="s">
        <v>1622</v>
      </c>
      <c r="I59" t="s">
        <v>1080</v>
      </c>
      <c r="J59" t="s">
        <v>1081</v>
      </c>
      <c r="K59">
        <v>1900</v>
      </c>
      <c r="L59" t="b">
        <f>Data_Completeness(MileageData[[#This Row],[MPG]:[Acceleration]])</f>
        <v>1</v>
      </c>
    </row>
    <row r="60" spans="1:12" x14ac:dyDescent="0.25">
      <c r="A60">
        <v>30</v>
      </c>
      <c r="B60">
        <v>4</v>
      </c>
      <c r="C60">
        <v>79</v>
      </c>
      <c r="D60">
        <v>70</v>
      </c>
      <c r="E60">
        <v>2074</v>
      </c>
      <c r="F60">
        <v>19.5</v>
      </c>
      <c r="G60">
        <v>71</v>
      </c>
      <c r="H60" t="s">
        <v>1622</v>
      </c>
      <c r="I60" t="s">
        <v>1082</v>
      </c>
      <c r="J60" t="s">
        <v>1026</v>
      </c>
      <c r="K60">
        <v>304</v>
      </c>
      <c r="L60" t="b">
        <f>Data_Completeness(MileageData[[#This Row],[MPG]:[Acceleration]])</f>
        <v>1</v>
      </c>
    </row>
    <row r="61" spans="1:12" x14ac:dyDescent="0.25">
      <c r="A61">
        <v>30</v>
      </c>
      <c r="B61">
        <v>4</v>
      </c>
      <c r="C61">
        <v>88</v>
      </c>
      <c r="D61">
        <v>76</v>
      </c>
      <c r="E61">
        <v>2065</v>
      </c>
      <c r="F61">
        <v>14.5</v>
      </c>
      <c r="G61">
        <v>71</v>
      </c>
      <c r="H61" t="s">
        <v>1622</v>
      </c>
      <c r="I61" t="s">
        <v>1083</v>
      </c>
      <c r="J61" t="s">
        <v>1084</v>
      </c>
      <c r="K61" t="s">
        <v>1085</v>
      </c>
      <c r="L61" t="b">
        <f>Data_Completeness(MileageData[[#This Row],[MPG]:[Acceleration]])</f>
        <v>1</v>
      </c>
    </row>
    <row r="62" spans="1:12" x14ac:dyDescent="0.25">
      <c r="A62">
        <v>31</v>
      </c>
      <c r="B62">
        <v>4</v>
      </c>
      <c r="C62">
        <v>71</v>
      </c>
      <c r="D62">
        <v>65</v>
      </c>
      <c r="E62">
        <v>1773</v>
      </c>
      <c r="F62">
        <v>19</v>
      </c>
      <c r="G62">
        <v>71</v>
      </c>
      <c r="H62" t="s">
        <v>1623</v>
      </c>
      <c r="I62" t="s">
        <v>1086</v>
      </c>
      <c r="J62" t="s">
        <v>1011</v>
      </c>
      <c r="K62" t="s">
        <v>1087</v>
      </c>
      <c r="L62" t="b">
        <f>Data_Completeness(MileageData[[#This Row],[MPG]:[Acceleration]])</f>
        <v>1</v>
      </c>
    </row>
    <row r="63" spans="1:12" x14ac:dyDescent="0.25">
      <c r="A63">
        <v>35</v>
      </c>
      <c r="B63">
        <v>4</v>
      </c>
      <c r="C63">
        <v>72</v>
      </c>
      <c r="D63">
        <v>69</v>
      </c>
      <c r="E63">
        <v>1613</v>
      </c>
      <c r="F63">
        <v>18</v>
      </c>
      <c r="G63">
        <v>71</v>
      </c>
      <c r="H63" t="s">
        <v>1623</v>
      </c>
      <c r="I63" t="s">
        <v>1088</v>
      </c>
      <c r="J63" t="s">
        <v>1020</v>
      </c>
      <c r="K63">
        <v>1200</v>
      </c>
      <c r="L63" t="b">
        <f>Data_Completeness(MileageData[[#This Row],[MPG]:[Acceleration]])</f>
        <v>1</v>
      </c>
    </row>
    <row r="64" spans="1:12" x14ac:dyDescent="0.25">
      <c r="A64">
        <v>27</v>
      </c>
      <c r="B64">
        <v>4</v>
      </c>
      <c r="C64">
        <v>97</v>
      </c>
      <c r="D64">
        <v>60</v>
      </c>
      <c r="E64">
        <v>1834</v>
      </c>
      <c r="F64">
        <v>19</v>
      </c>
      <c r="G64">
        <v>71</v>
      </c>
      <c r="H64" t="s">
        <v>1622</v>
      </c>
      <c r="I64" t="s">
        <v>1089</v>
      </c>
      <c r="J64" t="s">
        <v>1023</v>
      </c>
      <c r="K64" t="s">
        <v>1090</v>
      </c>
      <c r="L64" t="b">
        <f>Data_Completeness(MileageData[[#This Row],[MPG]:[Acceleration]])</f>
        <v>1</v>
      </c>
    </row>
    <row r="65" spans="1:12" x14ac:dyDescent="0.25">
      <c r="A65">
        <v>26</v>
      </c>
      <c r="B65">
        <v>4</v>
      </c>
      <c r="C65">
        <v>91</v>
      </c>
      <c r="D65">
        <v>70</v>
      </c>
      <c r="E65">
        <v>1955</v>
      </c>
      <c r="F65">
        <v>20.5</v>
      </c>
      <c r="G65">
        <v>71</v>
      </c>
      <c r="H65" t="s">
        <v>1621</v>
      </c>
      <c r="I65" t="s">
        <v>1091</v>
      </c>
      <c r="J65" t="s">
        <v>970</v>
      </c>
      <c r="K65" t="s">
        <v>1092</v>
      </c>
      <c r="L65" t="b">
        <f>Data_Completeness(MileageData[[#This Row],[MPG]:[Acceleration]])</f>
        <v>1</v>
      </c>
    </row>
    <row r="66" spans="1:12" x14ac:dyDescent="0.25">
      <c r="A66">
        <v>24</v>
      </c>
      <c r="B66">
        <v>4</v>
      </c>
      <c r="C66">
        <v>113</v>
      </c>
      <c r="D66">
        <v>95</v>
      </c>
      <c r="E66">
        <v>2278</v>
      </c>
      <c r="F66">
        <v>15.5</v>
      </c>
      <c r="G66">
        <v>72</v>
      </c>
      <c r="H66" t="s">
        <v>1623</v>
      </c>
      <c r="I66" t="s">
        <v>1093</v>
      </c>
      <c r="J66" t="s">
        <v>1011</v>
      </c>
      <c r="K66" t="s">
        <v>1094</v>
      </c>
      <c r="L66" t="b">
        <f>Data_Completeness(MileageData[[#This Row],[MPG]:[Acceleration]])</f>
        <v>1</v>
      </c>
    </row>
    <row r="67" spans="1:12" x14ac:dyDescent="0.25">
      <c r="A67">
        <v>25</v>
      </c>
      <c r="B67">
        <v>4</v>
      </c>
      <c r="C67">
        <v>97.5</v>
      </c>
      <c r="D67">
        <v>80</v>
      </c>
      <c r="E67">
        <v>2126</v>
      </c>
      <c r="F67">
        <v>17</v>
      </c>
      <c r="G67">
        <v>72</v>
      </c>
      <c r="H67" t="s">
        <v>1621</v>
      </c>
      <c r="I67" t="s">
        <v>1095</v>
      </c>
      <c r="J67" t="s">
        <v>1001</v>
      </c>
      <c r="K67" t="s">
        <v>1096</v>
      </c>
      <c r="L67" t="b">
        <f>Data_Completeness(MileageData[[#This Row],[MPG]:[Acceleration]])</f>
        <v>1</v>
      </c>
    </row>
    <row r="68" spans="1:12" x14ac:dyDescent="0.25">
      <c r="A68">
        <v>23</v>
      </c>
      <c r="B68">
        <v>4</v>
      </c>
      <c r="C68">
        <v>97</v>
      </c>
      <c r="D68">
        <v>54</v>
      </c>
      <c r="E68">
        <v>2254</v>
      </c>
      <c r="F68">
        <v>23.5</v>
      </c>
      <c r="G68">
        <v>72</v>
      </c>
      <c r="H68" t="s">
        <v>1622</v>
      </c>
      <c r="I68" t="s">
        <v>1097</v>
      </c>
      <c r="J68" t="s">
        <v>1023</v>
      </c>
      <c r="K68" t="s">
        <v>1098</v>
      </c>
      <c r="L68" t="b">
        <f>Data_Completeness(MileageData[[#This Row],[MPG]:[Acceleration]])</f>
        <v>1</v>
      </c>
    </row>
    <row r="69" spans="1:12" x14ac:dyDescent="0.25">
      <c r="A69">
        <v>20</v>
      </c>
      <c r="B69">
        <v>4</v>
      </c>
      <c r="C69">
        <v>140</v>
      </c>
      <c r="D69">
        <v>90</v>
      </c>
      <c r="E69">
        <v>2408</v>
      </c>
      <c r="F69">
        <v>19.5</v>
      </c>
      <c r="G69">
        <v>72</v>
      </c>
      <c r="H69" t="s">
        <v>1621</v>
      </c>
      <c r="I69" t="s">
        <v>1099</v>
      </c>
      <c r="J69" t="s">
        <v>964</v>
      </c>
      <c r="K69" t="s">
        <v>1100</v>
      </c>
      <c r="L69" t="b">
        <f>Data_Completeness(MileageData[[#This Row],[MPG]:[Acceleration]])</f>
        <v>1</v>
      </c>
    </row>
    <row r="70" spans="1:12" x14ac:dyDescent="0.25">
      <c r="A70">
        <v>21</v>
      </c>
      <c r="B70">
        <v>4</v>
      </c>
      <c r="C70">
        <v>122</v>
      </c>
      <c r="D70">
        <v>86</v>
      </c>
      <c r="E70">
        <v>2226</v>
      </c>
      <c r="F70">
        <v>16.5</v>
      </c>
      <c r="G70">
        <v>72</v>
      </c>
      <c r="H70" t="s">
        <v>1621</v>
      </c>
      <c r="I70" t="s">
        <v>1101</v>
      </c>
      <c r="J70" t="s">
        <v>976</v>
      </c>
      <c r="K70" t="s">
        <v>1102</v>
      </c>
      <c r="L70" t="b">
        <f>Data_Completeness(MileageData[[#This Row],[MPG]:[Acceleration]])</f>
        <v>1</v>
      </c>
    </row>
    <row r="71" spans="1:12" x14ac:dyDescent="0.25">
      <c r="A71">
        <v>13</v>
      </c>
      <c r="B71">
        <v>8</v>
      </c>
      <c r="C71">
        <v>350</v>
      </c>
      <c r="D71">
        <v>165</v>
      </c>
      <c r="E71">
        <v>4274</v>
      </c>
      <c r="F71">
        <v>12</v>
      </c>
      <c r="G71">
        <v>72</v>
      </c>
      <c r="H71" t="s">
        <v>1621</v>
      </c>
      <c r="I71" t="s">
        <v>980</v>
      </c>
      <c r="J71" t="s">
        <v>964</v>
      </c>
      <c r="K71" t="s">
        <v>981</v>
      </c>
      <c r="L71" t="b">
        <f>Data_Completeness(MileageData[[#This Row],[MPG]:[Acceleration]])</f>
        <v>1</v>
      </c>
    </row>
    <row r="72" spans="1:12" x14ac:dyDescent="0.25">
      <c r="A72">
        <v>14</v>
      </c>
      <c r="B72">
        <v>8</v>
      </c>
      <c r="C72">
        <v>400</v>
      </c>
      <c r="D72">
        <v>175</v>
      </c>
      <c r="E72">
        <v>4385</v>
      </c>
      <c r="F72">
        <v>12</v>
      </c>
      <c r="G72">
        <v>72</v>
      </c>
      <c r="H72" t="s">
        <v>1621</v>
      </c>
      <c r="I72" t="s">
        <v>984</v>
      </c>
      <c r="J72" t="s">
        <v>985</v>
      </c>
      <c r="K72" t="s">
        <v>986</v>
      </c>
      <c r="L72" t="b">
        <f>Data_Completeness(MileageData[[#This Row],[MPG]:[Acceleration]])</f>
        <v>1</v>
      </c>
    </row>
    <row r="73" spans="1:12" x14ac:dyDescent="0.25">
      <c r="A73">
        <v>15</v>
      </c>
      <c r="B73">
        <v>8</v>
      </c>
      <c r="C73">
        <v>318</v>
      </c>
      <c r="D73">
        <v>150</v>
      </c>
      <c r="E73">
        <v>4135</v>
      </c>
      <c r="F73">
        <v>13.5</v>
      </c>
      <c r="G73">
        <v>72</v>
      </c>
      <c r="H73" t="s">
        <v>1621</v>
      </c>
      <c r="I73" t="s">
        <v>982</v>
      </c>
      <c r="J73" t="s">
        <v>970</v>
      </c>
      <c r="K73" t="s">
        <v>983</v>
      </c>
      <c r="L73" t="b">
        <f>Data_Completeness(MileageData[[#This Row],[MPG]:[Acceleration]])</f>
        <v>1</v>
      </c>
    </row>
    <row r="74" spans="1:12" x14ac:dyDescent="0.25">
      <c r="A74">
        <v>14</v>
      </c>
      <c r="B74">
        <v>8</v>
      </c>
      <c r="C74">
        <v>351</v>
      </c>
      <c r="D74">
        <v>153</v>
      </c>
      <c r="E74">
        <v>4129</v>
      </c>
      <c r="F74">
        <v>13</v>
      </c>
      <c r="G74">
        <v>72</v>
      </c>
      <c r="H74" t="s">
        <v>1621</v>
      </c>
      <c r="I74" t="s">
        <v>978</v>
      </c>
      <c r="J74" t="s">
        <v>976</v>
      </c>
      <c r="K74" t="s">
        <v>979</v>
      </c>
      <c r="L74" t="b">
        <f>Data_Completeness(MileageData[[#This Row],[MPG]:[Acceleration]])</f>
        <v>1</v>
      </c>
    </row>
    <row r="75" spans="1:12" x14ac:dyDescent="0.25">
      <c r="A75">
        <v>17</v>
      </c>
      <c r="B75">
        <v>8</v>
      </c>
      <c r="C75">
        <v>304</v>
      </c>
      <c r="D75">
        <v>150</v>
      </c>
      <c r="E75">
        <v>3672</v>
      </c>
      <c r="F75">
        <v>11.5</v>
      </c>
      <c r="G75">
        <v>72</v>
      </c>
      <c r="H75" t="s">
        <v>1621</v>
      </c>
      <c r="I75" t="s">
        <v>1103</v>
      </c>
      <c r="J75" t="s">
        <v>973</v>
      </c>
      <c r="K75" t="s">
        <v>1104</v>
      </c>
      <c r="L75" t="b">
        <f>Data_Completeness(MileageData[[#This Row],[MPG]:[Acceleration]])</f>
        <v>1</v>
      </c>
    </row>
    <row r="76" spans="1:12" x14ac:dyDescent="0.25">
      <c r="A76">
        <v>11</v>
      </c>
      <c r="B76">
        <v>8</v>
      </c>
      <c r="C76">
        <v>429</v>
      </c>
      <c r="D76">
        <v>208</v>
      </c>
      <c r="E76">
        <v>4633</v>
      </c>
      <c r="F76">
        <v>11</v>
      </c>
      <c r="G76">
        <v>72</v>
      </c>
      <c r="H76" t="s">
        <v>1621</v>
      </c>
      <c r="I76" t="s">
        <v>1105</v>
      </c>
      <c r="J76" t="s">
        <v>1078</v>
      </c>
      <c r="K76" t="s">
        <v>1106</v>
      </c>
      <c r="L76" t="b">
        <f>Data_Completeness(MileageData[[#This Row],[MPG]:[Acceleration]])</f>
        <v>1</v>
      </c>
    </row>
    <row r="77" spans="1:12" x14ac:dyDescent="0.25">
      <c r="A77">
        <v>13</v>
      </c>
      <c r="B77">
        <v>8</v>
      </c>
      <c r="C77">
        <v>350</v>
      </c>
      <c r="D77">
        <v>155</v>
      </c>
      <c r="E77">
        <v>4502</v>
      </c>
      <c r="F77">
        <v>13.5</v>
      </c>
      <c r="G77">
        <v>72</v>
      </c>
      <c r="H77" t="s">
        <v>1621</v>
      </c>
      <c r="I77" t="s">
        <v>1107</v>
      </c>
      <c r="J77" t="s">
        <v>967</v>
      </c>
      <c r="K77" t="s">
        <v>1108</v>
      </c>
      <c r="L77" t="b">
        <f>Data_Completeness(MileageData[[#This Row],[MPG]:[Acceleration]])</f>
        <v>1</v>
      </c>
    </row>
    <row r="78" spans="1:12" x14ac:dyDescent="0.25">
      <c r="A78">
        <v>12</v>
      </c>
      <c r="B78">
        <v>8</v>
      </c>
      <c r="C78">
        <v>350</v>
      </c>
      <c r="D78">
        <v>160</v>
      </c>
      <c r="E78">
        <v>4456</v>
      </c>
      <c r="F78">
        <v>13.5</v>
      </c>
      <c r="G78">
        <v>72</v>
      </c>
      <c r="H78" t="s">
        <v>1621</v>
      </c>
      <c r="I78" t="s">
        <v>1109</v>
      </c>
      <c r="J78" t="s">
        <v>1110</v>
      </c>
      <c r="K78" t="s">
        <v>1111</v>
      </c>
      <c r="L78" t="b">
        <f>Data_Completeness(MileageData[[#This Row],[MPG]:[Acceleration]])</f>
        <v>1</v>
      </c>
    </row>
    <row r="79" spans="1:12" x14ac:dyDescent="0.25">
      <c r="A79">
        <v>13</v>
      </c>
      <c r="B79">
        <v>8</v>
      </c>
      <c r="C79">
        <v>400</v>
      </c>
      <c r="D79">
        <v>190</v>
      </c>
      <c r="E79">
        <v>4422</v>
      </c>
      <c r="F79">
        <v>12.5</v>
      </c>
      <c r="G79">
        <v>72</v>
      </c>
      <c r="H79" t="s">
        <v>1621</v>
      </c>
      <c r="I79" t="s">
        <v>1112</v>
      </c>
      <c r="J79" t="s">
        <v>1113</v>
      </c>
      <c r="K79" t="s">
        <v>1114</v>
      </c>
      <c r="L79" t="b">
        <f>Data_Completeness(MileageData[[#This Row],[MPG]:[Acceleration]])</f>
        <v>1</v>
      </c>
    </row>
    <row r="80" spans="1:12" x14ac:dyDescent="0.25">
      <c r="A80">
        <v>19</v>
      </c>
      <c r="B80">
        <v>3</v>
      </c>
      <c r="C80">
        <v>70</v>
      </c>
      <c r="D80">
        <v>97</v>
      </c>
      <c r="E80">
        <v>2330</v>
      </c>
      <c r="F80">
        <v>13.5</v>
      </c>
      <c r="G80">
        <v>72</v>
      </c>
      <c r="H80" t="s">
        <v>1623</v>
      </c>
      <c r="I80" t="s">
        <v>1115</v>
      </c>
      <c r="J80" t="s">
        <v>1116</v>
      </c>
      <c r="K80" t="s">
        <v>1117</v>
      </c>
      <c r="L80" t="b">
        <f>Data_Completeness(MileageData[[#This Row],[MPG]:[Acceleration]])</f>
        <v>1</v>
      </c>
    </row>
    <row r="81" spans="1:12" x14ac:dyDescent="0.25">
      <c r="A81">
        <v>15</v>
      </c>
      <c r="B81">
        <v>8</v>
      </c>
      <c r="C81">
        <v>304</v>
      </c>
      <c r="D81">
        <v>150</v>
      </c>
      <c r="E81">
        <v>3892</v>
      </c>
      <c r="F81">
        <v>12.5</v>
      </c>
      <c r="G81">
        <v>72</v>
      </c>
      <c r="H81" t="s">
        <v>1621</v>
      </c>
      <c r="I81" t="s">
        <v>1118</v>
      </c>
      <c r="J81" t="s">
        <v>973</v>
      </c>
      <c r="K81" t="s">
        <v>1119</v>
      </c>
      <c r="L81" t="b">
        <f>Data_Completeness(MileageData[[#This Row],[MPG]:[Acceleration]])</f>
        <v>1</v>
      </c>
    </row>
    <row r="82" spans="1:12" x14ac:dyDescent="0.25">
      <c r="A82">
        <v>13</v>
      </c>
      <c r="B82">
        <v>8</v>
      </c>
      <c r="C82">
        <v>307</v>
      </c>
      <c r="D82">
        <v>130</v>
      </c>
      <c r="E82">
        <v>4098</v>
      </c>
      <c r="F82">
        <v>14</v>
      </c>
      <c r="G82">
        <v>72</v>
      </c>
      <c r="H82" t="s">
        <v>1621</v>
      </c>
      <c r="I82" t="s">
        <v>992</v>
      </c>
      <c r="J82" t="s">
        <v>964</v>
      </c>
      <c r="K82" t="s">
        <v>993</v>
      </c>
      <c r="L82" t="b">
        <f>Data_Completeness(MileageData[[#This Row],[MPG]:[Acceleration]])</f>
        <v>1</v>
      </c>
    </row>
    <row r="83" spans="1:12" x14ac:dyDescent="0.25">
      <c r="A83">
        <v>13</v>
      </c>
      <c r="B83">
        <v>8</v>
      </c>
      <c r="C83">
        <v>302</v>
      </c>
      <c r="D83">
        <v>140</v>
      </c>
      <c r="E83">
        <v>4294</v>
      </c>
      <c r="F83">
        <v>16</v>
      </c>
      <c r="G83">
        <v>72</v>
      </c>
      <c r="H83" t="s">
        <v>1621</v>
      </c>
      <c r="I83" t="s">
        <v>1120</v>
      </c>
      <c r="J83" t="s">
        <v>976</v>
      </c>
      <c r="K83" t="s">
        <v>1121</v>
      </c>
      <c r="L83" t="b">
        <f>Data_Completeness(MileageData[[#This Row],[MPG]:[Acceleration]])</f>
        <v>1</v>
      </c>
    </row>
    <row r="84" spans="1:12" x14ac:dyDescent="0.25">
      <c r="A84">
        <v>14</v>
      </c>
      <c r="B84">
        <v>8</v>
      </c>
      <c r="C84">
        <v>318</v>
      </c>
      <c r="D84">
        <v>150</v>
      </c>
      <c r="E84">
        <v>4077</v>
      </c>
      <c r="F84">
        <v>14</v>
      </c>
      <c r="G84">
        <v>72</v>
      </c>
      <c r="H84" t="s">
        <v>1621</v>
      </c>
      <c r="I84" t="s">
        <v>1122</v>
      </c>
      <c r="J84" t="s">
        <v>970</v>
      </c>
      <c r="K84" t="s">
        <v>1123</v>
      </c>
      <c r="L84" t="b">
        <f>Data_Completeness(MileageData[[#This Row],[MPG]:[Acceleration]])</f>
        <v>1</v>
      </c>
    </row>
    <row r="85" spans="1:12" x14ac:dyDescent="0.25">
      <c r="A85">
        <v>18</v>
      </c>
      <c r="B85">
        <v>4</v>
      </c>
      <c r="C85">
        <v>121</v>
      </c>
      <c r="D85">
        <v>112</v>
      </c>
      <c r="E85">
        <v>2933</v>
      </c>
      <c r="F85">
        <v>14.5</v>
      </c>
      <c r="G85">
        <v>72</v>
      </c>
      <c r="H85" t="s">
        <v>1622</v>
      </c>
      <c r="I85" t="s">
        <v>1124</v>
      </c>
      <c r="J85" t="s">
        <v>1125</v>
      </c>
      <c r="K85" t="s">
        <v>1126</v>
      </c>
      <c r="L85" t="b">
        <f>Data_Completeness(MileageData[[#This Row],[MPG]:[Acceleration]])</f>
        <v>1</v>
      </c>
    </row>
    <row r="86" spans="1:12" x14ac:dyDescent="0.25">
      <c r="A86">
        <v>22</v>
      </c>
      <c r="B86">
        <v>4</v>
      </c>
      <c r="C86">
        <v>121</v>
      </c>
      <c r="D86">
        <v>76</v>
      </c>
      <c r="E86">
        <v>2511</v>
      </c>
      <c r="F86">
        <v>18</v>
      </c>
      <c r="G86">
        <v>72</v>
      </c>
      <c r="H86" t="s">
        <v>1622</v>
      </c>
      <c r="I86" t="s">
        <v>1127</v>
      </c>
      <c r="J86" t="s">
        <v>1023</v>
      </c>
      <c r="K86" t="s">
        <v>1128</v>
      </c>
      <c r="L86" t="b">
        <f>Data_Completeness(MileageData[[#This Row],[MPG]:[Acceleration]])</f>
        <v>1</v>
      </c>
    </row>
    <row r="87" spans="1:12" x14ac:dyDescent="0.25">
      <c r="A87">
        <v>21</v>
      </c>
      <c r="B87">
        <v>4</v>
      </c>
      <c r="C87">
        <v>120</v>
      </c>
      <c r="D87">
        <v>87</v>
      </c>
      <c r="E87">
        <v>2979</v>
      </c>
      <c r="F87">
        <v>19.5</v>
      </c>
      <c r="G87">
        <v>72</v>
      </c>
      <c r="H87" t="s">
        <v>1622</v>
      </c>
      <c r="I87" t="s">
        <v>1129</v>
      </c>
      <c r="J87" t="s">
        <v>1026</v>
      </c>
      <c r="K87" t="s">
        <v>1130</v>
      </c>
      <c r="L87" t="b">
        <f>Data_Completeness(MileageData[[#This Row],[MPG]:[Acceleration]])</f>
        <v>1</v>
      </c>
    </row>
    <row r="88" spans="1:12" x14ac:dyDescent="0.25">
      <c r="A88">
        <v>26</v>
      </c>
      <c r="B88">
        <v>4</v>
      </c>
      <c r="C88">
        <v>96</v>
      </c>
      <c r="D88">
        <v>69</v>
      </c>
      <c r="E88">
        <v>2189</v>
      </c>
      <c r="F88">
        <v>18</v>
      </c>
      <c r="G88">
        <v>72</v>
      </c>
      <c r="H88" t="s">
        <v>1622</v>
      </c>
      <c r="I88" t="s">
        <v>1131</v>
      </c>
      <c r="J88" t="s">
        <v>1132</v>
      </c>
      <c r="K88" t="s">
        <v>1133</v>
      </c>
      <c r="L88" t="b">
        <f>Data_Completeness(MileageData[[#This Row],[MPG]:[Acceleration]])</f>
        <v>1</v>
      </c>
    </row>
    <row r="89" spans="1:12" x14ac:dyDescent="0.25">
      <c r="A89">
        <v>22</v>
      </c>
      <c r="B89">
        <v>4</v>
      </c>
      <c r="C89">
        <v>122</v>
      </c>
      <c r="D89">
        <v>86</v>
      </c>
      <c r="E89">
        <v>2395</v>
      </c>
      <c r="F89">
        <v>16</v>
      </c>
      <c r="G89">
        <v>72</v>
      </c>
      <c r="H89" t="s">
        <v>1621</v>
      </c>
      <c r="I89" t="s">
        <v>1134</v>
      </c>
      <c r="J89" t="s">
        <v>976</v>
      </c>
      <c r="K89" t="s">
        <v>1135</v>
      </c>
      <c r="L89" t="b">
        <f>Data_Completeness(MileageData[[#This Row],[MPG]:[Acceleration]])</f>
        <v>1</v>
      </c>
    </row>
    <row r="90" spans="1:12" x14ac:dyDescent="0.25">
      <c r="A90">
        <v>28</v>
      </c>
      <c r="B90">
        <v>4</v>
      </c>
      <c r="C90">
        <v>97</v>
      </c>
      <c r="D90">
        <v>92</v>
      </c>
      <c r="E90">
        <v>2288</v>
      </c>
      <c r="F90">
        <v>17</v>
      </c>
      <c r="G90">
        <v>72</v>
      </c>
      <c r="H90" t="s">
        <v>1623</v>
      </c>
      <c r="I90" t="s">
        <v>1136</v>
      </c>
      <c r="J90" t="s">
        <v>1020</v>
      </c>
      <c r="K90" t="s">
        <v>1137</v>
      </c>
      <c r="L90" t="b">
        <f>Data_Completeness(MileageData[[#This Row],[MPG]:[Acceleration]])</f>
        <v>1</v>
      </c>
    </row>
    <row r="91" spans="1:12" x14ac:dyDescent="0.25">
      <c r="A91">
        <v>23</v>
      </c>
      <c r="B91">
        <v>4</v>
      </c>
      <c r="C91">
        <v>120</v>
      </c>
      <c r="D91">
        <v>97</v>
      </c>
      <c r="E91">
        <v>2506</v>
      </c>
      <c r="F91">
        <v>14.5</v>
      </c>
      <c r="G91">
        <v>72</v>
      </c>
      <c r="H91" t="s">
        <v>1623</v>
      </c>
      <c r="I91" t="s">
        <v>1138</v>
      </c>
      <c r="J91" t="s">
        <v>1139</v>
      </c>
      <c r="K91" t="s">
        <v>1140</v>
      </c>
      <c r="L91" t="b">
        <f>Data_Completeness(MileageData[[#This Row],[MPG]:[Acceleration]])</f>
        <v>1</v>
      </c>
    </row>
    <row r="92" spans="1:12" x14ac:dyDescent="0.25">
      <c r="A92">
        <v>28</v>
      </c>
      <c r="B92">
        <v>4</v>
      </c>
      <c r="C92">
        <v>98</v>
      </c>
      <c r="D92">
        <v>80</v>
      </c>
      <c r="E92">
        <v>2164</v>
      </c>
      <c r="F92">
        <v>15</v>
      </c>
      <c r="G92">
        <v>72</v>
      </c>
      <c r="H92" t="s">
        <v>1621</v>
      </c>
      <c r="I92" t="s">
        <v>1141</v>
      </c>
      <c r="J92" t="s">
        <v>1001</v>
      </c>
      <c r="K92" t="s">
        <v>1142</v>
      </c>
      <c r="L92" t="b">
        <f>Data_Completeness(MileageData[[#This Row],[MPG]:[Acceleration]])</f>
        <v>1</v>
      </c>
    </row>
    <row r="93" spans="1:12" x14ac:dyDescent="0.25">
      <c r="A93">
        <v>27</v>
      </c>
      <c r="B93">
        <v>4</v>
      </c>
      <c r="C93">
        <v>97</v>
      </c>
      <c r="D93">
        <v>88</v>
      </c>
      <c r="E93">
        <v>2100</v>
      </c>
      <c r="F93">
        <v>16.5</v>
      </c>
      <c r="G93">
        <v>72</v>
      </c>
      <c r="H93" t="s">
        <v>1623</v>
      </c>
      <c r="I93" t="s">
        <v>1143</v>
      </c>
      <c r="J93" t="s">
        <v>1011</v>
      </c>
      <c r="K93" t="s">
        <v>1144</v>
      </c>
      <c r="L93" t="b">
        <f>Data_Completeness(MileageData[[#This Row],[MPG]:[Acceleration]])</f>
        <v>1</v>
      </c>
    </row>
    <row r="94" spans="1:12" x14ac:dyDescent="0.25">
      <c r="A94">
        <v>13</v>
      </c>
      <c r="B94">
        <v>8</v>
      </c>
      <c r="C94">
        <v>350</v>
      </c>
      <c r="D94">
        <v>175</v>
      </c>
      <c r="E94">
        <v>4100</v>
      </c>
      <c r="F94">
        <v>13</v>
      </c>
      <c r="G94">
        <v>73</v>
      </c>
      <c r="H94" t="s">
        <v>1621</v>
      </c>
      <c r="I94" t="s">
        <v>1145</v>
      </c>
      <c r="J94" t="s">
        <v>967</v>
      </c>
      <c r="K94" t="s">
        <v>1146</v>
      </c>
      <c r="L94" t="b">
        <f>Data_Completeness(MileageData[[#This Row],[MPG]:[Acceleration]])</f>
        <v>1</v>
      </c>
    </row>
    <row r="95" spans="1:12" x14ac:dyDescent="0.25">
      <c r="A95">
        <v>14</v>
      </c>
      <c r="B95">
        <v>8</v>
      </c>
      <c r="C95">
        <v>304</v>
      </c>
      <c r="D95">
        <v>150</v>
      </c>
      <c r="E95">
        <v>3672</v>
      </c>
      <c r="F95">
        <v>11.5</v>
      </c>
      <c r="G95">
        <v>73</v>
      </c>
      <c r="H95" t="s">
        <v>1621</v>
      </c>
      <c r="I95" t="s">
        <v>1059</v>
      </c>
      <c r="J95" t="s">
        <v>973</v>
      </c>
      <c r="K95" t="s">
        <v>1060</v>
      </c>
      <c r="L95" t="b">
        <f>Data_Completeness(MileageData[[#This Row],[MPG]:[Acceleration]])</f>
        <v>1</v>
      </c>
    </row>
    <row r="96" spans="1:12" x14ac:dyDescent="0.25">
      <c r="A96">
        <v>13</v>
      </c>
      <c r="B96">
        <v>8</v>
      </c>
      <c r="C96">
        <v>350</v>
      </c>
      <c r="D96">
        <v>145</v>
      </c>
      <c r="E96">
        <v>3988</v>
      </c>
      <c r="F96">
        <v>13</v>
      </c>
      <c r="G96">
        <v>73</v>
      </c>
      <c r="H96" t="s">
        <v>1621</v>
      </c>
      <c r="I96" t="s">
        <v>1147</v>
      </c>
      <c r="J96" t="s">
        <v>964</v>
      </c>
      <c r="K96" t="s">
        <v>1148</v>
      </c>
      <c r="L96" t="b">
        <f>Data_Completeness(MileageData[[#This Row],[MPG]:[Acceleration]])</f>
        <v>1</v>
      </c>
    </row>
    <row r="97" spans="1:12" x14ac:dyDescent="0.25">
      <c r="A97">
        <v>14</v>
      </c>
      <c r="B97">
        <v>8</v>
      </c>
      <c r="C97">
        <v>302</v>
      </c>
      <c r="D97">
        <v>137</v>
      </c>
      <c r="E97">
        <v>4042</v>
      </c>
      <c r="F97">
        <v>14.5</v>
      </c>
      <c r="G97">
        <v>73</v>
      </c>
      <c r="H97" t="s">
        <v>1621</v>
      </c>
      <c r="I97" t="s">
        <v>1149</v>
      </c>
      <c r="J97" t="s">
        <v>976</v>
      </c>
      <c r="K97" t="s">
        <v>1150</v>
      </c>
      <c r="L97" t="b">
        <f>Data_Completeness(MileageData[[#This Row],[MPG]:[Acceleration]])</f>
        <v>1</v>
      </c>
    </row>
    <row r="98" spans="1:12" x14ac:dyDescent="0.25">
      <c r="A98">
        <v>15</v>
      </c>
      <c r="B98">
        <v>8</v>
      </c>
      <c r="C98">
        <v>318</v>
      </c>
      <c r="D98">
        <v>150</v>
      </c>
      <c r="E98">
        <v>3777</v>
      </c>
      <c r="F98">
        <v>12.5</v>
      </c>
      <c r="G98">
        <v>73</v>
      </c>
      <c r="H98" t="s">
        <v>1621</v>
      </c>
      <c r="I98" t="s">
        <v>1151</v>
      </c>
      <c r="J98" t="s">
        <v>1001</v>
      </c>
      <c r="K98" t="s">
        <v>1152</v>
      </c>
      <c r="L98" t="b">
        <f>Data_Completeness(MileageData[[#This Row],[MPG]:[Acceleration]])</f>
        <v>1</v>
      </c>
    </row>
    <row r="99" spans="1:12" x14ac:dyDescent="0.25">
      <c r="A99">
        <v>12</v>
      </c>
      <c r="B99">
        <v>8</v>
      </c>
      <c r="C99">
        <v>429</v>
      </c>
      <c r="D99">
        <v>198</v>
      </c>
      <c r="E99">
        <v>4952</v>
      </c>
      <c r="F99">
        <v>11.5</v>
      </c>
      <c r="G99">
        <v>73</v>
      </c>
      <c r="H99" t="s">
        <v>1621</v>
      </c>
      <c r="I99" t="s">
        <v>1153</v>
      </c>
      <c r="J99" t="s">
        <v>1078</v>
      </c>
      <c r="K99" t="s">
        <v>1154</v>
      </c>
      <c r="L99" t="b">
        <f>Data_Completeness(MileageData[[#This Row],[MPG]:[Acceleration]])</f>
        <v>1</v>
      </c>
    </row>
    <row r="100" spans="1:12" x14ac:dyDescent="0.25">
      <c r="A100">
        <v>13</v>
      </c>
      <c r="B100">
        <v>8</v>
      </c>
      <c r="C100">
        <v>400</v>
      </c>
      <c r="D100">
        <v>150</v>
      </c>
      <c r="E100">
        <v>4464</v>
      </c>
      <c r="F100">
        <v>12</v>
      </c>
      <c r="G100">
        <v>73</v>
      </c>
      <c r="H100" t="s">
        <v>1621</v>
      </c>
      <c r="I100" t="s">
        <v>1155</v>
      </c>
      <c r="J100" t="s">
        <v>964</v>
      </c>
      <c r="K100" t="s">
        <v>1156</v>
      </c>
      <c r="L100" t="b">
        <f>Data_Completeness(MileageData[[#This Row],[MPG]:[Acceleration]])</f>
        <v>1</v>
      </c>
    </row>
    <row r="101" spans="1:12" x14ac:dyDescent="0.25">
      <c r="A101">
        <v>13</v>
      </c>
      <c r="B101">
        <v>8</v>
      </c>
      <c r="C101">
        <v>351</v>
      </c>
      <c r="D101">
        <v>158</v>
      </c>
      <c r="E101">
        <v>4363</v>
      </c>
      <c r="F101">
        <v>13</v>
      </c>
      <c r="G101">
        <v>73</v>
      </c>
      <c r="H101" t="s">
        <v>1621</v>
      </c>
      <c r="I101" t="s">
        <v>1157</v>
      </c>
      <c r="J101" t="s">
        <v>976</v>
      </c>
      <c r="K101" t="s">
        <v>1158</v>
      </c>
      <c r="L101" t="b">
        <f>Data_Completeness(MileageData[[#This Row],[MPG]:[Acceleration]])</f>
        <v>1</v>
      </c>
    </row>
    <row r="102" spans="1:12" x14ac:dyDescent="0.25">
      <c r="A102">
        <v>14</v>
      </c>
      <c r="B102">
        <v>8</v>
      </c>
      <c r="C102">
        <v>318</v>
      </c>
      <c r="D102">
        <v>150</v>
      </c>
      <c r="E102">
        <v>4237</v>
      </c>
      <c r="F102">
        <v>14.5</v>
      </c>
      <c r="G102">
        <v>73</v>
      </c>
      <c r="H102" t="s">
        <v>1621</v>
      </c>
      <c r="I102" t="s">
        <v>1159</v>
      </c>
      <c r="J102" t="s">
        <v>970</v>
      </c>
      <c r="K102" t="s">
        <v>1160</v>
      </c>
      <c r="L102" t="b">
        <f>Data_Completeness(MileageData[[#This Row],[MPG]:[Acceleration]])</f>
        <v>1</v>
      </c>
    </row>
    <row r="103" spans="1:12" x14ac:dyDescent="0.25">
      <c r="A103">
        <v>13</v>
      </c>
      <c r="B103">
        <v>8</v>
      </c>
      <c r="C103">
        <v>440</v>
      </c>
      <c r="D103">
        <v>215</v>
      </c>
      <c r="E103">
        <v>4735</v>
      </c>
      <c r="F103">
        <v>11</v>
      </c>
      <c r="G103">
        <v>73</v>
      </c>
      <c r="H103" t="s">
        <v>1621</v>
      </c>
      <c r="I103" t="s">
        <v>1161</v>
      </c>
      <c r="J103" t="s">
        <v>1113</v>
      </c>
      <c r="K103" t="s">
        <v>1162</v>
      </c>
      <c r="L103" t="b">
        <f>Data_Completeness(MileageData[[#This Row],[MPG]:[Acceleration]])</f>
        <v>1</v>
      </c>
    </row>
    <row r="104" spans="1:12" x14ac:dyDescent="0.25">
      <c r="A104">
        <v>12</v>
      </c>
      <c r="B104">
        <v>8</v>
      </c>
      <c r="C104">
        <v>455</v>
      </c>
      <c r="D104">
        <v>225</v>
      </c>
      <c r="E104">
        <v>4951</v>
      </c>
      <c r="F104">
        <v>11</v>
      </c>
      <c r="G104">
        <v>73</v>
      </c>
      <c r="H104" t="s">
        <v>1621</v>
      </c>
      <c r="I104" t="s">
        <v>1163</v>
      </c>
      <c r="J104" t="s">
        <v>967</v>
      </c>
      <c r="K104" t="s">
        <v>1164</v>
      </c>
      <c r="L104" t="b">
        <f>Data_Completeness(MileageData[[#This Row],[MPG]:[Acceleration]])</f>
        <v>1</v>
      </c>
    </row>
    <row r="105" spans="1:12" x14ac:dyDescent="0.25">
      <c r="A105">
        <v>13</v>
      </c>
      <c r="B105">
        <v>8</v>
      </c>
      <c r="C105">
        <v>360</v>
      </c>
      <c r="D105">
        <v>175</v>
      </c>
      <c r="E105">
        <v>3821</v>
      </c>
      <c r="F105">
        <v>11</v>
      </c>
      <c r="G105">
        <v>73</v>
      </c>
      <c r="H105" t="s">
        <v>1621</v>
      </c>
      <c r="I105" t="s">
        <v>1165</v>
      </c>
      <c r="J105" t="s">
        <v>973</v>
      </c>
      <c r="K105" t="s">
        <v>1166</v>
      </c>
      <c r="L105" t="b">
        <f>Data_Completeness(MileageData[[#This Row],[MPG]:[Acceleration]])</f>
        <v>1</v>
      </c>
    </row>
    <row r="106" spans="1:12" x14ac:dyDescent="0.25">
      <c r="A106">
        <v>18</v>
      </c>
      <c r="B106">
        <v>6</v>
      </c>
      <c r="C106">
        <v>225</v>
      </c>
      <c r="D106">
        <v>105</v>
      </c>
      <c r="E106">
        <v>3121</v>
      </c>
      <c r="F106">
        <v>16.5</v>
      </c>
      <c r="G106">
        <v>73</v>
      </c>
      <c r="H106" t="s">
        <v>1621</v>
      </c>
      <c r="I106" t="s">
        <v>1167</v>
      </c>
      <c r="J106" t="s">
        <v>970</v>
      </c>
      <c r="K106" t="s">
        <v>1168</v>
      </c>
      <c r="L106" t="b">
        <f>Data_Completeness(MileageData[[#This Row],[MPG]:[Acceleration]])</f>
        <v>1</v>
      </c>
    </row>
    <row r="107" spans="1:12" x14ac:dyDescent="0.25">
      <c r="A107">
        <v>16</v>
      </c>
      <c r="B107">
        <v>6</v>
      </c>
      <c r="C107">
        <v>250</v>
      </c>
      <c r="D107">
        <v>100</v>
      </c>
      <c r="E107">
        <v>3278</v>
      </c>
      <c r="F107">
        <v>18</v>
      </c>
      <c r="G107">
        <v>73</v>
      </c>
      <c r="H107" t="s">
        <v>1621</v>
      </c>
      <c r="I107" t="s">
        <v>1169</v>
      </c>
      <c r="J107" t="s">
        <v>964</v>
      </c>
      <c r="K107" t="s">
        <v>1170</v>
      </c>
      <c r="L107" t="b">
        <f>Data_Completeness(MileageData[[#This Row],[MPG]:[Acceleration]])</f>
        <v>1</v>
      </c>
    </row>
    <row r="108" spans="1:12" x14ac:dyDescent="0.25">
      <c r="A108">
        <v>18</v>
      </c>
      <c r="B108">
        <v>6</v>
      </c>
      <c r="C108">
        <v>232</v>
      </c>
      <c r="D108">
        <v>100</v>
      </c>
      <c r="E108">
        <v>2945</v>
      </c>
      <c r="F108">
        <v>16</v>
      </c>
      <c r="G108">
        <v>73</v>
      </c>
      <c r="H108" t="s">
        <v>1621</v>
      </c>
      <c r="I108" t="s">
        <v>1015</v>
      </c>
      <c r="J108" t="s">
        <v>973</v>
      </c>
      <c r="K108" t="s">
        <v>1016</v>
      </c>
      <c r="L108" t="b">
        <f>Data_Completeness(MileageData[[#This Row],[MPG]:[Acceleration]])</f>
        <v>1</v>
      </c>
    </row>
    <row r="109" spans="1:12" x14ac:dyDescent="0.25">
      <c r="A109">
        <v>18</v>
      </c>
      <c r="B109">
        <v>6</v>
      </c>
      <c r="C109">
        <v>250</v>
      </c>
      <c r="D109">
        <v>88</v>
      </c>
      <c r="E109">
        <v>3021</v>
      </c>
      <c r="F109">
        <v>16.5</v>
      </c>
      <c r="G109">
        <v>73</v>
      </c>
      <c r="H109" t="s">
        <v>1621</v>
      </c>
      <c r="I109" t="s">
        <v>1017</v>
      </c>
      <c r="J109" t="s">
        <v>976</v>
      </c>
      <c r="K109" t="s">
        <v>1018</v>
      </c>
      <c r="L109" t="b">
        <f>Data_Completeness(MileageData[[#This Row],[MPG]:[Acceleration]])</f>
        <v>1</v>
      </c>
    </row>
    <row r="110" spans="1:12" x14ac:dyDescent="0.25">
      <c r="A110">
        <v>23</v>
      </c>
      <c r="B110">
        <v>6</v>
      </c>
      <c r="C110">
        <v>198</v>
      </c>
      <c r="D110">
        <v>95</v>
      </c>
      <c r="E110">
        <v>2904</v>
      </c>
      <c r="F110">
        <v>16</v>
      </c>
      <c r="G110">
        <v>73</v>
      </c>
      <c r="H110" t="s">
        <v>1621</v>
      </c>
      <c r="I110" t="s">
        <v>1013</v>
      </c>
      <c r="J110" t="s">
        <v>970</v>
      </c>
      <c r="K110" t="s">
        <v>1014</v>
      </c>
      <c r="L110" t="b">
        <f>Data_Completeness(MileageData[[#This Row],[MPG]:[Acceleration]])</f>
        <v>1</v>
      </c>
    </row>
    <row r="111" spans="1:12" x14ac:dyDescent="0.25">
      <c r="A111">
        <v>26</v>
      </c>
      <c r="B111">
        <v>4</v>
      </c>
      <c r="C111">
        <v>97</v>
      </c>
      <c r="D111">
        <v>46</v>
      </c>
      <c r="E111">
        <v>1950</v>
      </c>
      <c r="F111">
        <v>21</v>
      </c>
      <c r="G111">
        <v>73</v>
      </c>
      <c r="H111" t="s">
        <v>1622</v>
      </c>
      <c r="I111" t="s">
        <v>1171</v>
      </c>
      <c r="J111" t="s">
        <v>1023</v>
      </c>
      <c r="K111" t="s">
        <v>1172</v>
      </c>
      <c r="L111" t="b">
        <f>Data_Completeness(MileageData[[#This Row],[MPG]:[Acceleration]])</f>
        <v>1</v>
      </c>
    </row>
    <row r="112" spans="1:12" x14ac:dyDescent="0.25">
      <c r="A112">
        <v>11</v>
      </c>
      <c r="B112">
        <v>8</v>
      </c>
      <c r="C112">
        <v>400</v>
      </c>
      <c r="D112">
        <v>150</v>
      </c>
      <c r="E112">
        <v>4997</v>
      </c>
      <c r="F112">
        <v>14</v>
      </c>
      <c r="G112">
        <v>73</v>
      </c>
      <c r="H112" t="s">
        <v>1621</v>
      </c>
      <c r="I112" t="s">
        <v>980</v>
      </c>
      <c r="J112" t="s">
        <v>964</v>
      </c>
      <c r="K112" t="s">
        <v>981</v>
      </c>
      <c r="L112" t="b">
        <f>Data_Completeness(MileageData[[#This Row],[MPG]:[Acceleration]])</f>
        <v>1</v>
      </c>
    </row>
    <row r="113" spans="1:12" x14ac:dyDescent="0.25">
      <c r="A113">
        <v>12</v>
      </c>
      <c r="B113">
        <v>8</v>
      </c>
      <c r="C113">
        <v>400</v>
      </c>
      <c r="D113">
        <v>167</v>
      </c>
      <c r="E113">
        <v>4906</v>
      </c>
      <c r="F113">
        <v>12.5</v>
      </c>
      <c r="G113">
        <v>73</v>
      </c>
      <c r="H113" t="s">
        <v>1621</v>
      </c>
      <c r="I113" t="s">
        <v>1173</v>
      </c>
      <c r="J113" t="s">
        <v>976</v>
      </c>
      <c r="K113" t="s">
        <v>1174</v>
      </c>
      <c r="L113" t="b">
        <f>Data_Completeness(MileageData[[#This Row],[MPG]:[Acceleration]])</f>
        <v>1</v>
      </c>
    </row>
    <row r="114" spans="1:12" x14ac:dyDescent="0.25">
      <c r="A114">
        <v>13</v>
      </c>
      <c r="B114">
        <v>8</v>
      </c>
      <c r="C114">
        <v>360</v>
      </c>
      <c r="D114">
        <v>170</v>
      </c>
      <c r="E114">
        <v>4654</v>
      </c>
      <c r="F114">
        <v>13</v>
      </c>
      <c r="G114">
        <v>73</v>
      </c>
      <c r="H114" t="s">
        <v>1621</v>
      </c>
      <c r="I114" t="s">
        <v>1175</v>
      </c>
      <c r="J114" t="s">
        <v>970</v>
      </c>
      <c r="K114" t="s">
        <v>1176</v>
      </c>
      <c r="L114" t="b">
        <f>Data_Completeness(MileageData[[#This Row],[MPG]:[Acceleration]])</f>
        <v>1</v>
      </c>
    </row>
    <row r="115" spans="1:12" x14ac:dyDescent="0.25">
      <c r="A115">
        <v>12</v>
      </c>
      <c r="B115">
        <v>8</v>
      </c>
      <c r="C115">
        <v>350</v>
      </c>
      <c r="D115">
        <v>180</v>
      </c>
      <c r="E115">
        <v>4499</v>
      </c>
      <c r="F115">
        <v>12.5</v>
      </c>
      <c r="G115">
        <v>73</v>
      </c>
      <c r="H115" t="s">
        <v>1621</v>
      </c>
      <c r="I115" t="s">
        <v>1177</v>
      </c>
      <c r="J115" t="s">
        <v>1110</v>
      </c>
      <c r="K115" t="s">
        <v>1178</v>
      </c>
      <c r="L115" t="b">
        <f>Data_Completeness(MileageData[[#This Row],[MPG]:[Acceleration]])</f>
        <v>1</v>
      </c>
    </row>
    <row r="116" spans="1:12" x14ac:dyDescent="0.25">
      <c r="A116">
        <v>18</v>
      </c>
      <c r="B116">
        <v>6</v>
      </c>
      <c r="C116">
        <v>232</v>
      </c>
      <c r="D116">
        <v>100</v>
      </c>
      <c r="E116">
        <v>2789</v>
      </c>
      <c r="F116">
        <v>15</v>
      </c>
      <c r="G116">
        <v>73</v>
      </c>
      <c r="H116" t="s">
        <v>1621</v>
      </c>
      <c r="I116" t="s">
        <v>1035</v>
      </c>
      <c r="J116" t="s">
        <v>973</v>
      </c>
      <c r="K116" t="s">
        <v>1036</v>
      </c>
      <c r="L116" t="b">
        <f>Data_Completeness(MileageData[[#This Row],[MPG]:[Acceleration]])</f>
        <v>1</v>
      </c>
    </row>
    <row r="117" spans="1:12" x14ac:dyDescent="0.25">
      <c r="A117">
        <v>20</v>
      </c>
      <c r="B117">
        <v>4</v>
      </c>
      <c r="C117">
        <v>97</v>
      </c>
      <c r="D117">
        <v>88</v>
      </c>
      <c r="E117">
        <v>2279</v>
      </c>
      <c r="F117">
        <v>19</v>
      </c>
      <c r="G117">
        <v>73</v>
      </c>
      <c r="H117" t="s">
        <v>1623</v>
      </c>
      <c r="I117" t="s">
        <v>1179</v>
      </c>
      <c r="J117" t="s">
        <v>1011</v>
      </c>
      <c r="K117" t="s">
        <v>1180</v>
      </c>
      <c r="L117" t="b">
        <f>Data_Completeness(MileageData[[#This Row],[MPG]:[Acceleration]])</f>
        <v>1</v>
      </c>
    </row>
    <row r="118" spans="1:12" x14ac:dyDescent="0.25">
      <c r="A118">
        <v>21</v>
      </c>
      <c r="B118">
        <v>4</v>
      </c>
      <c r="C118">
        <v>140</v>
      </c>
      <c r="D118">
        <v>72</v>
      </c>
      <c r="E118">
        <v>2401</v>
      </c>
      <c r="F118">
        <v>19.5</v>
      </c>
      <c r="G118">
        <v>73</v>
      </c>
      <c r="H118" t="s">
        <v>1621</v>
      </c>
      <c r="I118" t="s">
        <v>1099</v>
      </c>
      <c r="J118" t="s">
        <v>964</v>
      </c>
      <c r="K118" t="s">
        <v>1100</v>
      </c>
      <c r="L118" t="b">
        <f>Data_Completeness(MileageData[[#This Row],[MPG]:[Acceleration]])</f>
        <v>1</v>
      </c>
    </row>
    <row r="119" spans="1:12" x14ac:dyDescent="0.25">
      <c r="A119">
        <v>22</v>
      </c>
      <c r="B119">
        <v>4</v>
      </c>
      <c r="C119">
        <v>108</v>
      </c>
      <c r="D119">
        <v>94</v>
      </c>
      <c r="E119">
        <v>2379</v>
      </c>
      <c r="F119">
        <v>16.5</v>
      </c>
      <c r="G119">
        <v>73</v>
      </c>
      <c r="H119" t="s">
        <v>1623</v>
      </c>
      <c r="I119" t="s">
        <v>1181</v>
      </c>
      <c r="J119" t="s">
        <v>1020</v>
      </c>
      <c r="K119">
        <v>610</v>
      </c>
      <c r="L119" t="b">
        <f>Data_Completeness(MileageData[[#This Row],[MPG]:[Acceleration]])</f>
        <v>1</v>
      </c>
    </row>
    <row r="120" spans="1:12" x14ac:dyDescent="0.25">
      <c r="A120">
        <v>18</v>
      </c>
      <c r="B120">
        <v>3</v>
      </c>
      <c r="C120">
        <v>70</v>
      </c>
      <c r="D120">
        <v>90</v>
      </c>
      <c r="E120">
        <v>2124</v>
      </c>
      <c r="F120">
        <v>13.5</v>
      </c>
      <c r="G120">
        <v>73</v>
      </c>
      <c r="H120" t="s">
        <v>1623</v>
      </c>
      <c r="I120" t="s">
        <v>1182</v>
      </c>
      <c r="J120" t="s">
        <v>1183</v>
      </c>
      <c r="K120" t="s">
        <v>1184</v>
      </c>
      <c r="L120" t="b">
        <f>Data_Completeness(MileageData[[#This Row],[MPG]:[Acceleration]])</f>
        <v>1</v>
      </c>
    </row>
    <row r="121" spans="1:12" x14ac:dyDescent="0.25">
      <c r="A121">
        <v>19</v>
      </c>
      <c r="B121">
        <v>4</v>
      </c>
      <c r="C121">
        <v>122</v>
      </c>
      <c r="D121">
        <v>85</v>
      </c>
      <c r="E121">
        <v>2310</v>
      </c>
      <c r="F121">
        <v>18.5</v>
      </c>
      <c r="G121">
        <v>73</v>
      </c>
      <c r="H121" t="s">
        <v>1621</v>
      </c>
      <c r="I121" t="s">
        <v>1051</v>
      </c>
      <c r="J121" t="s">
        <v>976</v>
      </c>
      <c r="K121" t="s">
        <v>1052</v>
      </c>
      <c r="L121" t="b">
        <f>Data_Completeness(MileageData[[#This Row],[MPG]:[Acceleration]])</f>
        <v>1</v>
      </c>
    </row>
    <row r="122" spans="1:12" x14ac:dyDescent="0.25">
      <c r="A122">
        <v>21</v>
      </c>
      <c r="B122">
        <v>6</v>
      </c>
      <c r="C122">
        <v>155</v>
      </c>
      <c r="D122">
        <v>107</v>
      </c>
      <c r="E122">
        <v>2472</v>
      </c>
      <c r="F122">
        <v>14</v>
      </c>
      <c r="G122">
        <v>73</v>
      </c>
      <c r="H122" t="s">
        <v>1621</v>
      </c>
      <c r="I122" t="s">
        <v>1185</v>
      </c>
      <c r="J122" t="s">
        <v>1078</v>
      </c>
      <c r="K122" t="s">
        <v>1186</v>
      </c>
      <c r="L122" t="b">
        <f>Data_Completeness(MileageData[[#This Row],[MPG]:[Acceleration]])</f>
        <v>1</v>
      </c>
    </row>
    <row r="123" spans="1:12" x14ac:dyDescent="0.25">
      <c r="A123">
        <v>26</v>
      </c>
      <c r="B123">
        <v>4</v>
      </c>
      <c r="C123">
        <v>98</v>
      </c>
      <c r="D123">
        <v>90</v>
      </c>
      <c r="E123">
        <v>2265</v>
      </c>
      <c r="F123">
        <v>15.5</v>
      </c>
      <c r="G123">
        <v>73</v>
      </c>
      <c r="H123" t="s">
        <v>1622</v>
      </c>
      <c r="I123" t="s">
        <v>1187</v>
      </c>
      <c r="J123" t="s">
        <v>1084</v>
      </c>
      <c r="K123" t="s">
        <v>1188</v>
      </c>
      <c r="L123" t="b">
        <f>Data_Completeness(MileageData[[#This Row],[MPG]:[Acceleration]])</f>
        <v>1</v>
      </c>
    </row>
    <row r="124" spans="1:12" x14ac:dyDescent="0.25">
      <c r="A124">
        <v>15</v>
      </c>
      <c r="B124">
        <v>8</v>
      </c>
      <c r="C124">
        <v>350</v>
      </c>
      <c r="D124">
        <v>145</v>
      </c>
      <c r="E124">
        <v>4082</v>
      </c>
      <c r="F124">
        <v>13</v>
      </c>
      <c r="G124">
        <v>73</v>
      </c>
      <c r="H124" t="s">
        <v>1621</v>
      </c>
      <c r="I124" t="s">
        <v>1189</v>
      </c>
      <c r="J124" t="s">
        <v>964</v>
      </c>
      <c r="K124" t="s">
        <v>1190</v>
      </c>
      <c r="L124" t="b">
        <f>Data_Completeness(MileageData[[#This Row],[MPG]:[Acceleration]])</f>
        <v>1</v>
      </c>
    </row>
    <row r="125" spans="1:12" x14ac:dyDescent="0.25">
      <c r="A125">
        <v>16</v>
      </c>
      <c r="B125">
        <v>8</v>
      </c>
      <c r="C125">
        <v>400</v>
      </c>
      <c r="D125">
        <v>230</v>
      </c>
      <c r="E125">
        <v>4278</v>
      </c>
      <c r="F125">
        <v>9.5</v>
      </c>
      <c r="G125">
        <v>73</v>
      </c>
      <c r="H125" t="s">
        <v>1621</v>
      </c>
      <c r="I125" t="s">
        <v>1191</v>
      </c>
      <c r="J125" t="s">
        <v>985</v>
      </c>
      <c r="K125" t="s">
        <v>1192</v>
      </c>
      <c r="L125" t="b">
        <f>Data_Completeness(MileageData[[#This Row],[MPG]:[Acceleration]])</f>
        <v>1</v>
      </c>
    </row>
    <row r="126" spans="1:12" x14ac:dyDescent="0.25">
      <c r="A126">
        <v>29</v>
      </c>
      <c r="B126">
        <v>4</v>
      </c>
      <c r="C126">
        <v>68</v>
      </c>
      <c r="D126">
        <v>49</v>
      </c>
      <c r="E126">
        <v>1867</v>
      </c>
      <c r="F126">
        <v>19.5</v>
      </c>
      <c r="G126">
        <v>73</v>
      </c>
      <c r="H126" t="s">
        <v>1622</v>
      </c>
      <c r="I126" t="s">
        <v>1193</v>
      </c>
      <c r="J126" t="s">
        <v>1084</v>
      </c>
      <c r="K126">
        <v>128</v>
      </c>
      <c r="L126" t="b">
        <f>Data_Completeness(MileageData[[#This Row],[MPG]:[Acceleration]])</f>
        <v>1</v>
      </c>
    </row>
    <row r="127" spans="1:12" x14ac:dyDescent="0.25">
      <c r="A127">
        <v>24</v>
      </c>
      <c r="B127">
        <v>4</v>
      </c>
      <c r="C127">
        <v>116</v>
      </c>
      <c r="D127">
        <v>75</v>
      </c>
      <c r="E127">
        <v>2158</v>
      </c>
      <c r="F127">
        <v>15.5</v>
      </c>
      <c r="G127">
        <v>73</v>
      </c>
      <c r="H127" t="s">
        <v>1622</v>
      </c>
      <c r="I127" t="s">
        <v>1194</v>
      </c>
      <c r="J127" t="s">
        <v>1081</v>
      </c>
      <c r="K127" t="s">
        <v>1195</v>
      </c>
      <c r="L127" t="b">
        <f>Data_Completeness(MileageData[[#This Row],[MPG]:[Acceleration]])</f>
        <v>1</v>
      </c>
    </row>
    <row r="128" spans="1:12" x14ac:dyDescent="0.25">
      <c r="A128">
        <v>20</v>
      </c>
      <c r="B128">
        <v>4</v>
      </c>
      <c r="C128">
        <v>114</v>
      </c>
      <c r="D128">
        <v>91</v>
      </c>
      <c r="E128">
        <v>2582</v>
      </c>
      <c r="F128">
        <v>14</v>
      </c>
      <c r="G128">
        <v>73</v>
      </c>
      <c r="H128" t="s">
        <v>1622</v>
      </c>
      <c r="I128" t="s">
        <v>1196</v>
      </c>
      <c r="J128" t="s">
        <v>1028</v>
      </c>
      <c r="K128" t="s">
        <v>1197</v>
      </c>
      <c r="L128" t="b">
        <f>Data_Completeness(MileageData[[#This Row],[MPG]:[Acceleration]])</f>
        <v>1</v>
      </c>
    </row>
    <row r="129" spans="1:12" x14ac:dyDescent="0.25">
      <c r="A129">
        <v>19</v>
      </c>
      <c r="B129">
        <v>4</v>
      </c>
      <c r="C129">
        <v>121</v>
      </c>
      <c r="D129">
        <v>112</v>
      </c>
      <c r="E129">
        <v>2868</v>
      </c>
      <c r="F129">
        <v>15.5</v>
      </c>
      <c r="G129">
        <v>73</v>
      </c>
      <c r="H129" t="s">
        <v>1622</v>
      </c>
      <c r="I129" t="s">
        <v>1198</v>
      </c>
      <c r="J129" t="s">
        <v>1125</v>
      </c>
      <c r="K129" t="s">
        <v>1199</v>
      </c>
      <c r="L129" t="b">
        <f>Data_Completeness(MileageData[[#This Row],[MPG]:[Acceleration]])</f>
        <v>1</v>
      </c>
    </row>
    <row r="130" spans="1:12" x14ac:dyDescent="0.25">
      <c r="A130">
        <v>15</v>
      </c>
      <c r="B130">
        <v>8</v>
      </c>
      <c r="C130">
        <v>318</v>
      </c>
      <c r="D130">
        <v>150</v>
      </c>
      <c r="E130">
        <v>3399</v>
      </c>
      <c r="F130">
        <v>11</v>
      </c>
      <c r="G130">
        <v>73</v>
      </c>
      <c r="H130" t="s">
        <v>1621</v>
      </c>
      <c r="I130" t="s">
        <v>1200</v>
      </c>
      <c r="J130" t="s">
        <v>1001</v>
      </c>
      <c r="K130" t="s">
        <v>1201</v>
      </c>
      <c r="L130" t="b">
        <f>Data_Completeness(MileageData[[#This Row],[MPG]:[Acceleration]])</f>
        <v>1</v>
      </c>
    </row>
    <row r="131" spans="1:12" x14ac:dyDescent="0.25">
      <c r="A131">
        <v>24</v>
      </c>
      <c r="B131">
        <v>4</v>
      </c>
      <c r="C131">
        <v>121</v>
      </c>
      <c r="D131">
        <v>110</v>
      </c>
      <c r="E131">
        <v>2660</v>
      </c>
      <c r="F131">
        <v>14</v>
      </c>
      <c r="G131">
        <v>73</v>
      </c>
      <c r="H131" t="s">
        <v>1622</v>
      </c>
      <c r="I131" t="s">
        <v>1202</v>
      </c>
      <c r="J131" t="s">
        <v>1031</v>
      </c>
      <c r="K131" t="s">
        <v>1203</v>
      </c>
      <c r="L131" t="b">
        <f>Data_Completeness(MileageData[[#This Row],[MPG]:[Acceleration]])</f>
        <v>1</v>
      </c>
    </row>
    <row r="132" spans="1:12" x14ac:dyDescent="0.25">
      <c r="A132">
        <v>20</v>
      </c>
      <c r="B132">
        <v>6</v>
      </c>
      <c r="C132">
        <v>156</v>
      </c>
      <c r="D132">
        <v>122</v>
      </c>
      <c r="E132">
        <v>2807</v>
      </c>
      <c r="F132">
        <v>13.5</v>
      </c>
      <c r="G132">
        <v>73</v>
      </c>
      <c r="H132" t="s">
        <v>1623</v>
      </c>
      <c r="I132" t="s">
        <v>1204</v>
      </c>
      <c r="J132" t="s">
        <v>1011</v>
      </c>
      <c r="K132" t="s">
        <v>1205</v>
      </c>
      <c r="L132" t="b">
        <f>Data_Completeness(MileageData[[#This Row],[MPG]:[Acceleration]])</f>
        <v>1</v>
      </c>
    </row>
    <row r="133" spans="1:12" x14ac:dyDescent="0.25">
      <c r="A133">
        <v>11</v>
      </c>
      <c r="B133">
        <v>8</v>
      </c>
      <c r="C133">
        <v>350</v>
      </c>
      <c r="D133">
        <v>180</v>
      </c>
      <c r="E133">
        <v>3664</v>
      </c>
      <c r="F133">
        <v>11</v>
      </c>
      <c r="G133">
        <v>73</v>
      </c>
      <c r="H133" t="s">
        <v>1621</v>
      </c>
      <c r="I133" t="s">
        <v>1206</v>
      </c>
      <c r="J133" t="s">
        <v>1110</v>
      </c>
      <c r="K133" t="s">
        <v>1207</v>
      </c>
      <c r="L133" t="b">
        <f>Data_Completeness(MileageData[[#This Row],[MPG]:[Acceleration]])</f>
        <v>1</v>
      </c>
    </row>
    <row r="134" spans="1:12" x14ac:dyDescent="0.25">
      <c r="A134">
        <v>20</v>
      </c>
      <c r="B134">
        <v>6</v>
      </c>
      <c r="C134">
        <v>198</v>
      </c>
      <c r="D134">
        <v>95</v>
      </c>
      <c r="E134">
        <v>3102</v>
      </c>
      <c r="F134">
        <v>16.5</v>
      </c>
      <c r="G134">
        <v>74</v>
      </c>
      <c r="H134" t="s">
        <v>1621</v>
      </c>
      <c r="I134" t="s">
        <v>1013</v>
      </c>
      <c r="J134" t="s">
        <v>970</v>
      </c>
      <c r="K134" t="s">
        <v>1014</v>
      </c>
      <c r="L134" t="b">
        <f>Data_Completeness(MileageData[[#This Row],[MPG]:[Acceleration]])</f>
        <v>1</v>
      </c>
    </row>
    <row r="135" spans="1:12" x14ac:dyDescent="0.25">
      <c r="A135">
        <v>21</v>
      </c>
      <c r="B135">
        <v>6</v>
      </c>
      <c r="C135">
        <v>200</v>
      </c>
      <c r="E135">
        <v>2875</v>
      </c>
      <c r="F135">
        <v>17</v>
      </c>
      <c r="G135">
        <v>74</v>
      </c>
      <c r="H135" t="s">
        <v>1621</v>
      </c>
      <c r="I135" t="s">
        <v>1017</v>
      </c>
      <c r="J135" t="s">
        <v>976</v>
      </c>
      <c r="K135" t="s">
        <v>1018</v>
      </c>
      <c r="L135" t="b">
        <f>Data_Completeness(MileageData[[#This Row],[MPG]:[Acceleration]])</f>
        <v>0</v>
      </c>
    </row>
    <row r="136" spans="1:12" x14ac:dyDescent="0.25">
      <c r="A136">
        <v>19</v>
      </c>
      <c r="B136">
        <v>6</v>
      </c>
      <c r="C136">
        <v>232</v>
      </c>
      <c r="D136">
        <v>100</v>
      </c>
      <c r="E136">
        <v>2901</v>
      </c>
      <c r="F136">
        <v>16</v>
      </c>
      <c r="G136">
        <v>74</v>
      </c>
      <c r="H136" t="s">
        <v>1621</v>
      </c>
      <c r="I136" t="s">
        <v>1015</v>
      </c>
      <c r="J136" t="s">
        <v>973</v>
      </c>
      <c r="K136" t="s">
        <v>1016</v>
      </c>
      <c r="L136" t="b">
        <f>Data_Completeness(MileageData[[#This Row],[MPG]:[Acceleration]])</f>
        <v>1</v>
      </c>
    </row>
    <row r="137" spans="1:12" x14ac:dyDescent="0.25">
      <c r="A137">
        <v>15</v>
      </c>
      <c r="B137">
        <v>6</v>
      </c>
      <c r="C137">
        <v>250</v>
      </c>
      <c r="D137">
        <v>100</v>
      </c>
      <c r="E137">
        <v>3336</v>
      </c>
      <c r="F137">
        <v>17</v>
      </c>
      <c r="G137">
        <v>74</v>
      </c>
      <c r="H137" t="s">
        <v>1621</v>
      </c>
      <c r="I137" t="s">
        <v>1208</v>
      </c>
      <c r="J137" t="s">
        <v>964</v>
      </c>
      <c r="K137" t="s">
        <v>1209</v>
      </c>
      <c r="L137" t="b">
        <f>Data_Completeness(MileageData[[#This Row],[MPG]:[Acceleration]])</f>
        <v>1</v>
      </c>
    </row>
    <row r="138" spans="1:12" x14ac:dyDescent="0.25">
      <c r="A138">
        <v>31</v>
      </c>
      <c r="B138">
        <v>4</v>
      </c>
      <c r="C138">
        <v>79</v>
      </c>
      <c r="D138">
        <v>67</v>
      </c>
      <c r="E138">
        <v>1950</v>
      </c>
      <c r="F138">
        <v>19</v>
      </c>
      <c r="G138">
        <v>74</v>
      </c>
      <c r="H138" t="s">
        <v>1623</v>
      </c>
      <c r="I138" t="s">
        <v>1210</v>
      </c>
      <c r="J138" t="s">
        <v>1020</v>
      </c>
      <c r="K138" t="s">
        <v>1211</v>
      </c>
      <c r="L138" t="b">
        <f>Data_Completeness(MileageData[[#This Row],[MPG]:[Acceleration]])</f>
        <v>1</v>
      </c>
    </row>
    <row r="139" spans="1:12" x14ac:dyDescent="0.25">
      <c r="A139">
        <v>26</v>
      </c>
      <c r="B139">
        <v>4</v>
      </c>
      <c r="C139">
        <v>122</v>
      </c>
      <c r="D139">
        <v>80</v>
      </c>
      <c r="E139">
        <v>2451</v>
      </c>
      <c r="F139">
        <v>16.5</v>
      </c>
      <c r="G139">
        <v>74</v>
      </c>
      <c r="H139" t="s">
        <v>1621</v>
      </c>
      <c r="I139" t="s">
        <v>1051</v>
      </c>
      <c r="J139" t="s">
        <v>976</v>
      </c>
      <c r="K139" t="s">
        <v>1052</v>
      </c>
      <c r="L139" t="b">
        <f>Data_Completeness(MileageData[[#This Row],[MPG]:[Acceleration]])</f>
        <v>1</v>
      </c>
    </row>
    <row r="140" spans="1:12" x14ac:dyDescent="0.25">
      <c r="A140">
        <v>32</v>
      </c>
      <c r="B140">
        <v>4</v>
      </c>
      <c r="C140">
        <v>71</v>
      </c>
      <c r="D140">
        <v>65</v>
      </c>
      <c r="E140">
        <v>1836</v>
      </c>
      <c r="F140">
        <v>21</v>
      </c>
      <c r="G140">
        <v>74</v>
      </c>
      <c r="H140" t="s">
        <v>1623</v>
      </c>
      <c r="I140" t="s">
        <v>1086</v>
      </c>
      <c r="J140" t="s">
        <v>1011</v>
      </c>
      <c r="K140" t="s">
        <v>1087</v>
      </c>
      <c r="L140" t="b">
        <f>Data_Completeness(MileageData[[#This Row],[MPG]:[Acceleration]])</f>
        <v>1</v>
      </c>
    </row>
    <row r="141" spans="1:12" x14ac:dyDescent="0.25">
      <c r="A141">
        <v>25</v>
      </c>
      <c r="B141">
        <v>4</v>
      </c>
      <c r="C141">
        <v>140</v>
      </c>
      <c r="D141">
        <v>75</v>
      </c>
      <c r="E141">
        <v>2542</v>
      </c>
      <c r="F141">
        <v>17</v>
      </c>
      <c r="G141">
        <v>74</v>
      </c>
      <c r="H141" t="s">
        <v>1621</v>
      </c>
      <c r="I141" t="s">
        <v>1099</v>
      </c>
      <c r="J141" t="s">
        <v>964</v>
      </c>
      <c r="K141" t="s">
        <v>1100</v>
      </c>
      <c r="L141" t="b">
        <f>Data_Completeness(MileageData[[#This Row],[MPG]:[Acceleration]])</f>
        <v>1</v>
      </c>
    </row>
    <row r="142" spans="1:12" x14ac:dyDescent="0.25">
      <c r="A142">
        <v>16</v>
      </c>
      <c r="B142">
        <v>6</v>
      </c>
      <c r="C142">
        <v>250</v>
      </c>
      <c r="D142">
        <v>100</v>
      </c>
      <c r="E142">
        <v>3781</v>
      </c>
      <c r="F142">
        <v>17</v>
      </c>
      <c r="G142">
        <v>74</v>
      </c>
      <c r="H142" t="s">
        <v>1621</v>
      </c>
      <c r="I142" t="s">
        <v>1212</v>
      </c>
      <c r="J142" t="s">
        <v>964</v>
      </c>
      <c r="K142" t="s">
        <v>1213</v>
      </c>
      <c r="L142" t="b">
        <f>Data_Completeness(MileageData[[#This Row],[MPG]:[Acceleration]])</f>
        <v>1</v>
      </c>
    </row>
    <row r="143" spans="1:12" x14ac:dyDescent="0.25">
      <c r="A143">
        <v>16</v>
      </c>
      <c r="B143">
        <v>6</v>
      </c>
      <c r="C143">
        <v>258</v>
      </c>
      <c r="D143">
        <v>110</v>
      </c>
      <c r="E143">
        <v>3632</v>
      </c>
      <c r="F143">
        <v>18</v>
      </c>
      <c r="G143">
        <v>74</v>
      </c>
      <c r="H143" t="s">
        <v>1621</v>
      </c>
      <c r="I143" t="s">
        <v>1059</v>
      </c>
      <c r="J143" t="s">
        <v>973</v>
      </c>
      <c r="K143" t="s">
        <v>1060</v>
      </c>
      <c r="L143" t="b">
        <f>Data_Completeness(MileageData[[#This Row],[MPG]:[Acceleration]])</f>
        <v>1</v>
      </c>
    </row>
    <row r="144" spans="1:12" x14ac:dyDescent="0.25">
      <c r="A144">
        <v>18</v>
      </c>
      <c r="B144">
        <v>6</v>
      </c>
      <c r="C144">
        <v>225</v>
      </c>
      <c r="D144">
        <v>105</v>
      </c>
      <c r="E144">
        <v>3613</v>
      </c>
      <c r="F144">
        <v>16.5</v>
      </c>
      <c r="G144">
        <v>74</v>
      </c>
      <c r="H144" t="s">
        <v>1621</v>
      </c>
      <c r="I144" t="s">
        <v>1214</v>
      </c>
      <c r="J144" t="s">
        <v>970</v>
      </c>
      <c r="K144" t="s">
        <v>1215</v>
      </c>
      <c r="L144" t="b">
        <f>Data_Completeness(MileageData[[#This Row],[MPG]:[Acceleration]])</f>
        <v>1</v>
      </c>
    </row>
    <row r="145" spans="1:12" x14ac:dyDescent="0.25">
      <c r="A145">
        <v>16</v>
      </c>
      <c r="B145">
        <v>8</v>
      </c>
      <c r="C145">
        <v>302</v>
      </c>
      <c r="D145">
        <v>140</v>
      </c>
      <c r="E145">
        <v>4141</v>
      </c>
      <c r="F145">
        <v>14</v>
      </c>
      <c r="G145">
        <v>74</v>
      </c>
      <c r="H145" t="s">
        <v>1621</v>
      </c>
      <c r="I145" t="s">
        <v>1149</v>
      </c>
      <c r="J145" t="s">
        <v>976</v>
      </c>
      <c r="K145" t="s">
        <v>1150</v>
      </c>
      <c r="L145" t="b">
        <f>Data_Completeness(MileageData[[#This Row],[MPG]:[Acceleration]])</f>
        <v>1</v>
      </c>
    </row>
    <row r="146" spans="1:12" x14ac:dyDescent="0.25">
      <c r="A146">
        <v>13</v>
      </c>
      <c r="B146">
        <v>8</v>
      </c>
      <c r="C146">
        <v>350</v>
      </c>
      <c r="D146">
        <v>150</v>
      </c>
      <c r="E146">
        <v>4699</v>
      </c>
      <c r="F146">
        <v>14.5</v>
      </c>
      <c r="G146">
        <v>74</v>
      </c>
      <c r="H146" t="s">
        <v>1621</v>
      </c>
      <c r="I146" t="s">
        <v>1216</v>
      </c>
      <c r="J146" t="s">
        <v>967</v>
      </c>
      <c r="K146" t="s">
        <v>1217</v>
      </c>
      <c r="L146" t="b">
        <f>Data_Completeness(MileageData[[#This Row],[MPG]:[Acceleration]])</f>
        <v>1</v>
      </c>
    </row>
    <row r="147" spans="1:12" x14ac:dyDescent="0.25">
      <c r="A147">
        <v>14</v>
      </c>
      <c r="B147">
        <v>8</v>
      </c>
      <c r="C147">
        <v>318</v>
      </c>
      <c r="D147">
        <v>150</v>
      </c>
      <c r="E147">
        <v>4457</v>
      </c>
      <c r="F147">
        <v>13.5</v>
      </c>
      <c r="G147">
        <v>74</v>
      </c>
      <c r="H147" t="s">
        <v>1621</v>
      </c>
      <c r="I147" t="s">
        <v>1218</v>
      </c>
      <c r="J147" t="s">
        <v>1001</v>
      </c>
      <c r="K147" t="s">
        <v>1219</v>
      </c>
      <c r="L147" t="b">
        <f>Data_Completeness(MileageData[[#This Row],[MPG]:[Acceleration]])</f>
        <v>1</v>
      </c>
    </row>
    <row r="148" spans="1:12" x14ac:dyDescent="0.25">
      <c r="A148">
        <v>14</v>
      </c>
      <c r="B148">
        <v>8</v>
      </c>
      <c r="C148">
        <v>302</v>
      </c>
      <c r="D148">
        <v>140</v>
      </c>
      <c r="E148">
        <v>4638</v>
      </c>
      <c r="F148">
        <v>16</v>
      </c>
      <c r="G148">
        <v>74</v>
      </c>
      <c r="H148" t="s">
        <v>1621</v>
      </c>
      <c r="I148" t="s">
        <v>1120</v>
      </c>
      <c r="J148" t="s">
        <v>976</v>
      </c>
      <c r="K148" t="s">
        <v>1121</v>
      </c>
      <c r="L148" t="b">
        <f>Data_Completeness(MileageData[[#This Row],[MPG]:[Acceleration]])</f>
        <v>1</v>
      </c>
    </row>
    <row r="149" spans="1:12" x14ac:dyDescent="0.25">
      <c r="A149">
        <v>14</v>
      </c>
      <c r="B149">
        <v>8</v>
      </c>
      <c r="C149">
        <v>304</v>
      </c>
      <c r="D149">
        <v>150</v>
      </c>
      <c r="E149">
        <v>4257</v>
      </c>
      <c r="F149">
        <v>15.5</v>
      </c>
      <c r="G149">
        <v>74</v>
      </c>
      <c r="H149" t="s">
        <v>1621</v>
      </c>
      <c r="I149" t="s">
        <v>1118</v>
      </c>
      <c r="J149" t="s">
        <v>973</v>
      </c>
      <c r="K149" t="s">
        <v>1119</v>
      </c>
      <c r="L149" t="b">
        <f>Data_Completeness(MileageData[[#This Row],[MPG]:[Acceleration]])</f>
        <v>1</v>
      </c>
    </row>
    <row r="150" spans="1:12" x14ac:dyDescent="0.25">
      <c r="A150">
        <v>29</v>
      </c>
      <c r="B150">
        <v>4</v>
      </c>
      <c r="C150">
        <v>98</v>
      </c>
      <c r="D150">
        <v>83</v>
      </c>
      <c r="E150">
        <v>2219</v>
      </c>
      <c r="F150">
        <v>16.5</v>
      </c>
      <c r="G150">
        <v>74</v>
      </c>
      <c r="H150" t="s">
        <v>1622</v>
      </c>
      <c r="I150" t="s">
        <v>1220</v>
      </c>
      <c r="J150" t="s">
        <v>1028</v>
      </c>
      <c r="K150" t="s">
        <v>1221</v>
      </c>
      <c r="L150" t="b">
        <f>Data_Completeness(MileageData[[#This Row],[MPG]:[Acceleration]])</f>
        <v>1</v>
      </c>
    </row>
    <row r="151" spans="1:12" x14ac:dyDescent="0.25">
      <c r="A151">
        <v>26</v>
      </c>
      <c r="B151">
        <v>4</v>
      </c>
      <c r="C151">
        <v>79</v>
      </c>
      <c r="D151">
        <v>67</v>
      </c>
      <c r="E151">
        <v>1963</v>
      </c>
      <c r="F151">
        <v>15.5</v>
      </c>
      <c r="G151">
        <v>74</v>
      </c>
      <c r="H151" t="s">
        <v>1622</v>
      </c>
      <c r="I151" t="s">
        <v>1222</v>
      </c>
      <c r="J151" t="s">
        <v>1023</v>
      </c>
      <c r="K151" t="s">
        <v>1223</v>
      </c>
      <c r="L151" t="b">
        <f>Data_Completeness(MileageData[[#This Row],[MPG]:[Acceleration]])</f>
        <v>1</v>
      </c>
    </row>
    <row r="152" spans="1:12" x14ac:dyDescent="0.25">
      <c r="A152">
        <v>26</v>
      </c>
      <c r="B152">
        <v>4</v>
      </c>
      <c r="C152">
        <v>97</v>
      </c>
      <c r="D152">
        <v>78</v>
      </c>
      <c r="E152">
        <v>2300</v>
      </c>
      <c r="F152">
        <v>14.5</v>
      </c>
      <c r="G152">
        <v>74</v>
      </c>
      <c r="H152" t="s">
        <v>1622</v>
      </c>
      <c r="I152" t="s">
        <v>1194</v>
      </c>
      <c r="J152" t="s">
        <v>1081</v>
      </c>
      <c r="K152" t="s">
        <v>1195</v>
      </c>
      <c r="L152" t="b">
        <f>Data_Completeness(MileageData[[#This Row],[MPG]:[Acceleration]])</f>
        <v>1</v>
      </c>
    </row>
    <row r="153" spans="1:12" x14ac:dyDescent="0.25">
      <c r="A153">
        <v>31</v>
      </c>
      <c r="B153">
        <v>4</v>
      </c>
      <c r="C153">
        <v>76</v>
      </c>
      <c r="D153">
        <v>52</v>
      </c>
      <c r="E153">
        <v>1649</v>
      </c>
      <c r="F153">
        <v>16.5</v>
      </c>
      <c r="G153">
        <v>74</v>
      </c>
      <c r="H153" t="s">
        <v>1623</v>
      </c>
      <c r="I153" t="s">
        <v>1049</v>
      </c>
      <c r="J153" t="s">
        <v>1011</v>
      </c>
      <c r="K153" t="s">
        <v>1050</v>
      </c>
      <c r="L153" t="b">
        <f>Data_Completeness(MileageData[[#This Row],[MPG]:[Acceleration]])</f>
        <v>1</v>
      </c>
    </row>
    <row r="154" spans="1:12" x14ac:dyDescent="0.25">
      <c r="A154">
        <v>32</v>
      </c>
      <c r="B154">
        <v>4</v>
      </c>
      <c r="C154">
        <v>83</v>
      </c>
      <c r="D154">
        <v>61</v>
      </c>
      <c r="E154">
        <v>2003</v>
      </c>
      <c r="F154">
        <v>19</v>
      </c>
      <c r="G154">
        <v>74</v>
      </c>
      <c r="H154" t="s">
        <v>1623</v>
      </c>
      <c r="I154" t="s">
        <v>1224</v>
      </c>
      <c r="J154" t="s">
        <v>1020</v>
      </c>
      <c r="K154">
        <v>710</v>
      </c>
      <c r="L154" t="b">
        <f>Data_Completeness(MileageData[[#This Row],[MPG]:[Acceleration]])</f>
        <v>1</v>
      </c>
    </row>
    <row r="155" spans="1:12" x14ac:dyDescent="0.25">
      <c r="A155">
        <v>28</v>
      </c>
      <c r="B155">
        <v>4</v>
      </c>
      <c r="C155">
        <v>90</v>
      </c>
      <c r="D155">
        <v>75</v>
      </c>
      <c r="E155">
        <v>2125</v>
      </c>
      <c r="F155">
        <v>14.5</v>
      </c>
      <c r="G155">
        <v>74</v>
      </c>
      <c r="H155" t="s">
        <v>1621</v>
      </c>
      <c r="I155" t="s">
        <v>1225</v>
      </c>
      <c r="J155" t="s">
        <v>1001</v>
      </c>
      <c r="K155" t="s">
        <v>1226</v>
      </c>
      <c r="L155" t="b">
        <f>Data_Completeness(MileageData[[#This Row],[MPG]:[Acceleration]])</f>
        <v>1</v>
      </c>
    </row>
    <row r="156" spans="1:12" x14ac:dyDescent="0.25">
      <c r="A156">
        <v>24</v>
      </c>
      <c r="B156">
        <v>4</v>
      </c>
      <c r="C156">
        <v>90</v>
      </c>
      <c r="D156">
        <v>75</v>
      </c>
      <c r="E156">
        <v>2108</v>
      </c>
      <c r="F156">
        <v>15.5</v>
      </c>
      <c r="G156">
        <v>74</v>
      </c>
      <c r="H156" t="s">
        <v>1622</v>
      </c>
      <c r="I156" t="s">
        <v>1193</v>
      </c>
      <c r="J156" t="s">
        <v>1084</v>
      </c>
      <c r="K156">
        <v>128</v>
      </c>
      <c r="L156" t="b">
        <f>Data_Completeness(MileageData[[#This Row],[MPG]:[Acceleration]])</f>
        <v>1</v>
      </c>
    </row>
    <row r="157" spans="1:12" x14ac:dyDescent="0.25">
      <c r="A157">
        <v>26</v>
      </c>
      <c r="B157">
        <v>4</v>
      </c>
      <c r="C157">
        <v>116</v>
      </c>
      <c r="D157">
        <v>75</v>
      </c>
      <c r="E157">
        <v>2246</v>
      </c>
      <c r="F157">
        <v>14</v>
      </c>
      <c r="G157">
        <v>74</v>
      </c>
      <c r="H157" t="s">
        <v>1622</v>
      </c>
      <c r="I157" t="s">
        <v>1227</v>
      </c>
      <c r="J157" t="s">
        <v>1084</v>
      </c>
      <c r="K157" t="s">
        <v>1228</v>
      </c>
      <c r="L157" t="b">
        <f>Data_Completeness(MileageData[[#This Row],[MPG]:[Acceleration]])</f>
        <v>1</v>
      </c>
    </row>
    <row r="158" spans="1:12" x14ac:dyDescent="0.25">
      <c r="A158">
        <v>24</v>
      </c>
      <c r="B158">
        <v>4</v>
      </c>
      <c r="C158">
        <v>120</v>
      </c>
      <c r="D158">
        <v>97</v>
      </c>
      <c r="E158">
        <v>2489</v>
      </c>
      <c r="F158">
        <v>15</v>
      </c>
      <c r="G158">
        <v>74</v>
      </c>
      <c r="H158" t="s">
        <v>1623</v>
      </c>
      <c r="I158" t="s">
        <v>1229</v>
      </c>
      <c r="J158" t="s">
        <v>1230</v>
      </c>
      <c r="K158" t="s">
        <v>1231</v>
      </c>
      <c r="L158" t="b">
        <f>Data_Completeness(MileageData[[#This Row],[MPG]:[Acceleration]])</f>
        <v>1</v>
      </c>
    </row>
    <row r="159" spans="1:12" x14ac:dyDescent="0.25">
      <c r="A159">
        <v>26</v>
      </c>
      <c r="B159">
        <v>4</v>
      </c>
      <c r="C159">
        <v>108</v>
      </c>
      <c r="D159">
        <v>93</v>
      </c>
      <c r="E159">
        <v>2391</v>
      </c>
      <c r="F159">
        <v>15.5</v>
      </c>
      <c r="G159">
        <v>74</v>
      </c>
      <c r="H159" t="s">
        <v>1623</v>
      </c>
      <c r="I159" t="s">
        <v>1232</v>
      </c>
      <c r="J159" t="e">
        <v>#VALUE!</v>
      </c>
      <c r="K159" t="e">
        <v>#VALUE!</v>
      </c>
      <c r="L159" t="b">
        <f>Data_Completeness(MileageData[[#This Row],[MPG]:[Acceleration]])</f>
        <v>1</v>
      </c>
    </row>
    <row r="160" spans="1:12" x14ac:dyDescent="0.25">
      <c r="A160">
        <v>31</v>
      </c>
      <c r="B160">
        <v>4</v>
      </c>
      <c r="C160">
        <v>79</v>
      </c>
      <c r="D160">
        <v>67</v>
      </c>
      <c r="E160">
        <v>2000</v>
      </c>
      <c r="F160">
        <v>16</v>
      </c>
      <c r="G160">
        <v>74</v>
      </c>
      <c r="H160" t="s">
        <v>1622</v>
      </c>
      <c r="I160" t="s">
        <v>1233</v>
      </c>
      <c r="J160" t="s">
        <v>1084</v>
      </c>
      <c r="K160" t="s">
        <v>1234</v>
      </c>
      <c r="L160" t="b">
        <f>Data_Completeness(MileageData[[#This Row],[MPG]:[Acceleration]])</f>
        <v>1</v>
      </c>
    </row>
    <row r="161" spans="1:12" x14ac:dyDescent="0.25">
      <c r="A161">
        <v>19</v>
      </c>
      <c r="B161">
        <v>6</v>
      </c>
      <c r="C161">
        <v>225</v>
      </c>
      <c r="D161">
        <v>95</v>
      </c>
      <c r="E161">
        <v>3264</v>
      </c>
      <c r="F161">
        <v>16</v>
      </c>
      <c r="G161">
        <v>75</v>
      </c>
      <c r="H161" t="s">
        <v>1621</v>
      </c>
      <c r="I161" t="s">
        <v>1235</v>
      </c>
      <c r="J161" t="s">
        <v>970</v>
      </c>
      <c r="K161" t="s">
        <v>1236</v>
      </c>
      <c r="L161" t="b">
        <f>Data_Completeness(MileageData[[#This Row],[MPG]:[Acceleration]])</f>
        <v>1</v>
      </c>
    </row>
    <row r="162" spans="1:12" x14ac:dyDescent="0.25">
      <c r="A162">
        <v>18</v>
      </c>
      <c r="B162">
        <v>6</v>
      </c>
      <c r="C162">
        <v>250</v>
      </c>
      <c r="D162">
        <v>105</v>
      </c>
      <c r="E162">
        <v>3459</v>
      </c>
      <c r="F162">
        <v>16</v>
      </c>
      <c r="G162">
        <v>75</v>
      </c>
      <c r="H162" t="s">
        <v>1621</v>
      </c>
      <c r="I162" t="s">
        <v>1208</v>
      </c>
      <c r="J162" t="s">
        <v>964</v>
      </c>
      <c r="K162" t="s">
        <v>1209</v>
      </c>
      <c r="L162" t="b">
        <f>Data_Completeness(MileageData[[#This Row],[MPG]:[Acceleration]])</f>
        <v>1</v>
      </c>
    </row>
    <row r="163" spans="1:12" x14ac:dyDescent="0.25">
      <c r="A163">
        <v>15</v>
      </c>
      <c r="B163">
        <v>6</v>
      </c>
      <c r="C163">
        <v>250</v>
      </c>
      <c r="D163">
        <v>72</v>
      </c>
      <c r="E163">
        <v>3432</v>
      </c>
      <c r="F163">
        <v>21</v>
      </c>
      <c r="G163">
        <v>75</v>
      </c>
      <c r="H163" t="s">
        <v>1621</v>
      </c>
      <c r="I163" t="s">
        <v>1237</v>
      </c>
      <c r="J163" t="s">
        <v>1078</v>
      </c>
      <c r="K163" t="s">
        <v>1238</v>
      </c>
      <c r="L163" t="b">
        <f>Data_Completeness(MileageData[[#This Row],[MPG]:[Acceleration]])</f>
        <v>1</v>
      </c>
    </row>
    <row r="164" spans="1:12" x14ac:dyDescent="0.25">
      <c r="A164">
        <v>15</v>
      </c>
      <c r="B164">
        <v>6</v>
      </c>
      <c r="C164">
        <v>250</v>
      </c>
      <c r="D164">
        <v>72</v>
      </c>
      <c r="E164">
        <v>3158</v>
      </c>
      <c r="F164">
        <v>19.5</v>
      </c>
      <c r="G164">
        <v>75</v>
      </c>
      <c r="H164" t="s">
        <v>1621</v>
      </c>
      <c r="I164" t="s">
        <v>1017</v>
      </c>
      <c r="J164" t="s">
        <v>976</v>
      </c>
      <c r="K164" t="s">
        <v>1018</v>
      </c>
      <c r="L164" t="b">
        <f>Data_Completeness(MileageData[[#This Row],[MPG]:[Acceleration]])</f>
        <v>1</v>
      </c>
    </row>
    <row r="165" spans="1:12" x14ac:dyDescent="0.25">
      <c r="A165">
        <v>16</v>
      </c>
      <c r="B165">
        <v>8</v>
      </c>
      <c r="C165">
        <v>400</v>
      </c>
      <c r="D165">
        <v>170</v>
      </c>
      <c r="E165">
        <v>4668</v>
      </c>
      <c r="F165">
        <v>11.5</v>
      </c>
      <c r="G165">
        <v>75</v>
      </c>
      <c r="H165" t="s">
        <v>1621</v>
      </c>
      <c r="I165" t="s">
        <v>984</v>
      </c>
      <c r="J165" t="s">
        <v>985</v>
      </c>
      <c r="K165" t="s">
        <v>986</v>
      </c>
      <c r="L165" t="b">
        <f>Data_Completeness(MileageData[[#This Row],[MPG]:[Acceleration]])</f>
        <v>1</v>
      </c>
    </row>
    <row r="166" spans="1:12" x14ac:dyDescent="0.25">
      <c r="A166">
        <v>15</v>
      </c>
      <c r="B166">
        <v>8</v>
      </c>
      <c r="C166">
        <v>350</v>
      </c>
      <c r="D166">
        <v>145</v>
      </c>
      <c r="E166">
        <v>4440</v>
      </c>
      <c r="F166">
        <v>14</v>
      </c>
      <c r="G166">
        <v>75</v>
      </c>
      <c r="H166" t="s">
        <v>1621</v>
      </c>
      <c r="I166" t="s">
        <v>1239</v>
      </c>
      <c r="J166" t="s">
        <v>964</v>
      </c>
      <c r="K166" t="s">
        <v>1240</v>
      </c>
      <c r="L166" t="b">
        <f>Data_Completeness(MileageData[[#This Row],[MPG]:[Acceleration]])</f>
        <v>1</v>
      </c>
    </row>
    <row r="167" spans="1:12" x14ac:dyDescent="0.25">
      <c r="A167">
        <v>16</v>
      </c>
      <c r="B167">
        <v>8</v>
      </c>
      <c r="C167">
        <v>318</v>
      </c>
      <c r="D167">
        <v>150</v>
      </c>
      <c r="E167">
        <v>4498</v>
      </c>
      <c r="F167">
        <v>14.5</v>
      </c>
      <c r="G167">
        <v>75</v>
      </c>
      <c r="H167" t="s">
        <v>1621</v>
      </c>
      <c r="I167" t="s">
        <v>1241</v>
      </c>
      <c r="J167" t="s">
        <v>970</v>
      </c>
      <c r="K167" t="s">
        <v>1242</v>
      </c>
      <c r="L167" t="b">
        <f>Data_Completeness(MileageData[[#This Row],[MPG]:[Acceleration]])</f>
        <v>1</v>
      </c>
    </row>
    <row r="168" spans="1:12" x14ac:dyDescent="0.25">
      <c r="A168">
        <v>14</v>
      </c>
      <c r="B168">
        <v>8</v>
      </c>
      <c r="C168">
        <v>351</v>
      </c>
      <c r="D168">
        <v>148</v>
      </c>
      <c r="E168">
        <v>4657</v>
      </c>
      <c r="F168">
        <v>13.5</v>
      </c>
      <c r="G168">
        <v>75</v>
      </c>
      <c r="H168" t="s">
        <v>1621</v>
      </c>
      <c r="I168" t="s">
        <v>1157</v>
      </c>
      <c r="J168" t="s">
        <v>976</v>
      </c>
      <c r="K168" t="s">
        <v>1158</v>
      </c>
      <c r="L168" t="b">
        <f>Data_Completeness(MileageData[[#This Row],[MPG]:[Acceleration]])</f>
        <v>1</v>
      </c>
    </row>
    <row r="169" spans="1:12" x14ac:dyDescent="0.25">
      <c r="A169">
        <v>17</v>
      </c>
      <c r="B169">
        <v>6</v>
      </c>
      <c r="C169">
        <v>231</v>
      </c>
      <c r="D169">
        <v>110</v>
      </c>
      <c r="E169">
        <v>3907</v>
      </c>
      <c r="F169">
        <v>21</v>
      </c>
      <c r="G169">
        <v>75</v>
      </c>
      <c r="H169" t="s">
        <v>1621</v>
      </c>
      <c r="I169" t="s">
        <v>1243</v>
      </c>
      <c r="J169" t="s">
        <v>967</v>
      </c>
      <c r="K169" t="s">
        <v>1244</v>
      </c>
      <c r="L169" t="b">
        <f>Data_Completeness(MileageData[[#This Row],[MPG]:[Acceleration]])</f>
        <v>1</v>
      </c>
    </row>
    <row r="170" spans="1:12" x14ac:dyDescent="0.25">
      <c r="A170">
        <v>16</v>
      </c>
      <c r="B170">
        <v>6</v>
      </c>
      <c r="C170">
        <v>250</v>
      </c>
      <c r="D170">
        <v>105</v>
      </c>
      <c r="E170">
        <v>3897</v>
      </c>
      <c r="F170">
        <v>18.5</v>
      </c>
      <c r="G170">
        <v>75</v>
      </c>
      <c r="H170" t="s">
        <v>1621</v>
      </c>
      <c r="I170" t="s">
        <v>1245</v>
      </c>
      <c r="J170" t="s">
        <v>1246</v>
      </c>
      <c r="K170" t="s">
        <v>965</v>
      </c>
      <c r="L170" t="b">
        <f>Data_Completeness(MileageData[[#This Row],[MPG]:[Acceleration]])</f>
        <v>1</v>
      </c>
    </row>
    <row r="171" spans="1:12" x14ac:dyDescent="0.25">
      <c r="A171">
        <v>15</v>
      </c>
      <c r="B171">
        <v>6</v>
      </c>
      <c r="C171">
        <v>258</v>
      </c>
      <c r="D171">
        <v>110</v>
      </c>
      <c r="E171">
        <v>3730</v>
      </c>
      <c r="F171">
        <v>19</v>
      </c>
      <c r="G171">
        <v>75</v>
      </c>
      <c r="H171" t="s">
        <v>1621</v>
      </c>
      <c r="I171" t="s">
        <v>1059</v>
      </c>
      <c r="J171" t="s">
        <v>973</v>
      </c>
      <c r="K171" t="s">
        <v>1060</v>
      </c>
      <c r="L171" t="b">
        <f>Data_Completeness(MileageData[[#This Row],[MPG]:[Acceleration]])</f>
        <v>1</v>
      </c>
    </row>
    <row r="172" spans="1:12" x14ac:dyDescent="0.25">
      <c r="A172">
        <v>18</v>
      </c>
      <c r="B172">
        <v>6</v>
      </c>
      <c r="C172">
        <v>225</v>
      </c>
      <c r="D172">
        <v>95</v>
      </c>
      <c r="E172">
        <v>3785</v>
      </c>
      <c r="F172">
        <v>19</v>
      </c>
      <c r="G172">
        <v>75</v>
      </c>
      <c r="H172" t="s">
        <v>1621</v>
      </c>
      <c r="I172" t="s">
        <v>1247</v>
      </c>
      <c r="J172" t="s">
        <v>970</v>
      </c>
      <c r="K172" t="s">
        <v>1248</v>
      </c>
      <c r="L172" t="b">
        <f>Data_Completeness(MileageData[[#This Row],[MPG]:[Acceleration]])</f>
        <v>1</v>
      </c>
    </row>
    <row r="173" spans="1:12" x14ac:dyDescent="0.25">
      <c r="A173">
        <v>21</v>
      </c>
      <c r="B173">
        <v>6</v>
      </c>
      <c r="C173">
        <v>231</v>
      </c>
      <c r="D173">
        <v>110</v>
      </c>
      <c r="E173">
        <v>3039</v>
      </c>
      <c r="F173">
        <v>15</v>
      </c>
      <c r="G173">
        <v>75</v>
      </c>
      <c r="H173" t="s">
        <v>1621</v>
      </c>
      <c r="I173" t="s">
        <v>1249</v>
      </c>
      <c r="J173" t="s">
        <v>967</v>
      </c>
      <c r="K173" t="s">
        <v>1250</v>
      </c>
      <c r="L173" t="b">
        <f>Data_Completeness(MileageData[[#This Row],[MPG]:[Acceleration]])</f>
        <v>1</v>
      </c>
    </row>
    <row r="174" spans="1:12" x14ac:dyDescent="0.25">
      <c r="A174">
        <v>20</v>
      </c>
      <c r="B174">
        <v>8</v>
      </c>
      <c r="C174">
        <v>262</v>
      </c>
      <c r="D174">
        <v>110</v>
      </c>
      <c r="E174">
        <v>3221</v>
      </c>
      <c r="F174">
        <v>13.5</v>
      </c>
      <c r="G174">
        <v>75</v>
      </c>
      <c r="H174" t="s">
        <v>1621</v>
      </c>
      <c r="I174" t="s">
        <v>1251</v>
      </c>
      <c r="J174" t="s">
        <v>964</v>
      </c>
      <c r="K174" t="s">
        <v>1252</v>
      </c>
      <c r="L174" t="b">
        <f>Data_Completeness(MileageData[[#This Row],[MPG]:[Acceleration]])</f>
        <v>1</v>
      </c>
    </row>
    <row r="175" spans="1:12" x14ac:dyDescent="0.25">
      <c r="A175">
        <v>13</v>
      </c>
      <c r="B175">
        <v>8</v>
      </c>
      <c r="C175">
        <v>302</v>
      </c>
      <c r="D175">
        <v>129</v>
      </c>
      <c r="E175">
        <v>3169</v>
      </c>
      <c r="F175">
        <v>12</v>
      </c>
      <c r="G175">
        <v>75</v>
      </c>
      <c r="H175" t="s">
        <v>1621</v>
      </c>
      <c r="I175" t="s">
        <v>1253</v>
      </c>
      <c r="J175" t="s">
        <v>976</v>
      </c>
      <c r="K175" t="s">
        <v>1254</v>
      </c>
      <c r="L175" t="b">
        <f>Data_Completeness(MileageData[[#This Row],[MPG]:[Acceleration]])</f>
        <v>1</v>
      </c>
    </row>
    <row r="176" spans="1:12" x14ac:dyDescent="0.25">
      <c r="A176">
        <v>29</v>
      </c>
      <c r="B176">
        <v>4</v>
      </c>
      <c r="C176">
        <v>97</v>
      </c>
      <c r="D176">
        <v>75</v>
      </c>
      <c r="E176">
        <v>2171</v>
      </c>
      <c r="F176">
        <v>16</v>
      </c>
      <c r="G176">
        <v>75</v>
      </c>
      <c r="H176" t="s">
        <v>1623</v>
      </c>
      <c r="I176" t="s">
        <v>1255</v>
      </c>
      <c r="J176" t="s">
        <v>1011</v>
      </c>
      <c r="K176" t="s">
        <v>1256</v>
      </c>
      <c r="L176" t="b">
        <f>Data_Completeness(MileageData[[#This Row],[MPG]:[Acceleration]])</f>
        <v>1</v>
      </c>
    </row>
    <row r="177" spans="1:12" x14ac:dyDescent="0.25">
      <c r="A177">
        <v>23</v>
      </c>
      <c r="B177">
        <v>4</v>
      </c>
      <c r="C177">
        <v>140</v>
      </c>
      <c r="D177">
        <v>83</v>
      </c>
      <c r="E177">
        <v>2639</v>
      </c>
      <c r="F177">
        <v>17</v>
      </c>
      <c r="G177">
        <v>75</v>
      </c>
      <c r="H177" t="s">
        <v>1621</v>
      </c>
      <c r="I177" t="s">
        <v>1051</v>
      </c>
      <c r="J177" t="s">
        <v>976</v>
      </c>
      <c r="K177" t="s">
        <v>1052</v>
      </c>
      <c r="L177" t="b">
        <f>Data_Completeness(MileageData[[#This Row],[MPG]:[Acceleration]])</f>
        <v>1</v>
      </c>
    </row>
    <row r="178" spans="1:12" x14ac:dyDescent="0.25">
      <c r="A178">
        <v>20</v>
      </c>
      <c r="B178">
        <v>6</v>
      </c>
      <c r="C178">
        <v>232</v>
      </c>
      <c r="D178">
        <v>100</v>
      </c>
      <c r="E178">
        <v>2914</v>
      </c>
      <c r="F178">
        <v>16</v>
      </c>
      <c r="G178">
        <v>75</v>
      </c>
      <c r="H178" t="s">
        <v>1621</v>
      </c>
      <c r="I178" t="s">
        <v>1035</v>
      </c>
      <c r="J178" t="s">
        <v>973</v>
      </c>
      <c r="K178" t="s">
        <v>1036</v>
      </c>
      <c r="L178" t="b">
        <f>Data_Completeness(MileageData[[#This Row],[MPG]:[Acceleration]])</f>
        <v>1</v>
      </c>
    </row>
    <row r="179" spans="1:12" x14ac:dyDescent="0.25">
      <c r="A179">
        <v>23</v>
      </c>
      <c r="B179">
        <v>4</v>
      </c>
      <c r="C179">
        <v>140</v>
      </c>
      <c r="D179">
        <v>78</v>
      </c>
      <c r="E179">
        <v>2592</v>
      </c>
      <c r="F179">
        <v>18.5</v>
      </c>
      <c r="G179">
        <v>75</v>
      </c>
      <c r="H179" t="s">
        <v>1621</v>
      </c>
      <c r="I179" t="s">
        <v>1257</v>
      </c>
      <c r="J179" t="s">
        <v>985</v>
      </c>
      <c r="K179" t="s">
        <v>1258</v>
      </c>
      <c r="L179" t="b">
        <f>Data_Completeness(MileageData[[#This Row],[MPG]:[Acceleration]])</f>
        <v>1</v>
      </c>
    </row>
    <row r="180" spans="1:12" x14ac:dyDescent="0.25">
      <c r="A180">
        <v>24</v>
      </c>
      <c r="B180">
        <v>4</v>
      </c>
      <c r="C180">
        <v>134</v>
      </c>
      <c r="D180">
        <v>96</v>
      </c>
      <c r="E180">
        <v>2702</v>
      </c>
      <c r="F180">
        <v>13.5</v>
      </c>
      <c r="G180">
        <v>75</v>
      </c>
      <c r="H180" t="s">
        <v>1623</v>
      </c>
      <c r="I180" t="s">
        <v>1049</v>
      </c>
      <c r="J180" t="s">
        <v>1011</v>
      </c>
      <c r="K180" t="s">
        <v>1050</v>
      </c>
      <c r="L180" t="b">
        <f>Data_Completeness(MileageData[[#This Row],[MPG]:[Acceleration]])</f>
        <v>1</v>
      </c>
    </row>
    <row r="181" spans="1:12" x14ac:dyDescent="0.25">
      <c r="A181">
        <v>25</v>
      </c>
      <c r="B181">
        <v>4</v>
      </c>
      <c r="C181">
        <v>90</v>
      </c>
      <c r="D181">
        <v>71</v>
      </c>
      <c r="E181">
        <v>2223</v>
      </c>
      <c r="F181">
        <v>16.5</v>
      </c>
      <c r="G181">
        <v>75</v>
      </c>
      <c r="H181" t="s">
        <v>1622</v>
      </c>
      <c r="I181" t="s">
        <v>1222</v>
      </c>
      <c r="J181" t="s">
        <v>1023</v>
      </c>
      <c r="K181" t="s">
        <v>1223</v>
      </c>
      <c r="L181" t="b">
        <f>Data_Completeness(MileageData[[#This Row],[MPG]:[Acceleration]])</f>
        <v>1</v>
      </c>
    </row>
    <row r="182" spans="1:12" x14ac:dyDescent="0.25">
      <c r="A182">
        <v>24</v>
      </c>
      <c r="B182">
        <v>4</v>
      </c>
      <c r="C182">
        <v>119</v>
      </c>
      <c r="D182">
        <v>97</v>
      </c>
      <c r="E182">
        <v>2545</v>
      </c>
      <c r="F182">
        <v>17</v>
      </c>
      <c r="G182">
        <v>75</v>
      </c>
      <c r="H182" t="s">
        <v>1623</v>
      </c>
      <c r="I182" t="s">
        <v>1224</v>
      </c>
      <c r="J182" t="s">
        <v>1020</v>
      </c>
      <c r="K182">
        <v>710</v>
      </c>
      <c r="L182" t="b">
        <f>Data_Completeness(MileageData[[#This Row],[MPG]:[Acceleration]])</f>
        <v>1</v>
      </c>
    </row>
    <row r="183" spans="1:12" x14ac:dyDescent="0.25">
      <c r="A183">
        <v>18</v>
      </c>
      <c r="B183">
        <v>6</v>
      </c>
      <c r="C183">
        <v>171</v>
      </c>
      <c r="D183">
        <v>97</v>
      </c>
      <c r="E183">
        <v>2984</v>
      </c>
      <c r="F183">
        <v>14.5</v>
      </c>
      <c r="G183">
        <v>75</v>
      </c>
      <c r="H183" t="s">
        <v>1621</v>
      </c>
      <c r="I183" t="s">
        <v>1051</v>
      </c>
      <c r="J183" t="s">
        <v>976</v>
      </c>
      <c r="K183" t="s">
        <v>1052</v>
      </c>
      <c r="L183" t="b">
        <f>Data_Completeness(MileageData[[#This Row],[MPG]:[Acceleration]])</f>
        <v>1</v>
      </c>
    </row>
    <row r="184" spans="1:12" x14ac:dyDescent="0.25">
      <c r="A184">
        <v>29</v>
      </c>
      <c r="B184">
        <v>4</v>
      </c>
      <c r="C184">
        <v>90</v>
      </c>
      <c r="D184">
        <v>70</v>
      </c>
      <c r="E184">
        <v>1937</v>
      </c>
      <c r="F184">
        <v>14</v>
      </c>
      <c r="G184">
        <v>75</v>
      </c>
      <c r="H184" t="s">
        <v>1622</v>
      </c>
      <c r="I184" t="s">
        <v>1259</v>
      </c>
      <c r="J184" t="s">
        <v>1023</v>
      </c>
      <c r="K184" t="s">
        <v>1260</v>
      </c>
      <c r="L184" t="b">
        <f>Data_Completeness(MileageData[[#This Row],[MPG]:[Acceleration]])</f>
        <v>1</v>
      </c>
    </row>
    <row r="185" spans="1:12" x14ac:dyDescent="0.25">
      <c r="A185">
        <v>19</v>
      </c>
      <c r="B185">
        <v>6</v>
      </c>
      <c r="C185">
        <v>232</v>
      </c>
      <c r="D185">
        <v>90</v>
      </c>
      <c r="E185">
        <v>3211</v>
      </c>
      <c r="F185">
        <v>17</v>
      </c>
      <c r="G185">
        <v>75</v>
      </c>
      <c r="H185" t="s">
        <v>1621</v>
      </c>
      <c r="I185" t="s">
        <v>1261</v>
      </c>
      <c r="J185" t="s">
        <v>973</v>
      </c>
      <c r="K185" t="s">
        <v>1262</v>
      </c>
      <c r="L185" t="b">
        <f>Data_Completeness(MileageData[[#This Row],[MPG]:[Acceleration]])</f>
        <v>1</v>
      </c>
    </row>
    <row r="186" spans="1:12" x14ac:dyDescent="0.25">
      <c r="A186">
        <v>23</v>
      </c>
      <c r="B186">
        <v>4</v>
      </c>
      <c r="C186">
        <v>115</v>
      </c>
      <c r="D186">
        <v>95</v>
      </c>
      <c r="E186">
        <v>2694</v>
      </c>
      <c r="F186">
        <v>15</v>
      </c>
      <c r="G186">
        <v>75</v>
      </c>
      <c r="H186" t="s">
        <v>1622</v>
      </c>
      <c r="I186" t="s">
        <v>1196</v>
      </c>
      <c r="J186" t="s">
        <v>1028</v>
      </c>
      <c r="K186" t="s">
        <v>1197</v>
      </c>
      <c r="L186" t="b">
        <f>Data_Completeness(MileageData[[#This Row],[MPG]:[Acceleration]])</f>
        <v>1</v>
      </c>
    </row>
    <row r="187" spans="1:12" x14ac:dyDescent="0.25">
      <c r="A187">
        <v>23</v>
      </c>
      <c r="B187">
        <v>4</v>
      </c>
      <c r="C187">
        <v>120</v>
      </c>
      <c r="D187">
        <v>88</v>
      </c>
      <c r="E187">
        <v>2957</v>
      </c>
      <c r="F187">
        <v>17</v>
      </c>
      <c r="G187">
        <v>75</v>
      </c>
      <c r="H187" t="s">
        <v>1622</v>
      </c>
      <c r="I187" t="s">
        <v>1025</v>
      </c>
      <c r="J187" t="s">
        <v>1026</v>
      </c>
      <c r="K187">
        <v>504</v>
      </c>
      <c r="L187" t="b">
        <f>Data_Completeness(MileageData[[#This Row],[MPG]:[Acceleration]])</f>
        <v>1</v>
      </c>
    </row>
    <row r="188" spans="1:12" x14ac:dyDescent="0.25">
      <c r="A188">
        <v>22</v>
      </c>
      <c r="B188">
        <v>4</v>
      </c>
      <c r="C188">
        <v>121</v>
      </c>
      <c r="D188">
        <v>98</v>
      </c>
      <c r="E188">
        <v>2945</v>
      </c>
      <c r="F188">
        <v>14.5</v>
      </c>
      <c r="G188">
        <v>75</v>
      </c>
      <c r="H188" t="s">
        <v>1622</v>
      </c>
      <c r="I188" t="s">
        <v>1263</v>
      </c>
      <c r="J188" t="s">
        <v>1125</v>
      </c>
      <c r="K188" t="s">
        <v>1264</v>
      </c>
      <c r="L188" t="b">
        <f>Data_Completeness(MileageData[[#This Row],[MPG]:[Acceleration]])</f>
        <v>1</v>
      </c>
    </row>
    <row r="189" spans="1:12" x14ac:dyDescent="0.25">
      <c r="A189">
        <v>25</v>
      </c>
      <c r="B189">
        <v>4</v>
      </c>
      <c r="C189">
        <v>121</v>
      </c>
      <c r="D189">
        <v>115</v>
      </c>
      <c r="E189">
        <v>2671</v>
      </c>
      <c r="F189">
        <v>13.5</v>
      </c>
      <c r="G189">
        <v>75</v>
      </c>
      <c r="H189" t="s">
        <v>1622</v>
      </c>
      <c r="I189" t="s">
        <v>1202</v>
      </c>
      <c r="J189" t="s">
        <v>1031</v>
      </c>
      <c r="K189" t="s">
        <v>1203</v>
      </c>
      <c r="L189" t="b">
        <f>Data_Completeness(MileageData[[#This Row],[MPG]:[Acceleration]])</f>
        <v>1</v>
      </c>
    </row>
    <row r="190" spans="1:12" x14ac:dyDescent="0.25">
      <c r="A190">
        <v>33</v>
      </c>
      <c r="B190">
        <v>4</v>
      </c>
      <c r="C190">
        <v>91</v>
      </c>
      <c r="D190">
        <v>53</v>
      </c>
      <c r="E190">
        <v>1795</v>
      </c>
      <c r="F190">
        <v>17.5</v>
      </c>
      <c r="G190">
        <v>75</v>
      </c>
      <c r="H190" t="s">
        <v>1623</v>
      </c>
      <c r="I190" t="s">
        <v>1265</v>
      </c>
      <c r="J190" t="s">
        <v>1230</v>
      </c>
      <c r="K190" t="s">
        <v>1266</v>
      </c>
      <c r="L190" t="b">
        <f>Data_Completeness(MileageData[[#This Row],[MPG]:[Acceleration]])</f>
        <v>1</v>
      </c>
    </row>
    <row r="191" spans="1:12" x14ac:dyDescent="0.25">
      <c r="A191">
        <v>28</v>
      </c>
      <c r="B191">
        <v>4</v>
      </c>
      <c r="C191">
        <v>107</v>
      </c>
      <c r="D191">
        <v>86</v>
      </c>
      <c r="E191">
        <v>2464</v>
      </c>
      <c r="F191">
        <v>15.5</v>
      </c>
      <c r="G191">
        <v>76</v>
      </c>
      <c r="H191" t="s">
        <v>1622</v>
      </c>
      <c r="I191" t="s">
        <v>1267</v>
      </c>
      <c r="J191" t="s">
        <v>1084</v>
      </c>
      <c r="K191">
        <v>131</v>
      </c>
      <c r="L191" t="b">
        <f>Data_Completeness(MileageData[[#This Row],[MPG]:[Acceleration]])</f>
        <v>1</v>
      </c>
    </row>
    <row r="192" spans="1:12" x14ac:dyDescent="0.25">
      <c r="A192">
        <v>25</v>
      </c>
      <c r="B192">
        <v>4</v>
      </c>
      <c r="C192">
        <v>116</v>
      </c>
      <c r="D192">
        <v>81</v>
      </c>
      <c r="E192">
        <v>2220</v>
      </c>
      <c r="F192">
        <v>16.899999999999999</v>
      </c>
      <c r="G192">
        <v>76</v>
      </c>
      <c r="H192" t="s">
        <v>1622</v>
      </c>
      <c r="I192" t="s">
        <v>1080</v>
      </c>
      <c r="J192" t="s">
        <v>1081</v>
      </c>
      <c r="K192">
        <v>1900</v>
      </c>
      <c r="L192" t="b">
        <f>Data_Completeness(MileageData[[#This Row],[MPG]:[Acceleration]])</f>
        <v>1</v>
      </c>
    </row>
    <row r="193" spans="1:12" x14ac:dyDescent="0.25">
      <c r="A193">
        <v>25</v>
      </c>
      <c r="B193">
        <v>4</v>
      </c>
      <c r="C193">
        <v>140</v>
      </c>
      <c r="D193">
        <v>92</v>
      </c>
      <c r="E193">
        <v>2572</v>
      </c>
      <c r="F193">
        <v>14.9</v>
      </c>
      <c r="G193">
        <v>76</v>
      </c>
      <c r="H193" t="s">
        <v>1621</v>
      </c>
      <c r="I193" t="s">
        <v>1268</v>
      </c>
      <c r="J193" t="s">
        <v>1269</v>
      </c>
      <c r="K193" t="s">
        <v>1270</v>
      </c>
      <c r="L193" t="b">
        <f>Data_Completeness(MileageData[[#This Row],[MPG]:[Acceleration]])</f>
        <v>1</v>
      </c>
    </row>
    <row r="194" spans="1:12" x14ac:dyDescent="0.25">
      <c r="A194">
        <v>26</v>
      </c>
      <c r="B194">
        <v>4</v>
      </c>
      <c r="C194">
        <v>98</v>
      </c>
      <c r="D194">
        <v>79</v>
      </c>
      <c r="E194">
        <v>2255</v>
      </c>
      <c r="F194">
        <v>17.7</v>
      </c>
      <c r="G194">
        <v>76</v>
      </c>
      <c r="H194" t="s">
        <v>1621</v>
      </c>
      <c r="I194" t="s">
        <v>1225</v>
      </c>
      <c r="J194" t="s">
        <v>1001</v>
      </c>
      <c r="K194" t="s">
        <v>1226</v>
      </c>
      <c r="L194" t="b">
        <f>Data_Completeness(MileageData[[#This Row],[MPG]:[Acceleration]])</f>
        <v>1</v>
      </c>
    </row>
    <row r="195" spans="1:12" x14ac:dyDescent="0.25">
      <c r="A195">
        <v>27</v>
      </c>
      <c r="B195">
        <v>4</v>
      </c>
      <c r="C195">
        <v>101</v>
      </c>
      <c r="D195">
        <v>83</v>
      </c>
      <c r="E195">
        <v>2202</v>
      </c>
      <c r="F195">
        <v>15.3</v>
      </c>
      <c r="G195">
        <v>76</v>
      </c>
      <c r="H195" t="s">
        <v>1622</v>
      </c>
      <c r="I195" t="s">
        <v>1271</v>
      </c>
      <c r="J195" t="s">
        <v>1132</v>
      </c>
      <c r="K195" t="s">
        <v>1272</v>
      </c>
      <c r="L195" t="b">
        <f>Data_Completeness(MileageData[[#This Row],[MPG]:[Acceleration]])</f>
        <v>1</v>
      </c>
    </row>
    <row r="196" spans="1:12" x14ac:dyDescent="0.25">
      <c r="A196">
        <v>17.5</v>
      </c>
      <c r="B196">
        <v>8</v>
      </c>
      <c r="C196">
        <v>305</v>
      </c>
      <c r="D196">
        <v>140</v>
      </c>
      <c r="E196">
        <v>4215</v>
      </c>
      <c r="F196">
        <v>13</v>
      </c>
      <c r="G196">
        <v>76</v>
      </c>
      <c r="H196" t="s">
        <v>1621</v>
      </c>
      <c r="I196" t="s">
        <v>1212</v>
      </c>
      <c r="J196" t="s">
        <v>964</v>
      </c>
      <c r="K196" t="s">
        <v>1213</v>
      </c>
      <c r="L196" t="b">
        <f>Data_Completeness(MileageData[[#This Row],[MPG]:[Acceleration]])</f>
        <v>1</v>
      </c>
    </row>
    <row r="197" spans="1:12" x14ac:dyDescent="0.25">
      <c r="A197">
        <v>16</v>
      </c>
      <c r="B197">
        <v>8</v>
      </c>
      <c r="C197">
        <v>318</v>
      </c>
      <c r="D197">
        <v>150</v>
      </c>
      <c r="E197">
        <v>4190</v>
      </c>
      <c r="F197">
        <v>13</v>
      </c>
      <c r="G197">
        <v>76</v>
      </c>
      <c r="H197" t="s">
        <v>1621</v>
      </c>
      <c r="I197" t="s">
        <v>1273</v>
      </c>
      <c r="J197" t="s">
        <v>1001</v>
      </c>
      <c r="K197" t="s">
        <v>1274</v>
      </c>
      <c r="L197" t="b">
        <f>Data_Completeness(MileageData[[#This Row],[MPG]:[Acceleration]])</f>
        <v>1</v>
      </c>
    </row>
    <row r="198" spans="1:12" x14ac:dyDescent="0.25">
      <c r="A198">
        <v>15.5</v>
      </c>
      <c r="B198">
        <v>8</v>
      </c>
      <c r="C198">
        <v>304</v>
      </c>
      <c r="D198">
        <v>120</v>
      </c>
      <c r="E198">
        <v>3962</v>
      </c>
      <c r="F198">
        <v>13.9</v>
      </c>
      <c r="G198">
        <v>76</v>
      </c>
      <c r="H198" t="s">
        <v>1621</v>
      </c>
      <c r="I198" t="s">
        <v>1059</v>
      </c>
      <c r="J198" t="s">
        <v>973</v>
      </c>
      <c r="K198" t="s">
        <v>1060</v>
      </c>
      <c r="L198" t="b">
        <f>Data_Completeness(MileageData[[#This Row],[MPG]:[Acceleration]])</f>
        <v>1</v>
      </c>
    </row>
    <row r="199" spans="1:12" x14ac:dyDescent="0.25">
      <c r="A199">
        <v>14.5</v>
      </c>
      <c r="B199">
        <v>8</v>
      </c>
      <c r="C199">
        <v>351</v>
      </c>
      <c r="D199">
        <v>152</v>
      </c>
      <c r="E199">
        <v>4215</v>
      </c>
      <c r="F199">
        <v>12.8</v>
      </c>
      <c r="G199">
        <v>76</v>
      </c>
      <c r="H199" t="s">
        <v>1621</v>
      </c>
      <c r="I199" t="s">
        <v>1149</v>
      </c>
      <c r="J199" t="s">
        <v>976</v>
      </c>
      <c r="K199" t="s">
        <v>1150</v>
      </c>
      <c r="L199" t="b">
        <f>Data_Completeness(MileageData[[#This Row],[MPG]:[Acceleration]])</f>
        <v>1</v>
      </c>
    </row>
    <row r="200" spans="1:12" x14ac:dyDescent="0.25">
      <c r="A200">
        <v>22</v>
      </c>
      <c r="B200">
        <v>6</v>
      </c>
      <c r="C200">
        <v>225</v>
      </c>
      <c r="D200">
        <v>100</v>
      </c>
      <c r="E200">
        <v>3233</v>
      </c>
      <c r="F200">
        <v>15.4</v>
      </c>
      <c r="G200">
        <v>76</v>
      </c>
      <c r="H200" t="s">
        <v>1621</v>
      </c>
      <c r="I200" t="s">
        <v>1167</v>
      </c>
      <c r="J200" t="s">
        <v>970</v>
      </c>
      <c r="K200" t="s">
        <v>1168</v>
      </c>
      <c r="L200" t="b">
        <f>Data_Completeness(MileageData[[#This Row],[MPG]:[Acceleration]])</f>
        <v>1</v>
      </c>
    </row>
    <row r="201" spans="1:12" x14ac:dyDescent="0.25">
      <c r="A201">
        <v>22</v>
      </c>
      <c r="B201">
        <v>6</v>
      </c>
      <c r="C201">
        <v>250</v>
      </c>
      <c r="D201">
        <v>105</v>
      </c>
      <c r="E201">
        <v>3353</v>
      </c>
      <c r="F201">
        <v>14.5</v>
      </c>
      <c r="G201">
        <v>76</v>
      </c>
      <c r="H201" t="s">
        <v>1621</v>
      </c>
      <c r="I201" t="s">
        <v>1208</v>
      </c>
      <c r="J201" t="s">
        <v>964</v>
      </c>
      <c r="K201" t="s">
        <v>1209</v>
      </c>
      <c r="L201" t="b">
        <f>Data_Completeness(MileageData[[#This Row],[MPG]:[Acceleration]])</f>
        <v>1</v>
      </c>
    </row>
    <row r="202" spans="1:12" x14ac:dyDescent="0.25">
      <c r="A202">
        <v>24</v>
      </c>
      <c r="B202">
        <v>6</v>
      </c>
      <c r="C202">
        <v>200</v>
      </c>
      <c r="D202">
        <v>81</v>
      </c>
      <c r="E202">
        <v>3012</v>
      </c>
      <c r="F202">
        <v>17.600000000000001</v>
      </c>
      <c r="G202">
        <v>76</v>
      </c>
      <c r="H202" t="s">
        <v>1621</v>
      </c>
      <c r="I202" t="s">
        <v>1017</v>
      </c>
      <c r="J202" t="s">
        <v>976</v>
      </c>
      <c r="K202" t="s">
        <v>1018</v>
      </c>
      <c r="L202" t="b">
        <f>Data_Completeness(MileageData[[#This Row],[MPG]:[Acceleration]])</f>
        <v>1</v>
      </c>
    </row>
    <row r="203" spans="1:12" x14ac:dyDescent="0.25">
      <c r="A203">
        <v>22.5</v>
      </c>
      <c r="B203">
        <v>6</v>
      </c>
      <c r="C203">
        <v>232</v>
      </c>
      <c r="D203">
        <v>90</v>
      </c>
      <c r="E203">
        <v>3085</v>
      </c>
      <c r="F203">
        <v>17.600000000000001</v>
      </c>
      <c r="G203">
        <v>76</v>
      </c>
      <c r="H203" t="s">
        <v>1621</v>
      </c>
      <c r="I203" t="s">
        <v>1015</v>
      </c>
      <c r="J203" t="s">
        <v>973</v>
      </c>
      <c r="K203" t="s">
        <v>1016</v>
      </c>
      <c r="L203" t="b">
        <f>Data_Completeness(MileageData[[#This Row],[MPG]:[Acceleration]])</f>
        <v>1</v>
      </c>
    </row>
    <row r="204" spans="1:12" x14ac:dyDescent="0.25">
      <c r="A204">
        <v>29</v>
      </c>
      <c r="B204">
        <v>4</v>
      </c>
      <c r="C204">
        <v>85</v>
      </c>
      <c r="D204">
        <v>52</v>
      </c>
      <c r="E204">
        <v>2035</v>
      </c>
      <c r="F204">
        <v>22.2</v>
      </c>
      <c r="G204">
        <v>76</v>
      </c>
      <c r="H204" t="s">
        <v>1621</v>
      </c>
      <c r="I204" t="s">
        <v>1275</v>
      </c>
      <c r="J204" t="s">
        <v>964</v>
      </c>
      <c r="K204" t="s">
        <v>1276</v>
      </c>
      <c r="L204" t="b">
        <f>Data_Completeness(MileageData[[#This Row],[MPG]:[Acceleration]])</f>
        <v>1</v>
      </c>
    </row>
    <row r="205" spans="1:12" x14ac:dyDescent="0.25">
      <c r="A205">
        <v>24.5</v>
      </c>
      <c r="B205">
        <v>4</v>
      </c>
      <c r="C205">
        <v>98</v>
      </c>
      <c r="D205">
        <v>60</v>
      </c>
      <c r="E205">
        <v>2164</v>
      </c>
      <c r="F205">
        <v>22.1</v>
      </c>
      <c r="G205">
        <v>76</v>
      </c>
      <c r="H205" t="s">
        <v>1621</v>
      </c>
      <c r="I205" t="s">
        <v>1277</v>
      </c>
      <c r="J205" t="s">
        <v>964</v>
      </c>
      <c r="K205" t="s">
        <v>1278</v>
      </c>
      <c r="L205" t="b">
        <f>Data_Completeness(MileageData[[#This Row],[MPG]:[Acceleration]])</f>
        <v>1</v>
      </c>
    </row>
    <row r="206" spans="1:12" x14ac:dyDescent="0.25">
      <c r="A206">
        <v>29</v>
      </c>
      <c r="B206">
        <v>4</v>
      </c>
      <c r="C206">
        <v>90</v>
      </c>
      <c r="D206">
        <v>70</v>
      </c>
      <c r="E206">
        <v>1937</v>
      </c>
      <c r="F206">
        <v>14.2</v>
      </c>
      <c r="G206">
        <v>76</v>
      </c>
      <c r="H206" t="s">
        <v>1622</v>
      </c>
      <c r="I206" t="s">
        <v>1279</v>
      </c>
      <c r="J206" t="s">
        <v>1280</v>
      </c>
      <c r="K206" t="s">
        <v>1260</v>
      </c>
      <c r="L206" t="b">
        <f>Data_Completeness(MileageData[[#This Row],[MPG]:[Acceleration]])</f>
        <v>1</v>
      </c>
    </row>
    <row r="207" spans="1:12" x14ac:dyDescent="0.25">
      <c r="A207">
        <v>33</v>
      </c>
      <c r="B207">
        <v>4</v>
      </c>
      <c r="C207">
        <v>91</v>
      </c>
      <c r="D207">
        <v>53</v>
      </c>
      <c r="E207">
        <v>1795</v>
      </c>
      <c r="F207">
        <v>17.399999999999999</v>
      </c>
      <c r="G207">
        <v>76</v>
      </c>
      <c r="H207" t="s">
        <v>1623</v>
      </c>
      <c r="I207" t="s">
        <v>1229</v>
      </c>
      <c r="J207" t="s">
        <v>1230</v>
      </c>
      <c r="K207" t="s">
        <v>1231</v>
      </c>
      <c r="L207" t="b">
        <f>Data_Completeness(MileageData[[#This Row],[MPG]:[Acceleration]])</f>
        <v>1</v>
      </c>
    </row>
    <row r="208" spans="1:12" x14ac:dyDescent="0.25">
      <c r="A208">
        <v>20</v>
      </c>
      <c r="B208">
        <v>6</v>
      </c>
      <c r="C208">
        <v>225</v>
      </c>
      <c r="D208">
        <v>100</v>
      </c>
      <c r="E208">
        <v>3651</v>
      </c>
      <c r="F208">
        <v>17.7</v>
      </c>
      <c r="G208">
        <v>76</v>
      </c>
      <c r="H208" t="s">
        <v>1621</v>
      </c>
      <c r="I208" t="s">
        <v>1281</v>
      </c>
      <c r="J208" t="s">
        <v>1001</v>
      </c>
      <c r="K208" t="s">
        <v>1282</v>
      </c>
      <c r="L208" t="b">
        <f>Data_Completeness(MileageData[[#This Row],[MPG]:[Acceleration]])</f>
        <v>1</v>
      </c>
    </row>
    <row r="209" spans="1:12" x14ac:dyDescent="0.25">
      <c r="A209">
        <v>18</v>
      </c>
      <c r="B209">
        <v>6</v>
      </c>
      <c r="C209">
        <v>250</v>
      </c>
      <c r="D209">
        <v>78</v>
      </c>
      <c r="E209">
        <v>3574</v>
      </c>
      <c r="F209">
        <v>21</v>
      </c>
      <c r="G209">
        <v>76</v>
      </c>
      <c r="H209" t="s">
        <v>1621</v>
      </c>
      <c r="I209" t="s">
        <v>1283</v>
      </c>
      <c r="J209" t="s">
        <v>976</v>
      </c>
      <c r="K209" t="s">
        <v>1284</v>
      </c>
      <c r="L209" t="b">
        <f>Data_Completeness(MileageData[[#This Row],[MPG]:[Acceleration]])</f>
        <v>1</v>
      </c>
    </row>
    <row r="210" spans="1:12" x14ac:dyDescent="0.25">
      <c r="A210">
        <v>18.5</v>
      </c>
      <c r="B210">
        <v>6</v>
      </c>
      <c r="C210">
        <v>250</v>
      </c>
      <c r="D210">
        <v>110</v>
      </c>
      <c r="E210">
        <v>3645</v>
      </c>
      <c r="F210">
        <v>16.2</v>
      </c>
      <c r="G210">
        <v>76</v>
      </c>
      <c r="H210" t="s">
        <v>1621</v>
      </c>
      <c r="I210" t="s">
        <v>1285</v>
      </c>
      <c r="J210" t="s">
        <v>985</v>
      </c>
      <c r="K210" t="s">
        <v>1286</v>
      </c>
      <c r="L210" t="b">
        <f>Data_Completeness(MileageData[[#This Row],[MPG]:[Acceleration]])</f>
        <v>1</v>
      </c>
    </row>
    <row r="211" spans="1:12" x14ac:dyDescent="0.25">
      <c r="A211">
        <v>17.5</v>
      </c>
      <c r="B211">
        <v>6</v>
      </c>
      <c r="C211">
        <v>258</v>
      </c>
      <c r="D211">
        <v>95</v>
      </c>
      <c r="E211">
        <v>3193</v>
      </c>
      <c r="F211">
        <v>17.8</v>
      </c>
      <c r="G211">
        <v>76</v>
      </c>
      <c r="H211" t="s">
        <v>1621</v>
      </c>
      <c r="I211" t="s">
        <v>1287</v>
      </c>
      <c r="J211" t="s">
        <v>973</v>
      </c>
      <c r="K211" t="s">
        <v>1288</v>
      </c>
      <c r="L211" t="b">
        <f>Data_Completeness(MileageData[[#This Row],[MPG]:[Acceleration]])</f>
        <v>1</v>
      </c>
    </row>
    <row r="212" spans="1:12" x14ac:dyDescent="0.25">
      <c r="A212">
        <v>29.5</v>
      </c>
      <c r="B212">
        <v>4</v>
      </c>
      <c r="C212">
        <v>97</v>
      </c>
      <c r="D212">
        <v>71</v>
      </c>
      <c r="E212">
        <v>1825</v>
      </c>
      <c r="F212">
        <v>12.2</v>
      </c>
      <c r="G212">
        <v>76</v>
      </c>
      <c r="H212" t="s">
        <v>1622</v>
      </c>
      <c r="I212" t="s">
        <v>1259</v>
      </c>
      <c r="J212" t="s">
        <v>1023</v>
      </c>
      <c r="K212" t="s">
        <v>1260</v>
      </c>
      <c r="L212" t="b">
        <f>Data_Completeness(MileageData[[#This Row],[MPG]:[Acceleration]])</f>
        <v>1</v>
      </c>
    </row>
    <row r="213" spans="1:12" x14ac:dyDescent="0.25">
      <c r="A213">
        <v>32</v>
      </c>
      <c r="B213">
        <v>4</v>
      </c>
      <c r="C213">
        <v>85</v>
      </c>
      <c r="D213">
        <v>70</v>
      </c>
      <c r="E213">
        <v>1990</v>
      </c>
      <c r="F213">
        <v>17</v>
      </c>
      <c r="G213">
        <v>76</v>
      </c>
      <c r="H213" t="s">
        <v>1623</v>
      </c>
      <c r="I213" t="s">
        <v>1289</v>
      </c>
      <c r="J213" t="s">
        <v>1020</v>
      </c>
      <c r="K213" t="s">
        <v>1290</v>
      </c>
      <c r="L213" t="b">
        <f>Data_Completeness(MileageData[[#This Row],[MPG]:[Acceleration]])</f>
        <v>1</v>
      </c>
    </row>
    <row r="214" spans="1:12" x14ac:dyDescent="0.25">
      <c r="A214">
        <v>28</v>
      </c>
      <c r="B214">
        <v>4</v>
      </c>
      <c r="C214">
        <v>97</v>
      </c>
      <c r="D214">
        <v>75</v>
      </c>
      <c r="E214">
        <v>2155</v>
      </c>
      <c r="F214">
        <v>16.399999999999999</v>
      </c>
      <c r="G214">
        <v>76</v>
      </c>
      <c r="H214" t="s">
        <v>1623</v>
      </c>
      <c r="I214" t="s">
        <v>1255</v>
      </c>
      <c r="J214" t="s">
        <v>1011</v>
      </c>
      <c r="K214" t="s">
        <v>1256</v>
      </c>
      <c r="L214" t="b">
        <f>Data_Completeness(MileageData[[#This Row],[MPG]:[Acceleration]])</f>
        <v>1</v>
      </c>
    </row>
    <row r="215" spans="1:12" x14ac:dyDescent="0.25">
      <c r="A215">
        <v>26.5</v>
      </c>
      <c r="B215">
        <v>4</v>
      </c>
      <c r="C215">
        <v>140</v>
      </c>
      <c r="D215">
        <v>72</v>
      </c>
      <c r="E215">
        <v>2565</v>
      </c>
      <c r="F215">
        <v>13.6</v>
      </c>
      <c r="G215">
        <v>76</v>
      </c>
      <c r="H215" t="s">
        <v>1621</v>
      </c>
      <c r="I215" t="s">
        <v>1051</v>
      </c>
      <c r="J215" t="s">
        <v>976</v>
      </c>
      <c r="K215" t="s">
        <v>1052</v>
      </c>
      <c r="L215" t="b">
        <f>Data_Completeness(MileageData[[#This Row],[MPG]:[Acceleration]])</f>
        <v>1</v>
      </c>
    </row>
    <row r="216" spans="1:12" x14ac:dyDescent="0.25">
      <c r="A216">
        <v>20</v>
      </c>
      <c r="B216">
        <v>4</v>
      </c>
      <c r="C216">
        <v>130</v>
      </c>
      <c r="D216">
        <v>102</v>
      </c>
      <c r="E216">
        <v>3150</v>
      </c>
      <c r="F216">
        <v>15.7</v>
      </c>
      <c r="G216">
        <v>76</v>
      </c>
      <c r="H216" t="s">
        <v>1622</v>
      </c>
      <c r="I216" t="s">
        <v>1291</v>
      </c>
      <c r="J216" t="s">
        <v>1125</v>
      </c>
      <c r="K216">
        <v>245</v>
      </c>
      <c r="L216" t="b">
        <f>Data_Completeness(MileageData[[#This Row],[MPG]:[Acceleration]])</f>
        <v>1</v>
      </c>
    </row>
    <row r="217" spans="1:12" x14ac:dyDescent="0.25">
      <c r="A217">
        <v>13</v>
      </c>
      <c r="B217">
        <v>8</v>
      </c>
      <c r="C217">
        <v>318</v>
      </c>
      <c r="D217">
        <v>150</v>
      </c>
      <c r="E217">
        <v>3940</v>
      </c>
      <c r="F217">
        <v>13.2</v>
      </c>
      <c r="G217">
        <v>76</v>
      </c>
      <c r="H217" t="s">
        <v>1621</v>
      </c>
      <c r="I217" t="s">
        <v>1292</v>
      </c>
      <c r="J217" t="s">
        <v>970</v>
      </c>
      <c r="K217" t="s">
        <v>1293</v>
      </c>
      <c r="L217" t="b">
        <f>Data_Completeness(MileageData[[#This Row],[MPG]:[Acceleration]])</f>
        <v>1</v>
      </c>
    </row>
    <row r="218" spans="1:12" x14ac:dyDescent="0.25">
      <c r="A218">
        <v>19</v>
      </c>
      <c r="B218">
        <v>4</v>
      </c>
      <c r="C218">
        <v>120</v>
      </c>
      <c r="D218">
        <v>88</v>
      </c>
      <c r="E218">
        <v>3270</v>
      </c>
      <c r="F218">
        <v>21.9</v>
      </c>
      <c r="G218">
        <v>76</v>
      </c>
      <c r="H218" t="s">
        <v>1622</v>
      </c>
      <c r="I218" t="s">
        <v>1025</v>
      </c>
      <c r="J218" t="s">
        <v>1026</v>
      </c>
      <c r="K218">
        <v>504</v>
      </c>
      <c r="L218" t="b">
        <f>Data_Completeness(MileageData[[#This Row],[MPG]:[Acceleration]])</f>
        <v>1</v>
      </c>
    </row>
    <row r="219" spans="1:12" x14ac:dyDescent="0.25">
      <c r="A219">
        <v>19</v>
      </c>
      <c r="B219">
        <v>6</v>
      </c>
      <c r="C219">
        <v>156</v>
      </c>
      <c r="D219">
        <v>108</v>
      </c>
      <c r="E219">
        <v>2930</v>
      </c>
      <c r="F219">
        <v>15.5</v>
      </c>
      <c r="G219">
        <v>76</v>
      </c>
      <c r="H219" t="s">
        <v>1623</v>
      </c>
      <c r="I219" t="s">
        <v>1204</v>
      </c>
      <c r="J219" t="s">
        <v>1011</v>
      </c>
      <c r="K219" t="s">
        <v>1205</v>
      </c>
      <c r="L219" t="b">
        <f>Data_Completeness(MileageData[[#This Row],[MPG]:[Acceleration]])</f>
        <v>1</v>
      </c>
    </row>
    <row r="220" spans="1:12" x14ac:dyDescent="0.25">
      <c r="A220">
        <v>16.5</v>
      </c>
      <c r="B220">
        <v>6</v>
      </c>
      <c r="C220">
        <v>168</v>
      </c>
      <c r="D220">
        <v>120</v>
      </c>
      <c r="E220">
        <v>3820</v>
      </c>
      <c r="F220">
        <v>16.7</v>
      </c>
      <c r="G220">
        <v>76</v>
      </c>
      <c r="H220" t="s">
        <v>1622</v>
      </c>
      <c r="I220" t="s">
        <v>1294</v>
      </c>
      <c r="J220" t="s">
        <v>1295</v>
      </c>
      <c r="K220" t="s">
        <v>1296</v>
      </c>
      <c r="L220" t="b">
        <f>Data_Completeness(MileageData[[#This Row],[MPG]:[Acceleration]])</f>
        <v>1</v>
      </c>
    </row>
    <row r="221" spans="1:12" x14ac:dyDescent="0.25">
      <c r="A221">
        <v>16.5</v>
      </c>
      <c r="B221">
        <v>8</v>
      </c>
      <c r="C221">
        <v>350</v>
      </c>
      <c r="D221">
        <v>180</v>
      </c>
      <c r="E221">
        <v>4380</v>
      </c>
      <c r="F221">
        <v>12.1</v>
      </c>
      <c r="G221">
        <v>76</v>
      </c>
      <c r="H221" t="s">
        <v>1621</v>
      </c>
      <c r="I221" t="s">
        <v>1297</v>
      </c>
      <c r="J221" t="s">
        <v>1298</v>
      </c>
      <c r="K221" t="s">
        <v>1299</v>
      </c>
      <c r="L221" t="b">
        <f>Data_Completeness(MileageData[[#This Row],[MPG]:[Acceleration]])</f>
        <v>1</v>
      </c>
    </row>
    <row r="222" spans="1:12" x14ac:dyDescent="0.25">
      <c r="A222">
        <v>13</v>
      </c>
      <c r="B222">
        <v>8</v>
      </c>
      <c r="C222">
        <v>350</v>
      </c>
      <c r="D222">
        <v>145</v>
      </c>
      <c r="E222">
        <v>4055</v>
      </c>
      <c r="F222">
        <v>12</v>
      </c>
      <c r="G222">
        <v>76</v>
      </c>
      <c r="H222" t="s">
        <v>1621</v>
      </c>
      <c r="I222" t="s">
        <v>1300</v>
      </c>
      <c r="J222" t="s">
        <v>1040</v>
      </c>
      <c r="K222" t="s">
        <v>1301</v>
      </c>
      <c r="L222" t="b">
        <f>Data_Completeness(MileageData[[#This Row],[MPG]:[Acceleration]])</f>
        <v>1</v>
      </c>
    </row>
    <row r="223" spans="1:12" x14ac:dyDescent="0.25">
      <c r="A223">
        <v>13</v>
      </c>
      <c r="B223">
        <v>8</v>
      </c>
      <c r="C223">
        <v>302</v>
      </c>
      <c r="D223">
        <v>130</v>
      </c>
      <c r="E223">
        <v>3870</v>
      </c>
      <c r="F223">
        <v>15</v>
      </c>
      <c r="G223">
        <v>76</v>
      </c>
      <c r="H223" t="s">
        <v>1621</v>
      </c>
      <c r="I223" t="s">
        <v>1302</v>
      </c>
      <c r="J223" t="s">
        <v>976</v>
      </c>
      <c r="K223" t="s">
        <v>1303</v>
      </c>
      <c r="L223" t="b">
        <f>Data_Completeness(MileageData[[#This Row],[MPG]:[Acceleration]])</f>
        <v>1</v>
      </c>
    </row>
    <row r="224" spans="1:12" x14ac:dyDescent="0.25">
      <c r="A224">
        <v>13</v>
      </c>
      <c r="B224">
        <v>8</v>
      </c>
      <c r="C224">
        <v>318</v>
      </c>
      <c r="D224">
        <v>150</v>
      </c>
      <c r="E224">
        <v>3755</v>
      </c>
      <c r="F224">
        <v>14</v>
      </c>
      <c r="G224">
        <v>76</v>
      </c>
      <c r="H224" t="s">
        <v>1621</v>
      </c>
      <c r="I224" t="s">
        <v>1304</v>
      </c>
      <c r="J224" t="s">
        <v>1001</v>
      </c>
      <c r="K224" t="s">
        <v>1305</v>
      </c>
      <c r="L224" t="b">
        <f>Data_Completeness(MileageData[[#This Row],[MPG]:[Acceleration]])</f>
        <v>1</v>
      </c>
    </row>
    <row r="225" spans="1:12" x14ac:dyDescent="0.25">
      <c r="A225">
        <v>31.5</v>
      </c>
      <c r="B225">
        <v>4</v>
      </c>
      <c r="C225">
        <v>98</v>
      </c>
      <c r="D225">
        <v>68</v>
      </c>
      <c r="E225">
        <v>2045</v>
      </c>
      <c r="F225">
        <v>18.5</v>
      </c>
      <c r="G225">
        <v>77</v>
      </c>
      <c r="H225" t="s">
        <v>1623</v>
      </c>
      <c r="I225" t="s">
        <v>1306</v>
      </c>
      <c r="J225" t="s">
        <v>1230</v>
      </c>
      <c r="K225" t="s">
        <v>1307</v>
      </c>
      <c r="L225" t="b">
        <f>Data_Completeness(MileageData[[#This Row],[MPG]:[Acceleration]])</f>
        <v>1</v>
      </c>
    </row>
    <row r="226" spans="1:12" x14ac:dyDescent="0.25">
      <c r="A226">
        <v>30</v>
      </c>
      <c r="B226">
        <v>4</v>
      </c>
      <c r="C226">
        <v>111</v>
      </c>
      <c r="D226">
        <v>80</v>
      </c>
      <c r="E226">
        <v>2155</v>
      </c>
      <c r="F226">
        <v>14.8</v>
      </c>
      <c r="G226">
        <v>77</v>
      </c>
      <c r="H226" t="s">
        <v>1621</v>
      </c>
      <c r="I226" t="s">
        <v>1308</v>
      </c>
      <c r="J226" t="s">
        <v>967</v>
      </c>
      <c r="K226" t="s">
        <v>1309</v>
      </c>
      <c r="L226" t="b">
        <f>Data_Completeness(MileageData[[#This Row],[MPG]:[Acceleration]])</f>
        <v>1</v>
      </c>
    </row>
    <row r="227" spans="1:12" x14ac:dyDescent="0.25">
      <c r="A227">
        <v>36</v>
      </c>
      <c r="B227">
        <v>4</v>
      </c>
      <c r="C227">
        <v>79</v>
      </c>
      <c r="D227">
        <v>58</v>
      </c>
      <c r="E227">
        <v>1825</v>
      </c>
      <c r="F227">
        <v>18.600000000000001</v>
      </c>
      <c r="G227">
        <v>77</v>
      </c>
      <c r="H227" t="s">
        <v>1622</v>
      </c>
      <c r="I227" t="s">
        <v>1310</v>
      </c>
      <c r="J227" t="s">
        <v>1132</v>
      </c>
      <c r="K227" t="s">
        <v>1311</v>
      </c>
      <c r="L227" t="b">
        <f>Data_Completeness(MileageData[[#This Row],[MPG]:[Acceleration]])</f>
        <v>1</v>
      </c>
    </row>
    <row r="228" spans="1:12" x14ac:dyDescent="0.25">
      <c r="A228">
        <v>25.5</v>
      </c>
      <c r="B228">
        <v>4</v>
      </c>
      <c r="C228">
        <v>122</v>
      </c>
      <c r="D228">
        <v>96</v>
      </c>
      <c r="E228">
        <v>2300</v>
      </c>
      <c r="F228">
        <v>15.5</v>
      </c>
      <c r="G228">
        <v>77</v>
      </c>
      <c r="H228" t="s">
        <v>1621</v>
      </c>
      <c r="I228" t="s">
        <v>1312</v>
      </c>
      <c r="J228" t="s">
        <v>970</v>
      </c>
      <c r="K228" t="s">
        <v>1313</v>
      </c>
      <c r="L228" t="b">
        <f>Data_Completeness(MileageData[[#This Row],[MPG]:[Acceleration]])</f>
        <v>1</v>
      </c>
    </row>
    <row r="229" spans="1:12" x14ac:dyDescent="0.25">
      <c r="A229">
        <v>33.5</v>
      </c>
      <c r="B229">
        <v>4</v>
      </c>
      <c r="C229">
        <v>85</v>
      </c>
      <c r="D229">
        <v>70</v>
      </c>
      <c r="E229">
        <v>1945</v>
      </c>
      <c r="F229">
        <v>16.8</v>
      </c>
      <c r="G229">
        <v>77</v>
      </c>
      <c r="H229" t="s">
        <v>1623</v>
      </c>
      <c r="I229" t="s">
        <v>1314</v>
      </c>
      <c r="J229" t="s">
        <v>1020</v>
      </c>
      <c r="K229" t="s">
        <v>1315</v>
      </c>
      <c r="L229" t="b">
        <f>Data_Completeness(MileageData[[#This Row],[MPG]:[Acceleration]])</f>
        <v>1</v>
      </c>
    </row>
    <row r="230" spans="1:12" x14ac:dyDescent="0.25">
      <c r="A230">
        <v>17.5</v>
      </c>
      <c r="B230">
        <v>8</v>
      </c>
      <c r="C230">
        <v>305</v>
      </c>
      <c r="D230">
        <v>145</v>
      </c>
      <c r="E230">
        <v>3880</v>
      </c>
      <c r="F230">
        <v>12.5</v>
      </c>
      <c r="G230">
        <v>77</v>
      </c>
      <c r="H230" t="s">
        <v>1621</v>
      </c>
      <c r="I230" t="s">
        <v>1155</v>
      </c>
      <c r="J230" t="s">
        <v>964</v>
      </c>
      <c r="K230" t="s">
        <v>1156</v>
      </c>
      <c r="L230" t="b">
        <f>Data_Completeness(MileageData[[#This Row],[MPG]:[Acceleration]])</f>
        <v>1</v>
      </c>
    </row>
    <row r="231" spans="1:12" x14ac:dyDescent="0.25">
      <c r="A231">
        <v>17</v>
      </c>
      <c r="B231">
        <v>8</v>
      </c>
      <c r="C231">
        <v>260</v>
      </c>
      <c r="D231">
        <v>110</v>
      </c>
      <c r="E231">
        <v>4060</v>
      </c>
      <c r="F231">
        <v>19</v>
      </c>
      <c r="G231">
        <v>77</v>
      </c>
      <c r="H231" t="s">
        <v>1621</v>
      </c>
      <c r="I231" t="s">
        <v>1316</v>
      </c>
      <c r="J231" t="s">
        <v>1110</v>
      </c>
      <c r="K231" t="s">
        <v>1317</v>
      </c>
      <c r="L231" t="b">
        <f>Data_Completeness(MileageData[[#This Row],[MPG]:[Acceleration]])</f>
        <v>1</v>
      </c>
    </row>
    <row r="232" spans="1:12" x14ac:dyDescent="0.25">
      <c r="A232">
        <v>15.5</v>
      </c>
      <c r="B232">
        <v>8</v>
      </c>
      <c r="C232">
        <v>318</v>
      </c>
      <c r="D232">
        <v>145</v>
      </c>
      <c r="E232">
        <v>4140</v>
      </c>
      <c r="F232">
        <v>13.7</v>
      </c>
      <c r="G232">
        <v>77</v>
      </c>
      <c r="H232" t="s">
        <v>1621</v>
      </c>
      <c r="I232" t="s">
        <v>1318</v>
      </c>
      <c r="J232" t="s">
        <v>1001</v>
      </c>
      <c r="K232" t="s">
        <v>1319</v>
      </c>
      <c r="L232" t="b">
        <f>Data_Completeness(MileageData[[#This Row],[MPG]:[Acceleration]])</f>
        <v>1</v>
      </c>
    </row>
    <row r="233" spans="1:12" x14ac:dyDescent="0.25">
      <c r="A233">
        <v>15</v>
      </c>
      <c r="B233">
        <v>8</v>
      </c>
      <c r="C233">
        <v>302</v>
      </c>
      <c r="D233">
        <v>130</v>
      </c>
      <c r="E233">
        <v>4295</v>
      </c>
      <c r="F233">
        <v>14.9</v>
      </c>
      <c r="G233">
        <v>77</v>
      </c>
      <c r="H233" t="s">
        <v>1621</v>
      </c>
      <c r="I233" t="s">
        <v>1320</v>
      </c>
      <c r="J233" t="s">
        <v>1078</v>
      </c>
      <c r="K233" t="s">
        <v>1321</v>
      </c>
      <c r="L233" t="b">
        <f>Data_Completeness(MileageData[[#This Row],[MPG]:[Acceleration]])</f>
        <v>1</v>
      </c>
    </row>
    <row r="234" spans="1:12" x14ac:dyDescent="0.25">
      <c r="A234">
        <v>17.5</v>
      </c>
      <c r="B234">
        <v>6</v>
      </c>
      <c r="C234">
        <v>250</v>
      </c>
      <c r="D234">
        <v>110</v>
      </c>
      <c r="E234">
        <v>3520</v>
      </c>
      <c r="F234">
        <v>16.399999999999999</v>
      </c>
      <c r="G234">
        <v>77</v>
      </c>
      <c r="H234" t="s">
        <v>1621</v>
      </c>
      <c r="I234" t="s">
        <v>1322</v>
      </c>
      <c r="J234" t="s">
        <v>964</v>
      </c>
      <c r="K234" t="s">
        <v>1323</v>
      </c>
      <c r="L234" t="b">
        <f>Data_Completeness(MileageData[[#This Row],[MPG]:[Acceleration]])</f>
        <v>1</v>
      </c>
    </row>
    <row r="235" spans="1:12" x14ac:dyDescent="0.25">
      <c r="A235">
        <v>20.5</v>
      </c>
      <c r="B235">
        <v>6</v>
      </c>
      <c r="C235">
        <v>231</v>
      </c>
      <c r="D235">
        <v>105</v>
      </c>
      <c r="E235">
        <v>3425</v>
      </c>
      <c r="F235">
        <v>16.899999999999999</v>
      </c>
      <c r="G235">
        <v>77</v>
      </c>
      <c r="H235" t="s">
        <v>1621</v>
      </c>
      <c r="I235" t="s">
        <v>1324</v>
      </c>
      <c r="J235" t="s">
        <v>967</v>
      </c>
      <c r="K235" t="s">
        <v>1325</v>
      </c>
      <c r="L235" t="b">
        <f>Data_Completeness(MileageData[[#This Row],[MPG]:[Acceleration]])</f>
        <v>1</v>
      </c>
    </row>
    <row r="236" spans="1:12" x14ac:dyDescent="0.25">
      <c r="A236">
        <v>19</v>
      </c>
      <c r="B236">
        <v>6</v>
      </c>
      <c r="C236">
        <v>225</v>
      </c>
      <c r="D236">
        <v>100</v>
      </c>
      <c r="E236">
        <v>3630</v>
      </c>
      <c r="F236">
        <v>17.7</v>
      </c>
      <c r="G236">
        <v>77</v>
      </c>
      <c r="H236" t="s">
        <v>1621</v>
      </c>
      <c r="I236" t="s">
        <v>1326</v>
      </c>
      <c r="J236" t="s">
        <v>970</v>
      </c>
      <c r="K236" t="s">
        <v>1327</v>
      </c>
      <c r="L236" t="b">
        <f>Data_Completeness(MileageData[[#This Row],[MPG]:[Acceleration]])</f>
        <v>1</v>
      </c>
    </row>
    <row r="237" spans="1:12" x14ac:dyDescent="0.25">
      <c r="A237">
        <v>18.5</v>
      </c>
      <c r="B237">
        <v>6</v>
      </c>
      <c r="C237">
        <v>250</v>
      </c>
      <c r="D237">
        <v>98</v>
      </c>
      <c r="E237">
        <v>3525</v>
      </c>
      <c r="F237">
        <v>19</v>
      </c>
      <c r="G237">
        <v>77</v>
      </c>
      <c r="H237" t="s">
        <v>1621</v>
      </c>
      <c r="I237" t="s">
        <v>1328</v>
      </c>
      <c r="J237" t="s">
        <v>976</v>
      </c>
      <c r="K237" t="s">
        <v>1329</v>
      </c>
      <c r="L237" t="b">
        <f>Data_Completeness(MileageData[[#This Row],[MPG]:[Acceleration]])</f>
        <v>1</v>
      </c>
    </row>
    <row r="238" spans="1:12" x14ac:dyDescent="0.25">
      <c r="A238">
        <v>16</v>
      </c>
      <c r="B238">
        <v>8</v>
      </c>
      <c r="C238">
        <v>400</v>
      </c>
      <c r="D238">
        <v>180</v>
      </c>
      <c r="E238">
        <v>4220</v>
      </c>
      <c r="F238">
        <v>11.1</v>
      </c>
      <c r="G238">
        <v>77</v>
      </c>
      <c r="H238" t="s">
        <v>1621</v>
      </c>
      <c r="I238" t="s">
        <v>1330</v>
      </c>
      <c r="J238" t="s">
        <v>985</v>
      </c>
      <c r="K238" t="s">
        <v>1331</v>
      </c>
      <c r="L238" t="b">
        <f>Data_Completeness(MileageData[[#This Row],[MPG]:[Acceleration]])</f>
        <v>1</v>
      </c>
    </row>
    <row r="239" spans="1:12" x14ac:dyDescent="0.25">
      <c r="A239">
        <v>15.5</v>
      </c>
      <c r="B239">
        <v>8</v>
      </c>
      <c r="C239">
        <v>350</v>
      </c>
      <c r="D239">
        <v>170</v>
      </c>
      <c r="E239">
        <v>4165</v>
      </c>
      <c r="F239">
        <v>11.4</v>
      </c>
      <c r="G239">
        <v>77</v>
      </c>
      <c r="H239" t="s">
        <v>1621</v>
      </c>
      <c r="I239" t="s">
        <v>1332</v>
      </c>
      <c r="J239" t="s">
        <v>964</v>
      </c>
      <c r="K239" t="s">
        <v>1333</v>
      </c>
      <c r="L239" t="b">
        <f>Data_Completeness(MileageData[[#This Row],[MPG]:[Acceleration]])</f>
        <v>1</v>
      </c>
    </row>
    <row r="240" spans="1:12" x14ac:dyDescent="0.25">
      <c r="A240">
        <v>15.5</v>
      </c>
      <c r="B240">
        <v>8</v>
      </c>
      <c r="C240">
        <v>400</v>
      </c>
      <c r="D240">
        <v>190</v>
      </c>
      <c r="E240">
        <v>4325</v>
      </c>
      <c r="F240">
        <v>12.2</v>
      </c>
      <c r="G240">
        <v>77</v>
      </c>
      <c r="H240" t="s">
        <v>1621</v>
      </c>
      <c r="I240" t="s">
        <v>1334</v>
      </c>
      <c r="J240" t="s">
        <v>1113</v>
      </c>
      <c r="K240" t="s">
        <v>1335</v>
      </c>
      <c r="L240" t="b">
        <f>Data_Completeness(MileageData[[#This Row],[MPG]:[Acceleration]])</f>
        <v>1</v>
      </c>
    </row>
    <row r="241" spans="1:12" x14ac:dyDescent="0.25">
      <c r="A241">
        <v>16</v>
      </c>
      <c r="B241">
        <v>8</v>
      </c>
      <c r="C241">
        <v>351</v>
      </c>
      <c r="D241">
        <v>149</v>
      </c>
      <c r="E241">
        <v>4335</v>
      </c>
      <c r="F241">
        <v>14.5</v>
      </c>
      <c r="G241">
        <v>77</v>
      </c>
      <c r="H241" t="s">
        <v>1621</v>
      </c>
      <c r="I241" t="s">
        <v>1336</v>
      </c>
      <c r="J241" t="s">
        <v>976</v>
      </c>
      <c r="K241" t="s">
        <v>1337</v>
      </c>
      <c r="L241" t="b">
        <f>Data_Completeness(MileageData[[#This Row],[MPG]:[Acceleration]])</f>
        <v>1</v>
      </c>
    </row>
    <row r="242" spans="1:12" x14ac:dyDescent="0.25">
      <c r="A242">
        <v>29</v>
      </c>
      <c r="B242">
        <v>4</v>
      </c>
      <c r="C242">
        <v>97</v>
      </c>
      <c r="D242">
        <v>78</v>
      </c>
      <c r="E242">
        <v>1940</v>
      </c>
      <c r="F242">
        <v>14.5</v>
      </c>
      <c r="G242">
        <v>77</v>
      </c>
      <c r="H242" t="s">
        <v>1622</v>
      </c>
      <c r="I242" t="s">
        <v>1338</v>
      </c>
      <c r="J242" t="s">
        <v>1023</v>
      </c>
      <c r="K242" t="s">
        <v>1339</v>
      </c>
      <c r="L242" t="b">
        <f>Data_Completeness(MileageData[[#This Row],[MPG]:[Acceleration]])</f>
        <v>1</v>
      </c>
    </row>
    <row r="243" spans="1:12" x14ac:dyDescent="0.25">
      <c r="A243">
        <v>24.5</v>
      </c>
      <c r="B243">
        <v>4</v>
      </c>
      <c r="C243">
        <v>151</v>
      </c>
      <c r="D243">
        <v>88</v>
      </c>
      <c r="E243">
        <v>2740</v>
      </c>
      <c r="F243">
        <v>16</v>
      </c>
      <c r="G243">
        <v>77</v>
      </c>
      <c r="H243" t="s">
        <v>1621</v>
      </c>
      <c r="I243" t="s">
        <v>1340</v>
      </c>
      <c r="J243" t="s">
        <v>985</v>
      </c>
      <c r="K243" t="s">
        <v>1341</v>
      </c>
      <c r="L243" t="b">
        <f>Data_Completeness(MileageData[[#This Row],[MPG]:[Acceleration]])</f>
        <v>1</v>
      </c>
    </row>
    <row r="244" spans="1:12" x14ac:dyDescent="0.25">
      <c r="A244">
        <v>26</v>
      </c>
      <c r="B244">
        <v>4</v>
      </c>
      <c r="C244">
        <v>97</v>
      </c>
      <c r="D244">
        <v>75</v>
      </c>
      <c r="E244">
        <v>2265</v>
      </c>
      <c r="F244">
        <v>18.2</v>
      </c>
      <c r="G244">
        <v>77</v>
      </c>
      <c r="H244" t="s">
        <v>1623</v>
      </c>
      <c r="I244" t="s">
        <v>1342</v>
      </c>
      <c r="J244" t="s">
        <v>1011</v>
      </c>
      <c r="K244" t="s">
        <v>1343</v>
      </c>
      <c r="L244" t="b">
        <f>Data_Completeness(MileageData[[#This Row],[MPG]:[Acceleration]])</f>
        <v>1</v>
      </c>
    </row>
    <row r="245" spans="1:12" x14ac:dyDescent="0.25">
      <c r="A245">
        <v>25.5</v>
      </c>
      <c r="B245">
        <v>4</v>
      </c>
      <c r="C245">
        <v>140</v>
      </c>
      <c r="D245">
        <v>89</v>
      </c>
      <c r="E245">
        <v>2755</v>
      </c>
      <c r="F245">
        <v>15.8</v>
      </c>
      <c r="G245">
        <v>77</v>
      </c>
      <c r="H245" t="s">
        <v>1621</v>
      </c>
      <c r="I245" t="s">
        <v>1344</v>
      </c>
      <c r="J245" t="s">
        <v>976</v>
      </c>
      <c r="K245" t="s">
        <v>1345</v>
      </c>
      <c r="L245" t="b">
        <f>Data_Completeness(MileageData[[#This Row],[MPG]:[Acceleration]])</f>
        <v>1</v>
      </c>
    </row>
    <row r="246" spans="1:12" x14ac:dyDescent="0.25">
      <c r="A246">
        <v>30.5</v>
      </c>
      <c r="B246">
        <v>4</v>
      </c>
      <c r="C246">
        <v>98</v>
      </c>
      <c r="D246">
        <v>63</v>
      </c>
      <c r="E246">
        <v>2051</v>
      </c>
      <c r="F246">
        <v>17</v>
      </c>
      <c r="G246">
        <v>77</v>
      </c>
      <c r="H246" t="s">
        <v>1621</v>
      </c>
      <c r="I246" t="s">
        <v>1275</v>
      </c>
      <c r="J246" t="s">
        <v>964</v>
      </c>
      <c r="K246" t="s">
        <v>1276</v>
      </c>
      <c r="L246" t="b">
        <f>Data_Completeness(MileageData[[#This Row],[MPG]:[Acceleration]])</f>
        <v>1</v>
      </c>
    </row>
    <row r="247" spans="1:12" x14ac:dyDescent="0.25">
      <c r="A247">
        <v>33.5</v>
      </c>
      <c r="B247">
        <v>4</v>
      </c>
      <c r="C247">
        <v>98</v>
      </c>
      <c r="D247">
        <v>83</v>
      </c>
      <c r="E247">
        <v>2075</v>
      </c>
      <c r="F247">
        <v>15.9</v>
      </c>
      <c r="G247">
        <v>77</v>
      </c>
      <c r="H247" t="s">
        <v>1621</v>
      </c>
      <c r="I247" t="s">
        <v>1346</v>
      </c>
      <c r="J247" t="s">
        <v>1001</v>
      </c>
      <c r="K247" t="s">
        <v>1347</v>
      </c>
      <c r="L247" t="b">
        <f>Data_Completeness(MileageData[[#This Row],[MPG]:[Acceleration]])</f>
        <v>1</v>
      </c>
    </row>
    <row r="248" spans="1:12" x14ac:dyDescent="0.25">
      <c r="A248">
        <v>30</v>
      </c>
      <c r="B248">
        <v>4</v>
      </c>
      <c r="C248">
        <v>97</v>
      </c>
      <c r="D248">
        <v>67</v>
      </c>
      <c r="E248">
        <v>1985</v>
      </c>
      <c r="F248">
        <v>16.399999999999999</v>
      </c>
      <c r="G248">
        <v>77</v>
      </c>
      <c r="H248" t="s">
        <v>1623</v>
      </c>
      <c r="I248" t="s">
        <v>1348</v>
      </c>
      <c r="J248" t="s">
        <v>1232</v>
      </c>
      <c r="K248" t="s">
        <v>1349</v>
      </c>
      <c r="L248" t="b">
        <f>Data_Completeness(MileageData[[#This Row],[MPG]:[Acceleration]])</f>
        <v>1</v>
      </c>
    </row>
    <row r="249" spans="1:12" x14ac:dyDescent="0.25">
      <c r="A249">
        <v>30.5</v>
      </c>
      <c r="B249">
        <v>4</v>
      </c>
      <c r="C249">
        <v>97</v>
      </c>
      <c r="D249">
        <v>78</v>
      </c>
      <c r="E249">
        <v>2190</v>
      </c>
      <c r="F249">
        <v>14.1</v>
      </c>
      <c r="G249">
        <v>77</v>
      </c>
      <c r="H249" t="s">
        <v>1622</v>
      </c>
      <c r="I249" t="s">
        <v>1222</v>
      </c>
      <c r="J249" t="s">
        <v>1023</v>
      </c>
      <c r="K249" t="s">
        <v>1223</v>
      </c>
      <c r="L249" t="b">
        <f>Data_Completeness(MileageData[[#This Row],[MPG]:[Acceleration]])</f>
        <v>1</v>
      </c>
    </row>
    <row r="250" spans="1:12" x14ac:dyDescent="0.25">
      <c r="A250">
        <v>22</v>
      </c>
      <c r="B250">
        <v>6</v>
      </c>
      <c r="C250">
        <v>146</v>
      </c>
      <c r="D250">
        <v>97</v>
      </c>
      <c r="E250">
        <v>2815</v>
      </c>
      <c r="F250">
        <v>14.5</v>
      </c>
      <c r="G250">
        <v>77</v>
      </c>
      <c r="H250" t="s">
        <v>1623</v>
      </c>
      <c r="I250" t="s">
        <v>1350</v>
      </c>
      <c r="J250" t="s">
        <v>1020</v>
      </c>
      <c r="K250">
        <v>810</v>
      </c>
      <c r="L250" t="b">
        <f>Data_Completeness(MileageData[[#This Row],[MPG]:[Acceleration]])</f>
        <v>1</v>
      </c>
    </row>
    <row r="251" spans="1:12" x14ac:dyDescent="0.25">
      <c r="A251">
        <v>21.5</v>
      </c>
      <c r="B251">
        <v>4</v>
      </c>
      <c r="C251">
        <v>121</v>
      </c>
      <c r="D251">
        <v>110</v>
      </c>
      <c r="E251">
        <v>2600</v>
      </c>
      <c r="F251">
        <v>12.8</v>
      </c>
      <c r="G251">
        <v>77</v>
      </c>
      <c r="H251" t="s">
        <v>1622</v>
      </c>
      <c r="I251" t="s">
        <v>1351</v>
      </c>
      <c r="J251" t="s">
        <v>1034</v>
      </c>
      <c r="K251" t="s">
        <v>1352</v>
      </c>
      <c r="L251" t="b">
        <f>Data_Completeness(MileageData[[#This Row],[MPG]:[Acceleration]])</f>
        <v>1</v>
      </c>
    </row>
    <row r="252" spans="1:12" x14ac:dyDescent="0.25">
      <c r="A252">
        <v>21.5</v>
      </c>
      <c r="B252">
        <v>3</v>
      </c>
      <c r="C252">
        <v>80</v>
      </c>
      <c r="D252">
        <v>110</v>
      </c>
      <c r="E252">
        <v>2720</v>
      </c>
      <c r="F252">
        <v>13.5</v>
      </c>
      <c r="G252">
        <v>77</v>
      </c>
      <c r="H252" t="s">
        <v>1623</v>
      </c>
      <c r="I252" t="s">
        <v>1353</v>
      </c>
      <c r="J252" t="s">
        <v>1116</v>
      </c>
      <c r="K252" t="s">
        <v>1354</v>
      </c>
      <c r="L252" t="b">
        <f>Data_Completeness(MileageData[[#This Row],[MPG]:[Acceleration]])</f>
        <v>1</v>
      </c>
    </row>
    <row r="253" spans="1:12" x14ac:dyDescent="0.25">
      <c r="A253">
        <v>43.1</v>
      </c>
      <c r="B253">
        <v>4</v>
      </c>
      <c r="C253">
        <v>90</v>
      </c>
      <c r="D253">
        <v>48</v>
      </c>
      <c r="E253">
        <v>1985</v>
      </c>
      <c r="F253">
        <v>21.5</v>
      </c>
      <c r="G253">
        <v>78</v>
      </c>
      <c r="H253" t="s">
        <v>1622</v>
      </c>
      <c r="I253" t="s">
        <v>1355</v>
      </c>
      <c r="J253" t="s">
        <v>1023</v>
      </c>
      <c r="K253" t="s">
        <v>1356</v>
      </c>
      <c r="L253" t="b">
        <f>Data_Completeness(MileageData[[#This Row],[MPG]:[Acceleration]])</f>
        <v>1</v>
      </c>
    </row>
    <row r="254" spans="1:12" x14ac:dyDescent="0.25">
      <c r="A254">
        <v>36.1</v>
      </c>
      <c r="B254">
        <v>4</v>
      </c>
      <c r="C254">
        <v>98</v>
      </c>
      <c r="D254">
        <v>66</v>
      </c>
      <c r="E254">
        <v>1800</v>
      </c>
      <c r="F254">
        <v>14.4</v>
      </c>
      <c r="G254">
        <v>78</v>
      </c>
      <c r="H254" t="s">
        <v>1621</v>
      </c>
      <c r="I254" t="s">
        <v>1357</v>
      </c>
      <c r="J254" t="s">
        <v>976</v>
      </c>
      <c r="K254" t="s">
        <v>1358</v>
      </c>
      <c r="L254" t="b">
        <f>Data_Completeness(MileageData[[#This Row],[MPG]:[Acceleration]])</f>
        <v>1</v>
      </c>
    </row>
    <row r="255" spans="1:12" x14ac:dyDescent="0.25">
      <c r="A255">
        <v>32.799999999999997</v>
      </c>
      <c r="B255">
        <v>4</v>
      </c>
      <c r="C255">
        <v>78</v>
      </c>
      <c r="D255">
        <v>52</v>
      </c>
      <c r="E255">
        <v>1985</v>
      </c>
      <c r="F255">
        <v>19.399999999999999</v>
      </c>
      <c r="G255">
        <v>78</v>
      </c>
      <c r="H255" t="s">
        <v>1623</v>
      </c>
      <c r="I255" t="s">
        <v>1359</v>
      </c>
      <c r="J255" t="s">
        <v>1116</v>
      </c>
      <c r="K255" t="s">
        <v>1360</v>
      </c>
      <c r="L255" t="b">
        <f>Data_Completeness(MileageData[[#This Row],[MPG]:[Acceleration]])</f>
        <v>1</v>
      </c>
    </row>
    <row r="256" spans="1:12" x14ac:dyDescent="0.25">
      <c r="A256">
        <v>39.4</v>
      </c>
      <c r="B256">
        <v>4</v>
      </c>
      <c r="C256">
        <v>85</v>
      </c>
      <c r="D256">
        <v>70</v>
      </c>
      <c r="E256">
        <v>2070</v>
      </c>
      <c r="F256">
        <v>18.600000000000001</v>
      </c>
      <c r="G256">
        <v>78</v>
      </c>
      <c r="H256" t="s">
        <v>1623</v>
      </c>
      <c r="I256" t="s">
        <v>1361</v>
      </c>
      <c r="J256" t="s">
        <v>1020</v>
      </c>
      <c r="K256" t="s">
        <v>1362</v>
      </c>
      <c r="L256" t="b">
        <f>Data_Completeness(MileageData[[#This Row],[MPG]:[Acceleration]])</f>
        <v>1</v>
      </c>
    </row>
    <row r="257" spans="1:12" x14ac:dyDescent="0.25">
      <c r="A257">
        <v>36.1</v>
      </c>
      <c r="B257">
        <v>4</v>
      </c>
      <c r="C257">
        <v>91</v>
      </c>
      <c r="D257">
        <v>60</v>
      </c>
      <c r="E257">
        <v>1800</v>
      </c>
      <c r="F257">
        <v>16.399999999999999</v>
      </c>
      <c r="G257">
        <v>78</v>
      </c>
      <c r="H257" t="s">
        <v>1623</v>
      </c>
      <c r="I257" t="s">
        <v>1265</v>
      </c>
      <c r="J257" t="s">
        <v>1230</v>
      </c>
      <c r="K257" t="s">
        <v>1266</v>
      </c>
      <c r="L257" t="b">
        <f>Data_Completeness(MileageData[[#This Row],[MPG]:[Acceleration]])</f>
        <v>1</v>
      </c>
    </row>
    <row r="258" spans="1:12" x14ac:dyDescent="0.25">
      <c r="A258">
        <v>19.899999999999999</v>
      </c>
      <c r="B258">
        <v>8</v>
      </c>
      <c r="C258">
        <v>260</v>
      </c>
      <c r="D258">
        <v>110</v>
      </c>
      <c r="E258">
        <v>3365</v>
      </c>
      <c r="F258">
        <v>15.5</v>
      </c>
      <c r="G258">
        <v>78</v>
      </c>
      <c r="H258" t="s">
        <v>1621</v>
      </c>
      <c r="I258" t="s">
        <v>1363</v>
      </c>
      <c r="J258" t="s">
        <v>1110</v>
      </c>
      <c r="K258" t="s">
        <v>1364</v>
      </c>
      <c r="L258" t="b">
        <f>Data_Completeness(MileageData[[#This Row],[MPG]:[Acceleration]])</f>
        <v>1</v>
      </c>
    </row>
    <row r="259" spans="1:12" x14ac:dyDescent="0.25">
      <c r="A259">
        <v>19.399999999999999</v>
      </c>
      <c r="B259">
        <v>8</v>
      </c>
      <c r="C259">
        <v>318</v>
      </c>
      <c r="D259">
        <v>140</v>
      </c>
      <c r="E259">
        <v>3735</v>
      </c>
      <c r="F259">
        <v>13.2</v>
      </c>
      <c r="G259">
        <v>78</v>
      </c>
      <c r="H259" t="s">
        <v>1621</v>
      </c>
      <c r="I259" t="s">
        <v>1365</v>
      </c>
      <c r="J259" t="s">
        <v>1001</v>
      </c>
      <c r="K259" t="s">
        <v>1366</v>
      </c>
      <c r="L259" t="b">
        <f>Data_Completeness(MileageData[[#This Row],[MPG]:[Acceleration]])</f>
        <v>1</v>
      </c>
    </row>
    <row r="260" spans="1:12" x14ac:dyDescent="0.25">
      <c r="A260">
        <v>20.2</v>
      </c>
      <c r="B260">
        <v>8</v>
      </c>
      <c r="C260">
        <v>302</v>
      </c>
      <c r="D260">
        <v>139</v>
      </c>
      <c r="E260">
        <v>3570</v>
      </c>
      <c r="F260">
        <v>12.8</v>
      </c>
      <c r="G260">
        <v>78</v>
      </c>
      <c r="H260" t="s">
        <v>1621</v>
      </c>
      <c r="I260" t="s">
        <v>1367</v>
      </c>
      <c r="J260" t="s">
        <v>1078</v>
      </c>
      <c r="K260" t="s">
        <v>1368</v>
      </c>
      <c r="L260" t="b">
        <f>Data_Completeness(MileageData[[#This Row],[MPG]:[Acceleration]])</f>
        <v>1</v>
      </c>
    </row>
    <row r="261" spans="1:12" x14ac:dyDescent="0.25">
      <c r="A261">
        <v>19.2</v>
      </c>
      <c r="B261">
        <v>6</v>
      </c>
      <c r="C261">
        <v>231</v>
      </c>
      <c r="D261">
        <v>105</v>
      </c>
      <c r="E261">
        <v>3535</v>
      </c>
      <c r="F261">
        <v>19.2</v>
      </c>
      <c r="G261">
        <v>78</v>
      </c>
      <c r="H261" t="s">
        <v>1621</v>
      </c>
      <c r="I261" t="s">
        <v>1369</v>
      </c>
      <c r="J261" t="s">
        <v>985</v>
      </c>
      <c r="K261" t="s">
        <v>1370</v>
      </c>
      <c r="L261" t="b">
        <f>Data_Completeness(MileageData[[#This Row],[MPG]:[Acceleration]])</f>
        <v>1</v>
      </c>
    </row>
    <row r="262" spans="1:12" x14ac:dyDescent="0.25">
      <c r="A262">
        <v>20.5</v>
      </c>
      <c r="B262">
        <v>6</v>
      </c>
      <c r="C262">
        <v>200</v>
      </c>
      <c r="D262">
        <v>95</v>
      </c>
      <c r="E262">
        <v>3155</v>
      </c>
      <c r="F262">
        <v>18.2</v>
      </c>
      <c r="G262">
        <v>78</v>
      </c>
      <c r="H262" t="s">
        <v>1621</v>
      </c>
      <c r="I262" t="s">
        <v>1147</v>
      </c>
      <c r="J262" t="s">
        <v>964</v>
      </c>
      <c r="K262" t="s">
        <v>1148</v>
      </c>
      <c r="L262" t="b">
        <f>Data_Completeness(MileageData[[#This Row],[MPG]:[Acceleration]])</f>
        <v>1</v>
      </c>
    </row>
    <row r="263" spans="1:12" x14ac:dyDescent="0.25">
      <c r="A263">
        <v>20.2</v>
      </c>
      <c r="B263">
        <v>6</v>
      </c>
      <c r="C263">
        <v>200</v>
      </c>
      <c r="D263">
        <v>85</v>
      </c>
      <c r="E263">
        <v>2965</v>
      </c>
      <c r="F263">
        <v>15.8</v>
      </c>
      <c r="G263">
        <v>78</v>
      </c>
      <c r="H263" t="s">
        <v>1621</v>
      </c>
      <c r="I263" t="s">
        <v>1371</v>
      </c>
      <c r="J263" t="s">
        <v>976</v>
      </c>
      <c r="K263" t="s">
        <v>1372</v>
      </c>
      <c r="L263" t="b">
        <f>Data_Completeness(MileageData[[#This Row],[MPG]:[Acceleration]])</f>
        <v>1</v>
      </c>
    </row>
    <row r="264" spans="1:12" x14ac:dyDescent="0.25">
      <c r="A264">
        <v>25.1</v>
      </c>
      <c r="B264">
        <v>4</v>
      </c>
      <c r="C264">
        <v>140</v>
      </c>
      <c r="D264">
        <v>88</v>
      </c>
      <c r="E264">
        <v>2720</v>
      </c>
      <c r="F264">
        <v>15.4</v>
      </c>
      <c r="G264">
        <v>78</v>
      </c>
      <c r="H264" t="s">
        <v>1621</v>
      </c>
      <c r="I264" t="s">
        <v>1373</v>
      </c>
      <c r="J264" t="s">
        <v>976</v>
      </c>
      <c r="K264" t="s">
        <v>1374</v>
      </c>
      <c r="L264" t="b">
        <f>Data_Completeness(MileageData[[#This Row],[MPG]:[Acceleration]])</f>
        <v>1</v>
      </c>
    </row>
    <row r="265" spans="1:12" x14ac:dyDescent="0.25">
      <c r="A265">
        <v>20.5</v>
      </c>
      <c r="B265">
        <v>6</v>
      </c>
      <c r="C265">
        <v>225</v>
      </c>
      <c r="D265">
        <v>100</v>
      </c>
      <c r="E265">
        <v>3430</v>
      </c>
      <c r="F265">
        <v>17.2</v>
      </c>
      <c r="G265">
        <v>78</v>
      </c>
      <c r="H265" t="s">
        <v>1621</v>
      </c>
      <c r="I265" t="s">
        <v>1375</v>
      </c>
      <c r="J265" t="s">
        <v>970</v>
      </c>
      <c r="K265" t="s">
        <v>1376</v>
      </c>
      <c r="L265" t="b">
        <f>Data_Completeness(MileageData[[#This Row],[MPG]:[Acceleration]])</f>
        <v>1</v>
      </c>
    </row>
    <row r="266" spans="1:12" x14ac:dyDescent="0.25">
      <c r="A266">
        <v>19.399999999999999</v>
      </c>
      <c r="B266">
        <v>6</v>
      </c>
      <c r="C266">
        <v>232</v>
      </c>
      <c r="D266">
        <v>90</v>
      </c>
      <c r="E266">
        <v>3210</v>
      </c>
      <c r="F266">
        <v>17.2</v>
      </c>
      <c r="G266">
        <v>78</v>
      </c>
      <c r="H266" t="s">
        <v>1621</v>
      </c>
      <c r="I266" t="s">
        <v>1377</v>
      </c>
      <c r="J266" t="s">
        <v>973</v>
      </c>
      <c r="K266" t="s">
        <v>1378</v>
      </c>
      <c r="L266" t="b">
        <f>Data_Completeness(MileageData[[#This Row],[MPG]:[Acceleration]])</f>
        <v>1</v>
      </c>
    </row>
    <row r="267" spans="1:12" x14ac:dyDescent="0.25">
      <c r="A267">
        <v>20.6</v>
      </c>
      <c r="B267">
        <v>6</v>
      </c>
      <c r="C267">
        <v>231</v>
      </c>
      <c r="D267">
        <v>105</v>
      </c>
      <c r="E267">
        <v>3380</v>
      </c>
      <c r="F267">
        <v>15.8</v>
      </c>
      <c r="G267">
        <v>78</v>
      </c>
      <c r="H267" t="s">
        <v>1621</v>
      </c>
      <c r="I267" t="s">
        <v>1379</v>
      </c>
      <c r="J267" t="s">
        <v>967</v>
      </c>
      <c r="K267" t="s">
        <v>1380</v>
      </c>
      <c r="L267" t="b">
        <f>Data_Completeness(MileageData[[#This Row],[MPG]:[Acceleration]])</f>
        <v>1</v>
      </c>
    </row>
    <row r="268" spans="1:12" x14ac:dyDescent="0.25">
      <c r="A268">
        <v>20.8</v>
      </c>
      <c r="B268">
        <v>6</v>
      </c>
      <c r="C268">
        <v>200</v>
      </c>
      <c r="D268">
        <v>85</v>
      </c>
      <c r="E268">
        <v>3070</v>
      </c>
      <c r="F268">
        <v>16.7</v>
      </c>
      <c r="G268">
        <v>78</v>
      </c>
      <c r="H268" t="s">
        <v>1621</v>
      </c>
      <c r="I268" t="s">
        <v>1381</v>
      </c>
      <c r="J268" t="s">
        <v>1078</v>
      </c>
      <c r="K268" t="s">
        <v>1382</v>
      </c>
      <c r="L268" t="b">
        <f>Data_Completeness(MileageData[[#This Row],[MPG]:[Acceleration]])</f>
        <v>1</v>
      </c>
    </row>
    <row r="269" spans="1:12" x14ac:dyDescent="0.25">
      <c r="A269">
        <v>18.600000000000001</v>
      </c>
      <c r="B269">
        <v>6</v>
      </c>
      <c r="C269">
        <v>225</v>
      </c>
      <c r="D269">
        <v>110</v>
      </c>
      <c r="E269">
        <v>3620</v>
      </c>
      <c r="F269">
        <v>18.7</v>
      </c>
      <c r="G269">
        <v>78</v>
      </c>
      <c r="H269" t="s">
        <v>1621</v>
      </c>
      <c r="I269" t="s">
        <v>1383</v>
      </c>
      <c r="J269" t="s">
        <v>1001</v>
      </c>
      <c r="K269" t="s">
        <v>1384</v>
      </c>
      <c r="L269" t="b">
        <f>Data_Completeness(MileageData[[#This Row],[MPG]:[Acceleration]])</f>
        <v>1</v>
      </c>
    </row>
    <row r="270" spans="1:12" x14ac:dyDescent="0.25">
      <c r="A270">
        <v>18.100000000000001</v>
      </c>
      <c r="B270">
        <v>6</v>
      </c>
      <c r="C270">
        <v>258</v>
      </c>
      <c r="D270">
        <v>120</v>
      </c>
      <c r="E270">
        <v>3410</v>
      </c>
      <c r="F270">
        <v>15.1</v>
      </c>
      <c r="G270">
        <v>78</v>
      </c>
      <c r="H270" t="s">
        <v>1621</v>
      </c>
      <c r="I270" t="s">
        <v>1385</v>
      </c>
      <c r="J270" t="s">
        <v>973</v>
      </c>
      <c r="K270" t="s">
        <v>1386</v>
      </c>
      <c r="L270" t="b">
        <f>Data_Completeness(MileageData[[#This Row],[MPG]:[Acceleration]])</f>
        <v>1</v>
      </c>
    </row>
    <row r="271" spans="1:12" x14ac:dyDescent="0.25">
      <c r="A271">
        <v>19.2</v>
      </c>
      <c r="B271">
        <v>8</v>
      </c>
      <c r="C271">
        <v>305</v>
      </c>
      <c r="D271">
        <v>145</v>
      </c>
      <c r="E271">
        <v>3425</v>
      </c>
      <c r="F271">
        <v>13.2</v>
      </c>
      <c r="G271">
        <v>78</v>
      </c>
      <c r="H271" t="s">
        <v>1621</v>
      </c>
      <c r="I271" t="s">
        <v>1332</v>
      </c>
      <c r="J271" t="s">
        <v>964</v>
      </c>
      <c r="K271" t="s">
        <v>1333</v>
      </c>
      <c r="L271" t="b">
        <f>Data_Completeness(MileageData[[#This Row],[MPG]:[Acceleration]])</f>
        <v>1</v>
      </c>
    </row>
    <row r="272" spans="1:12" x14ac:dyDescent="0.25">
      <c r="A272">
        <v>17.7</v>
      </c>
      <c r="B272">
        <v>6</v>
      </c>
      <c r="C272">
        <v>231</v>
      </c>
      <c r="D272">
        <v>165</v>
      </c>
      <c r="E272">
        <v>3445</v>
      </c>
      <c r="F272">
        <v>13.4</v>
      </c>
      <c r="G272">
        <v>78</v>
      </c>
      <c r="H272" t="s">
        <v>1621</v>
      </c>
      <c r="I272" t="s">
        <v>1387</v>
      </c>
      <c r="J272" t="s">
        <v>967</v>
      </c>
      <c r="K272" t="s">
        <v>1388</v>
      </c>
      <c r="L272" t="b">
        <f>Data_Completeness(MileageData[[#This Row],[MPG]:[Acceleration]])</f>
        <v>1</v>
      </c>
    </row>
    <row r="273" spans="1:12" x14ac:dyDescent="0.25">
      <c r="A273">
        <v>18.100000000000001</v>
      </c>
      <c r="B273">
        <v>8</v>
      </c>
      <c r="C273">
        <v>302</v>
      </c>
      <c r="D273">
        <v>139</v>
      </c>
      <c r="E273">
        <v>3205</v>
      </c>
      <c r="F273">
        <v>11.2</v>
      </c>
      <c r="G273">
        <v>78</v>
      </c>
      <c r="H273" t="s">
        <v>1621</v>
      </c>
      <c r="I273" t="s">
        <v>1389</v>
      </c>
      <c r="J273" t="s">
        <v>976</v>
      </c>
      <c r="K273" t="s">
        <v>1390</v>
      </c>
      <c r="L273" t="b">
        <f>Data_Completeness(MileageData[[#This Row],[MPG]:[Acceleration]])</f>
        <v>1</v>
      </c>
    </row>
    <row r="274" spans="1:12" x14ac:dyDescent="0.25">
      <c r="A274">
        <v>17.5</v>
      </c>
      <c r="B274">
        <v>8</v>
      </c>
      <c r="C274">
        <v>318</v>
      </c>
      <c r="D274">
        <v>140</v>
      </c>
      <c r="E274">
        <v>4080</v>
      </c>
      <c r="F274">
        <v>13.7</v>
      </c>
      <c r="G274">
        <v>78</v>
      </c>
      <c r="H274" t="s">
        <v>1621</v>
      </c>
      <c r="I274" t="s">
        <v>1391</v>
      </c>
      <c r="J274" t="s">
        <v>1001</v>
      </c>
      <c r="K274" t="s">
        <v>1392</v>
      </c>
      <c r="L274" t="b">
        <f>Data_Completeness(MileageData[[#This Row],[MPG]:[Acceleration]])</f>
        <v>1</v>
      </c>
    </row>
    <row r="275" spans="1:12" x14ac:dyDescent="0.25">
      <c r="A275">
        <v>30</v>
      </c>
      <c r="B275">
        <v>4</v>
      </c>
      <c r="C275">
        <v>98</v>
      </c>
      <c r="D275">
        <v>68</v>
      </c>
      <c r="E275">
        <v>2155</v>
      </c>
      <c r="F275">
        <v>16.5</v>
      </c>
      <c r="G275">
        <v>78</v>
      </c>
      <c r="H275" t="s">
        <v>1621</v>
      </c>
      <c r="I275" t="s">
        <v>1275</v>
      </c>
      <c r="J275" t="s">
        <v>964</v>
      </c>
      <c r="K275" t="s">
        <v>1276</v>
      </c>
      <c r="L275" t="b">
        <f>Data_Completeness(MileageData[[#This Row],[MPG]:[Acceleration]])</f>
        <v>1</v>
      </c>
    </row>
    <row r="276" spans="1:12" x14ac:dyDescent="0.25">
      <c r="A276">
        <v>27.5</v>
      </c>
      <c r="B276">
        <v>4</v>
      </c>
      <c r="C276">
        <v>134</v>
      </c>
      <c r="D276">
        <v>95</v>
      </c>
      <c r="E276">
        <v>2560</v>
      </c>
      <c r="F276">
        <v>14.2</v>
      </c>
      <c r="G276">
        <v>78</v>
      </c>
      <c r="H276" t="s">
        <v>1623</v>
      </c>
      <c r="I276" t="s">
        <v>1049</v>
      </c>
      <c r="J276" t="s">
        <v>1011</v>
      </c>
      <c r="K276" t="s">
        <v>1050</v>
      </c>
      <c r="L276" t="b">
        <f>Data_Completeness(MileageData[[#This Row],[MPG]:[Acceleration]])</f>
        <v>1</v>
      </c>
    </row>
    <row r="277" spans="1:12" x14ac:dyDescent="0.25">
      <c r="A277">
        <v>27.2</v>
      </c>
      <c r="B277">
        <v>4</v>
      </c>
      <c r="C277">
        <v>119</v>
      </c>
      <c r="D277">
        <v>97</v>
      </c>
      <c r="E277">
        <v>2300</v>
      </c>
      <c r="F277">
        <v>14.7</v>
      </c>
      <c r="G277">
        <v>78</v>
      </c>
      <c r="H277" t="s">
        <v>1623</v>
      </c>
      <c r="I277" t="s">
        <v>1393</v>
      </c>
      <c r="J277" t="s">
        <v>1020</v>
      </c>
      <c r="K277">
        <v>510</v>
      </c>
      <c r="L277" t="b">
        <f>Data_Completeness(MileageData[[#This Row],[MPG]:[Acceleration]])</f>
        <v>1</v>
      </c>
    </row>
    <row r="278" spans="1:12" x14ac:dyDescent="0.25">
      <c r="A278">
        <v>30.9</v>
      </c>
      <c r="B278">
        <v>4</v>
      </c>
      <c r="C278">
        <v>105</v>
      </c>
      <c r="D278">
        <v>75</v>
      </c>
      <c r="E278">
        <v>2230</v>
      </c>
      <c r="F278">
        <v>14.5</v>
      </c>
      <c r="G278">
        <v>78</v>
      </c>
      <c r="H278" t="s">
        <v>1621</v>
      </c>
      <c r="I278" t="s">
        <v>1394</v>
      </c>
      <c r="J278" t="s">
        <v>1001</v>
      </c>
      <c r="K278" t="s">
        <v>1395</v>
      </c>
      <c r="L278" t="b">
        <f>Data_Completeness(MileageData[[#This Row],[MPG]:[Acceleration]])</f>
        <v>1</v>
      </c>
    </row>
    <row r="279" spans="1:12" x14ac:dyDescent="0.25">
      <c r="A279">
        <v>21.1</v>
      </c>
      <c r="B279">
        <v>4</v>
      </c>
      <c r="C279">
        <v>134</v>
      </c>
      <c r="D279">
        <v>95</v>
      </c>
      <c r="E279">
        <v>2515</v>
      </c>
      <c r="F279">
        <v>14.8</v>
      </c>
      <c r="G279">
        <v>78</v>
      </c>
      <c r="H279" t="s">
        <v>1623</v>
      </c>
      <c r="I279" t="s">
        <v>1396</v>
      </c>
      <c r="J279" t="s">
        <v>1011</v>
      </c>
      <c r="K279" t="s">
        <v>1397</v>
      </c>
      <c r="L279" t="b">
        <f>Data_Completeness(MileageData[[#This Row],[MPG]:[Acceleration]])</f>
        <v>1</v>
      </c>
    </row>
    <row r="280" spans="1:12" x14ac:dyDescent="0.25">
      <c r="A280">
        <v>23.2</v>
      </c>
      <c r="B280">
        <v>4</v>
      </c>
      <c r="C280">
        <v>156</v>
      </c>
      <c r="D280">
        <v>105</v>
      </c>
      <c r="E280">
        <v>2745</v>
      </c>
      <c r="F280">
        <v>16.7</v>
      </c>
      <c r="G280">
        <v>78</v>
      </c>
      <c r="H280" t="s">
        <v>1621</v>
      </c>
      <c r="I280" t="s">
        <v>1398</v>
      </c>
      <c r="J280" t="s">
        <v>970</v>
      </c>
      <c r="K280" t="s">
        <v>1399</v>
      </c>
      <c r="L280" t="b">
        <f>Data_Completeness(MileageData[[#This Row],[MPG]:[Acceleration]])</f>
        <v>1</v>
      </c>
    </row>
    <row r="281" spans="1:12" x14ac:dyDescent="0.25">
      <c r="A281">
        <v>23.8</v>
      </c>
      <c r="B281">
        <v>4</v>
      </c>
      <c r="C281">
        <v>151</v>
      </c>
      <c r="D281">
        <v>85</v>
      </c>
      <c r="E281">
        <v>2855</v>
      </c>
      <c r="F281">
        <v>17.600000000000001</v>
      </c>
      <c r="G281">
        <v>78</v>
      </c>
      <c r="H281" t="s">
        <v>1621</v>
      </c>
      <c r="I281" t="s">
        <v>1400</v>
      </c>
      <c r="J281" t="s">
        <v>1110</v>
      </c>
      <c r="K281" t="s">
        <v>1401</v>
      </c>
      <c r="L281" t="b">
        <f>Data_Completeness(MileageData[[#This Row],[MPG]:[Acceleration]])</f>
        <v>1</v>
      </c>
    </row>
    <row r="282" spans="1:12" x14ac:dyDescent="0.25">
      <c r="A282">
        <v>23.9</v>
      </c>
      <c r="B282">
        <v>4</v>
      </c>
      <c r="C282">
        <v>119</v>
      </c>
      <c r="D282">
        <v>97</v>
      </c>
      <c r="E282">
        <v>2405</v>
      </c>
      <c r="F282">
        <v>14.9</v>
      </c>
      <c r="G282">
        <v>78</v>
      </c>
      <c r="H282" t="s">
        <v>1623</v>
      </c>
      <c r="I282" t="s">
        <v>1402</v>
      </c>
      <c r="J282" t="s">
        <v>1020</v>
      </c>
      <c r="K282" t="s">
        <v>1403</v>
      </c>
      <c r="L282" t="b">
        <f>Data_Completeness(MileageData[[#This Row],[MPG]:[Acceleration]])</f>
        <v>1</v>
      </c>
    </row>
    <row r="283" spans="1:12" x14ac:dyDescent="0.25">
      <c r="A283">
        <v>20.3</v>
      </c>
      <c r="B283">
        <v>5</v>
      </c>
      <c r="C283">
        <v>131</v>
      </c>
      <c r="D283">
        <v>103</v>
      </c>
      <c r="E283">
        <v>2830</v>
      </c>
      <c r="F283">
        <v>15.9</v>
      </c>
      <c r="G283">
        <v>78</v>
      </c>
      <c r="H283" t="s">
        <v>1622</v>
      </c>
      <c r="I283" t="s">
        <v>1404</v>
      </c>
      <c r="J283" t="s">
        <v>1028</v>
      </c>
      <c r="K283">
        <v>5000</v>
      </c>
      <c r="L283" t="b">
        <f>Data_Completeness(MileageData[[#This Row],[MPG]:[Acceleration]])</f>
        <v>1</v>
      </c>
    </row>
    <row r="284" spans="1:12" x14ac:dyDescent="0.25">
      <c r="A284">
        <v>17</v>
      </c>
      <c r="B284">
        <v>6</v>
      </c>
      <c r="C284">
        <v>163</v>
      </c>
      <c r="D284">
        <v>125</v>
      </c>
      <c r="E284">
        <v>3140</v>
      </c>
      <c r="F284">
        <v>13.6</v>
      </c>
      <c r="G284">
        <v>78</v>
      </c>
      <c r="H284" t="s">
        <v>1622</v>
      </c>
      <c r="I284" t="s">
        <v>1405</v>
      </c>
      <c r="J284" t="s">
        <v>1125</v>
      </c>
      <c r="K284" t="s">
        <v>1406</v>
      </c>
      <c r="L284" t="b">
        <f>Data_Completeness(MileageData[[#This Row],[MPG]:[Acceleration]])</f>
        <v>1</v>
      </c>
    </row>
    <row r="285" spans="1:12" x14ac:dyDescent="0.25">
      <c r="A285">
        <v>21.6</v>
      </c>
      <c r="B285">
        <v>4</v>
      </c>
      <c r="C285">
        <v>121</v>
      </c>
      <c r="D285">
        <v>115</v>
      </c>
      <c r="E285">
        <v>2795</v>
      </c>
      <c r="F285">
        <v>15.7</v>
      </c>
      <c r="G285">
        <v>78</v>
      </c>
      <c r="H285" t="s">
        <v>1622</v>
      </c>
      <c r="I285" t="s">
        <v>1407</v>
      </c>
      <c r="J285" t="s">
        <v>1031</v>
      </c>
      <c r="K285" t="s">
        <v>1408</v>
      </c>
      <c r="L285" t="b">
        <f>Data_Completeness(MileageData[[#This Row],[MPG]:[Acceleration]])</f>
        <v>1</v>
      </c>
    </row>
    <row r="286" spans="1:12" x14ac:dyDescent="0.25">
      <c r="A286">
        <v>16.2</v>
      </c>
      <c r="B286">
        <v>6</v>
      </c>
      <c r="C286">
        <v>163</v>
      </c>
      <c r="D286">
        <v>133</v>
      </c>
      <c r="E286">
        <v>3410</v>
      </c>
      <c r="F286">
        <v>15.8</v>
      </c>
      <c r="G286">
        <v>78</v>
      </c>
      <c r="H286" t="s">
        <v>1622</v>
      </c>
      <c r="I286" t="s">
        <v>1409</v>
      </c>
      <c r="J286" t="s">
        <v>1026</v>
      </c>
      <c r="K286" t="s">
        <v>1410</v>
      </c>
      <c r="L286" t="b">
        <f>Data_Completeness(MileageData[[#This Row],[MPG]:[Acceleration]])</f>
        <v>1</v>
      </c>
    </row>
    <row r="287" spans="1:12" x14ac:dyDescent="0.25">
      <c r="A287">
        <v>31.5</v>
      </c>
      <c r="B287">
        <v>4</v>
      </c>
      <c r="C287">
        <v>89</v>
      </c>
      <c r="D287">
        <v>71</v>
      </c>
      <c r="E287">
        <v>1990</v>
      </c>
      <c r="F287">
        <v>14.9</v>
      </c>
      <c r="G287">
        <v>78</v>
      </c>
      <c r="H287" t="s">
        <v>1622</v>
      </c>
      <c r="I287" t="s">
        <v>1411</v>
      </c>
      <c r="J287" t="s">
        <v>1023</v>
      </c>
      <c r="K287" t="s">
        <v>1412</v>
      </c>
      <c r="L287" t="b">
        <f>Data_Completeness(MileageData[[#This Row],[MPG]:[Acceleration]])</f>
        <v>1</v>
      </c>
    </row>
    <row r="288" spans="1:12" x14ac:dyDescent="0.25">
      <c r="A288">
        <v>29.5</v>
      </c>
      <c r="B288">
        <v>4</v>
      </c>
      <c r="C288">
        <v>98</v>
      </c>
      <c r="D288">
        <v>68</v>
      </c>
      <c r="E288">
        <v>2135</v>
      </c>
      <c r="F288">
        <v>16.600000000000001</v>
      </c>
      <c r="G288">
        <v>78</v>
      </c>
      <c r="H288" t="s">
        <v>1623</v>
      </c>
      <c r="I288" t="s">
        <v>1413</v>
      </c>
      <c r="J288" t="s">
        <v>1230</v>
      </c>
      <c r="K288" t="s">
        <v>1414</v>
      </c>
      <c r="L288" t="b">
        <f>Data_Completeness(MileageData[[#This Row],[MPG]:[Acceleration]])</f>
        <v>1</v>
      </c>
    </row>
    <row r="289" spans="1:12" x14ac:dyDescent="0.25">
      <c r="A289">
        <v>21.5</v>
      </c>
      <c r="B289">
        <v>6</v>
      </c>
      <c r="C289">
        <v>231</v>
      </c>
      <c r="D289">
        <v>115</v>
      </c>
      <c r="E289">
        <v>3245</v>
      </c>
      <c r="F289">
        <v>15.4</v>
      </c>
      <c r="G289">
        <v>79</v>
      </c>
      <c r="H289" t="s">
        <v>1621</v>
      </c>
      <c r="I289" t="s">
        <v>1415</v>
      </c>
      <c r="J289" t="s">
        <v>985</v>
      </c>
      <c r="K289" t="s">
        <v>1416</v>
      </c>
      <c r="L289" t="b">
        <f>Data_Completeness(MileageData[[#This Row],[MPG]:[Acceleration]])</f>
        <v>1</v>
      </c>
    </row>
    <row r="290" spans="1:12" x14ac:dyDescent="0.25">
      <c r="A290">
        <v>19.8</v>
      </c>
      <c r="B290">
        <v>6</v>
      </c>
      <c r="C290">
        <v>200</v>
      </c>
      <c r="D290">
        <v>85</v>
      </c>
      <c r="E290">
        <v>2990</v>
      </c>
      <c r="F290">
        <v>18.2</v>
      </c>
      <c r="G290">
        <v>79</v>
      </c>
      <c r="H290" t="s">
        <v>1621</v>
      </c>
      <c r="I290" t="s">
        <v>1417</v>
      </c>
      <c r="J290" t="s">
        <v>1078</v>
      </c>
      <c r="K290" t="s">
        <v>1418</v>
      </c>
      <c r="L290" t="b">
        <f>Data_Completeness(MileageData[[#This Row],[MPG]:[Acceleration]])</f>
        <v>1</v>
      </c>
    </row>
    <row r="291" spans="1:12" x14ac:dyDescent="0.25">
      <c r="A291">
        <v>22.3</v>
      </c>
      <c r="B291">
        <v>4</v>
      </c>
      <c r="C291">
        <v>140</v>
      </c>
      <c r="D291">
        <v>88</v>
      </c>
      <c r="E291">
        <v>2890</v>
      </c>
      <c r="F291">
        <v>17.3</v>
      </c>
      <c r="G291">
        <v>79</v>
      </c>
      <c r="H291" t="s">
        <v>1621</v>
      </c>
      <c r="I291" t="s">
        <v>1419</v>
      </c>
      <c r="J291" t="s">
        <v>976</v>
      </c>
      <c r="K291" t="s">
        <v>1420</v>
      </c>
      <c r="L291" t="b">
        <f>Data_Completeness(MileageData[[#This Row],[MPG]:[Acceleration]])</f>
        <v>1</v>
      </c>
    </row>
    <row r="292" spans="1:12" x14ac:dyDescent="0.25">
      <c r="A292">
        <v>20.2</v>
      </c>
      <c r="B292">
        <v>6</v>
      </c>
      <c r="C292">
        <v>232</v>
      </c>
      <c r="D292">
        <v>90</v>
      </c>
      <c r="E292">
        <v>3265</v>
      </c>
      <c r="F292">
        <v>18.2</v>
      </c>
      <c r="G292">
        <v>79</v>
      </c>
      <c r="H292" t="s">
        <v>1621</v>
      </c>
      <c r="I292" t="s">
        <v>1421</v>
      </c>
      <c r="J292" t="s">
        <v>973</v>
      </c>
      <c r="K292" t="s">
        <v>1422</v>
      </c>
      <c r="L292" t="b">
        <f>Data_Completeness(MileageData[[#This Row],[MPG]:[Acceleration]])</f>
        <v>1</v>
      </c>
    </row>
    <row r="293" spans="1:12" x14ac:dyDescent="0.25">
      <c r="A293">
        <v>20.6</v>
      </c>
      <c r="B293">
        <v>6</v>
      </c>
      <c r="C293">
        <v>225</v>
      </c>
      <c r="D293">
        <v>110</v>
      </c>
      <c r="E293">
        <v>3360</v>
      </c>
      <c r="F293">
        <v>16.600000000000001</v>
      </c>
      <c r="G293">
        <v>79</v>
      </c>
      <c r="H293" t="s">
        <v>1621</v>
      </c>
      <c r="I293" t="s">
        <v>1423</v>
      </c>
      <c r="J293" t="s">
        <v>1001</v>
      </c>
      <c r="K293" t="s">
        <v>1424</v>
      </c>
      <c r="L293" t="b">
        <f>Data_Completeness(MileageData[[#This Row],[MPG]:[Acceleration]])</f>
        <v>1</v>
      </c>
    </row>
    <row r="294" spans="1:12" x14ac:dyDescent="0.25">
      <c r="A294">
        <v>17</v>
      </c>
      <c r="B294">
        <v>8</v>
      </c>
      <c r="C294">
        <v>305</v>
      </c>
      <c r="D294">
        <v>130</v>
      </c>
      <c r="E294">
        <v>3840</v>
      </c>
      <c r="F294">
        <v>15.4</v>
      </c>
      <c r="G294">
        <v>79</v>
      </c>
      <c r="H294" t="s">
        <v>1621</v>
      </c>
      <c r="I294" t="s">
        <v>1155</v>
      </c>
      <c r="J294" t="s">
        <v>964</v>
      </c>
      <c r="K294" t="s">
        <v>1156</v>
      </c>
      <c r="L294" t="b">
        <f>Data_Completeness(MileageData[[#This Row],[MPG]:[Acceleration]])</f>
        <v>1</v>
      </c>
    </row>
    <row r="295" spans="1:12" x14ac:dyDescent="0.25">
      <c r="A295">
        <v>17.600000000000001</v>
      </c>
      <c r="B295">
        <v>8</v>
      </c>
      <c r="C295">
        <v>302</v>
      </c>
      <c r="D295">
        <v>129</v>
      </c>
      <c r="E295">
        <v>3725</v>
      </c>
      <c r="F295">
        <v>13.4</v>
      </c>
      <c r="G295">
        <v>79</v>
      </c>
      <c r="H295" t="s">
        <v>1621</v>
      </c>
      <c r="I295" t="s">
        <v>1425</v>
      </c>
      <c r="J295" t="s">
        <v>976</v>
      </c>
      <c r="K295" t="s">
        <v>1426</v>
      </c>
      <c r="L295" t="b">
        <f>Data_Completeness(MileageData[[#This Row],[MPG]:[Acceleration]])</f>
        <v>1</v>
      </c>
    </row>
    <row r="296" spans="1:12" x14ac:dyDescent="0.25">
      <c r="A296">
        <v>16.5</v>
      </c>
      <c r="B296">
        <v>8</v>
      </c>
      <c r="C296">
        <v>351</v>
      </c>
      <c r="D296">
        <v>138</v>
      </c>
      <c r="E296">
        <v>3955</v>
      </c>
      <c r="F296">
        <v>13.2</v>
      </c>
      <c r="G296">
        <v>79</v>
      </c>
      <c r="H296" t="s">
        <v>1621</v>
      </c>
      <c r="I296" t="s">
        <v>1427</v>
      </c>
      <c r="J296" t="s">
        <v>1078</v>
      </c>
      <c r="K296" t="s">
        <v>1428</v>
      </c>
      <c r="L296" t="b">
        <f>Data_Completeness(MileageData[[#This Row],[MPG]:[Acceleration]])</f>
        <v>1</v>
      </c>
    </row>
    <row r="297" spans="1:12" x14ac:dyDescent="0.25">
      <c r="A297">
        <v>18.2</v>
      </c>
      <c r="B297">
        <v>8</v>
      </c>
      <c r="C297">
        <v>318</v>
      </c>
      <c r="D297">
        <v>135</v>
      </c>
      <c r="E297">
        <v>3830</v>
      </c>
      <c r="F297">
        <v>15.2</v>
      </c>
      <c r="G297">
        <v>79</v>
      </c>
      <c r="H297" t="s">
        <v>1621</v>
      </c>
      <c r="I297" t="s">
        <v>1429</v>
      </c>
      <c r="J297" t="s">
        <v>1001</v>
      </c>
      <c r="K297" t="s">
        <v>1430</v>
      </c>
      <c r="L297" t="b">
        <f>Data_Completeness(MileageData[[#This Row],[MPG]:[Acceleration]])</f>
        <v>1</v>
      </c>
    </row>
    <row r="298" spans="1:12" x14ac:dyDescent="0.25">
      <c r="A298">
        <v>16.899999999999999</v>
      </c>
      <c r="B298">
        <v>8</v>
      </c>
      <c r="C298">
        <v>350</v>
      </c>
      <c r="D298">
        <v>155</v>
      </c>
      <c r="E298">
        <v>4360</v>
      </c>
      <c r="F298">
        <v>14.9</v>
      </c>
      <c r="G298">
        <v>79</v>
      </c>
      <c r="H298" t="s">
        <v>1621</v>
      </c>
      <c r="I298" t="s">
        <v>1008</v>
      </c>
      <c r="J298" t="s">
        <v>967</v>
      </c>
      <c r="K298" t="s">
        <v>1009</v>
      </c>
      <c r="L298" t="b">
        <f>Data_Completeness(MileageData[[#This Row],[MPG]:[Acceleration]])</f>
        <v>1</v>
      </c>
    </row>
    <row r="299" spans="1:12" x14ac:dyDescent="0.25">
      <c r="A299">
        <v>15.5</v>
      </c>
      <c r="B299">
        <v>8</v>
      </c>
      <c r="C299">
        <v>351</v>
      </c>
      <c r="D299">
        <v>142</v>
      </c>
      <c r="E299">
        <v>4054</v>
      </c>
      <c r="F299">
        <v>14.3</v>
      </c>
      <c r="G299">
        <v>79</v>
      </c>
      <c r="H299" t="s">
        <v>1621</v>
      </c>
      <c r="I299" t="s">
        <v>1065</v>
      </c>
      <c r="J299" t="s">
        <v>976</v>
      </c>
      <c r="K299" t="s">
        <v>1066</v>
      </c>
      <c r="L299" t="b">
        <f>Data_Completeness(MileageData[[#This Row],[MPG]:[Acceleration]])</f>
        <v>1</v>
      </c>
    </row>
    <row r="300" spans="1:12" x14ac:dyDescent="0.25">
      <c r="A300">
        <v>19.2</v>
      </c>
      <c r="B300">
        <v>8</v>
      </c>
      <c r="C300">
        <v>267</v>
      </c>
      <c r="D300">
        <v>125</v>
      </c>
      <c r="E300">
        <v>3605</v>
      </c>
      <c r="F300">
        <v>15</v>
      </c>
      <c r="G300">
        <v>79</v>
      </c>
      <c r="H300" t="s">
        <v>1621</v>
      </c>
      <c r="I300" t="s">
        <v>1431</v>
      </c>
      <c r="J300" t="s">
        <v>964</v>
      </c>
      <c r="K300" t="s">
        <v>1432</v>
      </c>
      <c r="L300" t="b">
        <f>Data_Completeness(MileageData[[#This Row],[MPG]:[Acceleration]])</f>
        <v>1</v>
      </c>
    </row>
    <row r="301" spans="1:12" x14ac:dyDescent="0.25">
      <c r="A301">
        <v>18.5</v>
      </c>
      <c r="B301">
        <v>8</v>
      </c>
      <c r="C301">
        <v>360</v>
      </c>
      <c r="D301">
        <v>150</v>
      </c>
      <c r="E301">
        <v>3940</v>
      </c>
      <c r="F301">
        <v>13</v>
      </c>
      <c r="G301">
        <v>79</v>
      </c>
      <c r="H301" t="s">
        <v>1621</v>
      </c>
      <c r="I301" t="s">
        <v>1433</v>
      </c>
      <c r="J301" t="s">
        <v>1113</v>
      </c>
      <c r="K301" t="s">
        <v>1434</v>
      </c>
      <c r="L301" t="b">
        <f>Data_Completeness(MileageData[[#This Row],[MPG]:[Acceleration]])</f>
        <v>1</v>
      </c>
    </row>
    <row r="302" spans="1:12" x14ac:dyDescent="0.25">
      <c r="A302">
        <v>31.9</v>
      </c>
      <c r="B302">
        <v>4</v>
      </c>
      <c r="C302">
        <v>89</v>
      </c>
      <c r="D302">
        <v>71</v>
      </c>
      <c r="E302">
        <v>1925</v>
      </c>
      <c r="F302">
        <v>14</v>
      </c>
      <c r="G302">
        <v>79</v>
      </c>
      <c r="H302" t="s">
        <v>1622</v>
      </c>
      <c r="I302" t="s">
        <v>1435</v>
      </c>
      <c r="J302" t="s">
        <v>1280</v>
      </c>
      <c r="K302" t="s">
        <v>1339</v>
      </c>
      <c r="L302" t="b">
        <f>Data_Completeness(MileageData[[#This Row],[MPG]:[Acceleration]])</f>
        <v>1</v>
      </c>
    </row>
    <row r="303" spans="1:12" x14ac:dyDescent="0.25">
      <c r="A303">
        <v>34.1</v>
      </c>
      <c r="B303">
        <v>4</v>
      </c>
      <c r="C303">
        <v>86</v>
      </c>
      <c r="D303">
        <v>65</v>
      </c>
      <c r="E303">
        <v>1975</v>
      </c>
      <c r="F303">
        <v>15.2</v>
      </c>
      <c r="G303">
        <v>79</v>
      </c>
      <c r="H303" t="s">
        <v>1623</v>
      </c>
      <c r="I303" t="s">
        <v>1436</v>
      </c>
      <c r="J303" t="s">
        <v>1183</v>
      </c>
      <c r="K303" t="s">
        <v>1360</v>
      </c>
      <c r="L303" t="b">
        <f>Data_Completeness(MileageData[[#This Row],[MPG]:[Acceleration]])</f>
        <v>1</v>
      </c>
    </row>
    <row r="304" spans="1:12" x14ac:dyDescent="0.25">
      <c r="A304">
        <v>35.700000000000003</v>
      </c>
      <c r="B304">
        <v>4</v>
      </c>
      <c r="C304">
        <v>98</v>
      </c>
      <c r="D304">
        <v>80</v>
      </c>
      <c r="E304">
        <v>1915</v>
      </c>
      <c r="F304">
        <v>14.4</v>
      </c>
      <c r="G304">
        <v>79</v>
      </c>
      <c r="H304" t="s">
        <v>1621</v>
      </c>
      <c r="I304" t="s">
        <v>1437</v>
      </c>
      <c r="J304" t="s">
        <v>1001</v>
      </c>
      <c r="K304" t="s">
        <v>1438</v>
      </c>
      <c r="L304" t="b">
        <f>Data_Completeness(MileageData[[#This Row],[MPG]:[Acceleration]])</f>
        <v>1</v>
      </c>
    </row>
    <row r="305" spans="1:12" x14ac:dyDescent="0.25">
      <c r="A305">
        <v>27.4</v>
      </c>
      <c r="B305">
        <v>4</v>
      </c>
      <c r="C305">
        <v>121</v>
      </c>
      <c r="D305">
        <v>80</v>
      </c>
      <c r="E305">
        <v>2670</v>
      </c>
      <c r="F305">
        <v>15</v>
      </c>
      <c r="G305">
        <v>79</v>
      </c>
      <c r="H305" t="s">
        <v>1621</v>
      </c>
      <c r="I305" t="s">
        <v>1439</v>
      </c>
      <c r="J305" t="s">
        <v>973</v>
      </c>
      <c r="K305" t="s">
        <v>1440</v>
      </c>
      <c r="L305" t="b">
        <f>Data_Completeness(MileageData[[#This Row],[MPG]:[Acceleration]])</f>
        <v>1</v>
      </c>
    </row>
    <row r="306" spans="1:12" x14ac:dyDescent="0.25">
      <c r="A306">
        <v>25.4</v>
      </c>
      <c r="B306">
        <v>5</v>
      </c>
      <c r="C306">
        <v>183</v>
      </c>
      <c r="D306">
        <v>77</v>
      </c>
      <c r="E306">
        <v>3530</v>
      </c>
      <c r="F306">
        <v>20.100000000000001</v>
      </c>
      <c r="G306">
        <v>79</v>
      </c>
      <c r="H306" t="s">
        <v>1622</v>
      </c>
      <c r="I306" t="s">
        <v>1441</v>
      </c>
      <c r="J306" t="s">
        <v>1442</v>
      </c>
      <c r="K306" t="s">
        <v>1443</v>
      </c>
      <c r="L306" t="b">
        <f>Data_Completeness(MileageData[[#This Row],[MPG]:[Acceleration]])</f>
        <v>1</v>
      </c>
    </row>
    <row r="307" spans="1:12" x14ac:dyDescent="0.25">
      <c r="A307">
        <v>23</v>
      </c>
      <c r="B307">
        <v>8</v>
      </c>
      <c r="C307">
        <v>350</v>
      </c>
      <c r="D307">
        <v>125</v>
      </c>
      <c r="E307">
        <v>3900</v>
      </c>
      <c r="F307">
        <v>17.399999999999999</v>
      </c>
      <c r="G307">
        <v>79</v>
      </c>
      <c r="H307" t="s">
        <v>1621</v>
      </c>
      <c r="I307" t="s">
        <v>1444</v>
      </c>
      <c r="J307" t="s">
        <v>1298</v>
      </c>
      <c r="K307" t="s">
        <v>1445</v>
      </c>
      <c r="L307" t="b">
        <f>Data_Completeness(MileageData[[#This Row],[MPG]:[Acceleration]])</f>
        <v>1</v>
      </c>
    </row>
    <row r="308" spans="1:12" x14ac:dyDescent="0.25">
      <c r="A308">
        <v>27.2</v>
      </c>
      <c r="B308">
        <v>4</v>
      </c>
      <c r="C308">
        <v>141</v>
      </c>
      <c r="D308">
        <v>71</v>
      </c>
      <c r="E308">
        <v>3190</v>
      </c>
      <c r="F308">
        <v>24.8</v>
      </c>
      <c r="G308">
        <v>79</v>
      </c>
      <c r="H308" t="s">
        <v>1622</v>
      </c>
      <c r="I308" t="s">
        <v>1025</v>
      </c>
      <c r="J308" t="s">
        <v>1026</v>
      </c>
      <c r="K308">
        <v>504</v>
      </c>
      <c r="L308" t="b">
        <f>Data_Completeness(MileageData[[#This Row],[MPG]:[Acceleration]])</f>
        <v>1</v>
      </c>
    </row>
    <row r="309" spans="1:12" x14ac:dyDescent="0.25">
      <c r="A309">
        <v>23.9</v>
      </c>
      <c r="B309">
        <v>8</v>
      </c>
      <c r="C309">
        <v>260</v>
      </c>
      <c r="D309">
        <v>90</v>
      </c>
      <c r="E309">
        <v>3420</v>
      </c>
      <c r="F309">
        <v>22.2</v>
      </c>
      <c r="G309">
        <v>79</v>
      </c>
      <c r="H309" t="s">
        <v>1621</v>
      </c>
      <c r="I309" t="s">
        <v>1363</v>
      </c>
      <c r="J309" t="s">
        <v>1110</v>
      </c>
      <c r="K309" t="s">
        <v>1364</v>
      </c>
      <c r="L309" t="b">
        <f>Data_Completeness(MileageData[[#This Row],[MPG]:[Acceleration]])</f>
        <v>1</v>
      </c>
    </row>
    <row r="310" spans="1:12" x14ac:dyDescent="0.25">
      <c r="A310">
        <v>34.200000000000003</v>
      </c>
      <c r="B310">
        <v>4</v>
      </c>
      <c r="C310">
        <v>105</v>
      </c>
      <c r="D310">
        <v>70</v>
      </c>
      <c r="E310">
        <v>2200</v>
      </c>
      <c r="F310">
        <v>13.2</v>
      </c>
      <c r="G310">
        <v>79</v>
      </c>
      <c r="H310" t="s">
        <v>1621</v>
      </c>
      <c r="I310" t="s">
        <v>1446</v>
      </c>
      <c r="J310" t="s">
        <v>970</v>
      </c>
      <c r="K310" t="s">
        <v>1447</v>
      </c>
      <c r="L310" t="b">
        <f>Data_Completeness(MileageData[[#This Row],[MPG]:[Acceleration]])</f>
        <v>1</v>
      </c>
    </row>
    <row r="311" spans="1:12" x14ac:dyDescent="0.25">
      <c r="A311">
        <v>34.5</v>
      </c>
      <c r="B311">
        <v>4</v>
      </c>
      <c r="C311">
        <v>105</v>
      </c>
      <c r="D311">
        <v>70</v>
      </c>
      <c r="E311">
        <v>2150</v>
      </c>
      <c r="F311">
        <v>14.9</v>
      </c>
      <c r="G311">
        <v>79</v>
      </c>
      <c r="H311" t="s">
        <v>1621</v>
      </c>
      <c r="I311" t="s">
        <v>1448</v>
      </c>
      <c r="J311" t="s">
        <v>970</v>
      </c>
      <c r="K311" t="s">
        <v>1449</v>
      </c>
      <c r="L311" t="b">
        <f>Data_Completeness(MileageData[[#This Row],[MPG]:[Acceleration]])</f>
        <v>1</v>
      </c>
    </row>
    <row r="312" spans="1:12" x14ac:dyDescent="0.25">
      <c r="A312">
        <v>31.8</v>
      </c>
      <c r="B312">
        <v>4</v>
      </c>
      <c r="C312">
        <v>85</v>
      </c>
      <c r="D312">
        <v>65</v>
      </c>
      <c r="E312">
        <v>2020</v>
      </c>
      <c r="F312">
        <v>19.2</v>
      </c>
      <c r="G312">
        <v>79</v>
      </c>
      <c r="H312" t="s">
        <v>1623</v>
      </c>
      <c r="I312" t="s">
        <v>1450</v>
      </c>
      <c r="J312" t="s">
        <v>1020</v>
      </c>
      <c r="K312">
        <v>210</v>
      </c>
      <c r="L312" t="b">
        <f>Data_Completeness(MileageData[[#This Row],[MPG]:[Acceleration]])</f>
        <v>1</v>
      </c>
    </row>
    <row r="313" spans="1:12" x14ac:dyDescent="0.25">
      <c r="A313">
        <v>37.299999999999997</v>
      </c>
      <c r="B313">
        <v>4</v>
      </c>
      <c r="C313">
        <v>91</v>
      </c>
      <c r="D313">
        <v>69</v>
      </c>
      <c r="E313">
        <v>2130</v>
      </c>
      <c r="F313">
        <v>14.7</v>
      </c>
      <c r="G313">
        <v>79</v>
      </c>
      <c r="H313" t="s">
        <v>1622</v>
      </c>
      <c r="I313" t="s">
        <v>1451</v>
      </c>
      <c r="J313" t="s">
        <v>1084</v>
      </c>
      <c r="K313" t="s">
        <v>1452</v>
      </c>
      <c r="L313" t="b">
        <f>Data_Completeness(MileageData[[#This Row],[MPG]:[Acceleration]])</f>
        <v>1</v>
      </c>
    </row>
    <row r="314" spans="1:12" x14ac:dyDescent="0.25">
      <c r="A314">
        <v>28.4</v>
      </c>
      <c r="B314">
        <v>4</v>
      </c>
      <c r="C314">
        <v>151</v>
      </c>
      <c r="D314">
        <v>90</v>
      </c>
      <c r="E314">
        <v>2670</v>
      </c>
      <c r="F314">
        <v>16</v>
      </c>
      <c r="G314">
        <v>79</v>
      </c>
      <c r="H314" t="s">
        <v>1621</v>
      </c>
      <c r="I314" t="s">
        <v>1453</v>
      </c>
      <c r="J314" t="s">
        <v>967</v>
      </c>
      <c r="K314" t="s">
        <v>1454</v>
      </c>
      <c r="L314" t="b">
        <f>Data_Completeness(MileageData[[#This Row],[MPG]:[Acceleration]])</f>
        <v>1</v>
      </c>
    </row>
    <row r="315" spans="1:12" x14ac:dyDescent="0.25">
      <c r="A315">
        <v>28.8</v>
      </c>
      <c r="B315">
        <v>6</v>
      </c>
      <c r="C315">
        <v>173</v>
      </c>
      <c r="D315">
        <v>115</v>
      </c>
      <c r="E315">
        <v>2595</v>
      </c>
      <c r="F315">
        <v>11.3</v>
      </c>
      <c r="G315">
        <v>79</v>
      </c>
      <c r="H315" t="s">
        <v>1621</v>
      </c>
      <c r="I315" t="s">
        <v>1455</v>
      </c>
      <c r="J315" t="s">
        <v>964</v>
      </c>
      <c r="K315" t="s">
        <v>1456</v>
      </c>
      <c r="L315" t="b">
        <f>Data_Completeness(MileageData[[#This Row],[MPG]:[Acceleration]])</f>
        <v>1</v>
      </c>
    </row>
    <row r="316" spans="1:12" x14ac:dyDescent="0.25">
      <c r="A316">
        <v>26.8</v>
      </c>
      <c r="B316">
        <v>6</v>
      </c>
      <c r="C316">
        <v>173</v>
      </c>
      <c r="D316">
        <v>115</v>
      </c>
      <c r="E316">
        <v>2700</v>
      </c>
      <c r="F316">
        <v>12.9</v>
      </c>
      <c r="G316">
        <v>79</v>
      </c>
      <c r="H316" t="s">
        <v>1621</v>
      </c>
      <c r="I316" t="s">
        <v>1457</v>
      </c>
      <c r="J316" t="s">
        <v>1110</v>
      </c>
      <c r="K316" t="s">
        <v>1458</v>
      </c>
      <c r="L316" t="b">
        <f>Data_Completeness(MileageData[[#This Row],[MPG]:[Acceleration]])</f>
        <v>1</v>
      </c>
    </row>
    <row r="317" spans="1:12" x14ac:dyDescent="0.25">
      <c r="A317">
        <v>33.5</v>
      </c>
      <c r="B317">
        <v>4</v>
      </c>
      <c r="C317">
        <v>151</v>
      </c>
      <c r="D317">
        <v>90</v>
      </c>
      <c r="E317">
        <v>2556</v>
      </c>
      <c r="F317">
        <v>13.2</v>
      </c>
      <c r="G317">
        <v>79</v>
      </c>
      <c r="H317" t="s">
        <v>1621</v>
      </c>
      <c r="I317" t="s">
        <v>1459</v>
      </c>
      <c r="J317" t="s">
        <v>985</v>
      </c>
      <c r="K317" t="s">
        <v>1460</v>
      </c>
      <c r="L317" t="b">
        <f>Data_Completeness(MileageData[[#This Row],[MPG]:[Acceleration]])</f>
        <v>1</v>
      </c>
    </row>
    <row r="318" spans="1:12" x14ac:dyDescent="0.25">
      <c r="A318">
        <v>41.5</v>
      </c>
      <c r="B318">
        <v>4</v>
      </c>
      <c r="C318">
        <v>98</v>
      </c>
      <c r="D318">
        <v>76</v>
      </c>
      <c r="E318">
        <v>2144</v>
      </c>
      <c r="F318">
        <v>14.7</v>
      </c>
      <c r="G318">
        <v>80</v>
      </c>
      <c r="H318" t="s">
        <v>1622</v>
      </c>
      <c r="I318" t="s">
        <v>1279</v>
      </c>
      <c r="J318" t="s">
        <v>1280</v>
      </c>
      <c r="K318" t="s">
        <v>1260</v>
      </c>
      <c r="L318" t="b">
        <f>Data_Completeness(MileageData[[#This Row],[MPG]:[Acceleration]])</f>
        <v>1</v>
      </c>
    </row>
    <row r="319" spans="1:12" x14ac:dyDescent="0.25">
      <c r="A319">
        <v>38.1</v>
      </c>
      <c r="B319">
        <v>4</v>
      </c>
      <c r="C319">
        <v>89</v>
      </c>
      <c r="D319">
        <v>60</v>
      </c>
      <c r="E319">
        <v>1968</v>
      </c>
      <c r="F319">
        <v>18.8</v>
      </c>
      <c r="G319">
        <v>80</v>
      </c>
      <c r="H319" t="s">
        <v>1623</v>
      </c>
      <c r="I319" t="s">
        <v>1461</v>
      </c>
      <c r="J319" t="s">
        <v>1011</v>
      </c>
      <c r="K319" t="s">
        <v>1462</v>
      </c>
      <c r="L319" t="b">
        <f>Data_Completeness(MileageData[[#This Row],[MPG]:[Acceleration]])</f>
        <v>1</v>
      </c>
    </row>
    <row r="320" spans="1:12" x14ac:dyDescent="0.25">
      <c r="A320">
        <v>32.1</v>
      </c>
      <c r="B320">
        <v>4</v>
      </c>
      <c r="C320">
        <v>98</v>
      </c>
      <c r="D320">
        <v>70</v>
      </c>
      <c r="E320">
        <v>2120</v>
      </c>
      <c r="F320">
        <v>15.5</v>
      </c>
      <c r="G320">
        <v>80</v>
      </c>
      <c r="H320" t="s">
        <v>1621</v>
      </c>
      <c r="I320" t="s">
        <v>1275</v>
      </c>
      <c r="J320" t="s">
        <v>964</v>
      </c>
      <c r="K320" t="s">
        <v>1276</v>
      </c>
      <c r="L320" t="b">
        <f>Data_Completeness(MileageData[[#This Row],[MPG]:[Acceleration]])</f>
        <v>1</v>
      </c>
    </row>
    <row r="321" spans="1:12" x14ac:dyDescent="0.25">
      <c r="A321">
        <v>37.200000000000003</v>
      </c>
      <c r="B321">
        <v>4</v>
      </c>
      <c r="C321">
        <v>86</v>
      </c>
      <c r="D321">
        <v>65</v>
      </c>
      <c r="E321">
        <v>2019</v>
      </c>
      <c r="F321">
        <v>16.399999999999999</v>
      </c>
      <c r="G321">
        <v>80</v>
      </c>
      <c r="H321" t="s">
        <v>1623</v>
      </c>
      <c r="I321" t="s">
        <v>1463</v>
      </c>
      <c r="J321" t="s">
        <v>1020</v>
      </c>
      <c r="K321">
        <v>310</v>
      </c>
      <c r="L321" t="b">
        <f>Data_Completeness(MileageData[[#This Row],[MPG]:[Acceleration]])</f>
        <v>1</v>
      </c>
    </row>
    <row r="322" spans="1:12" x14ac:dyDescent="0.25">
      <c r="A322">
        <v>28</v>
      </c>
      <c r="B322">
        <v>4</v>
      </c>
      <c r="C322">
        <v>151</v>
      </c>
      <c r="D322">
        <v>90</v>
      </c>
      <c r="E322">
        <v>2678</v>
      </c>
      <c r="F322">
        <v>16.5</v>
      </c>
      <c r="G322">
        <v>80</v>
      </c>
      <c r="H322" t="s">
        <v>1621</v>
      </c>
      <c r="I322" t="s">
        <v>1455</v>
      </c>
      <c r="J322" t="s">
        <v>964</v>
      </c>
      <c r="K322" t="s">
        <v>1456</v>
      </c>
      <c r="L322" t="b">
        <f>Data_Completeness(MileageData[[#This Row],[MPG]:[Acceleration]])</f>
        <v>1</v>
      </c>
    </row>
    <row r="323" spans="1:12" x14ac:dyDescent="0.25">
      <c r="A323">
        <v>26.4</v>
      </c>
      <c r="B323">
        <v>4</v>
      </c>
      <c r="C323">
        <v>140</v>
      </c>
      <c r="D323">
        <v>88</v>
      </c>
      <c r="E323">
        <v>2870</v>
      </c>
      <c r="F323">
        <v>18.100000000000001</v>
      </c>
      <c r="G323">
        <v>80</v>
      </c>
      <c r="H323" t="s">
        <v>1621</v>
      </c>
      <c r="I323" t="s">
        <v>1464</v>
      </c>
      <c r="J323" t="s">
        <v>976</v>
      </c>
      <c r="K323" t="s">
        <v>1465</v>
      </c>
      <c r="L323" t="b">
        <f>Data_Completeness(MileageData[[#This Row],[MPG]:[Acceleration]])</f>
        <v>1</v>
      </c>
    </row>
    <row r="324" spans="1:12" x14ac:dyDescent="0.25">
      <c r="A324">
        <v>24.3</v>
      </c>
      <c r="B324">
        <v>4</v>
      </c>
      <c r="C324">
        <v>151</v>
      </c>
      <c r="D324">
        <v>90</v>
      </c>
      <c r="E324">
        <v>3003</v>
      </c>
      <c r="F324">
        <v>20.100000000000001</v>
      </c>
      <c r="G324">
        <v>80</v>
      </c>
      <c r="H324" t="s">
        <v>1621</v>
      </c>
      <c r="I324" t="s">
        <v>1377</v>
      </c>
      <c r="J324" t="s">
        <v>973</v>
      </c>
      <c r="K324" t="s">
        <v>1378</v>
      </c>
      <c r="L324" t="b">
        <f>Data_Completeness(MileageData[[#This Row],[MPG]:[Acceleration]])</f>
        <v>1</v>
      </c>
    </row>
    <row r="325" spans="1:12" x14ac:dyDescent="0.25">
      <c r="A325">
        <v>19.100000000000001</v>
      </c>
      <c r="B325">
        <v>6</v>
      </c>
      <c r="C325">
        <v>225</v>
      </c>
      <c r="D325">
        <v>90</v>
      </c>
      <c r="E325">
        <v>3381</v>
      </c>
      <c r="F325">
        <v>18.7</v>
      </c>
      <c r="G325">
        <v>80</v>
      </c>
      <c r="H325" t="s">
        <v>1621</v>
      </c>
      <c r="I325" t="s">
        <v>1383</v>
      </c>
      <c r="J325" t="s">
        <v>1001</v>
      </c>
      <c r="K325" t="s">
        <v>1384</v>
      </c>
      <c r="L325" t="b">
        <f>Data_Completeness(MileageData[[#This Row],[MPG]:[Acceleration]])</f>
        <v>1</v>
      </c>
    </row>
    <row r="326" spans="1:12" x14ac:dyDescent="0.25">
      <c r="A326">
        <v>34.299999999999997</v>
      </c>
      <c r="B326">
        <v>4</v>
      </c>
      <c r="C326">
        <v>97</v>
      </c>
      <c r="D326">
        <v>78</v>
      </c>
      <c r="E326">
        <v>2188</v>
      </c>
      <c r="F326">
        <v>15.8</v>
      </c>
      <c r="G326">
        <v>80</v>
      </c>
      <c r="H326" t="s">
        <v>1622</v>
      </c>
      <c r="I326" t="s">
        <v>1466</v>
      </c>
      <c r="J326" t="s">
        <v>1028</v>
      </c>
      <c r="K326">
        <v>4000</v>
      </c>
      <c r="L326" t="b">
        <f>Data_Completeness(MileageData[[#This Row],[MPG]:[Acceleration]])</f>
        <v>1</v>
      </c>
    </row>
    <row r="327" spans="1:12" x14ac:dyDescent="0.25">
      <c r="A327">
        <v>29.8</v>
      </c>
      <c r="B327">
        <v>4</v>
      </c>
      <c r="C327">
        <v>134</v>
      </c>
      <c r="D327">
        <v>90</v>
      </c>
      <c r="E327">
        <v>2711</v>
      </c>
      <c r="F327">
        <v>15.5</v>
      </c>
      <c r="G327">
        <v>80</v>
      </c>
      <c r="H327" t="s">
        <v>1623</v>
      </c>
      <c r="I327" t="s">
        <v>1467</v>
      </c>
      <c r="J327" t="s">
        <v>1011</v>
      </c>
      <c r="K327" t="s">
        <v>1468</v>
      </c>
      <c r="L327" t="b">
        <f>Data_Completeness(MileageData[[#This Row],[MPG]:[Acceleration]])</f>
        <v>1</v>
      </c>
    </row>
    <row r="328" spans="1:12" x14ac:dyDescent="0.25">
      <c r="A328">
        <v>31.3</v>
      </c>
      <c r="B328">
        <v>4</v>
      </c>
      <c r="C328">
        <v>120</v>
      </c>
      <c r="D328">
        <v>75</v>
      </c>
      <c r="E328">
        <v>2542</v>
      </c>
      <c r="F328">
        <v>17.5</v>
      </c>
      <c r="G328">
        <v>80</v>
      </c>
      <c r="H328" t="s">
        <v>1623</v>
      </c>
      <c r="I328" t="s">
        <v>1469</v>
      </c>
      <c r="J328" t="s">
        <v>1116</v>
      </c>
      <c r="K328">
        <v>626</v>
      </c>
      <c r="L328" t="b">
        <f>Data_Completeness(MileageData[[#This Row],[MPG]:[Acceleration]])</f>
        <v>1</v>
      </c>
    </row>
    <row r="329" spans="1:12" x14ac:dyDescent="0.25">
      <c r="A329">
        <v>37</v>
      </c>
      <c r="B329">
        <v>4</v>
      </c>
      <c r="C329">
        <v>119</v>
      </c>
      <c r="D329">
        <v>92</v>
      </c>
      <c r="E329">
        <v>2434</v>
      </c>
      <c r="F329">
        <v>15</v>
      </c>
      <c r="G329">
        <v>80</v>
      </c>
      <c r="H329" t="s">
        <v>1623</v>
      </c>
      <c r="I329" t="s">
        <v>1470</v>
      </c>
      <c r="J329" t="s">
        <v>1020</v>
      </c>
      <c r="K329" t="s">
        <v>1471</v>
      </c>
      <c r="L329" t="b">
        <f>Data_Completeness(MileageData[[#This Row],[MPG]:[Acceleration]])</f>
        <v>1</v>
      </c>
    </row>
    <row r="330" spans="1:12" x14ac:dyDescent="0.25">
      <c r="A330">
        <v>32.200000000000003</v>
      </c>
      <c r="B330">
        <v>4</v>
      </c>
      <c r="C330">
        <v>108</v>
      </c>
      <c r="D330">
        <v>75</v>
      </c>
      <c r="E330">
        <v>2265</v>
      </c>
      <c r="F330">
        <v>15.2</v>
      </c>
      <c r="G330">
        <v>80</v>
      </c>
      <c r="H330" t="s">
        <v>1623</v>
      </c>
      <c r="I330" t="s">
        <v>1255</v>
      </c>
      <c r="J330" t="s">
        <v>1011</v>
      </c>
      <c r="K330" t="s">
        <v>1256</v>
      </c>
      <c r="L330" t="b">
        <f>Data_Completeness(MileageData[[#This Row],[MPG]:[Acceleration]])</f>
        <v>1</v>
      </c>
    </row>
    <row r="331" spans="1:12" x14ac:dyDescent="0.25">
      <c r="A331">
        <v>46.6</v>
      </c>
      <c r="B331">
        <v>4</v>
      </c>
      <c r="C331">
        <v>86</v>
      </c>
      <c r="D331">
        <v>65</v>
      </c>
      <c r="E331">
        <v>2110</v>
      </c>
      <c r="F331">
        <v>17.899999999999999</v>
      </c>
      <c r="G331">
        <v>80</v>
      </c>
      <c r="H331" t="s">
        <v>1623</v>
      </c>
      <c r="I331" t="s">
        <v>1472</v>
      </c>
      <c r="J331" t="s">
        <v>1116</v>
      </c>
      <c r="K331" t="s">
        <v>1473</v>
      </c>
      <c r="L331" t="b">
        <f>Data_Completeness(MileageData[[#This Row],[MPG]:[Acceleration]])</f>
        <v>1</v>
      </c>
    </row>
    <row r="332" spans="1:12" x14ac:dyDescent="0.25">
      <c r="A332">
        <v>27.9</v>
      </c>
      <c r="B332">
        <v>4</v>
      </c>
      <c r="C332">
        <v>156</v>
      </c>
      <c r="D332">
        <v>105</v>
      </c>
      <c r="E332">
        <v>2800</v>
      </c>
      <c r="F332">
        <v>14.4</v>
      </c>
      <c r="G332">
        <v>80</v>
      </c>
      <c r="H332" t="s">
        <v>1621</v>
      </c>
      <c r="I332" t="s">
        <v>1225</v>
      </c>
      <c r="J332" t="s">
        <v>1001</v>
      </c>
      <c r="K332" t="s">
        <v>1226</v>
      </c>
      <c r="L332" t="b">
        <f>Data_Completeness(MileageData[[#This Row],[MPG]:[Acceleration]])</f>
        <v>1</v>
      </c>
    </row>
    <row r="333" spans="1:12" x14ac:dyDescent="0.25">
      <c r="A333">
        <v>40.799999999999997</v>
      </c>
      <c r="B333">
        <v>4</v>
      </c>
      <c r="C333">
        <v>85</v>
      </c>
      <c r="D333">
        <v>65</v>
      </c>
      <c r="E333">
        <v>2110</v>
      </c>
      <c r="F333">
        <v>19.2</v>
      </c>
      <c r="G333">
        <v>80</v>
      </c>
      <c r="H333" t="s">
        <v>1623</v>
      </c>
      <c r="I333" t="s">
        <v>1450</v>
      </c>
      <c r="J333" t="s">
        <v>1020</v>
      </c>
      <c r="K333">
        <v>210</v>
      </c>
      <c r="L333" t="b">
        <f>Data_Completeness(MileageData[[#This Row],[MPG]:[Acceleration]])</f>
        <v>1</v>
      </c>
    </row>
    <row r="334" spans="1:12" x14ac:dyDescent="0.25">
      <c r="A334">
        <v>44.3</v>
      </c>
      <c r="B334">
        <v>4</v>
      </c>
      <c r="C334">
        <v>90</v>
      </c>
      <c r="D334">
        <v>48</v>
      </c>
      <c r="E334">
        <v>2085</v>
      </c>
      <c r="F334">
        <v>21.7</v>
      </c>
      <c r="G334">
        <v>80</v>
      </c>
      <c r="H334" t="s">
        <v>1622</v>
      </c>
      <c r="I334" t="s">
        <v>1474</v>
      </c>
      <c r="J334" t="s">
        <v>1280</v>
      </c>
      <c r="K334" t="s">
        <v>1475</v>
      </c>
      <c r="L334" t="b">
        <f>Data_Completeness(MileageData[[#This Row],[MPG]:[Acceleration]])</f>
        <v>1</v>
      </c>
    </row>
    <row r="335" spans="1:12" x14ac:dyDescent="0.25">
      <c r="A335">
        <v>43.4</v>
      </c>
      <c r="B335">
        <v>4</v>
      </c>
      <c r="C335">
        <v>90</v>
      </c>
      <c r="D335">
        <v>48</v>
      </c>
      <c r="E335">
        <v>2335</v>
      </c>
      <c r="F335">
        <v>23.7</v>
      </c>
      <c r="G335">
        <v>80</v>
      </c>
      <c r="H335" t="s">
        <v>1622</v>
      </c>
      <c r="I335" t="s">
        <v>1476</v>
      </c>
      <c r="J335" t="s">
        <v>1280</v>
      </c>
      <c r="K335" t="s">
        <v>1477</v>
      </c>
      <c r="L335" t="b">
        <f>Data_Completeness(MileageData[[#This Row],[MPG]:[Acceleration]])</f>
        <v>1</v>
      </c>
    </row>
    <row r="336" spans="1:12" x14ac:dyDescent="0.25">
      <c r="A336">
        <v>36.4</v>
      </c>
      <c r="B336">
        <v>5</v>
      </c>
      <c r="C336">
        <v>121</v>
      </c>
      <c r="D336">
        <v>67</v>
      </c>
      <c r="E336">
        <v>2950</v>
      </c>
      <c r="F336">
        <v>19.899999999999999</v>
      </c>
      <c r="G336">
        <v>80</v>
      </c>
      <c r="H336" t="s">
        <v>1622</v>
      </c>
      <c r="I336" t="s">
        <v>1478</v>
      </c>
      <c r="J336" t="s">
        <v>1028</v>
      </c>
      <c r="K336" t="s">
        <v>1479</v>
      </c>
      <c r="L336" t="b">
        <f>Data_Completeness(MileageData[[#This Row],[MPG]:[Acceleration]])</f>
        <v>1</v>
      </c>
    </row>
    <row r="337" spans="1:12" x14ac:dyDescent="0.25">
      <c r="A337">
        <v>30</v>
      </c>
      <c r="B337">
        <v>4</v>
      </c>
      <c r="C337">
        <v>146</v>
      </c>
      <c r="D337">
        <v>67</v>
      </c>
      <c r="E337">
        <v>3250</v>
      </c>
      <c r="F337">
        <v>21.8</v>
      </c>
      <c r="G337">
        <v>80</v>
      </c>
      <c r="H337" t="s">
        <v>1622</v>
      </c>
      <c r="I337" t="s">
        <v>1480</v>
      </c>
      <c r="J337" t="s">
        <v>1295</v>
      </c>
      <c r="K337" t="s">
        <v>1481</v>
      </c>
      <c r="L337" t="b">
        <f>Data_Completeness(MileageData[[#This Row],[MPG]:[Acceleration]])</f>
        <v>1</v>
      </c>
    </row>
    <row r="338" spans="1:12" x14ac:dyDescent="0.25">
      <c r="A338">
        <v>44.6</v>
      </c>
      <c r="B338">
        <v>4</v>
      </c>
      <c r="C338">
        <v>91</v>
      </c>
      <c r="D338">
        <v>67</v>
      </c>
      <c r="E338">
        <v>1850</v>
      </c>
      <c r="F338">
        <v>13.8</v>
      </c>
      <c r="G338">
        <v>80</v>
      </c>
      <c r="H338" t="s">
        <v>1623</v>
      </c>
      <c r="I338" t="s">
        <v>1482</v>
      </c>
      <c r="J338" t="s">
        <v>1230</v>
      </c>
      <c r="K338" t="s">
        <v>1483</v>
      </c>
      <c r="L338" t="b">
        <f>Data_Completeness(MileageData[[#This Row],[MPG]:[Acceleration]])</f>
        <v>1</v>
      </c>
    </row>
    <row r="339" spans="1:12" x14ac:dyDescent="0.25">
      <c r="A339">
        <v>40.9</v>
      </c>
      <c r="B339">
        <v>4</v>
      </c>
      <c r="C339">
        <v>85</v>
      </c>
      <c r="E339">
        <v>1835</v>
      </c>
      <c r="F339">
        <v>17.3</v>
      </c>
      <c r="G339">
        <v>80</v>
      </c>
      <c r="H339" t="s">
        <v>1622</v>
      </c>
      <c r="I339" t="s">
        <v>1484</v>
      </c>
      <c r="J339" t="s">
        <v>1132</v>
      </c>
      <c r="K339" t="s">
        <v>1485</v>
      </c>
      <c r="L339" t="b">
        <f>Data_Completeness(MileageData[[#This Row],[MPG]:[Acceleration]])</f>
        <v>0</v>
      </c>
    </row>
    <row r="340" spans="1:12" x14ac:dyDescent="0.25">
      <c r="A340">
        <v>33.799999999999997</v>
      </c>
      <c r="B340">
        <v>4</v>
      </c>
      <c r="C340">
        <v>97</v>
      </c>
      <c r="D340">
        <v>67</v>
      </c>
      <c r="E340">
        <v>2145</v>
      </c>
      <c r="F340">
        <v>18</v>
      </c>
      <c r="G340">
        <v>80</v>
      </c>
      <c r="H340" t="s">
        <v>1623</v>
      </c>
      <c r="I340" t="s">
        <v>1348</v>
      </c>
      <c r="J340" t="s">
        <v>1232</v>
      </c>
      <c r="K340" t="s">
        <v>1349</v>
      </c>
      <c r="L340" t="b">
        <f>Data_Completeness(MileageData[[#This Row],[MPG]:[Acceleration]])</f>
        <v>1</v>
      </c>
    </row>
    <row r="341" spans="1:12" x14ac:dyDescent="0.25">
      <c r="A341">
        <v>29.8</v>
      </c>
      <c r="B341">
        <v>4</v>
      </c>
      <c r="C341">
        <v>89</v>
      </c>
      <c r="D341">
        <v>62</v>
      </c>
      <c r="E341">
        <v>1845</v>
      </c>
      <c r="F341">
        <v>15.3</v>
      </c>
      <c r="G341">
        <v>80</v>
      </c>
      <c r="H341" t="s">
        <v>1622</v>
      </c>
      <c r="I341" t="s">
        <v>1486</v>
      </c>
      <c r="J341" t="s">
        <v>1487</v>
      </c>
      <c r="K341" t="s">
        <v>1260</v>
      </c>
      <c r="L341" t="b">
        <f>Data_Completeness(MileageData[[#This Row],[MPG]:[Acceleration]])</f>
        <v>1</v>
      </c>
    </row>
    <row r="342" spans="1:12" x14ac:dyDescent="0.25">
      <c r="A342">
        <v>32.700000000000003</v>
      </c>
      <c r="B342">
        <v>6</v>
      </c>
      <c r="C342">
        <v>168</v>
      </c>
      <c r="D342">
        <v>132</v>
      </c>
      <c r="E342">
        <v>2910</v>
      </c>
      <c r="F342">
        <v>11.4</v>
      </c>
      <c r="G342">
        <v>80</v>
      </c>
      <c r="H342" t="s">
        <v>1623</v>
      </c>
      <c r="I342" t="s">
        <v>1488</v>
      </c>
      <c r="J342" t="s">
        <v>1020</v>
      </c>
      <c r="K342" t="s">
        <v>1489</v>
      </c>
      <c r="L342" t="b">
        <f>Data_Completeness(MileageData[[#This Row],[MPG]:[Acceleration]])</f>
        <v>1</v>
      </c>
    </row>
    <row r="343" spans="1:12" x14ac:dyDescent="0.25">
      <c r="A343">
        <v>23.7</v>
      </c>
      <c r="B343">
        <v>3</v>
      </c>
      <c r="C343">
        <v>70</v>
      </c>
      <c r="D343">
        <v>100</v>
      </c>
      <c r="E343">
        <v>2420</v>
      </c>
      <c r="F343">
        <v>12.5</v>
      </c>
      <c r="G343">
        <v>80</v>
      </c>
      <c r="H343" t="s">
        <v>1623</v>
      </c>
      <c r="I343" t="s">
        <v>1490</v>
      </c>
      <c r="J343" t="s">
        <v>1116</v>
      </c>
      <c r="K343" t="s">
        <v>1491</v>
      </c>
      <c r="L343" t="b">
        <f>Data_Completeness(MileageData[[#This Row],[MPG]:[Acceleration]])</f>
        <v>1</v>
      </c>
    </row>
    <row r="344" spans="1:12" x14ac:dyDescent="0.25">
      <c r="A344">
        <v>35</v>
      </c>
      <c r="B344">
        <v>4</v>
      </c>
      <c r="C344">
        <v>122</v>
      </c>
      <c r="D344">
        <v>88</v>
      </c>
      <c r="E344">
        <v>2500</v>
      </c>
      <c r="F344">
        <v>15.1</v>
      </c>
      <c r="G344">
        <v>80</v>
      </c>
      <c r="H344" t="s">
        <v>1622</v>
      </c>
      <c r="I344" t="s">
        <v>1492</v>
      </c>
      <c r="J344" t="s">
        <v>1493</v>
      </c>
      <c r="K344" t="s">
        <v>1494</v>
      </c>
      <c r="L344" t="b">
        <f>Data_Completeness(MileageData[[#This Row],[MPG]:[Acceleration]])</f>
        <v>1</v>
      </c>
    </row>
    <row r="345" spans="1:12" x14ac:dyDescent="0.25">
      <c r="A345">
        <v>23.6</v>
      </c>
      <c r="B345">
        <v>4</v>
      </c>
      <c r="C345">
        <v>140</v>
      </c>
      <c r="E345">
        <v>2905</v>
      </c>
      <c r="F345">
        <v>14.3</v>
      </c>
      <c r="G345">
        <v>80</v>
      </c>
      <c r="H345" t="s">
        <v>1621</v>
      </c>
      <c r="I345" t="s">
        <v>1495</v>
      </c>
      <c r="J345" t="s">
        <v>976</v>
      </c>
      <c r="K345" t="s">
        <v>1496</v>
      </c>
      <c r="L345" t="b">
        <f>Data_Completeness(MileageData[[#This Row],[MPG]:[Acceleration]])</f>
        <v>0</v>
      </c>
    </row>
    <row r="346" spans="1:12" x14ac:dyDescent="0.25">
      <c r="A346">
        <v>32.4</v>
      </c>
      <c r="B346">
        <v>4</v>
      </c>
      <c r="C346">
        <v>107</v>
      </c>
      <c r="D346">
        <v>72</v>
      </c>
      <c r="E346">
        <v>2290</v>
      </c>
      <c r="F346">
        <v>17</v>
      </c>
      <c r="G346">
        <v>80</v>
      </c>
      <c r="H346" t="s">
        <v>1623</v>
      </c>
      <c r="I346" t="s">
        <v>1497</v>
      </c>
      <c r="J346" t="s">
        <v>1230</v>
      </c>
      <c r="K346" t="s">
        <v>1498</v>
      </c>
      <c r="L346" t="b">
        <f>Data_Completeness(MileageData[[#This Row],[MPG]:[Acceleration]])</f>
        <v>1</v>
      </c>
    </row>
    <row r="347" spans="1:12" x14ac:dyDescent="0.25">
      <c r="A347">
        <v>27.2</v>
      </c>
      <c r="B347">
        <v>4</v>
      </c>
      <c r="C347">
        <v>135</v>
      </c>
      <c r="D347">
        <v>84</v>
      </c>
      <c r="E347">
        <v>2490</v>
      </c>
      <c r="F347">
        <v>15.7</v>
      </c>
      <c r="G347">
        <v>81</v>
      </c>
      <c r="H347" t="s">
        <v>1621</v>
      </c>
      <c r="I347" t="s">
        <v>1499</v>
      </c>
      <c r="J347" t="s">
        <v>970</v>
      </c>
      <c r="K347" t="s">
        <v>1500</v>
      </c>
      <c r="L347" t="b">
        <f>Data_Completeness(MileageData[[#This Row],[MPG]:[Acceleration]])</f>
        <v>1</v>
      </c>
    </row>
    <row r="348" spans="1:12" x14ac:dyDescent="0.25">
      <c r="A348">
        <v>26.6</v>
      </c>
      <c r="B348">
        <v>4</v>
      </c>
      <c r="C348">
        <v>151</v>
      </c>
      <c r="D348">
        <v>84</v>
      </c>
      <c r="E348">
        <v>2635</v>
      </c>
      <c r="F348">
        <v>16.399999999999999</v>
      </c>
      <c r="G348">
        <v>81</v>
      </c>
      <c r="H348" t="s">
        <v>1621</v>
      </c>
      <c r="I348" t="s">
        <v>1324</v>
      </c>
      <c r="J348" t="s">
        <v>967</v>
      </c>
      <c r="K348" t="s">
        <v>1325</v>
      </c>
      <c r="L348" t="b">
        <f>Data_Completeness(MileageData[[#This Row],[MPG]:[Acceleration]])</f>
        <v>1</v>
      </c>
    </row>
    <row r="349" spans="1:12" x14ac:dyDescent="0.25">
      <c r="A349">
        <v>25.8</v>
      </c>
      <c r="B349">
        <v>4</v>
      </c>
      <c r="C349">
        <v>156</v>
      </c>
      <c r="D349">
        <v>92</v>
      </c>
      <c r="E349">
        <v>2620</v>
      </c>
      <c r="F349">
        <v>14.4</v>
      </c>
      <c r="G349">
        <v>81</v>
      </c>
      <c r="H349" t="s">
        <v>1621</v>
      </c>
      <c r="I349" t="s">
        <v>1501</v>
      </c>
      <c r="J349" t="s">
        <v>1001</v>
      </c>
      <c r="K349" t="s">
        <v>1502</v>
      </c>
      <c r="L349" t="b">
        <f>Data_Completeness(MileageData[[#This Row],[MPG]:[Acceleration]])</f>
        <v>1</v>
      </c>
    </row>
    <row r="350" spans="1:12" x14ac:dyDescent="0.25">
      <c r="A350">
        <v>23.5</v>
      </c>
      <c r="B350">
        <v>6</v>
      </c>
      <c r="C350">
        <v>173</v>
      </c>
      <c r="D350">
        <v>110</v>
      </c>
      <c r="E350">
        <v>2725</v>
      </c>
      <c r="F350">
        <v>12.6</v>
      </c>
      <c r="G350">
        <v>81</v>
      </c>
      <c r="H350" t="s">
        <v>1621</v>
      </c>
      <c r="I350" t="s">
        <v>1455</v>
      </c>
      <c r="J350" t="s">
        <v>964</v>
      </c>
      <c r="K350" t="s">
        <v>1456</v>
      </c>
      <c r="L350" t="b">
        <f>Data_Completeness(MileageData[[#This Row],[MPG]:[Acceleration]])</f>
        <v>1</v>
      </c>
    </row>
    <row r="351" spans="1:12" x14ac:dyDescent="0.25">
      <c r="A351">
        <v>30</v>
      </c>
      <c r="B351">
        <v>4</v>
      </c>
      <c r="C351">
        <v>135</v>
      </c>
      <c r="D351">
        <v>84</v>
      </c>
      <c r="E351">
        <v>2385</v>
      </c>
      <c r="F351">
        <v>12.9</v>
      </c>
      <c r="G351">
        <v>81</v>
      </c>
      <c r="H351" t="s">
        <v>1621</v>
      </c>
      <c r="I351" t="s">
        <v>1499</v>
      </c>
      <c r="J351" t="s">
        <v>970</v>
      </c>
      <c r="K351" t="s">
        <v>1500</v>
      </c>
      <c r="L351" t="b">
        <f>Data_Completeness(MileageData[[#This Row],[MPG]:[Acceleration]])</f>
        <v>1</v>
      </c>
    </row>
    <row r="352" spans="1:12" x14ac:dyDescent="0.25">
      <c r="A352">
        <v>39.1</v>
      </c>
      <c r="B352">
        <v>4</v>
      </c>
      <c r="C352">
        <v>79</v>
      </c>
      <c r="D352">
        <v>58</v>
      </c>
      <c r="E352">
        <v>1755</v>
      </c>
      <c r="F352">
        <v>16.899999999999999</v>
      </c>
      <c r="G352">
        <v>81</v>
      </c>
      <c r="H352" t="s">
        <v>1623</v>
      </c>
      <c r="I352" t="s">
        <v>1503</v>
      </c>
      <c r="J352" t="s">
        <v>1011</v>
      </c>
      <c r="K352" t="s">
        <v>1504</v>
      </c>
      <c r="L352" t="b">
        <f>Data_Completeness(MileageData[[#This Row],[MPG]:[Acceleration]])</f>
        <v>1</v>
      </c>
    </row>
    <row r="353" spans="1:12" x14ac:dyDescent="0.25">
      <c r="A353">
        <v>39</v>
      </c>
      <c r="B353">
        <v>4</v>
      </c>
      <c r="C353">
        <v>86</v>
      </c>
      <c r="D353">
        <v>64</v>
      </c>
      <c r="E353">
        <v>1875</v>
      </c>
      <c r="F353">
        <v>16.399999999999999</v>
      </c>
      <c r="G353">
        <v>81</v>
      </c>
      <c r="H353" t="s">
        <v>1621</v>
      </c>
      <c r="I353" t="s">
        <v>1505</v>
      </c>
      <c r="J353" t="s">
        <v>970</v>
      </c>
      <c r="K353" t="s">
        <v>1506</v>
      </c>
      <c r="L353" t="b">
        <f>Data_Completeness(MileageData[[#This Row],[MPG]:[Acceleration]])</f>
        <v>1</v>
      </c>
    </row>
    <row r="354" spans="1:12" x14ac:dyDescent="0.25">
      <c r="A354">
        <v>35.1</v>
      </c>
      <c r="B354">
        <v>4</v>
      </c>
      <c r="C354">
        <v>81</v>
      </c>
      <c r="D354">
        <v>60</v>
      </c>
      <c r="E354">
        <v>1760</v>
      </c>
      <c r="F354">
        <v>16.100000000000001</v>
      </c>
      <c r="G354">
        <v>81</v>
      </c>
      <c r="H354" t="s">
        <v>1623</v>
      </c>
      <c r="I354" t="s">
        <v>1507</v>
      </c>
      <c r="J354" t="s">
        <v>1230</v>
      </c>
      <c r="K354" t="s">
        <v>1508</v>
      </c>
      <c r="L354" t="b">
        <f>Data_Completeness(MileageData[[#This Row],[MPG]:[Acceleration]])</f>
        <v>1</v>
      </c>
    </row>
    <row r="355" spans="1:12" x14ac:dyDescent="0.25">
      <c r="A355">
        <v>32.299999999999997</v>
      </c>
      <c r="B355">
        <v>4</v>
      </c>
      <c r="C355">
        <v>97</v>
      </c>
      <c r="D355">
        <v>67</v>
      </c>
      <c r="E355">
        <v>2065</v>
      </c>
      <c r="F355">
        <v>17.8</v>
      </c>
      <c r="G355">
        <v>81</v>
      </c>
      <c r="H355" t="s">
        <v>1623</v>
      </c>
      <c r="I355" t="s">
        <v>1232</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1623</v>
      </c>
      <c r="I356" t="s">
        <v>1509</v>
      </c>
      <c r="J356" t="s">
        <v>1020</v>
      </c>
      <c r="K356" t="s">
        <v>1510</v>
      </c>
      <c r="L356" t="b">
        <f>Data_Completeness(MileageData[[#This Row],[MPG]:[Acceleration]])</f>
        <v>1</v>
      </c>
    </row>
    <row r="357" spans="1:12" x14ac:dyDescent="0.25">
      <c r="A357">
        <v>37.700000000000003</v>
      </c>
      <c r="B357">
        <v>4</v>
      </c>
      <c r="C357">
        <v>89</v>
      </c>
      <c r="D357">
        <v>62</v>
      </c>
      <c r="E357">
        <v>2050</v>
      </c>
      <c r="F357">
        <v>17.3</v>
      </c>
      <c r="G357">
        <v>81</v>
      </c>
      <c r="H357" t="s">
        <v>1623</v>
      </c>
      <c r="I357" t="s">
        <v>1511</v>
      </c>
      <c r="J357" t="s">
        <v>1011</v>
      </c>
      <c r="K357" t="s">
        <v>1512</v>
      </c>
      <c r="L357" t="b">
        <f>Data_Completeness(MileageData[[#This Row],[MPG]:[Acceleration]])</f>
        <v>1</v>
      </c>
    </row>
    <row r="358" spans="1:12" x14ac:dyDescent="0.25">
      <c r="A358">
        <v>34.1</v>
      </c>
      <c r="B358">
        <v>4</v>
      </c>
      <c r="C358">
        <v>91</v>
      </c>
      <c r="D358">
        <v>68</v>
      </c>
      <c r="E358">
        <v>1985</v>
      </c>
      <c r="F358">
        <v>16</v>
      </c>
      <c r="G358">
        <v>81</v>
      </c>
      <c r="H358" t="s">
        <v>1623</v>
      </c>
      <c r="I358" t="s">
        <v>1513</v>
      </c>
      <c r="J358" t="s">
        <v>1116</v>
      </c>
      <c r="K358" t="s">
        <v>1514</v>
      </c>
      <c r="L358" t="b">
        <f>Data_Completeness(MileageData[[#This Row],[MPG]:[Acceleration]])</f>
        <v>1</v>
      </c>
    </row>
    <row r="359" spans="1:12" x14ac:dyDescent="0.25">
      <c r="A359">
        <v>34.700000000000003</v>
      </c>
      <c r="B359">
        <v>4</v>
      </c>
      <c r="C359">
        <v>105</v>
      </c>
      <c r="D359">
        <v>63</v>
      </c>
      <c r="E359">
        <v>2215</v>
      </c>
      <c r="F359">
        <v>14.9</v>
      </c>
      <c r="G359">
        <v>81</v>
      </c>
      <c r="H359" t="s">
        <v>1621</v>
      </c>
      <c r="I359" t="s">
        <v>1515</v>
      </c>
      <c r="J359" t="s">
        <v>970</v>
      </c>
      <c r="K359" t="s">
        <v>1516</v>
      </c>
      <c r="L359" t="b">
        <f>Data_Completeness(MileageData[[#This Row],[MPG]:[Acceleration]])</f>
        <v>1</v>
      </c>
    </row>
    <row r="360" spans="1:12" x14ac:dyDescent="0.25">
      <c r="A360">
        <v>34.4</v>
      </c>
      <c r="B360">
        <v>4</v>
      </c>
      <c r="C360">
        <v>98</v>
      </c>
      <c r="D360">
        <v>65</v>
      </c>
      <c r="E360">
        <v>2045</v>
      </c>
      <c r="F360">
        <v>16.2</v>
      </c>
      <c r="G360">
        <v>81</v>
      </c>
      <c r="H360" t="s">
        <v>1621</v>
      </c>
      <c r="I360" t="s">
        <v>1517</v>
      </c>
      <c r="J360" t="s">
        <v>976</v>
      </c>
      <c r="K360" t="s">
        <v>1518</v>
      </c>
      <c r="L360" t="b">
        <f>Data_Completeness(MileageData[[#This Row],[MPG]:[Acceleration]])</f>
        <v>1</v>
      </c>
    </row>
    <row r="361" spans="1:12" x14ac:dyDescent="0.25">
      <c r="A361">
        <v>29.9</v>
      </c>
      <c r="B361">
        <v>4</v>
      </c>
      <c r="C361">
        <v>98</v>
      </c>
      <c r="D361">
        <v>65</v>
      </c>
      <c r="E361">
        <v>2380</v>
      </c>
      <c r="F361">
        <v>20.7</v>
      </c>
      <c r="G361">
        <v>81</v>
      </c>
      <c r="H361" t="s">
        <v>1621</v>
      </c>
      <c r="I361" t="s">
        <v>1519</v>
      </c>
      <c r="J361" t="s">
        <v>976</v>
      </c>
      <c r="K361" t="s">
        <v>1520</v>
      </c>
      <c r="L361" t="b">
        <f>Data_Completeness(MileageData[[#This Row],[MPG]:[Acceleration]])</f>
        <v>1</v>
      </c>
    </row>
    <row r="362" spans="1:12" x14ac:dyDescent="0.25">
      <c r="A362">
        <v>33</v>
      </c>
      <c r="B362">
        <v>4</v>
      </c>
      <c r="C362">
        <v>105</v>
      </c>
      <c r="D362">
        <v>74</v>
      </c>
      <c r="E362">
        <v>2190</v>
      </c>
      <c r="F362">
        <v>14.2</v>
      </c>
      <c r="G362">
        <v>81</v>
      </c>
      <c r="H362" t="s">
        <v>1622</v>
      </c>
      <c r="I362" t="s">
        <v>1521</v>
      </c>
      <c r="J362" t="s">
        <v>1023</v>
      </c>
      <c r="K362" t="s">
        <v>1522</v>
      </c>
      <c r="L362" t="b">
        <f>Data_Completeness(MileageData[[#This Row],[MPG]:[Acceleration]])</f>
        <v>1</v>
      </c>
    </row>
    <row r="363" spans="1:12" x14ac:dyDescent="0.25">
      <c r="A363">
        <v>34.5</v>
      </c>
      <c r="B363">
        <v>4</v>
      </c>
      <c r="C363">
        <v>100</v>
      </c>
      <c r="E363">
        <v>2320</v>
      </c>
      <c r="F363">
        <v>15.8</v>
      </c>
      <c r="G363">
        <v>81</v>
      </c>
      <c r="H363" t="s">
        <v>1622</v>
      </c>
      <c r="I363" t="s">
        <v>1523</v>
      </c>
      <c r="J363" t="s">
        <v>1132</v>
      </c>
      <c r="K363" t="s">
        <v>1524</v>
      </c>
      <c r="L363" t="b">
        <f>Data_Completeness(MileageData[[#This Row],[MPG]:[Acceleration]])</f>
        <v>0</v>
      </c>
    </row>
    <row r="364" spans="1:12" x14ac:dyDescent="0.25">
      <c r="A364">
        <v>33.700000000000003</v>
      </c>
      <c r="B364">
        <v>4</v>
      </c>
      <c r="C364">
        <v>107</v>
      </c>
      <c r="D364">
        <v>75</v>
      </c>
      <c r="E364">
        <v>2210</v>
      </c>
      <c r="F364">
        <v>14.4</v>
      </c>
      <c r="G364">
        <v>81</v>
      </c>
      <c r="H364" t="s">
        <v>1623</v>
      </c>
      <c r="I364" t="s">
        <v>1525</v>
      </c>
      <c r="J364" t="s">
        <v>1230</v>
      </c>
      <c r="K364" t="s">
        <v>1526</v>
      </c>
      <c r="L364" t="b">
        <f>Data_Completeness(MileageData[[#This Row],[MPG]:[Acceleration]])</f>
        <v>1</v>
      </c>
    </row>
    <row r="365" spans="1:12" x14ac:dyDescent="0.25">
      <c r="A365">
        <v>32.4</v>
      </c>
      <c r="B365">
        <v>4</v>
      </c>
      <c r="C365">
        <v>108</v>
      </c>
      <c r="D365">
        <v>75</v>
      </c>
      <c r="E365">
        <v>2350</v>
      </c>
      <c r="F365">
        <v>16.8</v>
      </c>
      <c r="G365">
        <v>81</v>
      </c>
      <c r="H365" t="s">
        <v>1623</v>
      </c>
      <c r="I365" t="s">
        <v>1255</v>
      </c>
      <c r="J365" t="s">
        <v>1011</v>
      </c>
      <c r="K365" t="s">
        <v>1256</v>
      </c>
      <c r="L365" t="b">
        <f>Data_Completeness(MileageData[[#This Row],[MPG]:[Acceleration]])</f>
        <v>1</v>
      </c>
    </row>
    <row r="366" spans="1:12" x14ac:dyDescent="0.25">
      <c r="A366">
        <v>32.9</v>
      </c>
      <c r="B366">
        <v>4</v>
      </c>
      <c r="C366">
        <v>119</v>
      </c>
      <c r="D366">
        <v>100</v>
      </c>
      <c r="E366">
        <v>2615</v>
      </c>
      <c r="F366">
        <v>14.8</v>
      </c>
      <c r="G366">
        <v>81</v>
      </c>
      <c r="H366" t="s">
        <v>1623</v>
      </c>
      <c r="I366" t="s">
        <v>1527</v>
      </c>
      <c r="J366" t="s">
        <v>1020</v>
      </c>
      <c r="K366" t="s">
        <v>1528</v>
      </c>
      <c r="L366" t="b">
        <f>Data_Completeness(MileageData[[#This Row],[MPG]:[Acceleration]])</f>
        <v>1</v>
      </c>
    </row>
    <row r="367" spans="1:12" x14ac:dyDescent="0.25">
      <c r="A367">
        <v>31.6</v>
      </c>
      <c r="B367">
        <v>4</v>
      </c>
      <c r="C367">
        <v>120</v>
      </c>
      <c r="D367">
        <v>74</v>
      </c>
      <c r="E367">
        <v>2635</v>
      </c>
      <c r="F367">
        <v>18.3</v>
      </c>
      <c r="G367">
        <v>81</v>
      </c>
      <c r="H367" t="s">
        <v>1623</v>
      </c>
      <c r="I367" t="s">
        <v>1469</v>
      </c>
      <c r="J367" t="s">
        <v>1116</v>
      </c>
      <c r="K367">
        <v>626</v>
      </c>
      <c r="L367" t="b">
        <f>Data_Completeness(MileageData[[#This Row],[MPG]:[Acceleration]])</f>
        <v>1</v>
      </c>
    </row>
    <row r="368" spans="1:12" x14ac:dyDescent="0.25">
      <c r="A368">
        <v>28.1</v>
      </c>
      <c r="B368">
        <v>4</v>
      </c>
      <c r="C368">
        <v>141</v>
      </c>
      <c r="D368">
        <v>80</v>
      </c>
      <c r="E368">
        <v>3230</v>
      </c>
      <c r="F368">
        <v>20.399999999999999</v>
      </c>
      <c r="G368">
        <v>81</v>
      </c>
      <c r="H368" t="s">
        <v>1622</v>
      </c>
      <c r="I368" t="s">
        <v>1529</v>
      </c>
      <c r="J368" t="s">
        <v>1026</v>
      </c>
      <c r="K368" t="s">
        <v>1530</v>
      </c>
      <c r="L368" t="b">
        <f>Data_Completeness(MileageData[[#This Row],[MPG]:[Acceleration]])</f>
        <v>1</v>
      </c>
    </row>
    <row r="369" spans="1:12" x14ac:dyDescent="0.25">
      <c r="B369">
        <v>4</v>
      </c>
      <c r="C369">
        <v>121</v>
      </c>
      <c r="D369">
        <v>110</v>
      </c>
      <c r="E369">
        <v>2800</v>
      </c>
      <c r="F369">
        <v>15.4</v>
      </c>
      <c r="G369">
        <v>81</v>
      </c>
      <c r="H369" t="s">
        <v>1622</v>
      </c>
      <c r="I369" t="s">
        <v>1531</v>
      </c>
      <c r="J369" t="s">
        <v>1031</v>
      </c>
      <c r="K369" t="s">
        <v>1532</v>
      </c>
      <c r="L369" t="b">
        <f>Data_Completeness(MileageData[[#This Row],[MPG]:[Acceleration]])</f>
        <v>0</v>
      </c>
    </row>
    <row r="370" spans="1:12" x14ac:dyDescent="0.25">
      <c r="A370">
        <v>30.7</v>
      </c>
      <c r="B370">
        <v>6</v>
      </c>
      <c r="C370">
        <v>145</v>
      </c>
      <c r="D370">
        <v>76</v>
      </c>
      <c r="E370">
        <v>3160</v>
      </c>
      <c r="F370">
        <v>19.600000000000001</v>
      </c>
      <c r="G370">
        <v>81</v>
      </c>
      <c r="H370" t="s">
        <v>1622</v>
      </c>
      <c r="I370" t="s">
        <v>1533</v>
      </c>
      <c r="J370" t="s">
        <v>1125</v>
      </c>
      <c r="K370" t="s">
        <v>1534</v>
      </c>
      <c r="L370" t="b">
        <f>Data_Completeness(MileageData[[#This Row],[MPG]:[Acceleration]])</f>
        <v>1</v>
      </c>
    </row>
    <row r="371" spans="1:12" x14ac:dyDescent="0.25">
      <c r="A371">
        <v>25.4</v>
      </c>
      <c r="B371">
        <v>6</v>
      </c>
      <c r="C371">
        <v>168</v>
      </c>
      <c r="D371">
        <v>116</v>
      </c>
      <c r="E371">
        <v>2900</v>
      </c>
      <c r="F371">
        <v>12.6</v>
      </c>
      <c r="G371">
        <v>81</v>
      </c>
      <c r="H371" t="s">
        <v>1623</v>
      </c>
      <c r="I371" t="s">
        <v>1535</v>
      </c>
      <c r="J371" t="s">
        <v>1011</v>
      </c>
      <c r="K371" t="s">
        <v>1536</v>
      </c>
      <c r="L371" t="b">
        <f>Data_Completeness(MileageData[[#This Row],[MPG]:[Acceleration]])</f>
        <v>1</v>
      </c>
    </row>
    <row r="372" spans="1:12" x14ac:dyDescent="0.25">
      <c r="A372">
        <v>24.2</v>
      </c>
      <c r="B372">
        <v>6</v>
      </c>
      <c r="C372">
        <v>146</v>
      </c>
      <c r="D372">
        <v>120</v>
      </c>
      <c r="E372">
        <v>2930</v>
      </c>
      <c r="F372">
        <v>13.8</v>
      </c>
      <c r="G372">
        <v>81</v>
      </c>
      <c r="H372" t="s">
        <v>1623</v>
      </c>
      <c r="I372" t="s">
        <v>1537</v>
      </c>
      <c r="J372" t="s">
        <v>1020</v>
      </c>
      <c r="K372" t="s">
        <v>1538</v>
      </c>
      <c r="L372" t="b">
        <f>Data_Completeness(MileageData[[#This Row],[MPG]:[Acceleration]])</f>
        <v>1</v>
      </c>
    </row>
    <row r="373" spans="1:12" x14ac:dyDescent="0.25">
      <c r="A373">
        <v>22.4</v>
      </c>
      <c r="B373">
        <v>6</v>
      </c>
      <c r="C373">
        <v>231</v>
      </c>
      <c r="D373">
        <v>110</v>
      </c>
      <c r="E373">
        <v>3415</v>
      </c>
      <c r="F373">
        <v>15.8</v>
      </c>
      <c r="G373">
        <v>81</v>
      </c>
      <c r="H373" t="s">
        <v>1621</v>
      </c>
      <c r="I373" t="s">
        <v>1243</v>
      </c>
      <c r="J373" t="s">
        <v>967</v>
      </c>
      <c r="K373" t="s">
        <v>1244</v>
      </c>
      <c r="L373" t="b">
        <f>Data_Completeness(MileageData[[#This Row],[MPG]:[Acceleration]])</f>
        <v>1</v>
      </c>
    </row>
    <row r="374" spans="1:12" x14ac:dyDescent="0.25">
      <c r="A374">
        <v>26.6</v>
      </c>
      <c r="B374">
        <v>8</v>
      </c>
      <c r="C374">
        <v>350</v>
      </c>
      <c r="D374">
        <v>105</v>
      </c>
      <c r="E374">
        <v>3725</v>
      </c>
      <c r="F374">
        <v>19</v>
      </c>
      <c r="G374">
        <v>81</v>
      </c>
      <c r="H374" t="s">
        <v>1621</v>
      </c>
      <c r="I374" t="s">
        <v>1539</v>
      </c>
      <c r="J374" t="s">
        <v>1110</v>
      </c>
      <c r="K374" t="s">
        <v>1540</v>
      </c>
      <c r="L374" t="b">
        <f>Data_Completeness(MileageData[[#This Row],[MPG]:[Acceleration]])</f>
        <v>1</v>
      </c>
    </row>
    <row r="375" spans="1:12" x14ac:dyDescent="0.25">
      <c r="A375">
        <v>20.2</v>
      </c>
      <c r="B375">
        <v>6</v>
      </c>
      <c r="C375">
        <v>200</v>
      </c>
      <c r="D375">
        <v>88</v>
      </c>
      <c r="E375">
        <v>3060</v>
      </c>
      <c r="F375">
        <v>17.100000000000001</v>
      </c>
      <c r="G375">
        <v>81</v>
      </c>
      <c r="H375" t="s">
        <v>1621</v>
      </c>
      <c r="I375" t="s">
        <v>1541</v>
      </c>
      <c r="J375" t="s">
        <v>976</v>
      </c>
      <c r="K375" t="s">
        <v>1542</v>
      </c>
      <c r="L375" t="b">
        <f>Data_Completeness(MileageData[[#This Row],[MPG]:[Acceleration]])</f>
        <v>1</v>
      </c>
    </row>
    <row r="376" spans="1:12" x14ac:dyDescent="0.25">
      <c r="A376">
        <v>17.600000000000001</v>
      </c>
      <c r="B376">
        <v>6</v>
      </c>
      <c r="C376">
        <v>225</v>
      </c>
      <c r="D376">
        <v>85</v>
      </c>
      <c r="E376">
        <v>3465</v>
      </c>
      <c r="F376">
        <v>16.600000000000001</v>
      </c>
      <c r="G376">
        <v>81</v>
      </c>
      <c r="H376" t="s">
        <v>1621</v>
      </c>
      <c r="I376" t="s">
        <v>1543</v>
      </c>
      <c r="J376" t="s">
        <v>1113</v>
      </c>
      <c r="K376" t="s">
        <v>1544</v>
      </c>
      <c r="L376" t="b">
        <f>Data_Completeness(MileageData[[#This Row],[MPG]:[Acceleration]])</f>
        <v>1</v>
      </c>
    </row>
    <row r="377" spans="1:12" x14ac:dyDescent="0.25">
      <c r="A377">
        <v>28</v>
      </c>
      <c r="B377">
        <v>4</v>
      </c>
      <c r="C377">
        <v>112</v>
      </c>
      <c r="D377">
        <v>88</v>
      </c>
      <c r="E377">
        <v>2605</v>
      </c>
      <c r="F377">
        <v>19.600000000000001</v>
      </c>
      <c r="G377">
        <v>82</v>
      </c>
      <c r="H377" t="s">
        <v>1621</v>
      </c>
      <c r="I377" t="s">
        <v>1545</v>
      </c>
      <c r="J377" t="s">
        <v>964</v>
      </c>
      <c r="K377" t="s">
        <v>1546</v>
      </c>
      <c r="L377" t="b">
        <f>Data_Completeness(MileageData[[#This Row],[MPG]:[Acceleration]])</f>
        <v>1</v>
      </c>
    </row>
    <row r="378" spans="1:12" x14ac:dyDescent="0.25">
      <c r="A378">
        <v>27</v>
      </c>
      <c r="B378">
        <v>4</v>
      </c>
      <c r="C378">
        <v>112</v>
      </c>
      <c r="D378">
        <v>88</v>
      </c>
      <c r="E378">
        <v>2640</v>
      </c>
      <c r="F378">
        <v>18.600000000000001</v>
      </c>
      <c r="G378">
        <v>82</v>
      </c>
      <c r="H378" t="s">
        <v>1621</v>
      </c>
      <c r="I378" t="s">
        <v>1547</v>
      </c>
      <c r="J378" t="s">
        <v>964</v>
      </c>
      <c r="K378" t="s">
        <v>1548</v>
      </c>
      <c r="L378" t="b">
        <f>Data_Completeness(MileageData[[#This Row],[MPG]:[Acceleration]])</f>
        <v>1</v>
      </c>
    </row>
    <row r="379" spans="1:12" x14ac:dyDescent="0.25">
      <c r="A379">
        <v>34</v>
      </c>
      <c r="B379">
        <v>4</v>
      </c>
      <c r="C379">
        <v>112</v>
      </c>
      <c r="D379">
        <v>88</v>
      </c>
      <c r="E379">
        <v>2395</v>
      </c>
      <c r="F379">
        <v>18</v>
      </c>
      <c r="G379">
        <v>82</v>
      </c>
      <c r="H379" t="s">
        <v>1621</v>
      </c>
      <c r="I379" t="s">
        <v>1549</v>
      </c>
      <c r="J379" t="s">
        <v>964</v>
      </c>
      <c r="K379" t="s">
        <v>1550</v>
      </c>
      <c r="L379" t="b">
        <f>Data_Completeness(MileageData[[#This Row],[MPG]:[Acceleration]])</f>
        <v>1</v>
      </c>
    </row>
    <row r="380" spans="1:12" x14ac:dyDescent="0.25">
      <c r="A380">
        <v>31</v>
      </c>
      <c r="B380">
        <v>4</v>
      </c>
      <c r="C380">
        <v>112</v>
      </c>
      <c r="D380">
        <v>85</v>
      </c>
      <c r="E380">
        <v>2575</v>
      </c>
      <c r="F380">
        <v>16.2</v>
      </c>
      <c r="G380">
        <v>82</v>
      </c>
      <c r="H380" t="s">
        <v>1621</v>
      </c>
      <c r="I380" t="s">
        <v>1551</v>
      </c>
      <c r="J380" t="s">
        <v>985</v>
      </c>
      <c r="K380" t="s">
        <v>1552</v>
      </c>
      <c r="L380" t="b">
        <f>Data_Completeness(MileageData[[#This Row],[MPG]:[Acceleration]])</f>
        <v>1</v>
      </c>
    </row>
    <row r="381" spans="1:12" x14ac:dyDescent="0.25">
      <c r="A381">
        <v>29</v>
      </c>
      <c r="B381">
        <v>4</v>
      </c>
      <c r="C381">
        <v>135</v>
      </c>
      <c r="D381">
        <v>84</v>
      </c>
      <c r="E381">
        <v>2525</v>
      </c>
      <c r="F381">
        <v>16</v>
      </c>
      <c r="G381">
        <v>82</v>
      </c>
      <c r="H381" t="s">
        <v>1621</v>
      </c>
      <c r="I381" t="s">
        <v>1553</v>
      </c>
      <c r="J381" t="s">
        <v>1001</v>
      </c>
      <c r="K381" t="s">
        <v>1554</v>
      </c>
      <c r="L381" t="b">
        <f>Data_Completeness(MileageData[[#This Row],[MPG]:[Acceleration]])</f>
        <v>1</v>
      </c>
    </row>
    <row r="382" spans="1:12" x14ac:dyDescent="0.25">
      <c r="A382">
        <v>27</v>
      </c>
      <c r="B382">
        <v>4</v>
      </c>
      <c r="C382">
        <v>151</v>
      </c>
      <c r="D382">
        <v>90</v>
      </c>
      <c r="E382">
        <v>2735</v>
      </c>
      <c r="F382">
        <v>18</v>
      </c>
      <c r="G382">
        <v>82</v>
      </c>
      <c r="H382" t="s">
        <v>1621</v>
      </c>
      <c r="I382" t="s">
        <v>1459</v>
      </c>
      <c r="J382" t="s">
        <v>985</v>
      </c>
      <c r="K382" t="s">
        <v>1460</v>
      </c>
      <c r="L382" t="b">
        <f>Data_Completeness(MileageData[[#This Row],[MPG]:[Acceleration]])</f>
        <v>1</v>
      </c>
    </row>
    <row r="383" spans="1:12" x14ac:dyDescent="0.25">
      <c r="A383">
        <v>24</v>
      </c>
      <c r="B383">
        <v>4</v>
      </c>
      <c r="C383">
        <v>140</v>
      </c>
      <c r="D383">
        <v>92</v>
      </c>
      <c r="E383">
        <v>2865</v>
      </c>
      <c r="F383">
        <v>16.399999999999999</v>
      </c>
      <c r="G383">
        <v>82</v>
      </c>
      <c r="H383" t="s">
        <v>1621</v>
      </c>
      <c r="I383" t="s">
        <v>1555</v>
      </c>
      <c r="J383" t="s">
        <v>976</v>
      </c>
      <c r="K383" t="s">
        <v>1556</v>
      </c>
      <c r="L383" t="b">
        <f>Data_Completeness(MileageData[[#This Row],[MPG]:[Acceleration]])</f>
        <v>1</v>
      </c>
    </row>
    <row r="384" spans="1:12" x14ac:dyDescent="0.25">
      <c r="A384">
        <v>23</v>
      </c>
      <c r="B384">
        <v>4</v>
      </c>
      <c r="C384">
        <v>151</v>
      </c>
      <c r="E384">
        <v>3035</v>
      </c>
      <c r="F384">
        <v>20.5</v>
      </c>
      <c r="G384">
        <v>82</v>
      </c>
      <c r="H384" t="s">
        <v>1621</v>
      </c>
      <c r="I384" t="s">
        <v>1557</v>
      </c>
      <c r="J384" t="s">
        <v>973</v>
      </c>
      <c r="K384" t="s">
        <v>1558</v>
      </c>
      <c r="L384" t="b">
        <f>Data_Completeness(MileageData[[#This Row],[MPG]:[Acceleration]])</f>
        <v>0</v>
      </c>
    </row>
    <row r="385" spans="1:12" x14ac:dyDescent="0.25">
      <c r="A385">
        <v>36</v>
      </c>
      <c r="B385">
        <v>4</v>
      </c>
      <c r="C385">
        <v>105</v>
      </c>
      <c r="D385">
        <v>74</v>
      </c>
      <c r="E385">
        <v>1980</v>
      </c>
      <c r="F385">
        <v>15.3</v>
      </c>
      <c r="G385">
        <v>82</v>
      </c>
      <c r="H385" t="s">
        <v>1622</v>
      </c>
      <c r="I385" t="s">
        <v>1559</v>
      </c>
      <c r="J385" t="s">
        <v>1023</v>
      </c>
      <c r="K385" t="s">
        <v>1560</v>
      </c>
      <c r="L385" t="b">
        <f>Data_Completeness(MileageData[[#This Row],[MPG]:[Acceleration]])</f>
        <v>1</v>
      </c>
    </row>
    <row r="386" spans="1:12" x14ac:dyDescent="0.25">
      <c r="A386">
        <v>37</v>
      </c>
      <c r="B386">
        <v>4</v>
      </c>
      <c r="C386">
        <v>91</v>
      </c>
      <c r="D386">
        <v>68</v>
      </c>
      <c r="E386">
        <v>2025</v>
      </c>
      <c r="F386">
        <v>18.2</v>
      </c>
      <c r="G386">
        <v>82</v>
      </c>
      <c r="H386" t="s">
        <v>1623</v>
      </c>
      <c r="I386" t="s">
        <v>1561</v>
      </c>
      <c r="J386" t="s">
        <v>1116</v>
      </c>
      <c r="K386" t="s">
        <v>1562</v>
      </c>
      <c r="L386" t="b">
        <f>Data_Completeness(MileageData[[#This Row],[MPG]:[Acceleration]])</f>
        <v>1</v>
      </c>
    </row>
    <row r="387" spans="1:12" x14ac:dyDescent="0.25">
      <c r="A387">
        <v>31</v>
      </c>
      <c r="B387">
        <v>4</v>
      </c>
      <c r="C387">
        <v>91</v>
      </c>
      <c r="D387">
        <v>68</v>
      </c>
      <c r="E387">
        <v>1970</v>
      </c>
      <c r="F387">
        <v>17.600000000000001</v>
      </c>
      <c r="G387">
        <v>82</v>
      </c>
      <c r="H387" t="s">
        <v>1623</v>
      </c>
      <c r="I387" t="s">
        <v>1563</v>
      </c>
      <c r="J387" t="s">
        <v>1116</v>
      </c>
      <c r="K387" t="s">
        <v>1564</v>
      </c>
      <c r="L387" t="b">
        <f>Data_Completeness(MileageData[[#This Row],[MPG]:[Acceleration]])</f>
        <v>1</v>
      </c>
    </row>
    <row r="388" spans="1:12" x14ac:dyDescent="0.25">
      <c r="A388">
        <v>38</v>
      </c>
      <c r="B388">
        <v>4</v>
      </c>
      <c r="C388">
        <v>105</v>
      </c>
      <c r="D388">
        <v>63</v>
      </c>
      <c r="E388">
        <v>2125</v>
      </c>
      <c r="F388">
        <v>14.7</v>
      </c>
      <c r="G388">
        <v>82</v>
      </c>
      <c r="H388" t="s">
        <v>1621</v>
      </c>
      <c r="I388" t="s">
        <v>1565</v>
      </c>
      <c r="J388" t="s">
        <v>970</v>
      </c>
      <c r="K388" t="s">
        <v>1566</v>
      </c>
      <c r="L388" t="b">
        <f>Data_Completeness(MileageData[[#This Row],[MPG]:[Acceleration]])</f>
        <v>1</v>
      </c>
    </row>
    <row r="389" spans="1:12" x14ac:dyDescent="0.25">
      <c r="A389">
        <v>36</v>
      </c>
      <c r="B389">
        <v>4</v>
      </c>
      <c r="C389">
        <v>98</v>
      </c>
      <c r="D389">
        <v>70</v>
      </c>
      <c r="E389">
        <v>2125</v>
      </c>
      <c r="F389">
        <v>17.3</v>
      </c>
      <c r="G389">
        <v>82</v>
      </c>
      <c r="H389" t="s">
        <v>1621</v>
      </c>
      <c r="I389" t="s">
        <v>1567</v>
      </c>
      <c r="J389" t="s">
        <v>1078</v>
      </c>
      <c r="K389" t="s">
        <v>1568</v>
      </c>
      <c r="L389" t="b">
        <f>Data_Completeness(MileageData[[#This Row],[MPG]:[Acceleration]])</f>
        <v>1</v>
      </c>
    </row>
    <row r="390" spans="1:12" x14ac:dyDescent="0.25">
      <c r="A390">
        <v>36</v>
      </c>
      <c r="B390">
        <v>4</v>
      </c>
      <c r="C390">
        <v>120</v>
      </c>
      <c r="D390">
        <v>88</v>
      </c>
      <c r="E390">
        <v>2160</v>
      </c>
      <c r="F390">
        <v>14.5</v>
      </c>
      <c r="G390">
        <v>82</v>
      </c>
      <c r="H390" t="s">
        <v>1623</v>
      </c>
      <c r="I390" t="s">
        <v>1569</v>
      </c>
      <c r="J390" t="s">
        <v>1570</v>
      </c>
      <c r="K390" t="s">
        <v>1571</v>
      </c>
      <c r="L390" t="b">
        <f>Data_Completeness(MileageData[[#This Row],[MPG]:[Acceleration]])</f>
        <v>1</v>
      </c>
    </row>
    <row r="391" spans="1:12" x14ac:dyDescent="0.25">
      <c r="A391">
        <v>36</v>
      </c>
      <c r="B391">
        <v>4</v>
      </c>
      <c r="C391">
        <v>107</v>
      </c>
      <c r="D391">
        <v>75</v>
      </c>
      <c r="E391">
        <v>2205</v>
      </c>
      <c r="F391">
        <v>14.5</v>
      </c>
      <c r="G391">
        <v>82</v>
      </c>
      <c r="H391" t="s">
        <v>1623</v>
      </c>
      <c r="I391" t="s">
        <v>1497</v>
      </c>
      <c r="J391" t="s">
        <v>1230</v>
      </c>
      <c r="K391" t="s">
        <v>1498</v>
      </c>
      <c r="L391" t="b">
        <f>Data_Completeness(MileageData[[#This Row],[MPG]:[Acceleration]])</f>
        <v>1</v>
      </c>
    </row>
    <row r="392" spans="1:12" x14ac:dyDescent="0.25">
      <c r="A392">
        <v>34</v>
      </c>
      <c r="B392">
        <v>4</v>
      </c>
      <c r="C392">
        <v>108</v>
      </c>
      <c r="D392">
        <v>70</v>
      </c>
      <c r="E392">
        <v>2245</v>
      </c>
      <c r="F392">
        <v>16.899999999999999</v>
      </c>
      <c r="G392">
        <v>82</v>
      </c>
      <c r="H392" t="s">
        <v>1623</v>
      </c>
      <c r="I392" t="s">
        <v>1255</v>
      </c>
      <c r="J392" t="s">
        <v>1011</v>
      </c>
      <c r="K392" t="s">
        <v>1256</v>
      </c>
      <c r="L392" t="b">
        <f>Data_Completeness(MileageData[[#This Row],[MPG]:[Acceleration]])</f>
        <v>1</v>
      </c>
    </row>
    <row r="393" spans="1:12" x14ac:dyDescent="0.25">
      <c r="A393">
        <v>38</v>
      </c>
      <c r="B393">
        <v>4</v>
      </c>
      <c r="C393">
        <v>91</v>
      </c>
      <c r="D393">
        <v>67</v>
      </c>
      <c r="E393">
        <v>1965</v>
      </c>
      <c r="F393">
        <v>15</v>
      </c>
      <c r="G393">
        <v>82</v>
      </c>
      <c r="H393" t="s">
        <v>1623</v>
      </c>
      <c r="I393" t="s">
        <v>1229</v>
      </c>
      <c r="J393" t="s">
        <v>1230</v>
      </c>
      <c r="K393" t="s">
        <v>1231</v>
      </c>
      <c r="L393" t="b">
        <f>Data_Completeness(MileageData[[#This Row],[MPG]:[Acceleration]])</f>
        <v>1</v>
      </c>
    </row>
    <row r="394" spans="1:12" x14ac:dyDescent="0.25">
      <c r="A394">
        <v>32</v>
      </c>
      <c r="B394">
        <v>4</v>
      </c>
      <c r="C394">
        <v>91</v>
      </c>
      <c r="D394">
        <v>67</v>
      </c>
      <c r="E394">
        <v>1965</v>
      </c>
      <c r="F394">
        <v>15.7</v>
      </c>
      <c r="G394">
        <v>82</v>
      </c>
      <c r="H394" t="s">
        <v>1623</v>
      </c>
      <c r="I394" t="s">
        <v>1572</v>
      </c>
      <c r="J394" t="s">
        <v>1230</v>
      </c>
      <c r="K394" t="s">
        <v>1573</v>
      </c>
      <c r="L394" t="b">
        <f>Data_Completeness(MileageData[[#This Row],[MPG]:[Acceleration]])</f>
        <v>1</v>
      </c>
    </row>
    <row r="395" spans="1:12" x14ac:dyDescent="0.25">
      <c r="A395">
        <v>38</v>
      </c>
      <c r="B395">
        <v>4</v>
      </c>
      <c r="C395">
        <v>91</v>
      </c>
      <c r="D395">
        <v>67</v>
      </c>
      <c r="E395">
        <v>1995</v>
      </c>
      <c r="F395">
        <v>16.2</v>
      </c>
      <c r="G395">
        <v>82</v>
      </c>
      <c r="H395" t="s">
        <v>1623</v>
      </c>
      <c r="I395" t="s">
        <v>1574</v>
      </c>
      <c r="J395" t="s">
        <v>1020</v>
      </c>
      <c r="K395" t="s">
        <v>1575</v>
      </c>
      <c r="L395" t="b">
        <f>Data_Completeness(MileageData[[#This Row],[MPG]:[Acceleration]])</f>
        <v>1</v>
      </c>
    </row>
    <row r="396" spans="1:12" x14ac:dyDescent="0.25">
      <c r="A396">
        <v>25</v>
      </c>
      <c r="B396">
        <v>6</v>
      </c>
      <c r="C396">
        <v>181</v>
      </c>
      <c r="D396">
        <v>110</v>
      </c>
      <c r="E396">
        <v>2945</v>
      </c>
      <c r="F396">
        <v>16.399999999999999</v>
      </c>
      <c r="G396">
        <v>82</v>
      </c>
      <c r="H396" t="s">
        <v>1621</v>
      </c>
      <c r="I396" t="s">
        <v>1576</v>
      </c>
      <c r="J396" t="s">
        <v>967</v>
      </c>
      <c r="K396" t="s">
        <v>1577</v>
      </c>
      <c r="L396" t="b">
        <f>Data_Completeness(MileageData[[#This Row],[MPG]:[Acceleration]])</f>
        <v>1</v>
      </c>
    </row>
    <row r="397" spans="1:12" x14ac:dyDescent="0.25">
      <c r="A397">
        <v>38</v>
      </c>
      <c r="B397">
        <v>6</v>
      </c>
      <c r="C397">
        <v>262</v>
      </c>
      <c r="D397">
        <v>85</v>
      </c>
      <c r="E397">
        <v>3015</v>
      </c>
      <c r="F397">
        <v>17</v>
      </c>
      <c r="G397">
        <v>82</v>
      </c>
      <c r="H397" t="s">
        <v>1621</v>
      </c>
      <c r="I397" t="s">
        <v>1578</v>
      </c>
      <c r="J397" t="s">
        <v>1110</v>
      </c>
      <c r="K397" t="s">
        <v>1579</v>
      </c>
      <c r="L397" t="b">
        <f>Data_Completeness(MileageData[[#This Row],[MPG]:[Acceleration]])</f>
        <v>1</v>
      </c>
    </row>
    <row r="398" spans="1:12" x14ac:dyDescent="0.25">
      <c r="A398">
        <v>26</v>
      </c>
      <c r="B398">
        <v>4</v>
      </c>
      <c r="C398">
        <v>156</v>
      </c>
      <c r="D398">
        <v>92</v>
      </c>
      <c r="E398">
        <v>2585</v>
      </c>
      <c r="F398">
        <v>14.5</v>
      </c>
      <c r="G398">
        <v>82</v>
      </c>
      <c r="H398" t="s">
        <v>1621</v>
      </c>
      <c r="I398" t="s">
        <v>1580</v>
      </c>
      <c r="J398" t="s">
        <v>1113</v>
      </c>
      <c r="K398" t="s">
        <v>1581</v>
      </c>
      <c r="L398" t="b">
        <f>Data_Completeness(MileageData[[#This Row],[MPG]:[Acceleration]])</f>
        <v>1</v>
      </c>
    </row>
    <row r="399" spans="1:12" x14ac:dyDescent="0.25">
      <c r="A399">
        <v>22</v>
      </c>
      <c r="B399">
        <v>6</v>
      </c>
      <c r="C399">
        <v>232</v>
      </c>
      <c r="D399">
        <v>112</v>
      </c>
      <c r="E399">
        <v>2835</v>
      </c>
      <c r="F399">
        <v>14.7</v>
      </c>
      <c r="G399">
        <v>82</v>
      </c>
      <c r="H399" t="s">
        <v>1621</v>
      </c>
      <c r="I399" t="s">
        <v>1582</v>
      </c>
      <c r="J399" t="s">
        <v>976</v>
      </c>
      <c r="K399" t="s">
        <v>1583</v>
      </c>
      <c r="L399" t="b">
        <f>Data_Completeness(MileageData[[#This Row],[MPG]:[Acceleration]])</f>
        <v>1</v>
      </c>
    </row>
    <row r="400" spans="1:12" x14ac:dyDescent="0.25">
      <c r="A400">
        <v>32</v>
      </c>
      <c r="B400">
        <v>4</v>
      </c>
      <c r="C400">
        <v>144</v>
      </c>
      <c r="D400">
        <v>96</v>
      </c>
      <c r="E400">
        <v>2665</v>
      </c>
      <c r="F400">
        <v>13.9</v>
      </c>
      <c r="G400">
        <v>82</v>
      </c>
      <c r="H400" t="s">
        <v>1623</v>
      </c>
      <c r="I400" t="s">
        <v>1584</v>
      </c>
      <c r="J400" t="s">
        <v>1011</v>
      </c>
      <c r="K400" t="s">
        <v>1585</v>
      </c>
      <c r="L400" t="b">
        <f>Data_Completeness(MileageData[[#This Row],[MPG]:[Acceleration]])</f>
        <v>1</v>
      </c>
    </row>
    <row r="401" spans="1:12" x14ac:dyDescent="0.25">
      <c r="A401">
        <v>36</v>
      </c>
      <c r="B401">
        <v>4</v>
      </c>
      <c r="C401">
        <v>135</v>
      </c>
      <c r="D401">
        <v>84</v>
      </c>
      <c r="E401">
        <v>2370</v>
      </c>
      <c r="F401">
        <v>13</v>
      </c>
      <c r="G401">
        <v>82</v>
      </c>
      <c r="H401" t="s">
        <v>1621</v>
      </c>
      <c r="I401" t="s">
        <v>1586</v>
      </c>
      <c r="J401" t="s">
        <v>1001</v>
      </c>
      <c r="K401" t="s">
        <v>1587</v>
      </c>
      <c r="L401" t="b">
        <f>Data_Completeness(MileageData[[#This Row],[MPG]:[Acceleration]])</f>
        <v>1</v>
      </c>
    </row>
    <row r="402" spans="1:12" x14ac:dyDescent="0.25">
      <c r="A402">
        <v>27</v>
      </c>
      <c r="B402">
        <v>4</v>
      </c>
      <c r="C402">
        <v>151</v>
      </c>
      <c r="D402">
        <v>90</v>
      </c>
      <c r="E402">
        <v>2950</v>
      </c>
      <c r="F402">
        <v>17.3</v>
      </c>
      <c r="G402">
        <v>82</v>
      </c>
      <c r="H402" t="s">
        <v>1621</v>
      </c>
      <c r="I402" t="s">
        <v>1588</v>
      </c>
      <c r="J402" t="s">
        <v>964</v>
      </c>
      <c r="K402" t="s">
        <v>1589</v>
      </c>
      <c r="L402" t="b">
        <f>Data_Completeness(MileageData[[#This Row],[MPG]:[Acceleration]])</f>
        <v>1</v>
      </c>
    </row>
    <row r="403" spans="1:12" x14ac:dyDescent="0.25">
      <c r="A403">
        <v>27</v>
      </c>
      <c r="B403">
        <v>4</v>
      </c>
      <c r="C403">
        <v>140</v>
      </c>
      <c r="D403">
        <v>86</v>
      </c>
      <c r="E403">
        <v>2790</v>
      </c>
      <c r="F403">
        <v>15.6</v>
      </c>
      <c r="G403">
        <v>82</v>
      </c>
      <c r="H403" t="s">
        <v>1621</v>
      </c>
      <c r="I403" t="s">
        <v>1590</v>
      </c>
      <c r="J403" t="s">
        <v>976</v>
      </c>
      <c r="K403" t="s">
        <v>1591</v>
      </c>
      <c r="L403" t="b">
        <f>Data_Completeness(MileageData[[#This Row],[MPG]:[Acceleration]])</f>
        <v>1</v>
      </c>
    </row>
    <row r="404" spans="1:12" x14ac:dyDescent="0.25">
      <c r="A404">
        <v>44</v>
      </c>
      <c r="B404">
        <v>4</v>
      </c>
      <c r="C404">
        <v>97</v>
      </c>
      <c r="D404">
        <v>52</v>
      </c>
      <c r="E404">
        <v>2130</v>
      </c>
      <c r="F404">
        <v>24.6</v>
      </c>
      <c r="G404">
        <v>82</v>
      </c>
      <c r="H404" t="s">
        <v>1622</v>
      </c>
      <c r="I404" t="s">
        <v>1592</v>
      </c>
      <c r="J404" t="s">
        <v>1280</v>
      </c>
      <c r="K404" t="s">
        <v>1593</v>
      </c>
      <c r="L404" t="b">
        <f>Data_Completeness(MileageData[[#This Row],[MPG]:[Acceleration]])</f>
        <v>1</v>
      </c>
    </row>
    <row r="405" spans="1:12" x14ac:dyDescent="0.25">
      <c r="A405">
        <v>32</v>
      </c>
      <c r="B405">
        <v>4</v>
      </c>
      <c r="C405">
        <v>135</v>
      </c>
      <c r="D405">
        <v>84</v>
      </c>
      <c r="E405">
        <v>2295</v>
      </c>
      <c r="F405">
        <v>11.6</v>
      </c>
      <c r="G405">
        <v>82</v>
      </c>
      <c r="H405" t="s">
        <v>1621</v>
      </c>
      <c r="I405" t="s">
        <v>1594</v>
      </c>
      <c r="J405" t="s">
        <v>1001</v>
      </c>
      <c r="K405" t="s">
        <v>1595</v>
      </c>
      <c r="L405" t="b">
        <f>Data_Completeness(MileageData[[#This Row],[MPG]:[Acceleration]])</f>
        <v>1</v>
      </c>
    </row>
    <row r="406" spans="1:12" x14ac:dyDescent="0.25">
      <c r="A406">
        <v>28</v>
      </c>
      <c r="B406">
        <v>4</v>
      </c>
      <c r="C406">
        <v>120</v>
      </c>
      <c r="D406">
        <v>79</v>
      </c>
      <c r="E406">
        <v>2625</v>
      </c>
      <c r="F406">
        <v>18.600000000000001</v>
      </c>
      <c r="G406">
        <v>82</v>
      </c>
      <c r="H406" t="s">
        <v>1621</v>
      </c>
      <c r="I406" t="s">
        <v>1596</v>
      </c>
      <c r="J406" t="s">
        <v>976</v>
      </c>
      <c r="K406" t="s">
        <v>1597</v>
      </c>
      <c r="L406" t="b">
        <f>Data_Completeness(MileageData[[#This Row],[MPG]:[Acceleration]])</f>
        <v>1</v>
      </c>
    </row>
    <row r="407" spans="1:12" x14ac:dyDescent="0.25">
      <c r="A407">
        <v>31</v>
      </c>
      <c r="B407">
        <v>4</v>
      </c>
      <c r="C407">
        <v>119</v>
      </c>
      <c r="D407">
        <v>82</v>
      </c>
      <c r="E407">
        <v>2720</v>
      </c>
      <c r="F407">
        <v>19.399999999999999</v>
      </c>
      <c r="G407">
        <v>82</v>
      </c>
      <c r="H407" t="s">
        <v>1621</v>
      </c>
      <c r="I407" t="s">
        <v>1598</v>
      </c>
      <c r="J407" t="s">
        <v>1040</v>
      </c>
      <c r="K407" t="s">
        <v>1599</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600" topLeftCell="A2"/>
      <selection activeCell="X3" sqref="X3"/>
      <selection pane="bottomLeft" activeCell="A2" sqref="A2"/>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600" topLeftCell="A2"/>
      <selection activeCell="C3" sqref="C3"/>
      <selection pane="bottomLeft" activeCell="A2" sqref="A2"/>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1752</v>
      </c>
      <c r="B1" t="s">
        <v>1753</v>
      </c>
      <c r="C1" t="s">
        <v>1754</v>
      </c>
      <c r="D1" t="s">
        <v>1755</v>
      </c>
      <c r="E1" t="s">
        <v>1756</v>
      </c>
      <c r="F1" t="s">
        <v>1757</v>
      </c>
      <c r="G1" t="s">
        <v>1758</v>
      </c>
      <c r="H1" t="s">
        <v>1759</v>
      </c>
      <c r="I1" t="s">
        <v>1760</v>
      </c>
      <c r="J1" t="s">
        <v>1761</v>
      </c>
      <c r="K1" t="s">
        <v>361</v>
      </c>
    </row>
    <row r="2" spans="1:11" x14ac:dyDescent="0.25">
      <c r="A2" t="s">
        <v>1762</v>
      </c>
      <c r="B2" t="s">
        <v>1763</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1764</v>
      </c>
      <c r="B3" t="s">
        <v>1763</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1765</v>
      </c>
      <c r="B4" t="s">
        <v>1763</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1766</v>
      </c>
      <c r="B5" t="s">
        <v>1763</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1767</v>
      </c>
      <c r="B6" t="s">
        <v>1763</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1768</v>
      </c>
      <c r="B7" t="s">
        <v>1763</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1769</v>
      </c>
      <c r="B8" t="s">
        <v>1763</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1770</v>
      </c>
      <c r="B9" t="s">
        <v>1763</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1771</v>
      </c>
      <c r="B10" t="s">
        <v>1763</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1772</v>
      </c>
      <c r="B11" t="s">
        <v>1763</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1773</v>
      </c>
      <c r="B12" t="s">
        <v>1763</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1774</v>
      </c>
      <c r="B13" t="s">
        <v>1763</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1775</v>
      </c>
      <c r="B14" t="s">
        <v>1763</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1776</v>
      </c>
      <c r="B15" t="s">
        <v>1763</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1777</v>
      </c>
      <c r="B16" t="s">
        <v>1763</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1778</v>
      </c>
      <c r="B17" t="s">
        <v>1763</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1779</v>
      </c>
      <c r="B18" t="s">
        <v>1763</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1780</v>
      </c>
      <c r="B19" t="s">
        <v>1763</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1781</v>
      </c>
      <c r="B20" t="s">
        <v>1782</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1783</v>
      </c>
      <c r="B21" t="s">
        <v>1782</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1784</v>
      </c>
      <c r="B22" t="s">
        <v>1782</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1785</v>
      </c>
      <c r="B23" t="s">
        <v>1782</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1786</v>
      </c>
      <c r="B24" t="s">
        <v>1782</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1787</v>
      </c>
      <c r="B25" t="s">
        <v>1782</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1788</v>
      </c>
      <c r="B26" t="s">
        <v>1782</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1789</v>
      </c>
      <c r="B27" t="s">
        <v>1782</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1790</v>
      </c>
      <c r="B28" t="s">
        <v>1782</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1791</v>
      </c>
      <c r="B29" t="s">
        <v>1782</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1792</v>
      </c>
      <c r="B30" t="s">
        <v>1782</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1793</v>
      </c>
      <c r="B31" t="s">
        <v>1782</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1794</v>
      </c>
      <c r="B32" t="s">
        <v>1782</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1795</v>
      </c>
      <c r="B33" t="s">
        <v>1782</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1796</v>
      </c>
      <c r="B34" t="s">
        <v>1782</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1797</v>
      </c>
      <c r="B35" t="s">
        <v>1782</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1798</v>
      </c>
      <c r="B36" t="s">
        <v>1782</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1799</v>
      </c>
      <c r="B37" t="s">
        <v>1782</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1800</v>
      </c>
      <c r="B38" t="s">
        <v>1782</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1801</v>
      </c>
      <c r="B39" t="s">
        <v>1782</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1802</v>
      </c>
      <c r="B40" t="s">
        <v>1803</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1804</v>
      </c>
      <c r="B41" t="s">
        <v>1803</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1805</v>
      </c>
      <c r="B42" t="s">
        <v>1803</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1806</v>
      </c>
      <c r="B43" t="s">
        <v>1803</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1807</v>
      </c>
      <c r="B44" t="s">
        <v>1803</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1808</v>
      </c>
      <c r="B45" t="s">
        <v>1803</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1809</v>
      </c>
      <c r="B46" t="s">
        <v>1803</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1810</v>
      </c>
      <c r="B47" t="s">
        <v>1803</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1811</v>
      </c>
      <c r="B48" t="s">
        <v>1803</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1812</v>
      </c>
      <c r="B49" t="s">
        <v>1803</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1813</v>
      </c>
      <c r="B50" t="s">
        <v>1803</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1814</v>
      </c>
      <c r="B51" t="s">
        <v>1803</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1815</v>
      </c>
      <c r="B52" t="s">
        <v>1803</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870</v>
      </c>
      <c r="D2" s="6" t="s">
        <v>647</v>
      </c>
    </row>
    <row r="3" spans="1:4" ht="105" x14ac:dyDescent="0.25">
      <c r="A3" t="s">
        <v>648</v>
      </c>
      <c r="B3" s="18">
        <v>46189</v>
      </c>
      <c r="C3" t="s">
        <v>872</v>
      </c>
      <c r="D3" s="2" t="s">
        <v>649</v>
      </c>
    </row>
    <row r="4" spans="1:4" ht="105" x14ac:dyDescent="0.25">
      <c r="A4" t="s">
        <v>871</v>
      </c>
      <c r="B4" s="18">
        <v>46202</v>
      </c>
      <c r="C4" t="s">
        <v>872</v>
      </c>
      <c r="D4" s="2" t="s">
        <v>831</v>
      </c>
    </row>
    <row r="5" spans="1:4" ht="105" x14ac:dyDescent="0.25">
      <c r="A5" t="s">
        <v>873</v>
      </c>
      <c r="B5" s="18">
        <v>46206</v>
      </c>
      <c r="C5" t="s">
        <v>872</v>
      </c>
      <c r="D5" s="2" t="s">
        <v>874</v>
      </c>
    </row>
    <row r="6" spans="1:4" ht="150" x14ac:dyDescent="0.25">
      <c r="A6" t="s">
        <v>830</v>
      </c>
      <c r="B6" s="18">
        <v>46208</v>
      </c>
      <c r="C6" t="s">
        <v>875</v>
      </c>
      <c r="D6" s="2" t="s">
        <v>942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FE7C9-C875-4CCB-BFC5-D7C7C876DC55}">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862</v>
      </c>
    </row>
    <row r="3" spans="1:1" ht="30" x14ac:dyDescent="0.25">
      <c r="A3" s="2" t="s">
        <v>558</v>
      </c>
    </row>
    <row r="5" spans="1:1" x14ac:dyDescent="0.25">
      <c r="A5" s="4" t="s">
        <v>863</v>
      </c>
    </row>
    <row r="6" spans="1:1" ht="75" x14ac:dyDescent="0.25">
      <c r="A6" s="2" t="s">
        <v>1613</v>
      </c>
    </row>
    <row r="8" spans="1:1" x14ac:dyDescent="0.25">
      <c r="A8" s="4" t="s">
        <v>1624</v>
      </c>
    </row>
    <row r="9" spans="1:1" ht="135" x14ac:dyDescent="0.25">
      <c r="A9" s="2" t="s">
        <v>864</v>
      </c>
    </row>
    <row r="10" spans="1:1" ht="90" x14ac:dyDescent="0.25">
      <c r="A10" s="2" t="s">
        <v>865</v>
      </c>
    </row>
    <row r="11" spans="1:1" ht="150" x14ac:dyDescent="0.25">
      <c r="A11" s="2" t="s">
        <v>950</v>
      </c>
    </row>
    <row r="13" spans="1:1" x14ac:dyDescent="0.25">
      <c r="A13" s="4" t="s">
        <v>866</v>
      </c>
    </row>
    <row r="14" spans="1:1" ht="45" x14ac:dyDescent="0.25">
      <c r="A14" s="2" t="s">
        <v>867</v>
      </c>
    </row>
    <row r="16" spans="1:1" x14ac:dyDescent="0.25">
      <c r="A16" s="4" t="s">
        <v>868</v>
      </c>
    </row>
    <row r="17" spans="1:1" ht="60" x14ac:dyDescent="0.25">
      <c r="A17" s="2" t="s">
        <v>869</v>
      </c>
    </row>
    <row r="19" spans="1:1" x14ac:dyDescent="0.25">
      <c r="A19" s="4" t="s">
        <v>559</v>
      </c>
    </row>
    <row r="20" spans="1:1" ht="120" x14ac:dyDescent="0.25">
      <c r="A20" s="2" t="s">
        <v>1736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W394"/>
  <sheetViews>
    <sheetView zoomScaleNormal="100" workbookViewId="0">
      <pane ySplit="2445" topLeftCell="A3"/>
      <selection activeCell="A3" sqref="A3"/>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s>
  <sheetData>
    <row r="1" spans="1:49" x14ac:dyDescent="0.25">
      <c r="A1" s="4" t="s">
        <v>859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947</v>
      </c>
      <c r="J1" s="3" t="s">
        <v>1737</v>
      </c>
      <c r="K1" s="3" t="s">
        <v>1738</v>
      </c>
      <c r="L1" s="3" t="s">
        <v>1739</v>
      </c>
      <c r="M1" s="3" t="s">
        <v>945</v>
      </c>
      <c r="N1" s="3" t="s">
        <v>946</v>
      </c>
      <c r="P1" s="4" t="s">
        <v>650</v>
      </c>
      <c r="X1" s="4" t="s">
        <v>653</v>
      </c>
      <c r="AG1" s="36" t="s">
        <v>677</v>
      </c>
      <c r="AH1" s="37"/>
      <c r="AK1" s="4" t="s">
        <v>686</v>
      </c>
    </row>
    <row r="2" spans="1:49"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Effects",_xlfn.TAKE(Spec_Role,COLUMNS(Source_Data)))),"n/a"))</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1600</v>
      </c>
      <c r="V2" s="26" t="s">
        <v>104</v>
      </c>
      <c r="W2" s="2"/>
      <c r="X2" s="2"/>
      <c r="Y2" s="2"/>
      <c r="Z2" s="2"/>
      <c r="AA2" s="2"/>
      <c r="AB2" s="30" t="s">
        <v>764</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678</v>
      </c>
      <c r="AH2" s="28"/>
      <c r="AI2" s="32"/>
      <c r="AJ2" s="2"/>
      <c r="AK2" s="26" t="s">
        <v>860</v>
      </c>
      <c r="AL2" s="29" t="str" cm="1">
        <f t="array" ref="AL2">IF(AND(SUMPRODUCT(N(_xlfn.TAKE(Spec_Role,COLUMNS(Source_Data))="Fixed Effects"))&gt;0,IFERROR(INDEX(_xlfn.TAKE(Spec_Transform,COLUMNS(Source_Data)),_xlfn.XMATCH("Response (y)",_xlfn.TAKE(Spec_Role,COLUMNS(Source_Data))))="Log",FALSE)),"Y (Within, Log)",IF(SUMPRODUCT(N(_xlfn.TAKE(Spec_Role,COLUMNS(Source_Data))="Fixed Effects"))&gt;0,"Y (Within)",IF(IFERROR(INDEX(_xlfn.TAKE(Spec_Transform,COLUMNS(Source_Data)),_xlfn.XMATCH("Response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 (Within, Log)",IF(SUMPRODUCT(N(_xlfn.TAKE(Spec_Role,COLUMNS(Source_Data))="Fixed Effects"))&gt;0,"Predicted Y (Within)",IF(IFERROR(INDEX(_xlfn.TAKE(Spec_Transform,COLUMNS(Source_Data)),_xlfn.XMATCH("Response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 (Within, Log)",IF(SUMPRODUCT(N(_xlfn.TAKE(Spec_Role,COLUMNS(Source_Data))="Fixed Effects"))&gt;0,"Residuals (Within)",IF(IFERROR(INDEX(_xlfn.TAKE(Spec_Transform,COLUMNS(Source_Data)),_xlfn.XMATCH("Response (y)",_xlfn.TAKE(Spec_Role,COLUMNS(Source_Data))))="Log",FALSE),"Residuals (Log)","Residuals")))</f>
        <v>Residuals</v>
      </c>
      <c r="AO2" s="29" t="str" cm="1">
        <f t="array" ref="AO2">IF(SUMPRODUCT(N(_xlfn.TAKE(Spec_Role,COLUMNS(Source_Data))="Fixed Effects"))&gt;0,"Hat Diagonal (Within)","Hat Diagonal")</f>
        <v>Hat Diagonal</v>
      </c>
      <c r="AP2" s="29" t="str" cm="1">
        <f t="array" ref="AP2">IF(SUMPRODUCT(N(_xlfn.TAKE(Spec_Role,COLUMNS(Source_Data))="Fixed Effects"))&gt;0,"Studentized Residuals (Within)","Studentized Residuals")</f>
        <v>Studentized Residuals</v>
      </c>
      <c r="AQ2" s="29" t="str" cm="1">
        <f t="array" ref="AQ2">IF(SUMPRODUCT(N(_xlfn.TAKE(Spec_Role,COLUMNS(Source_Data))="Fixed Effects"))&gt;0,"Cook's Distance (Within)","Cook's Distance")</f>
        <v>Cook's Distance</v>
      </c>
      <c r="AR2" s="29" t="str" cm="1">
        <f t="array" ref="AR2">IF(SUMPRODUCT(N(_xlfn.TAKE(Spec_Role,COLUMNS(Source_Data))="Fixed Effects"))&gt;0,"Normal Scores Ranked (Within)","Normal Scores Ranked")</f>
        <v>Normal Scores Ranked</v>
      </c>
      <c r="AS2" s="29" t="str" cm="1">
        <f t="array" ref="AS2">IF(SUMPRODUCT(N(_xlfn.TAKE(Spec_Role,COLUMNS(Source_Data))="Fixed Effects"))&gt;0,"Studentized Residuals Ranked (Within)","Studentized Residuals Ranked")</f>
        <v>Studentized Residuals Ranked</v>
      </c>
      <c r="AT2" s="29" t="str" cm="1">
        <f t="array" ref="AT2">IF(SUMPRODUCT(N(_xlfn.TAKE(Spec_Role,COLUMNS(Source_Data))="Fixed Effects"))&gt;0,"Scale-Location (Within)","Scale-Location")</f>
        <v>Scale-Location</v>
      </c>
      <c r="AU2" s="29" t="str" cm="1">
        <f t="array" ref="AU2">IF(AND(SUMPRODUCT(N(_xlfn.TAKE(Spec_Role,COLUMNS(Source_Data))="Fixed Effects"))&gt;0,IFERROR(INDEX(_xlfn.TAKE(Spec_Transform,COLUMNS(Source_Data)),_xlfn.XMATCH("Response (y)",_xlfn.TAKE(Spec_Role,COLUMNS(Source_Data))))="Log",FALSE)),"PRESS Residual (Within, Log)",IF(SUMPRODUCT(N(_xlfn.TAKE(Spec_Role,COLUMNS(Source_Data))="Fixed Effects"))&gt;0,"PRESS Residual (Within)",IF(IFERROR(INDEX(_xlfn.TAKE(Spec_Transform,COLUMNS(Source_Data)),_xlfn.XMATCH("Response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 (Within)","Cook's Distance (Flagged)")</f>
        <v>Cook's Distance (Flagged)</v>
      </c>
      <c r="AW2" s="2"/>
    </row>
    <row r="3" spans="1:49" x14ac:dyDescent="0.25">
      <c r="A3" s="6" t="s">
        <v>934</v>
      </c>
      <c r="B3" s="6" t="s">
        <v>832</v>
      </c>
      <c r="C3" s="6" t="s">
        <v>829</v>
      </c>
      <c r="D3" s="6" t="s">
        <v>833</v>
      </c>
      <c r="E3" s="6" t="s">
        <v>834</v>
      </c>
      <c r="F3" s="6" t="s">
        <v>835</v>
      </c>
      <c r="G3" s="6" t="s">
        <v>836</v>
      </c>
      <c r="H3" s="6" t="s">
        <v>878</v>
      </c>
      <c r="I3" s="6" t="s">
        <v>943</v>
      </c>
      <c r="J3" s="6" t="s">
        <v>944</v>
      </c>
      <c r="K3" s="6" t="s">
        <v>837</v>
      </c>
      <c r="L3" s="6" t="s">
        <v>858</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c r="AV3" s="7" t="e" cm="1">
        <f t="array" ref="AV3:AV394">IF(_xlfn.ANCHORARRAY(AQ3)&gt;MIN(4/$Y$8,0.9),_xlfn.ANCHORARRAY(AQ3),NA())</f>
        <v>#N/A</v>
      </c>
    </row>
    <row r="4" spans="1:49" x14ac:dyDescent="0.25">
      <c r="A4" t="str" cm="1">
        <f t="array" ref="A4:A15">TRANSPOSE(Header_Names)</f>
        <v>MPG</v>
      </c>
      <c r="B4" s="16" t="s">
        <v>857</v>
      </c>
      <c r="C4" s="16" t="b">
        <v>0</v>
      </c>
      <c r="D4" s="16" t="s">
        <v>838</v>
      </c>
      <c r="E4" s="16"/>
      <c r="F4" s="16"/>
      <c r="G4" s="16" t="s">
        <v>1840</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1740</v>
      </c>
      <c r="AH4" s="11">
        <v>0.15492024062955478</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c r="AV4" s="7" t="e">
        <v>#N/A</v>
      </c>
    </row>
    <row r="5" spans="1:49" x14ac:dyDescent="0.25">
      <c r="A5" t="str">
        <v>Cylinders</v>
      </c>
      <c r="B5" s="16" t="s">
        <v>856</v>
      </c>
      <c r="C5" s="16" t="b">
        <v>0</v>
      </c>
      <c r="D5" s="16" t="s">
        <v>838</v>
      </c>
      <c r="E5" s="16"/>
      <c r="F5" s="16"/>
      <c r="G5" s="16" t="s">
        <v>1840</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1741</v>
      </c>
      <c r="AH5" s="11">
        <v>3.0711741103347805</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c r="AV5" s="7" t="e">
        <v>#N/A</v>
      </c>
    </row>
    <row r="6" spans="1:49" x14ac:dyDescent="0.25">
      <c r="A6" t="str">
        <v>Displacement</v>
      </c>
      <c r="B6" s="16" t="s">
        <v>856</v>
      </c>
      <c r="C6" s="16" t="b">
        <v>0</v>
      </c>
      <c r="D6" s="16" t="s">
        <v>838</v>
      </c>
      <c r="E6" s="16"/>
      <c r="F6" s="16"/>
      <c r="G6" s="16" t="s">
        <v>1840</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v>1.9663101608024118</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c r="AV6" s="7" t="e">
        <v>#N/A</v>
      </c>
    </row>
    <row r="7" spans="1:49" x14ac:dyDescent="0.25">
      <c r="A7" t="str">
        <v>Horsepower</v>
      </c>
      <c r="B7" s="16" t="s">
        <v>856</v>
      </c>
      <c r="C7" s="16" t="b">
        <v>1</v>
      </c>
      <c r="D7" s="16" t="s">
        <v>838</v>
      </c>
      <c r="E7" s="16"/>
      <c r="F7" s="16"/>
      <c r="G7" s="16" t="s">
        <v>1840</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1742</v>
      </c>
      <c r="AH7" s="11">
        <v>23.141297124083092</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c r="AV7" s="7" t="e">
        <v>#N/A</v>
      </c>
    </row>
    <row r="8" spans="1:49" x14ac:dyDescent="0.25">
      <c r="A8" t="str">
        <v>Weight</v>
      </c>
      <c r="B8" s="16" t="s">
        <v>856</v>
      </c>
      <c r="C8" s="16" t="b">
        <v>1</v>
      </c>
      <c r="D8" s="16" t="s">
        <v>838</v>
      </c>
      <c r="E8" s="16"/>
      <c r="F8" s="16"/>
      <c r="G8" s="16" t="s">
        <v>1840</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1743</v>
      </c>
      <c r="AH8" s="11">
        <v>23.75053961061079</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c r="AV8" s="7" t="e">
        <v>#N/A</v>
      </c>
    </row>
    <row r="9" spans="1:49" x14ac:dyDescent="0.25">
      <c r="A9" t="str">
        <v>Acceleration</v>
      </c>
      <c r="B9" s="16" t="s">
        <v>856</v>
      </c>
      <c r="C9" s="16" t="b">
        <v>0</v>
      </c>
      <c r="D9" s="16" t="s">
        <v>838</v>
      </c>
      <c r="E9" s="16"/>
      <c r="F9" s="16"/>
      <c r="G9" s="16" t="s">
        <v>1840</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1744</v>
      </c>
      <c r="AH9" s="11">
        <v>17.407037508602354</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c r="AV9" s="7" t="e">
        <v>#N/A</v>
      </c>
    </row>
    <row r="10" spans="1:49" x14ac:dyDescent="0.25">
      <c r="A10" t="str">
        <v>Model Year</v>
      </c>
      <c r="B10" s="16" t="s">
        <v>856</v>
      </c>
      <c r="C10" s="16" t="b">
        <v>1</v>
      </c>
      <c r="D10" s="16" t="s">
        <v>1841</v>
      </c>
      <c r="E10" s="16"/>
      <c r="F10" s="16"/>
      <c r="G10" s="16" t="s">
        <v>1840</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1839</v>
      </c>
      <c r="AH10" s="11">
        <v>29.484799226091528</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c r="AV10" s="7" t="e">
        <v>#N/A</v>
      </c>
    </row>
    <row r="11" spans="1:49" x14ac:dyDescent="0.25">
      <c r="A11" t="str">
        <v>Origin</v>
      </c>
      <c r="B11" s="16" t="s">
        <v>856</v>
      </c>
      <c r="C11" s="16" t="b">
        <v>1</v>
      </c>
      <c r="D11" s="16" t="s">
        <v>1841</v>
      </c>
      <c r="E11" s="16"/>
      <c r="F11" s="16"/>
      <c r="G11" s="16" t="s">
        <v>1840</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936</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v>0.95</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c r="AV11" s="7" t="e">
        <v>#N/A</v>
      </c>
    </row>
    <row r="12" spans="1:49" x14ac:dyDescent="0.25">
      <c r="A12" t="str">
        <v>Car Name</v>
      </c>
      <c r="B12" s="16" t="s">
        <v>951</v>
      </c>
      <c r="C12" s="16" t="b">
        <v>0</v>
      </c>
      <c r="D12" s="16" t="s">
        <v>838</v>
      </c>
      <c r="E12" s="16"/>
      <c r="F12" s="16"/>
      <c r="G12" s="16" t="s">
        <v>1840</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937</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1745</v>
      </c>
      <c r="AH12" s="35"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c r="AV12" s="7" t="e">
        <v>#N/A</v>
      </c>
    </row>
    <row r="13" spans="1:49" x14ac:dyDescent="0.25">
      <c r="A13" t="str">
        <v>Make</v>
      </c>
      <c r="B13" s="16" t="s">
        <v>935</v>
      </c>
      <c r="C13" s="16" t="b">
        <v>0</v>
      </c>
      <c r="D13" s="16" t="s">
        <v>838</v>
      </c>
      <c r="E13" s="16"/>
      <c r="F13" s="16"/>
      <c r="G13" s="16" t="s">
        <v>1840</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662</v>
      </c>
      <c r="Y13" s="41"/>
      <c r="Z13" s="41"/>
      <c r="AA13" s="41"/>
      <c r="AB13" s="41"/>
      <c r="AC13" s="42"/>
      <c r="AG13" s="8" t="s">
        <v>1746</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c r="AV13" s="7" t="e">
        <v>#N/A</v>
      </c>
    </row>
    <row r="14" spans="1:49" x14ac:dyDescent="0.25">
      <c r="A14" t="str">
        <v>Model?</v>
      </c>
      <c r="B14" s="16" t="s">
        <v>935</v>
      </c>
      <c r="C14" s="16" t="b">
        <v>0</v>
      </c>
      <c r="D14" s="16" t="s">
        <v>838</v>
      </c>
      <c r="E14" s="16"/>
      <c r="F14" s="16"/>
      <c r="G14" s="16" t="s">
        <v>1840</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1747</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c r="AV14" s="7" t="e">
        <v>#N/A</v>
      </c>
    </row>
    <row r="15" spans="1:49" x14ac:dyDescent="0.25">
      <c r="A15" t="str">
        <v>Full_Data</v>
      </c>
      <c r="B15" s="16" t="s">
        <v>935</v>
      </c>
      <c r="C15" s="16" t="b">
        <v>0</v>
      </c>
      <c r="D15" s="16" t="s">
        <v>838</v>
      </c>
      <c r="E15" s="16"/>
      <c r="F15" s="16"/>
      <c r="G15" s="16" t="s">
        <v>1840</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8" cm="1">
        <f t="array" ref="Y15">Regression_Degrees_Of_Freedom(X_s_Within())</f>
        <v>16</v>
      </c>
      <c r="Z15" s="39" cm="1">
        <f t="array" ref="Z15">SS_Regression(X_s_Within(),y_s(),Allow_Intercept,Sample_Include())</f>
        <v>20290.952168750038</v>
      </c>
      <c r="AA15" s="39" cm="1">
        <f t="array" ref="AA15">MS_Regression(X_s_Within(),y_s(),Allow_Intercept,Sample_Include())</f>
        <v>1268.1845105468774</v>
      </c>
      <c r="AB15" s="39"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c r="AV15" s="7" t="e">
        <v>#N/A</v>
      </c>
    </row>
    <row r="16" spans="1:49" x14ac:dyDescent="0.25">
      <c r="P16" t="str">
        <v>Model Year: 82</v>
      </c>
      <c r="Q16" s="14">
        <v>0.31590831958849236</v>
      </c>
      <c r="R16" s="14">
        <v>0.30945001432271285</v>
      </c>
      <c r="S16" s="14">
        <v>3.1980848073673731</v>
      </c>
      <c r="T16" s="14">
        <v>8.2699143284056937</v>
      </c>
      <c r="U16" s="14">
        <v>1.7564955677455198</v>
      </c>
      <c r="V16" s="14">
        <v>0.5693154132370003</v>
      </c>
      <c r="X16" s="8" t="s">
        <v>668</v>
      </c>
      <c r="Y16" s="38" cm="1">
        <f t="array" ref="Y16">Residual_Degrees_Of_Freedom(X_s_Within(),y_s(),Allow_Intercept,Sample_Include(),Absorbed_Degrees_Of_Freedom())</f>
        <v>375</v>
      </c>
      <c r="Z16" s="39" cm="1">
        <f t="array" ref="Z16">SS_Residual(X_s_Within(),y_s(),Allow_Intercept,Sample_Include())</f>
        <v>3528.0413006377153</v>
      </c>
      <c r="AA16" s="39" cm="1">
        <f t="array" ref="AA16">MS_Residual(X_s_Within(),y_s(),Allow_Intercept,Sample_Include(),Absorbed_Degrees_Of_Freedom())</f>
        <v>9.4081101350339083</v>
      </c>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c r="AV16" s="7">
        <v>1.0355921898592959E-2</v>
      </c>
    </row>
    <row r="17" spans="16:48"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861</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c r="AV17" s="7" t="e">
        <v>#N/A</v>
      </c>
    </row>
    <row r="18" spans="16:48"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c r="AV18" s="7" t="e">
        <v>#N/A</v>
      </c>
    </row>
    <row r="19" spans="16:48"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IFERROR(TRANSPOSE(_xlfn.LET(_xlpm.m,_xlfn.BYCOL(_xlfn._xlws.FILTER(X_s(),Sample_Include()),_xlfn.LAMBDA(_xlpm.c,AVERAGE(_xlpm.c))),_xlpm.t,Constructed_Column_Transforms(),IF(_xlpm.t="Log",EXP(_xlpm.m),_xlpm.m))),"")</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c r="AV19" s="7" t="e">
        <v>#N/A</v>
      </c>
    </row>
    <row r="20" spans="16:48"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c r="AV20" s="7" t="e">
        <v>#N/A</v>
      </c>
    </row>
    <row r="21" spans="16:48"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c r="AV21" s="7" t="e">
        <v>#N/A</v>
      </c>
    </row>
    <row r="22" spans="16:48"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c r="AV22" s="7" t="e">
        <v>#N/A</v>
      </c>
    </row>
    <row r="23" spans="16:48"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c r="AV23" s="7" t="e">
        <v>#N/A</v>
      </c>
    </row>
    <row r="24" spans="16:48"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c r="AV24" s="7" t="e">
        <v>#N/A</v>
      </c>
    </row>
    <row r="25" spans="16:48"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c r="AV25" s="7" t="e">
        <v>#N/A</v>
      </c>
    </row>
    <row r="26" spans="16:48"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c r="AV26" s="7" t="e">
        <v>#N/A</v>
      </c>
    </row>
    <row r="27" spans="16:48"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c r="AV27" s="7" t="e">
        <v>#N/A</v>
      </c>
    </row>
    <row r="28" spans="16:48"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c r="AV28" s="7" t="e">
        <v>#N/A</v>
      </c>
    </row>
    <row r="29" spans="16:48"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c r="AV29" s="7" t="e">
        <v>#N/A</v>
      </c>
    </row>
    <row r="30" spans="16:48"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c r="AV30" s="7" t="e">
        <v>#N/A</v>
      </c>
    </row>
    <row r="31" spans="16:48"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c r="AV31" s="7" t="e">
        <v>#N/A</v>
      </c>
    </row>
    <row r="32" spans="16:48"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c r="AV32" s="7" t="e">
        <v>#N/A</v>
      </c>
    </row>
    <row r="33" spans="17:48"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c r="AV33" s="7" t="e">
        <v>#N/A</v>
      </c>
    </row>
    <row r="34" spans="17:48"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c r="AV34" s="7" t="e">
        <v>#N/A</v>
      </c>
    </row>
    <row r="35" spans="17:48"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c r="AV35" s="7" t="e">
        <v>#N/A</v>
      </c>
    </row>
    <row r="36" spans="17:48"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c r="AV36" s="7" t="e">
        <v>#N/A</v>
      </c>
    </row>
    <row r="37" spans="17:48"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c r="AV37" s="7" t="e">
        <v>#N/A</v>
      </c>
    </row>
    <row r="38" spans="17:48"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c r="AV62" s="7" t="e">
        <v>#N/A</v>
      </c>
    </row>
    <row r="63" spans="17:48"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c r="AV63" s="7" t="e">
        <v>#N/A</v>
      </c>
    </row>
    <row r="64" spans="17:48"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c r="AV64" s="7" t="e">
        <v>#N/A</v>
      </c>
    </row>
    <row r="65" spans="37:48"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c r="AV65" s="7" t="e">
        <v>#N/A</v>
      </c>
    </row>
    <row r="66" spans="37:48"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c r="AV66" s="7" t="e">
        <v>#N/A</v>
      </c>
    </row>
    <row r="67" spans="37:48"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c r="AV67" s="7" t="e">
        <v>#N/A</v>
      </c>
    </row>
    <row r="68" spans="37:48"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c r="AV68" s="7" t="e">
        <v>#N/A</v>
      </c>
    </row>
    <row r="69" spans="37:48"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c r="AV69" s="7" t="e">
        <v>#N/A</v>
      </c>
    </row>
    <row r="70" spans="37:48"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c r="AV70" s="7" t="e">
        <v>#N/A</v>
      </c>
    </row>
    <row r="71" spans="37:48"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c r="AV71" s="7" t="e">
        <v>#N/A</v>
      </c>
    </row>
    <row r="72" spans="37:48"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c r="AV72" s="7" t="e">
        <v>#N/A</v>
      </c>
    </row>
    <row r="73" spans="37:48"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c r="AV73" s="7">
        <v>1.2041954383457973E-2</v>
      </c>
    </row>
    <row r="74" spans="37:48"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c r="AV74" s="7" t="e">
        <v>#N/A</v>
      </c>
    </row>
    <row r="75" spans="37:48"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c r="AV75" s="7" t="e">
        <v>#N/A</v>
      </c>
    </row>
    <row r="76" spans="37:48"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c r="AV76" s="7" t="e">
        <v>#N/A</v>
      </c>
    </row>
    <row r="77" spans="37:48"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c r="AV77" s="7" t="e">
        <v>#N/A</v>
      </c>
    </row>
    <row r="78" spans="37:48"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c r="AV78" s="7" t="e">
        <v>#N/A</v>
      </c>
    </row>
    <row r="79" spans="37:48"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c r="AV79" s="7" t="e">
        <v>#N/A</v>
      </c>
    </row>
    <row r="80" spans="37:48"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c r="AV80" s="7" t="e">
        <v>#N/A</v>
      </c>
    </row>
    <row r="81" spans="37:48"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c r="AV81" s="7" t="e">
        <v>#N/A</v>
      </c>
    </row>
    <row r="82" spans="37:48"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c r="AV82" s="7" t="e">
        <v>#N/A</v>
      </c>
    </row>
    <row r="83" spans="37:48"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c r="AV83" s="7" t="e">
        <v>#N/A</v>
      </c>
    </row>
    <row r="84" spans="37:48"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c r="AV84" s="7" t="e">
        <v>#N/A</v>
      </c>
    </row>
    <row r="85" spans="37:48"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c r="AV85" s="7" t="e">
        <v>#N/A</v>
      </c>
    </row>
    <row r="86" spans="37:48"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c r="AV86" s="7" t="e">
        <v>#N/A</v>
      </c>
    </row>
    <row r="87" spans="37:48"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c r="AV87" s="7" t="e">
        <v>#N/A</v>
      </c>
    </row>
    <row r="88" spans="37:48"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c r="AV88" s="7" t="e">
        <v>#N/A</v>
      </c>
    </row>
    <row r="89" spans="37:48"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c r="AV89" s="7" t="e">
        <v>#N/A</v>
      </c>
    </row>
    <row r="90" spans="37:48"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c r="AV90" s="7" t="e">
        <v>#N/A</v>
      </c>
    </row>
    <row r="91" spans="37:48"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c r="AV91" s="7" t="e">
        <v>#N/A</v>
      </c>
    </row>
    <row r="92" spans="37:48"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c r="AV92" s="7" t="e">
        <v>#N/A</v>
      </c>
    </row>
    <row r="93" spans="37:48"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c r="AV93" s="7" t="e">
        <v>#N/A</v>
      </c>
    </row>
    <row r="94" spans="37:48"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c r="AV94" s="7" t="e">
        <v>#N/A</v>
      </c>
    </row>
    <row r="95" spans="37:48"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c r="AV95" s="7" t="e">
        <v>#N/A</v>
      </c>
    </row>
    <row r="96" spans="37:48"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c r="AV96" s="7" t="e">
        <v>#N/A</v>
      </c>
    </row>
    <row r="97" spans="37:48"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c r="AV97" s="7" t="e">
        <v>#N/A</v>
      </c>
    </row>
    <row r="98" spans="37:48"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c r="AV98" s="7" t="e">
        <v>#N/A</v>
      </c>
    </row>
    <row r="99" spans="37:48"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c r="AV99" s="7" t="e">
        <v>#N/A</v>
      </c>
    </row>
    <row r="100" spans="37:48"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c r="AV100" s="7" t="e">
        <v>#N/A</v>
      </c>
    </row>
    <row r="101" spans="37:48"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c r="AV101" s="7" t="e">
        <v>#N/A</v>
      </c>
    </row>
    <row r="102" spans="37:48"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c r="AV102" s="7" t="e">
        <v>#N/A</v>
      </c>
    </row>
    <row r="103" spans="37:48"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c r="AV103" s="7" t="e">
        <v>#N/A</v>
      </c>
    </row>
    <row r="104" spans="37:48"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c r="AV104" s="7" t="e">
        <v>#N/A</v>
      </c>
    </row>
    <row r="105" spans="37:48"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c r="AV105" s="7" t="e">
        <v>#N/A</v>
      </c>
    </row>
    <row r="106" spans="37:48"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c r="AV106" s="7" t="e">
        <v>#N/A</v>
      </c>
    </row>
    <row r="107" spans="37:48"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c r="AV107" s="7" t="e">
        <v>#N/A</v>
      </c>
    </row>
    <row r="108" spans="37:48"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c r="AV108" s="7" t="e">
        <v>#N/A</v>
      </c>
    </row>
    <row r="109" spans="37:48"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c r="AV109" s="7" t="e">
        <v>#N/A</v>
      </c>
    </row>
    <row r="110" spans="37:48"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c r="AV110" s="7" t="e">
        <v>#N/A</v>
      </c>
    </row>
    <row r="111" spans="37:48"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c r="AV111" s="7" t="e">
        <v>#N/A</v>
      </c>
    </row>
    <row r="112" spans="37:48"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c r="AV112" s="7" t="e">
        <v>#N/A</v>
      </c>
    </row>
    <row r="113" spans="37:48"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c r="AV113" s="7">
        <v>1.7043893646453555E-2</v>
      </c>
    </row>
    <row r="114" spans="37:48"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c r="AV114" s="7" t="e">
        <v>#N/A</v>
      </c>
    </row>
    <row r="115" spans="37:48"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c r="AV115" s="7" t="e">
        <v>#N/A</v>
      </c>
    </row>
    <row r="116" spans="37:48"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c r="AV116" s="7" t="e">
        <v>#N/A</v>
      </c>
    </row>
    <row r="117" spans="37:48"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c r="AV117" s="7" t="e">
        <v>#N/A</v>
      </c>
    </row>
    <row r="118" spans="37:48"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c r="AV118" s="7">
        <v>1.5232369994827872E-2</v>
      </c>
    </row>
    <row r="119" spans="37:48"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c r="AV119" s="7" t="e">
        <v>#N/A</v>
      </c>
    </row>
    <row r="120" spans="37:48"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c r="AV120" s="7" t="e">
        <v>#N/A</v>
      </c>
    </row>
    <row r="121" spans="37:48"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c r="AV121" s="7" t="e">
        <v>#N/A</v>
      </c>
    </row>
    <row r="122" spans="37:48"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c r="AV122" s="7" t="e">
        <v>#N/A</v>
      </c>
    </row>
    <row r="123" spans="37:48"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c r="AV123" s="7" t="e">
        <v>#N/A</v>
      </c>
    </row>
    <row r="124" spans="37:48"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c r="AV124" s="7" t="e">
        <v>#N/A</v>
      </c>
    </row>
    <row r="125" spans="37:48"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c r="AV125" s="7" t="e">
        <v>#N/A</v>
      </c>
    </row>
    <row r="126" spans="37:48"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c r="AV126" s="7" t="e">
        <v>#N/A</v>
      </c>
    </row>
    <row r="127" spans="37:48"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c r="AV127" s="7" t="e">
        <v>#N/A</v>
      </c>
    </row>
    <row r="128" spans="37:48"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c r="AV128" s="7" t="e">
        <v>#N/A</v>
      </c>
    </row>
    <row r="129" spans="37:48"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c r="AV129" s="7" t="e">
        <v>#N/A</v>
      </c>
    </row>
    <row r="130" spans="37:48"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c r="AV130" s="7" t="e">
        <v>#N/A</v>
      </c>
    </row>
    <row r="131" spans="37:48"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c r="AV131" s="7" t="e">
        <v>#N/A</v>
      </c>
    </row>
    <row r="132" spans="37:48"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c r="AV132" s="7" t="e">
        <v>#N/A</v>
      </c>
    </row>
    <row r="133" spans="37:48"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c r="AV133" s="7" t="e">
        <v>#N/A</v>
      </c>
    </row>
    <row r="134" spans="37:48"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c r="AV134" s="7" t="e">
        <v>#N/A</v>
      </c>
    </row>
    <row r="135" spans="37:48"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c r="AV135" s="7" t="e">
        <v>#N/A</v>
      </c>
    </row>
    <row r="136" spans="37:48"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c r="AV136" s="7" t="e">
        <v>#N/A</v>
      </c>
    </row>
    <row r="137" spans="37:48"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c r="AV137" s="7" t="e">
        <v>#N/A</v>
      </c>
    </row>
    <row r="138" spans="37:48"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c r="AV138" s="7" t="e">
        <v>#N/A</v>
      </c>
    </row>
    <row r="139" spans="37:48"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c r="AV139" s="7" t="e">
        <v>#N/A</v>
      </c>
    </row>
    <row r="140" spans="37:48"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c r="AV140" s="7" t="e">
        <v>#N/A</v>
      </c>
    </row>
    <row r="141" spans="37:48"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c r="AV141" s="7" t="e">
        <v>#N/A</v>
      </c>
    </row>
    <row r="142" spans="37:48"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c r="AV142" s="7" t="e">
        <v>#N/A</v>
      </c>
    </row>
    <row r="143" spans="37:48"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c r="AV143" s="7" t="e">
        <v>#N/A</v>
      </c>
    </row>
    <row r="144" spans="37:48"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c r="AV144" s="7" t="e">
        <v>#N/A</v>
      </c>
    </row>
    <row r="145" spans="37:48"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c r="AV145" s="7" t="e">
        <v>#N/A</v>
      </c>
    </row>
    <row r="146" spans="37:48"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c r="AV146" s="7" t="e">
        <v>#N/A</v>
      </c>
    </row>
    <row r="147" spans="37:48"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c r="AV147" s="7" t="e">
        <v>#N/A</v>
      </c>
    </row>
    <row r="148" spans="37:48"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c r="AV148" s="7" t="e">
        <v>#N/A</v>
      </c>
    </row>
    <row r="149" spans="37:48"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c r="AV149" s="7" t="e">
        <v>#N/A</v>
      </c>
    </row>
    <row r="150" spans="37:48"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c r="AV150" s="7" t="e">
        <v>#N/A</v>
      </c>
    </row>
    <row r="151" spans="37:48"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c r="AV151" s="7" t="e">
        <v>#N/A</v>
      </c>
    </row>
    <row r="152" spans="37:48"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c r="AV152" s="7" t="e">
        <v>#N/A</v>
      </c>
    </row>
    <row r="153" spans="37:48"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c r="AV153" s="7" t="e">
        <v>#N/A</v>
      </c>
    </row>
    <row r="154" spans="37:48"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c r="AV154" s="7" t="e">
        <v>#N/A</v>
      </c>
    </row>
    <row r="155" spans="37:48"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c r="AV155" s="7" t="e">
        <v>#N/A</v>
      </c>
    </row>
    <row r="156" spans="37:48"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c r="AV156" s="7" t="e">
        <v>#N/A</v>
      </c>
    </row>
    <row r="157" spans="37:48"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c r="AV157" s="7" t="e">
        <v>#N/A</v>
      </c>
    </row>
    <row r="158" spans="37:48"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c r="AV158" s="7" t="e">
        <v>#N/A</v>
      </c>
    </row>
    <row r="159" spans="37:48"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c r="AV159" s="7" t="e">
        <v>#N/A</v>
      </c>
    </row>
    <row r="160" spans="37:48"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c r="AV160" s="7" t="e">
        <v>#N/A</v>
      </c>
    </row>
    <row r="161" spans="37:48"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c r="AV161" s="7" t="e">
        <v>#N/A</v>
      </c>
    </row>
    <row r="162" spans="37:48"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c r="AV162" s="7" t="e">
        <v>#N/A</v>
      </c>
    </row>
    <row r="163" spans="37:48"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c r="AV163" s="7" t="e">
        <v>#N/A</v>
      </c>
    </row>
    <row r="164" spans="37:48"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c r="AV164" s="7" t="e">
        <v>#N/A</v>
      </c>
    </row>
    <row r="165" spans="37:48"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c r="AV165" s="7" t="e">
        <v>#N/A</v>
      </c>
    </row>
    <row r="166" spans="37:48"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c r="AV166" s="7" t="e">
        <v>#N/A</v>
      </c>
    </row>
    <row r="167" spans="37:48"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c r="AV167" s="7">
        <v>1.1411024261701269E-2</v>
      </c>
    </row>
    <row r="168" spans="37:48"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c r="AV168" s="7" t="e">
        <v>#N/A</v>
      </c>
    </row>
    <row r="169" spans="37:48"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c r="AV169" s="7" t="e">
        <v>#N/A</v>
      </c>
    </row>
    <row r="170" spans="37:48"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c r="AV170" s="7" t="e">
        <v>#N/A</v>
      </c>
    </row>
    <row r="171" spans="37:48"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c r="AV171" s="7" t="e">
        <v>#N/A</v>
      </c>
    </row>
    <row r="172" spans="37:48"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c r="AV172" s="7" t="e">
        <v>#N/A</v>
      </c>
    </row>
    <row r="173" spans="37:48"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c r="AV173" s="7" t="e">
        <v>#N/A</v>
      </c>
    </row>
    <row r="174" spans="37:48"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c r="AV174" s="7" t="e">
        <v>#N/A</v>
      </c>
    </row>
    <row r="175" spans="37:48"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c r="AV175" s="7" t="e">
        <v>#N/A</v>
      </c>
    </row>
    <row r="176" spans="37:48"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c r="AV176" s="7" t="e">
        <v>#N/A</v>
      </c>
    </row>
    <row r="177" spans="37:48"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c r="AV177" s="7" t="e">
        <v>#N/A</v>
      </c>
    </row>
    <row r="178" spans="37:48"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c r="AV178" s="7" t="e">
        <v>#N/A</v>
      </c>
    </row>
    <row r="179" spans="37:48"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c r="AV179" s="7" t="e">
        <v>#N/A</v>
      </c>
    </row>
    <row r="180" spans="37:48"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c r="AV180" s="7" t="e">
        <v>#N/A</v>
      </c>
    </row>
    <row r="181" spans="37:48"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c r="AV181" s="7" t="e">
        <v>#N/A</v>
      </c>
    </row>
    <row r="182" spans="37:48"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c r="AV182" s="7" t="e">
        <v>#N/A</v>
      </c>
    </row>
    <row r="183" spans="37:48"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c r="AV183" s="7" t="e">
        <v>#N/A</v>
      </c>
    </row>
    <row r="184" spans="37:48"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c r="AV184" s="7" t="e">
        <v>#N/A</v>
      </c>
    </row>
    <row r="185" spans="37:48"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c r="AV185" s="7" t="e">
        <v>#N/A</v>
      </c>
    </row>
    <row r="186" spans="37:48"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c r="AV186" s="7" t="e">
        <v>#N/A</v>
      </c>
    </row>
    <row r="187" spans="37:48"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c r="AV187" s="7" t="e">
        <v>#N/A</v>
      </c>
    </row>
    <row r="188" spans="37:48"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c r="AV188" s="7" t="e">
        <v>#N/A</v>
      </c>
    </row>
    <row r="189" spans="37:48"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c r="AV189" s="7" t="e">
        <v>#N/A</v>
      </c>
    </row>
    <row r="190" spans="37:48"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c r="AV190" s="7" t="e">
        <v>#N/A</v>
      </c>
    </row>
    <row r="191" spans="37:48"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c r="AV191" s="7" t="e">
        <v>#N/A</v>
      </c>
    </row>
    <row r="192" spans="37:48"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c r="AV192" s="7" t="e">
        <v>#N/A</v>
      </c>
    </row>
    <row r="193" spans="37:48"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c r="AV193" s="7" t="e">
        <v>#N/A</v>
      </c>
    </row>
    <row r="194" spans="37:48"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c r="AV194" s="7" t="e">
        <v>#N/A</v>
      </c>
    </row>
    <row r="195" spans="37:48"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c r="AV195" s="7" t="e">
        <v>#N/A</v>
      </c>
    </row>
    <row r="196" spans="37:48"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c r="AV196" s="7" t="e">
        <v>#N/A</v>
      </c>
    </row>
    <row r="197" spans="37:48"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c r="AV197" s="7" t="e">
        <v>#N/A</v>
      </c>
    </row>
    <row r="198" spans="37:48"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c r="AV198" s="7" t="e">
        <v>#N/A</v>
      </c>
    </row>
    <row r="199" spans="37:48"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c r="AV199" s="7" t="e">
        <v>#N/A</v>
      </c>
    </row>
    <row r="200" spans="37:48"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c r="AV200" s="7" t="e">
        <v>#N/A</v>
      </c>
    </row>
    <row r="201" spans="37:48"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c r="AV201" s="7" t="e">
        <v>#N/A</v>
      </c>
    </row>
    <row r="202" spans="37:48"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c r="AV202" s="7" t="e">
        <v>#N/A</v>
      </c>
    </row>
    <row r="203" spans="37:48"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c r="AV203" s="7" t="e">
        <v>#N/A</v>
      </c>
    </row>
    <row r="204" spans="37:48"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c r="AV204" s="7" t="e">
        <v>#N/A</v>
      </c>
    </row>
    <row r="205" spans="37:48"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c r="AV205" s="7" t="e">
        <v>#N/A</v>
      </c>
    </row>
    <row r="206" spans="37:48"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c r="AV206" s="7" t="e">
        <v>#N/A</v>
      </c>
    </row>
    <row r="207" spans="37:48"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c r="AV207" s="7" t="e">
        <v>#N/A</v>
      </c>
    </row>
    <row r="208" spans="37:48"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c r="AV208" s="7" t="e">
        <v>#N/A</v>
      </c>
    </row>
    <row r="209" spans="37:48"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c r="AV209" s="7" t="e">
        <v>#N/A</v>
      </c>
    </row>
    <row r="210" spans="37:48"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c r="AV210" s="7" t="e">
        <v>#N/A</v>
      </c>
    </row>
    <row r="211" spans="37:48"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c r="AV211" s="7" t="e">
        <v>#N/A</v>
      </c>
    </row>
    <row r="212" spans="37:48"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c r="AV212" s="7" t="e">
        <v>#N/A</v>
      </c>
    </row>
    <row r="213" spans="37:48"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c r="AV213" s="7" t="e">
        <v>#N/A</v>
      </c>
    </row>
    <row r="214" spans="37:48"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c r="AV214" s="7" t="e">
        <v>#N/A</v>
      </c>
    </row>
    <row r="215" spans="37:48"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c r="AV215" s="7" t="e">
        <v>#N/A</v>
      </c>
    </row>
    <row r="216" spans="37:48"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c r="AV216" s="7" t="e">
        <v>#N/A</v>
      </c>
    </row>
    <row r="217" spans="37:48"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c r="AV217" s="7" t="e">
        <v>#N/A</v>
      </c>
    </row>
    <row r="218" spans="37:48"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c r="AV218" s="7" t="e">
        <v>#N/A</v>
      </c>
    </row>
    <row r="219" spans="37:48"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c r="AV219" s="7" t="e">
        <v>#N/A</v>
      </c>
    </row>
    <row r="220" spans="37:48"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c r="AV220" s="7" t="e">
        <v>#N/A</v>
      </c>
    </row>
    <row r="221" spans="37:48"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c r="AV221" s="7" t="e">
        <v>#N/A</v>
      </c>
    </row>
    <row r="222" spans="37:48"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c r="AV222" s="7" t="e">
        <v>#N/A</v>
      </c>
    </row>
    <row r="223" spans="37:48"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c r="AV223" s="7" t="e">
        <v>#N/A</v>
      </c>
    </row>
    <row r="224" spans="37:48"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c r="AV224" s="7" t="e">
        <v>#N/A</v>
      </c>
    </row>
    <row r="225" spans="37:48"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c r="AV225" s="7" t="e">
        <v>#N/A</v>
      </c>
    </row>
    <row r="226" spans="37:48"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c r="AV226" s="7" t="e">
        <v>#N/A</v>
      </c>
    </row>
    <row r="227" spans="37:48"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c r="AV227" s="7" t="e">
        <v>#N/A</v>
      </c>
    </row>
    <row r="228" spans="37:48"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c r="AV228" s="7" t="e">
        <v>#N/A</v>
      </c>
    </row>
    <row r="229" spans="37:48"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c r="AV229" s="7" t="e">
        <v>#N/A</v>
      </c>
    </row>
    <row r="230" spans="37:48"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c r="AV230" s="7" t="e">
        <v>#N/A</v>
      </c>
    </row>
    <row r="231" spans="37:48"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c r="AV231" s="7" t="e">
        <v>#N/A</v>
      </c>
    </row>
    <row r="232" spans="37:48"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c r="AV232" s="7" t="e">
        <v>#N/A</v>
      </c>
    </row>
    <row r="233" spans="37:48"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c r="AV233" s="7" t="e">
        <v>#N/A</v>
      </c>
    </row>
    <row r="234" spans="37:48"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c r="AV234" s="7" t="e">
        <v>#N/A</v>
      </c>
    </row>
    <row r="235" spans="37:48"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c r="AV235" s="7" t="e">
        <v>#N/A</v>
      </c>
    </row>
    <row r="236" spans="37:48"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c r="AV236" s="7" t="e">
        <v>#N/A</v>
      </c>
    </row>
    <row r="237" spans="37:48"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c r="AV237" s="7" t="e">
        <v>#N/A</v>
      </c>
    </row>
    <row r="238" spans="37:48"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c r="AV238" s="7" t="e">
        <v>#N/A</v>
      </c>
    </row>
    <row r="239" spans="37:48"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c r="AV239" s="7">
        <v>1.1643930329232586E-2</v>
      </c>
    </row>
    <row r="240" spans="37:48"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c r="AV240" s="7" t="e">
        <v>#N/A</v>
      </c>
    </row>
    <row r="241" spans="37:48"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c r="AV241" s="7" t="e">
        <v>#N/A</v>
      </c>
    </row>
    <row r="242" spans="37:48"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c r="AV242" s="7" t="e">
        <v>#N/A</v>
      </c>
    </row>
    <row r="243" spans="37:48"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c r="AV243" s="7" t="e">
        <v>#N/A</v>
      </c>
    </row>
    <row r="244" spans="37:48"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c r="AV244" s="7" t="e">
        <v>#N/A</v>
      </c>
    </row>
    <row r="245" spans="37:48"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c r="AV245" s="7">
        <v>4.6959959279888761E-2</v>
      </c>
    </row>
    <row r="246" spans="37:48"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c r="AV246" s="7">
        <v>1.4175460654412718E-2</v>
      </c>
    </row>
    <row r="247" spans="37:48"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c r="AV247" s="7" t="e">
        <v>#N/A</v>
      </c>
    </row>
    <row r="248" spans="37:48"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c r="AV248" s="7">
        <v>2.409028614825447E-2</v>
      </c>
    </row>
    <row r="249" spans="37:48"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c r="AV249" s="7" t="e">
        <v>#N/A</v>
      </c>
    </row>
    <row r="250" spans="37:48"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c r="AV250" s="7" t="e">
        <v>#N/A</v>
      </c>
    </row>
    <row r="251" spans="37:48"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c r="AV251" s="7" t="e">
        <v>#N/A</v>
      </c>
    </row>
    <row r="252" spans="37:48"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c r="AV252" s="7" t="e">
        <v>#N/A</v>
      </c>
    </row>
    <row r="253" spans="37:48"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c r="AV253" s="7" t="e">
        <v>#N/A</v>
      </c>
    </row>
    <row r="254" spans="37:48"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c r="AV254" s="7" t="e">
        <v>#N/A</v>
      </c>
    </row>
    <row r="255" spans="37:48"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c r="AV255" s="7" t="e">
        <v>#N/A</v>
      </c>
    </row>
    <row r="256" spans="37:48"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c r="AV256" s="7" t="e">
        <v>#N/A</v>
      </c>
    </row>
    <row r="257" spans="37:48"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c r="AV257" s="7" t="e">
        <v>#N/A</v>
      </c>
    </row>
    <row r="258" spans="37:48"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c r="AV258" s="7" t="e">
        <v>#N/A</v>
      </c>
    </row>
    <row r="259" spans="37:48"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c r="AV259" s="7" t="e">
        <v>#N/A</v>
      </c>
    </row>
    <row r="260" spans="37:48"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c r="AV260" s="7" t="e">
        <v>#N/A</v>
      </c>
    </row>
    <row r="261" spans="37:48"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c r="AV261" s="7" t="e">
        <v>#N/A</v>
      </c>
    </row>
    <row r="262" spans="37:48"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c r="AV262" s="7" t="e">
        <v>#N/A</v>
      </c>
    </row>
    <row r="263" spans="37:48"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c r="AV263" s="7" t="e">
        <v>#N/A</v>
      </c>
    </row>
    <row r="264" spans="37:48"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c r="AV264" s="7" t="e">
        <v>#N/A</v>
      </c>
    </row>
    <row r="265" spans="37:48"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c r="AV265" s="7" t="e">
        <v>#N/A</v>
      </c>
    </row>
    <row r="266" spans="37:48"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c r="AV266" s="7" t="e">
        <v>#N/A</v>
      </c>
    </row>
    <row r="267" spans="37:48"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c r="AV267" s="7" t="e">
        <v>#N/A</v>
      </c>
    </row>
    <row r="268" spans="37:48"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c r="AV268" s="7" t="e">
        <v>#N/A</v>
      </c>
    </row>
    <row r="269" spans="37:48"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c r="AV269" s="7" t="e">
        <v>#N/A</v>
      </c>
    </row>
    <row r="270" spans="37:48"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c r="AV270" s="7" t="e">
        <v>#N/A</v>
      </c>
    </row>
    <row r="271" spans="37:48"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c r="AV271" s="7" t="e">
        <v>#N/A</v>
      </c>
    </row>
    <row r="272" spans="37:48"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c r="AV272" s="7" t="e">
        <v>#N/A</v>
      </c>
    </row>
    <row r="273" spans="37:48"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c r="AV273" s="7" t="e">
        <v>#N/A</v>
      </c>
    </row>
    <row r="274" spans="37:48"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c r="AV274" s="7" t="e">
        <v>#N/A</v>
      </c>
    </row>
    <row r="275" spans="37:48"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c r="AV275" s="7" t="e">
        <v>#N/A</v>
      </c>
    </row>
    <row r="276" spans="37:48"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c r="AV276" s="7">
        <v>1.3507185613380037E-2</v>
      </c>
    </row>
    <row r="277" spans="37:48"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c r="AV277" s="7" t="e">
        <v>#N/A</v>
      </c>
    </row>
    <row r="278" spans="37:48"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c r="AV278" s="7">
        <v>1.1369816866149523E-2</v>
      </c>
    </row>
    <row r="279" spans="37:48"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c r="AV279" s="7" t="e">
        <v>#N/A</v>
      </c>
    </row>
    <row r="280" spans="37:48"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c r="AV280" s="7" t="e">
        <v>#N/A</v>
      </c>
    </row>
    <row r="281" spans="37:48"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c r="AV281" s="7" t="e">
        <v>#N/A</v>
      </c>
    </row>
    <row r="282" spans="37:48"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c r="AV282" s="7" t="e">
        <v>#N/A</v>
      </c>
    </row>
    <row r="283" spans="37:48"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c r="AV283" s="7" t="e">
        <v>#N/A</v>
      </c>
    </row>
    <row r="284" spans="37:48"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c r="AV284" s="7" t="e">
        <v>#N/A</v>
      </c>
    </row>
    <row r="285" spans="37:48"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c r="AV285" s="7" t="e">
        <v>#N/A</v>
      </c>
    </row>
    <row r="286" spans="37:48"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c r="AV286" s="7" t="e">
        <v>#N/A</v>
      </c>
    </row>
    <row r="287" spans="37:48"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c r="AV287" s="7" t="e">
        <v>#N/A</v>
      </c>
    </row>
    <row r="288" spans="37:48"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c r="AV288" s="7" t="e">
        <v>#N/A</v>
      </c>
    </row>
    <row r="289" spans="37:48"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c r="AV289" s="7" t="e">
        <v>#N/A</v>
      </c>
    </row>
    <row r="290" spans="37:48"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c r="AV290" s="7" t="e">
        <v>#N/A</v>
      </c>
    </row>
    <row r="291" spans="37:48"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c r="AV291" s="7" t="e">
        <v>#N/A</v>
      </c>
    </row>
    <row r="292" spans="37:48"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c r="AV292" s="7" t="e">
        <v>#N/A</v>
      </c>
    </row>
    <row r="293" spans="37:48"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c r="AV293" s="7" t="e">
        <v>#N/A</v>
      </c>
    </row>
    <row r="294" spans="37:48"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c r="AV294" s="7" t="e">
        <v>#N/A</v>
      </c>
    </row>
    <row r="295" spans="37:48"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c r="AV295" s="7" t="e">
        <v>#N/A</v>
      </c>
    </row>
    <row r="296" spans="37:48"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c r="AV296" s="7" t="e">
        <v>#N/A</v>
      </c>
    </row>
    <row r="297" spans="37:48"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c r="AV297" s="7" t="e">
        <v>#N/A</v>
      </c>
    </row>
    <row r="298" spans="37:48"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c r="AV298" s="7" t="e">
        <v>#N/A</v>
      </c>
    </row>
    <row r="299" spans="37:48"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c r="AV299" s="7" t="e">
        <v>#N/A</v>
      </c>
    </row>
    <row r="300" spans="37:48"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c r="AV300" s="7" t="e">
        <v>#N/A</v>
      </c>
    </row>
    <row r="301" spans="37:48"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c r="AV301" s="7" t="e">
        <v>#N/A</v>
      </c>
    </row>
    <row r="302" spans="37:48"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c r="AV302" s="7" t="e">
        <v>#N/A</v>
      </c>
    </row>
    <row r="303" spans="37:48"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c r="AV303" s="7" t="e">
        <v>#N/A</v>
      </c>
    </row>
    <row r="304" spans="37:48"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c r="AV304" s="7" t="e">
        <v>#N/A</v>
      </c>
    </row>
    <row r="305" spans="37:48"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c r="AV305" s="7" t="e">
        <v>#N/A</v>
      </c>
    </row>
    <row r="306" spans="37:48"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c r="AV306" s="7" t="e">
        <v>#N/A</v>
      </c>
    </row>
    <row r="307" spans="37:48"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c r="AV307" s="7" t="e">
        <v>#N/A</v>
      </c>
    </row>
    <row r="308" spans="37:48"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c r="AV308" s="7" t="e">
        <v>#N/A</v>
      </c>
    </row>
    <row r="309" spans="37:48"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c r="AV309" s="7" t="e">
        <v>#N/A</v>
      </c>
    </row>
    <row r="310" spans="37:48"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c r="AV310" s="7">
        <v>1.1625515480960857E-2</v>
      </c>
    </row>
    <row r="311" spans="37:48"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c r="AV311" s="7" t="e">
        <v>#N/A</v>
      </c>
    </row>
    <row r="312" spans="37:48"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c r="AV312" s="7" t="e">
        <v>#N/A</v>
      </c>
    </row>
    <row r="313" spans="37:48"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c r="AV313" s="7" t="e">
        <v>#N/A</v>
      </c>
    </row>
    <row r="314" spans="37:48"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c r="AV314" s="7" t="e">
        <v>#N/A</v>
      </c>
    </row>
    <row r="315" spans="37:48"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c r="AV315" s="7" t="e">
        <v>#N/A</v>
      </c>
    </row>
    <row r="316" spans="37:48"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c r="AV316" s="7" t="e">
        <v>#N/A</v>
      </c>
    </row>
    <row r="317" spans="37:48"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c r="AV317" s="7">
        <v>2.2225518853665093E-2</v>
      </c>
    </row>
    <row r="318" spans="37:48"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c r="AV318" s="7" t="e">
        <v>#N/A</v>
      </c>
    </row>
    <row r="319" spans="37:48"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c r="AV319" s="7" t="e">
        <v>#N/A</v>
      </c>
    </row>
    <row r="320" spans="37:48"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c r="AV320" s="7" t="e">
        <v>#N/A</v>
      </c>
    </row>
    <row r="321" spans="37:48"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c r="AV321" s="7" t="e">
        <v>#N/A</v>
      </c>
    </row>
    <row r="322" spans="37:48"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c r="AV322" s="7" t="e">
        <v>#N/A</v>
      </c>
    </row>
    <row r="323" spans="37:48"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c r="AV323" s="7">
        <v>3.1509345424163913E-2</v>
      </c>
    </row>
    <row r="324" spans="37:48"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c r="AV324" s="7" t="e">
        <v>#N/A</v>
      </c>
    </row>
    <row r="325" spans="37:48"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c r="AV325" s="7" t="e">
        <v>#N/A</v>
      </c>
    </row>
    <row r="326" spans="37:48"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c r="AV326" s="7">
        <v>2.0873683660506931E-2</v>
      </c>
    </row>
    <row r="327" spans="37:48"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c r="AV327" s="7">
        <v>2.4238765461914558E-2</v>
      </c>
    </row>
    <row r="328" spans="37:48"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c r="AV328" s="7" t="e">
        <v>#N/A</v>
      </c>
    </row>
    <row r="329" spans="37:48"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c r="AV329" s="7" t="e">
        <v>#N/A</v>
      </c>
    </row>
    <row r="330" spans="37:48"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c r="AV330" s="7">
        <v>1.5138834664552051E-2</v>
      </c>
    </row>
    <row r="331" spans="37:48"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c r="AV331" s="7" t="e">
        <v>#N/A</v>
      </c>
    </row>
    <row r="332" spans="37:48"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c r="AV332" s="7">
        <v>2.0426309022841115E-2</v>
      </c>
    </row>
    <row r="333" spans="37:48"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c r="AV333" s="7" t="e">
        <v>#N/A</v>
      </c>
    </row>
    <row r="334" spans="37:48"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c r="AV334" s="7">
        <v>3.3725966329777535E-2</v>
      </c>
    </row>
    <row r="335" spans="37:48"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c r="AV335" s="7" t="e">
        <v>#N/A</v>
      </c>
    </row>
    <row r="336" spans="37:48"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c r="AV336" s="7" t="e">
        <v>#N/A</v>
      </c>
    </row>
    <row r="337" spans="37:48"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c r="AV337" s="7" t="e">
        <v>#N/A</v>
      </c>
    </row>
    <row r="338" spans="37:48"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c r="AV338" s="7" t="e">
        <v>#N/A</v>
      </c>
    </row>
    <row r="339" spans="37:48"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c r="AV339" s="7" t="e">
        <v>#N/A</v>
      </c>
    </row>
    <row r="340" spans="37:48"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c r="AV340" s="7" t="e">
        <v>#N/A</v>
      </c>
    </row>
    <row r="341" spans="37:48"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c r="AV341" s="7" t="e">
        <v>#N/A</v>
      </c>
    </row>
    <row r="342" spans="37:48"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c r="AV342" s="7" t="e">
        <v>#N/A</v>
      </c>
    </row>
    <row r="343" spans="37:48"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c r="AV343" s="7">
        <v>1.3865269089159291E-2</v>
      </c>
    </row>
    <row r="344" spans="37:48"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c r="AV344" s="7" t="e">
        <v>#N/A</v>
      </c>
    </row>
    <row r="345" spans="37:48"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c r="AV345" s="7" t="e">
        <v>#N/A</v>
      </c>
    </row>
    <row r="346" spans="37:48"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c r="AV346" s="7" t="e">
        <v>#N/A</v>
      </c>
    </row>
    <row r="347" spans="37:48"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c r="AV347" s="7" t="e">
        <v>#N/A</v>
      </c>
    </row>
    <row r="348" spans="37:48"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c r="AV348" s="7" t="e">
        <v>#N/A</v>
      </c>
    </row>
    <row r="349" spans="37:48"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c r="AV349" s="7" t="e">
        <v>#N/A</v>
      </c>
    </row>
    <row r="350" spans="37:48"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c r="AV350" s="7" t="e">
        <v>#N/A</v>
      </c>
    </row>
    <row r="351" spans="37:48"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c r="AV351" s="7" t="e">
        <v>#N/A</v>
      </c>
    </row>
    <row r="352" spans="37:48"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c r="AV352" s="7" t="e">
        <v>#N/A</v>
      </c>
    </row>
    <row r="353" spans="37:48"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c r="AV353" s="7" t="e">
        <v>#N/A</v>
      </c>
    </row>
    <row r="354" spans="37:48"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c r="AV354" s="7" t="e">
        <v>#N/A</v>
      </c>
    </row>
    <row r="355" spans="37:48"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c r="AV355" s="7" t="e">
        <v>#N/A</v>
      </c>
    </row>
    <row r="356" spans="37:48"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c r="AV356" s="7" t="e">
        <v>#N/A</v>
      </c>
    </row>
    <row r="357" spans="37:48"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c r="AV357" s="7" t="e">
        <v>#N/A</v>
      </c>
    </row>
    <row r="358" spans="37:48"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c r="AV358" s="7" t="e">
        <v>#N/A</v>
      </c>
    </row>
    <row r="359" spans="37:48"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c r="AV359" s="7" t="e">
        <v>#N/A</v>
      </c>
    </row>
    <row r="360" spans="37:48"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c r="AV360" s="7" t="e">
        <v>#N/A</v>
      </c>
    </row>
    <row r="361" spans="37:48"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c r="AV361" s="7" t="e">
        <v>#N/A</v>
      </c>
    </row>
    <row r="362" spans="37:48"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c r="AV362" s="7" t="e">
        <v>#N/A</v>
      </c>
    </row>
    <row r="363" spans="37:48"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c r="AV363" s="7">
        <v>1.0279387077060626E-2</v>
      </c>
    </row>
    <row r="364" spans="37:48"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c r="AV364" s="7">
        <v>1.4946822807055393E-2</v>
      </c>
    </row>
    <row r="365" spans="37:48"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c r="AV365" s="7" t="e">
        <v>#N/A</v>
      </c>
    </row>
    <row r="366" spans="37:48"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c r="AV366" s="7" t="e">
        <v>#N/A</v>
      </c>
    </row>
    <row r="367" spans="37:48"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c r="AV367" s="7" t="e">
        <v>#N/A</v>
      </c>
    </row>
    <row r="368" spans="37:48"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c r="AV368" s="7" t="e">
        <v>#N/A</v>
      </c>
    </row>
    <row r="369" spans="37:48"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c r="AV369" s="7" t="e">
        <v>#N/A</v>
      </c>
    </row>
    <row r="370" spans="37:48"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c r="AV370" s="7" t="e">
        <v>#N/A</v>
      </c>
    </row>
    <row r="371" spans="37:48"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c r="AV371" s="7" t="e">
        <v>#N/A</v>
      </c>
    </row>
    <row r="372" spans="37:48"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c r="AV372" s="7" t="e">
        <v>#N/A</v>
      </c>
    </row>
    <row r="373" spans="37:48"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c r="AV373" s="7" t="e">
        <v>#N/A</v>
      </c>
    </row>
    <row r="374" spans="37:48"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c r="AV374" s="7" t="e">
        <v>#N/A</v>
      </c>
    </row>
    <row r="375" spans="37:48"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c r="AV375" s="7" t="e">
        <v>#N/A</v>
      </c>
    </row>
    <row r="376" spans="37:48"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c r="AV376" s="7" t="e">
        <v>#N/A</v>
      </c>
    </row>
    <row r="377" spans="37:48"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c r="AV377" s="7" t="e">
        <v>#N/A</v>
      </c>
    </row>
    <row r="378" spans="37:48"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c r="AV378" s="7" t="e">
        <v>#N/A</v>
      </c>
    </row>
    <row r="379" spans="37:48"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c r="AV379" s="7" t="e">
        <v>#N/A</v>
      </c>
    </row>
    <row r="380" spans="37:48"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c r="AV380" s="7" t="e">
        <v>#N/A</v>
      </c>
    </row>
    <row r="381" spans="37:48"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c r="AV381" s="7" t="e">
        <v>#N/A</v>
      </c>
    </row>
    <row r="382" spans="37:48"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c r="AV382" s="7" t="e">
        <v>#N/A</v>
      </c>
    </row>
    <row r="383" spans="37:48"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c r="AV383" s="7" t="e">
        <v>#N/A</v>
      </c>
    </row>
    <row r="384" spans="37:48"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c r="AV384" s="7">
        <v>2.4396798261845723E-2</v>
      </c>
    </row>
    <row r="385" spans="37:48"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c r="AV385" s="7" t="e">
        <v>#N/A</v>
      </c>
    </row>
    <row r="386" spans="37:48"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c r="AV386" s="7">
        <v>1.1725485358042654E-2</v>
      </c>
    </row>
    <row r="387" spans="37:48"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c r="AV387" s="7" t="e">
        <v>#N/A</v>
      </c>
    </row>
    <row r="388" spans="37:48"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c r="AV388" s="7" t="e">
        <v>#N/A</v>
      </c>
    </row>
    <row r="389" spans="37:48"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c r="AV389" s="7" t="e">
        <v>#N/A</v>
      </c>
    </row>
    <row r="390" spans="37:48"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c r="AV390" s="7" t="e">
        <v>#N/A</v>
      </c>
    </row>
    <row r="391" spans="37:48"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c r="AV391" s="7">
        <v>2.7739153271081101E-2</v>
      </c>
    </row>
    <row r="392" spans="37:48"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c r="AV392" s="7" t="e">
        <v>#N/A</v>
      </c>
    </row>
    <row r="393" spans="37:48"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c r="AV393" s="7" t="e">
        <v>#N/A</v>
      </c>
    </row>
    <row r="394" spans="37:48"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c r="AV394"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10AC0-918E-4E9C-8483-556921A00531}">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1614</v>
      </c>
      <c r="B19" s="2" t="s">
        <v>1615</v>
      </c>
      <c r="C19" s="2" t="s">
        <v>1616</v>
      </c>
      <c r="D19" s="2" t="s">
        <v>1617</v>
      </c>
    </row>
    <row r="20" spans="1:4" ht="30" x14ac:dyDescent="0.25">
      <c r="A20" s="2" t="s">
        <v>104</v>
      </c>
      <c r="B20" s="2" t="s">
        <v>1618</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1619</v>
      </c>
      <c r="B37" s="2" t="s">
        <v>1620</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600" topLeftCell="A21"/>
      <selection activeCell="G23" sqref="G23"/>
      <selection pane="bottomLeft" activeCell="A21" sqref="A21"/>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841</v>
      </c>
      <c r="C1" s="2" t="s">
        <v>1</v>
      </c>
      <c r="D1" s="2" t="s">
        <v>2</v>
      </c>
      <c r="E1" s="2" t="s">
        <v>3</v>
      </c>
      <c r="F1" s="2" t="s">
        <v>4</v>
      </c>
      <c r="G1" s="2" t="s">
        <v>5</v>
      </c>
    </row>
    <row r="2" spans="1:7" ht="90" x14ac:dyDescent="0.25">
      <c r="A2" s="2" t="s">
        <v>6</v>
      </c>
      <c r="B2" s="2" t="s">
        <v>842</v>
      </c>
      <c r="C2" s="1" t="s">
        <v>7</v>
      </c>
      <c r="D2" s="2" t="s">
        <v>8</v>
      </c>
      <c r="E2" s="2" t="s">
        <v>9</v>
      </c>
      <c r="F2" s="2" t="s">
        <v>10</v>
      </c>
      <c r="G2" s="2" t="s">
        <v>11</v>
      </c>
    </row>
    <row r="3" spans="1:7" ht="105" x14ac:dyDescent="0.25">
      <c r="A3" s="2" t="s">
        <v>765</v>
      </c>
      <c r="B3" s="2" t="s">
        <v>842</v>
      </c>
      <c r="C3" s="1" t="s">
        <v>12</v>
      </c>
      <c r="D3" s="2" t="s">
        <v>13</v>
      </c>
      <c r="E3" s="2" t="s">
        <v>14</v>
      </c>
      <c r="F3" s="2" t="s">
        <v>15</v>
      </c>
      <c r="G3" s="2" t="s">
        <v>16</v>
      </c>
    </row>
    <row r="4" spans="1:7" ht="105" x14ac:dyDescent="0.25">
      <c r="A4" s="2" t="s">
        <v>766</v>
      </c>
      <c r="B4" s="2" t="s">
        <v>842</v>
      </c>
      <c r="C4" s="1" t="s">
        <v>17</v>
      </c>
      <c r="D4" s="2" t="s">
        <v>18</v>
      </c>
      <c r="E4" s="2" t="s">
        <v>19</v>
      </c>
      <c r="F4" s="2" t="s">
        <v>20</v>
      </c>
      <c r="G4" s="2" t="s">
        <v>21</v>
      </c>
    </row>
    <row r="5" spans="1:7" ht="120" x14ac:dyDescent="0.25">
      <c r="A5" s="2" t="s">
        <v>767</v>
      </c>
      <c r="B5" s="2" t="s">
        <v>842</v>
      </c>
      <c r="C5" s="1" t="s">
        <v>22</v>
      </c>
      <c r="D5" s="2" t="s">
        <v>23</v>
      </c>
      <c r="E5" s="2" t="s">
        <v>24</v>
      </c>
      <c r="F5" s="2" t="s">
        <v>25</v>
      </c>
      <c r="G5" s="2" t="s">
        <v>768</v>
      </c>
    </row>
    <row r="6" spans="1:7" ht="240" x14ac:dyDescent="0.25">
      <c r="A6" s="2" t="s">
        <v>769</v>
      </c>
      <c r="B6" s="2" t="s">
        <v>842</v>
      </c>
      <c r="C6" s="1" t="s">
        <v>1625</v>
      </c>
      <c r="D6" s="2" t="s">
        <v>1626</v>
      </c>
      <c r="E6" s="2" t="s">
        <v>1627</v>
      </c>
      <c r="F6" s="2" t="s">
        <v>1628</v>
      </c>
      <c r="G6" s="2" t="s">
        <v>1629</v>
      </c>
    </row>
    <row r="7" spans="1:7" ht="120" x14ac:dyDescent="0.25">
      <c r="A7" s="2" t="s">
        <v>26</v>
      </c>
      <c r="B7" s="2" t="s">
        <v>842</v>
      </c>
      <c r="C7" s="1" t="s">
        <v>770</v>
      </c>
      <c r="D7" s="2" t="s">
        <v>23</v>
      </c>
      <c r="E7" s="2" t="s">
        <v>27</v>
      </c>
      <c r="F7" s="2" t="s">
        <v>28</v>
      </c>
      <c r="G7" s="2" t="s">
        <v>771</v>
      </c>
    </row>
    <row r="8" spans="1:7" ht="210" x14ac:dyDescent="0.25">
      <c r="A8" s="2" t="s">
        <v>772</v>
      </c>
      <c r="B8" s="2" t="s">
        <v>842</v>
      </c>
      <c r="C8" s="1" t="s">
        <v>1630</v>
      </c>
      <c r="D8" s="2" t="s">
        <v>1631</v>
      </c>
      <c r="E8" s="2" t="s">
        <v>29</v>
      </c>
      <c r="F8" s="2" t="s">
        <v>30</v>
      </c>
      <c r="G8" s="2" t="s">
        <v>1632</v>
      </c>
    </row>
    <row r="9" spans="1:7" ht="120" x14ac:dyDescent="0.25">
      <c r="A9" s="2" t="s">
        <v>31</v>
      </c>
      <c r="B9" s="2" t="s">
        <v>842</v>
      </c>
      <c r="C9" s="1" t="s">
        <v>32</v>
      </c>
      <c r="D9" s="2" t="s">
        <v>18</v>
      </c>
      <c r="E9" s="2" t="s">
        <v>33</v>
      </c>
      <c r="F9" s="2" t="s">
        <v>34</v>
      </c>
      <c r="G9" s="2" t="s">
        <v>35</v>
      </c>
    </row>
    <row r="10" spans="1:7" ht="120" x14ac:dyDescent="0.25">
      <c r="A10" s="2" t="s">
        <v>36</v>
      </c>
      <c r="B10" s="2" t="s">
        <v>842</v>
      </c>
      <c r="C10" s="1" t="s">
        <v>773</v>
      </c>
      <c r="D10" s="2" t="s">
        <v>23</v>
      </c>
      <c r="E10" s="2" t="s">
        <v>37</v>
      </c>
      <c r="F10" s="2" t="s">
        <v>38</v>
      </c>
      <c r="G10" s="2" t="s">
        <v>774</v>
      </c>
    </row>
    <row r="11" spans="1:7" ht="120" x14ac:dyDescent="0.25">
      <c r="A11" s="2" t="s">
        <v>39</v>
      </c>
      <c r="B11" s="2" t="s">
        <v>842</v>
      </c>
      <c r="C11" s="1" t="s">
        <v>775</v>
      </c>
      <c r="D11" s="2" t="s">
        <v>23</v>
      </c>
      <c r="E11" s="2" t="s">
        <v>40</v>
      </c>
      <c r="F11" s="2" t="s">
        <v>41</v>
      </c>
      <c r="G11" s="2" t="s">
        <v>776</v>
      </c>
    </row>
    <row r="12" spans="1:7" ht="120" x14ac:dyDescent="0.25">
      <c r="A12" s="2" t="s">
        <v>42</v>
      </c>
      <c r="B12" s="2" t="s">
        <v>842</v>
      </c>
      <c r="C12" s="1" t="s">
        <v>777</v>
      </c>
      <c r="D12" s="2" t="s">
        <v>23</v>
      </c>
      <c r="E12" s="2" t="s">
        <v>43</v>
      </c>
      <c r="F12" s="2" t="s">
        <v>44</v>
      </c>
      <c r="G12" s="2" t="s">
        <v>45</v>
      </c>
    </row>
    <row r="13" spans="1:7" ht="210" x14ac:dyDescent="0.25">
      <c r="A13" s="2" t="s">
        <v>46</v>
      </c>
      <c r="B13" s="2" t="s">
        <v>842</v>
      </c>
      <c r="C13" s="1" t="s">
        <v>1633</v>
      </c>
      <c r="D13" s="2" t="s">
        <v>1631</v>
      </c>
      <c r="E13" s="2" t="s">
        <v>47</v>
      </c>
      <c r="F13" s="2" t="s">
        <v>48</v>
      </c>
      <c r="G13" s="2" t="s">
        <v>1634</v>
      </c>
    </row>
    <row r="14" spans="1:7" ht="210" x14ac:dyDescent="0.25">
      <c r="A14" s="2" t="s">
        <v>49</v>
      </c>
      <c r="B14" s="2" t="s">
        <v>842</v>
      </c>
      <c r="C14" s="1" t="s">
        <v>1635</v>
      </c>
      <c r="D14" s="2" t="s">
        <v>1631</v>
      </c>
      <c r="E14" s="2" t="s">
        <v>50</v>
      </c>
      <c r="F14" s="2" t="s">
        <v>51</v>
      </c>
      <c r="G14" s="2" t="s">
        <v>1636</v>
      </c>
    </row>
    <row r="15" spans="1:7" ht="120" x14ac:dyDescent="0.25">
      <c r="A15" s="2" t="s">
        <v>52</v>
      </c>
      <c r="B15" s="2" t="s">
        <v>842</v>
      </c>
      <c r="C15" s="1" t="s">
        <v>812</v>
      </c>
      <c r="D15" s="2" t="s">
        <v>23</v>
      </c>
      <c r="E15" s="2" t="s">
        <v>53</v>
      </c>
      <c r="F15" s="2" t="s">
        <v>54</v>
      </c>
      <c r="G15" s="2" t="s">
        <v>817</v>
      </c>
    </row>
    <row r="16" spans="1:7" ht="240" x14ac:dyDescent="0.25">
      <c r="A16" s="2" t="s">
        <v>55</v>
      </c>
      <c r="B16" s="2" t="s">
        <v>842</v>
      </c>
      <c r="C16" s="1" t="s">
        <v>1637</v>
      </c>
      <c r="D16" s="2" t="s">
        <v>1638</v>
      </c>
      <c r="E16" s="2" t="s">
        <v>56</v>
      </c>
      <c r="F16" s="2" t="s">
        <v>57</v>
      </c>
      <c r="G16" s="2" t="s">
        <v>1639</v>
      </c>
    </row>
    <row r="17" spans="1:7" ht="240" x14ac:dyDescent="0.25">
      <c r="A17" s="2" t="s">
        <v>58</v>
      </c>
      <c r="B17" s="2" t="s">
        <v>842</v>
      </c>
      <c r="C17" s="1" t="s">
        <v>1640</v>
      </c>
      <c r="D17" s="2" t="s">
        <v>1638</v>
      </c>
      <c r="E17" s="2" t="s">
        <v>59</v>
      </c>
      <c r="F17" s="2" t="s">
        <v>60</v>
      </c>
      <c r="G17" s="2" t="s">
        <v>1641</v>
      </c>
    </row>
    <row r="18" spans="1:7" ht="240" x14ac:dyDescent="0.25">
      <c r="A18" s="2" t="s">
        <v>61</v>
      </c>
      <c r="B18" s="2" t="s">
        <v>842</v>
      </c>
      <c r="C18" s="1" t="s">
        <v>1642</v>
      </c>
      <c r="D18" s="2" t="s">
        <v>1643</v>
      </c>
      <c r="E18" s="2" t="s">
        <v>62</v>
      </c>
      <c r="F18" s="2" t="s">
        <v>63</v>
      </c>
      <c r="G18" s="2" t="s">
        <v>1644</v>
      </c>
    </row>
    <row r="19" spans="1:7" ht="135" x14ac:dyDescent="0.25">
      <c r="A19" s="2" t="s">
        <v>64</v>
      </c>
      <c r="B19" s="2" t="s">
        <v>842</v>
      </c>
      <c r="C19" s="1" t="s">
        <v>65</v>
      </c>
      <c r="D19" s="2" t="s">
        <v>23</v>
      </c>
      <c r="E19" s="2" t="s">
        <v>66</v>
      </c>
      <c r="F19" s="2" t="s">
        <v>67</v>
      </c>
      <c r="G19" s="2" t="s">
        <v>68</v>
      </c>
    </row>
    <row r="20" spans="1:7" ht="375" x14ac:dyDescent="0.25">
      <c r="A20" s="2" t="s">
        <v>879</v>
      </c>
      <c r="B20" s="2" t="s">
        <v>842</v>
      </c>
      <c r="C20" s="1" t="s">
        <v>880</v>
      </c>
      <c r="D20" s="2" t="s">
        <v>881</v>
      </c>
      <c r="E20" s="2" t="s">
        <v>882</v>
      </c>
      <c r="F20" s="2" t="s">
        <v>883</v>
      </c>
      <c r="G20" s="2" t="s">
        <v>884</v>
      </c>
    </row>
    <row r="21" spans="1:7" ht="409.5" x14ac:dyDescent="0.25">
      <c r="A21" s="2" t="s">
        <v>885</v>
      </c>
      <c r="B21" s="2" t="s">
        <v>842</v>
      </c>
      <c r="C21" s="1" t="s">
        <v>886</v>
      </c>
      <c r="D21" s="2" t="s">
        <v>887</v>
      </c>
      <c r="E21" s="2" t="s">
        <v>888</v>
      </c>
      <c r="F21" s="2" t="s">
        <v>889</v>
      </c>
      <c r="G21" s="2" t="s">
        <v>890</v>
      </c>
    </row>
    <row r="22" spans="1:7" ht="210" x14ac:dyDescent="0.25">
      <c r="A22" s="2" t="s">
        <v>69</v>
      </c>
      <c r="B22" s="2" t="s">
        <v>842</v>
      </c>
      <c r="C22" s="1" t="s">
        <v>1645</v>
      </c>
      <c r="D22" s="2" t="s">
        <v>1646</v>
      </c>
      <c r="E22" s="2" t="s">
        <v>70</v>
      </c>
      <c r="F22" s="2" t="s">
        <v>71</v>
      </c>
      <c r="G22" s="2" t="s">
        <v>72</v>
      </c>
    </row>
    <row r="23" spans="1:7" ht="165" x14ac:dyDescent="0.25">
      <c r="A23" s="2" t="s">
        <v>73</v>
      </c>
      <c r="B23" s="2" t="s">
        <v>842</v>
      </c>
      <c r="C23" s="1" t="s">
        <v>74</v>
      </c>
      <c r="D23" s="2" t="s">
        <v>23</v>
      </c>
      <c r="E23" s="2" t="s">
        <v>75</v>
      </c>
      <c r="F23" s="2" t="s">
        <v>76</v>
      </c>
      <c r="G23" s="2" t="s">
        <v>77</v>
      </c>
    </row>
    <row r="24" spans="1:7" ht="300" x14ac:dyDescent="0.25">
      <c r="A24" s="2" t="s">
        <v>78</v>
      </c>
      <c r="B24" s="2" t="s">
        <v>842</v>
      </c>
      <c r="C24" s="1" t="s">
        <v>1647</v>
      </c>
      <c r="D24" s="2" t="s">
        <v>1648</v>
      </c>
      <c r="E24" s="2" t="s">
        <v>79</v>
      </c>
      <c r="F24" s="2" t="s">
        <v>1649</v>
      </c>
      <c r="G24" s="2" t="s">
        <v>1650</v>
      </c>
    </row>
    <row r="25" spans="1:7" ht="225" x14ac:dyDescent="0.25">
      <c r="A25" s="2" t="s">
        <v>778</v>
      </c>
      <c r="B25" s="2" t="s">
        <v>842</v>
      </c>
      <c r="C25" s="1" t="s">
        <v>1651</v>
      </c>
      <c r="D25" s="2" t="s">
        <v>1652</v>
      </c>
      <c r="E25" s="2" t="s">
        <v>80</v>
      </c>
      <c r="F25" s="2" t="s">
        <v>81</v>
      </c>
      <c r="G25" s="2" t="s">
        <v>1653</v>
      </c>
    </row>
    <row r="26" spans="1:7" ht="225" x14ac:dyDescent="0.25">
      <c r="A26" s="2" t="s">
        <v>82</v>
      </c>
      <c r="B26" s="2" t="s">
        <v>842</v>
      </c>
      <c r="C26" s="1" t="s">
        <v>1654</v>
      </c>
      <c r="D26" s="2" t="s">
        <v>1655</v>
      </c>
      <c r="E26" s="2" t="s">
        <v>83</v>
      </c>
      <c r="F26" s="2" t="s">
        <v>84</v>
      </c>
      <c r="G26" s="2" t="s">
        <v>1656</v>
      </c>
    </row>
    <row r="27" spans="1:7" ht="270" x14ac:dyDescent="0.25">
      <c r="A27" s="2" t="s">
        <v>779</v>
      </c>
      <c r="B27" s="2" t="s">
        <v>842</v>
      </c>
      <c r="C27" s="1" t="s">
        <v>1657</v>
      </c>
      <c r="D27" s="2" t="s">
        <v>1658</v>
      </c>
      <c r="E27" s="2" t="s">
        <v>85</v>
      </c>
      <c r="F27" s="2" t="s">
        <v>86</v>
      </c>
      <c r="G27" s="2" t="s">
        <v>1659</v>
      </c>
    </row>
    <row r="28" spans="1:7" ht="270" x14ac:dyDescent="0.25">
      <c r="A28" s="2" t="s">
        <v>780</v>
      </c>
      <c r="B28" s="2" t="s">
        <v>842</v>
      </c>
      <c r="C28" s="1" t="s">
        <v>1660</v>
      </c>
      <c r="D28" s="2" t="s">
        <v>1658</v>
      </c>
      <c r="E28" s="2" t="s">
        <v>87</v>
      </c>
      <c r="F28" s="2" t="s">
        <v>88</v>
      </c>
      <c r="G28" s="2" t="s">
        <v>1661</v>
      </c>
    </row>
    <row r="29" spans="1:7" ht="225" x14ac:dyDescent="0.25">
      <c r="A29" s="2" t="s">
        <v>781</v>
      </c>
      <c r="B29" s="2" t="s">
        <v>842</v>
      </c>
      <c r="C29" s="1" t="s">
        <v>1662</v>
      </c>
      <c r="D29" s="2" t="s">
        <v>1655</v>
      </c>
      <c r="E29" s="2" t="s">
        <v>89</v>
      </c>
      <c r="F29" s="2" t="s">
        <v>90</v>
      </c>
      <c r="G29" s="2" t="s">
        <v>1663</v>
      </c>
    </row>
    <row r="30" spans="1:7" ht="225" x14ac:dyDescent="0.25">
      <c r="A30" s="2" t="s">
        <v>91</v>
      </c>
      <c r="B30" s="2" t="s">
        <v>842</v>
      </c>
      <c r="C30" s="1" t="s">
        <v>1664</v>
      </c>
      <c r="D30" s="2" t="s">
        <v>1655</v>
      </c>
      <c r="E30" s="2" t="s">
        <v>92</v>
      </c>
      <c r="F30" s="2" t="s">
        <v>93</v>
      </c>
      <c r="G30" s="2" t="s">
        <v>1665</v>
      </c>
    </row>
    <row r="31" spans="1:7" ht="180" x14ac:dyDescent="0.25">
      <c r="A31" s="2" t="s">
        <v>94</v>
      </c>
      <c r="B31" s="2" t="s">
        <v>842</v>
      </c>
      <c r="C31" s="1" t="s">
        <v>95</v>
      </c>
      <c r="D31" s="2" t="s">
        <v>23</v>
      </c>
      <c r="E31" s="2" t="s">
        <v>96</v>
      </c>
      <c r="F31" s="2" t="s">
        <v>97</v>
      </c>
      <c r="G31" s="2" t="s">
        <v>98</v>
      </c>
    </row>
    <row r="32" spans="1:7" ht="300" x14ac:dyDescent="0.25">
      <c r="A32" s="2" t="s">
        <v>99</v>
      </c>
      <c r="B32" s="2" t="s">
        <v>842</v>
      </c>
      <c r="C32" s="1" t="s">
        <v>782</v>
      </c>
      <c r="D32" s="2" t="s">
        <v>100</v>
      </c>
      <c r="E32" s="2" t="s">
        <v>101</v>
      </c>
      <c r="F32" s="2" t="s">
        <v>102</v>
      </c>
      <c r="G32" s="2" t="s">
        <v>103</v>
      </c>
    </row>
    <row r="33" spans="1:7" ht="120" x14ac:dyDescent="0.25">
      <c r="A33" s="2" t="s">
        <v>104</v>
      </c>
      <c r="B33" s="2" t="s">
        <v>842</v>
      </c>
      <c r="C33" s="1" t="s">
        <v>105</v>
      </c>
      <c r="D33" s="2" t="s">
        <v>106</v>
      </c>
      <c r="E33" s="2" t="s">
        <v>107</v>
      </c>
      <c r="F33" s="2" t="s">
        <v>108</v>
      </c>
      <c r="G33" s="2" t="s">
        <v>109</v>
      </c>
    </row>
    <row r="34" spans="1:7" ht="345" x14ac:dyDescent="0.25">
      <c r="A34" s="2" t="s">
        <v>1600</v>
      </c>
      <c r="B34" s="2" t="s">
        <v>842</v>
      </c>
      <c r="C34" s="1" t="s">
        <v>1601</v>
      </c>
      <c r="D34" s="2" t="s">
        <v>1602</v>
      </c>
      <c r="E34" s="2" t="s">
        <v>1603</v>
      </c>
      <c r="F34" s="2" t="s">
        <v>1604</v>
      </c>
      <c r="G34" s="2" t="s">
        <v>1605</v>
      </c>
    </row>
    <row r="35" spans="1:7" ht="240" x14ac:dyDescent="0.25">
      <c r="A35" s="2" t="s">
        <v>1606</v>
      </c>
      <c r="B35" s="2" t="s">
        <v>842</v>
      </c>
      <c r="C35" s="1" t="s">
        <v>1607</v>
      </c>
      <c r="D35" s="2" t="s">
        <v>1608</v>
      </c>
      <c r="E35" s="2" t="s">
        <v>1609</v>
      </c>
      <c r="F35" s="2" t="s">
        <v>1610</v>
      </c>
      <c r="G35" s="2" t="s">
        <v>1611</v>
      </c>
    </row>
    <row r="36" spans="1:7" ht="409.5" x14ac:dyDescent="0.25">
      <c r="A36" s="2" t="s">
        <v>110</v>
      </c>
      <c r="B36" s="2" t="s">
        <v>842</v>
      </c>
      <c r="C36" s="1" t="s">
        <v>1666</v>
      </c>
      <c r="D36" s="2" t="s">
        <v>1667</v>
      </c>
      <c r="E36" s="2" t="s">
        <v>111</v>
      </c>
      <c r="F36" s="2" t="s">
        <v>112</v>
      </c>
      <c r="G36" s="2" t="s">
        <v>1668</v>
      </c>
    </row>
    <row r="37" spans="1:7" ht="409.5" x14ac:dyDescent="0.25">
      <c r="A37" s="2" t="s">
        <v>1669</v>
      </c>
      <c r="B37" s="2" t="s">
        <v>842</v>
      </c>
      <c r="C37" s="1" t="s">
        <v>1748</v>
      </c>
      <c r="D37" s="2" t="s">
        <v>1670</v>
      </c>
      <c r="E37" s="2" t="s">
        <v>1671</v>
      </c>
      <c r="F37" s="2" t="s">
        <v>1672</v>
      </c>
      <c r="G37" s="2" t="s">
        <v>1673</v>
      </c>
    </row>
    <row r="38" spans="1:7" ht="60" x14ac:dyDescent="0.25">
      <c r="A38" s="2" t="s">
        <v>783</v>
      </c>
      <c r="B38" s="2" t="s">
        <v>842</v>
      </c>
      <c r="C38" s="1" t="s">
        <v>113</v>
      </c>
      <c r="D38" s="2" t="s">
        <v>8</v>
      </c>
      <c r="E38" s="2" t="s">
        <v>114</v>
      </c>
      <c r="F38" s="2" t="s">
        <v>115</v>
      </c>
      <c r="G38" s="2" t="s">
        <v>116</v>
      </c>
    </row>
    <row r="39" spans="1:7" ht="90" x14ac:dyDescent="0.25">
      <c r="A39" s="2" t="s">
        <v>117</v>
      </c>
      <c r="B39" s="2" t="s">
        <v>842</v>
      </c>
      <c r="C39" s="1" t="s">
        <v>118</v>
      </c>
      <c r="D39" s="2" t="s">
        <v>8</v>
      </c>
      <c r="E39" s="2" t="s">
        <v>119</v>
      </c>
      <c r="F39" s="2" t="s">
        <v>120</v>
      </c>
      <c r="G39" s="2" t="s">
        <v>121</v>
      </c>
    </row>
    <row r="40" spans="1:7" ht="60" x14ac:dyDescent="0.25">
      <c r="A40" s="2" t="s">
        <v>122</v>
      </c>
      <c r="B40" s="2" t="s">
        <v>842</v>
      </c>
      <c r="C40" s="1" t="s">
        <v>123</v>
      </c>
      <c r="D40" s="2" t="s">
        <v>8</v>
      </c>
      <c r="E40" s="2" t="s">
        <v>124</v>
      </c>
      <c r="F40" s="2" t="s">
        <v>125</v>
      </c>
      <c r="G40" s="2" t="s">
        <v>126</v>
      </c>
    </row>
    <row r="41" spans="1:7" ht="90" x14ac:dyDescent="0.25">
      <c r="A41" s="2" t="s">
        <v>784</v>
      </c>
      <c r="B41" s="2" t="s">
        <v>842</v>
      </c>
      <c r="C41" s="1" t="s">
        <v>127</v>
      </c>
      <c r="D41" s="2" t="s">
        <v>8</v>
      </c>
      <c r="E41" s="2" t="s">
        <v>128</v>
      </c>
      <c r="F41" s="2" t="s">
        <v>129</v>
      </c>
      <c r="G41" s="2" t="s">
        <v>130</v>
      </c>
    </row>
    <row r="42" spans="1:7" ht="120" x14ac:dyDescent="0.25">
      <c r="A42" s="2" t="s">
        <v>131</v>
      </c>
      <c r="B42" s="2" t="s">
        <v>842</v>
      </c>
      <c r="C42" s="1" t="s">
        <v>132</v>
      </c>
      <c r="D42" s="2" t="s">
        <v>8</v>
      </c>
      <c r="E42" s="2" t="s">
        <v>133</v>
      </c>
      <c r="F42" s="2" t="s">
        <v>134</v>
      </c>
      <c r="G42" s="2" t="s">
        <v>135</v>
      </c>
    </row>
    <row r="43" spans="1:7" ht="165" x14ac:dyDescent="0.25">
      <c r="A43" s="2" t="s">
        <v>136</v>
      </c>
      <c r="B43" s="2" t="s">
        <v>842</v>
      </c>
      <c r="C43" s="1" t="s">
        <v>137</v>
      </c>
      <c r="D43" s="2" t="s">
        <v>138</v>
      </c>
      <c r="E43" s="2" t="s">
        <v>139</v>
      </c>
      <c r="F43" s="2" t="s">
        <v>140</v>
      </c>
      <c r="G43" s="2" t="s">
        <v>141</v>
      </c>
    </row>
    <row r="44" spans="1:7" ht="105" x14ac:dyDescent="0.25">
      <c r="A44" s="2" t="s">
        <v>142</v>
      </c>
      <c r="B44" s="2" t="s">
        <v>842</v>
      </c>
      <c r="C44" s="1" t="s">
        <v>143</v>
      </c>
      <c r="D44" s="2" t="s">
        <v>144</v>
      </c>
      <c r="E44" s="2" t="s">
        <v>145</v>
      </c>
      <c r="F44" s="2" t="s">
        <v>146</v>
      </c>
      <c r="G44" s="2" t="s">
        <v>785</v>
      </c>
    </row>
    <row r="45" spans="1:7" ht="135" x14ac:dyDescent="0.25">
      <c r="A45" s="2" t="s">
        <v>147</v>
      </c>
      <c r="B45" s="2" t="s">
        <v>842</v>
      </c>
      <c r="C45" s="1" t="s">
        <v>148</v>
      </c>
      <c r="D45" s="2" t="s">
        <v>23</v>
      </c>
      <c r="E45" s="2" t="s">
        <v>149</v>
      </c>
      <c r="F45" s="2" t="s">
        <v>150</v>
      </c>
      <c r="G45" s="2" t="s">
        <v>151</v>
      </c>
    </row>
    <row r="46" spans="1:7" ht="120" x14ac:dyDescent="0.25">
      <c r="A46" s="2" t="s">
        <v>152</v>
      </c>
      <c r="B46" s="2" t="s">
        <v>842</v>
      </c>
      <c r="C46" s="1" t="s">
        <v>153</v>
      </c>
      <c r="D46" s="2" t="s">
        <v>23</v>
      </c>
      <c r="E46" s="2" t="s">
        <v>154</v>
      </c>
      <c r="F46" s="2" t="s">
        <v>155</v>
      </c>
      <c r="G46" s="2" t="s">
        <v>156</v>
      </c>
    </row>
    <row r="47" spans="1:7" ht="195" x14ac:dyDescent="0.25">
      <c r="A47" s="2" t="s">
        <v>157</v>
      </c>
      <c r="B47" s="2" t="s">
        <v>842</v>
      </c>
      <c r="C47" s="1" t="s">
        <v>1674</v>
      </c>
      <c r="D47" s="2" t="s">
        <v>1675</v>
      </c>
      <c r="E47" s="2" t="s">
        <v>158</v>
      </c>
      <c r="F47" s="2" t="s">
        <v>159</v>
      </c>
      <c r="G47" s="2" t="s">
        <v>160</v>
      </c>
    </row>
    <row r="48" spans="1:7" ht="105" x14ac:dyDescent="0.25">
      <c r="A48" s="2" t="s">
        <v>786</v>
      </c>
      <c r="B48" s="2" t="s">
        <v>842</v>
      </c>
      <c r="C48" s="1" t="s">
        <v>161</v>
      </c>
      <c r="D48" s="2" t="s">
        <v>162</v>
      </c>
      <c r="E48" s="2" t="s">
        <v>163</v>
      </c>
      <c r="F48" s="2" t="s">
        <v>164</v>
      </c>
      <c r="G48" s="2" t="s">
        <v>787</v>
      </c>
    </row>
    <row r="49" spans="1:7" ht="210" x14ac:dyDescent="0.25">
      <c r="A49" s="2" t="s">
        <v>788</v>
      </c>
      <c r="B49" s="2" t="s">
        <v>842</v>
      </c>
      <c r="C49" s="1" t="s">
        <v>165</v>
      </c>
      <c r="D49" s="2" t="s">
        <v>166</v>
      </c>
      <c r="E49" s="2" t="s">
        <v>167</v>
      </c>
      <c r="F49" s="2" t="s">
        <v>168</v>
      </c>
      <c r="G49" s="2" t="s">
        <v>169</v>
      </c>
    </row>
    <row r="50" spans="1:7" ht="195" x14ac:dyDescent="0.25">
      <c r="A50" s="2" t="s">
        <v>789</v>
      </c>
      <c r="B50" s="2" t="s">
        <v>842</v>
      </c>
      <c r="C50" s="1" t="s">
        <v>790</v>
      </c>
      <c r="D50" s="2" t="s">
        <v>170</v>
      </c>
      <c r="E50" s="2" t="s">
        <v>171</v>
      </c>
      <c r="F50" s="2" t="s">
        <v>172</v>
      </c>
      <c r="G50" s="2" t="s">
        <v>791</v>
      </c>
    </row>
    <row r="51" spans="1:7" ht="150" x14ac:dyDescent="0.25">
      <c r="A51" s="2" t="s">
        <v>792</v>
      </c>
      <c r="B51" s="2" t="s">
        <v>842</v>
      </c>
      <c r="C51" s="1" t="s">
        <v>793</v>
      </c>
      <c r="D51" s="2" t="s">
        <v>23</v>
      </c>
      <c r="E51" s="2" t="s">
        <v>173</v>
      </c>
      <c r="F51" s="2" t="s">
        <v>174</v>
      </c>
      <c r="G51" s="2" t="s">
        <v>813</v>
      </c>
    </row>
    <row r="52" spans="1:7" ht="135" x14ac:dyDescent="0.25">
      <c r="A52" s="2" t="s">
        <v>814</v>
      </c>
      <c r="B52" s="2" t="s">
        <v>842</v>
      </c>
      <c r="C52" s="1" t="s">
        <v>948</v>
      </c>
      <c r="D52" s="2" t="s">
        <v>23</v>
      </c>
      <c r="E52" s="2" t="s">
        <v>815</v>
      </c>
      <c r="F52" s="2" t="s">
        <v>816</v>
      </c>
      <c r="G52" s="2" t="s">
        <v>949</v>
      </c>
    </row>
    <row r="53" spans="1:7" ht="150" x14ac:dyDescent="0.25">
      <c r="A53" s="2" t="s">
        <v>794</v>
      </c>
      <c r="B53" s="2" t="s">
        <v>842</v>
      </c>
      <c r="C53" s="1" t="s">
        <v>175</v>
      </c>
      <c r="D53" s="2" t="s">
        <v>138</v>
      </c>
      <c r="E53" s="2" t="s">
        <v>176</v>
      </c>
      <c r="F53" s="2" t="s">
        <v>177</v>
      </c>
      <c r="G53" s="2" t="s">
        <v>795</v>
      </c>
    </row>
    <row r="54" spans="1:7" ht="195" x14ac:dyDescent="0.25">
      <c r="A54" s="2" t="s">
        <v>178</v>
      </c>
      <c r="B54" s="2" t="s">
        <v>842</v>
      </c>
      <c r="C54" s="1" t="s">
        <v>1676</v>
      </c>
      <c r="D54" s="2" t="s">
        <v>1675</v>
      </c>
      <c r="E54" s="2" t="s">
        <v>179</v>
      </c>
      <c r="F54" s="2" t="s">
        <v>180</v>
      </c>
      <c r="G54" s="2" t="s">
        <v>1677</v>
      </c>
    </row>
    <row r="55" spans="1:7" ht="210" x14ac:dyDescent="0.25">
      <c r="A55" s="2" t="s">
        <v>181</v>
      </c>
      <c r="B55" s="2" t="s">
        <v>842</v>
      </c>
      <c r="C55" s="1" t="s">
        <v>1678</v>
      </c>
      <c r="D55" s="2" t="s">
        <v>1679</v>
      </c>
      <c r="E55" s="2" t="s">
        <v>182</v>
      </c>
      <c r="F55" s="2" t="s">
        <v>183</v>
      </c>
      <c r="G55" s="2" t="s">
        <v>184</v>
      </c>
    </row>
    <row r="56" spans="1:7" ht="210" x14ac:dyDescent="0.25">
      <c r="A56" s="2" t="s">
        <v>185</v>
      </c>
      <c r="B56" s="2" t="s">
        <v>842</v>
      </c>
      <c r="C56" s="1" t="s">
        <v>1680</v>
      </c>
      <c r="D56" s="2" t="s">
        <v>1679</v>
      </c>
      <c r="E56" s="2" t="s">
        <v>186</v>
      </c>
      <c r="F56" s="2" t="s">
        <v>187</v>
      </c>
      <c r="G56" s="2" t="s">
        <v>188</v>
      </c>
    </row>
    <row r="57" spans="1:7" ht="210" x14ac:dyDescent="0.25">
      <c r="A57" s="2" t="s">
        <v>189</v>
      </c>
      <c r="B57" s="2" t="s">
        <v>842</v>
      </c>
      <c r="C57" s="1" t="s">
        <v>1681</v>
      </c>
      <c r="D57" s="2" t="s">
        <v>1682</v>
      </c>
      <c r="E57" s="2" t="s">
        <v>190</v>
      </c>
      <c r="F57" s="2" t="s">
        <v>191</v>
      </c>
      <c r="G57" s="2" t="s">
        <v>192</v>
      </c>
    </row>
    <row r="58" spans="1:7" ht="135" x14ac:dyDescent="0.25">
      <c r="A58" s="2" t="s">
        <v>796</v>
      </c>
      <c r="B58" s="2" t="s">
        <v>842</v>
      </c>
      <c r="C58" s="1" t="s">
        <v>193</v>
      </c>
      <c r="D58" s="2" t="s">
        <v>194</v>
      </c>
      <c r="E58" s="2" t="s">
        <v>195</v>
      </c>
      <c r="F58" s="2" t="s">
        <v>196</v>
      </c>
      <c r="G58" s="2" t="s">
        <v>797</v>
      </c>
    </row>
    <row r="59" spans="1:7" ht="150" x14ac:dyDescent="0.25">
      <c r="A59" s="2" t="s">
        <v>197</v>
      </c>
      <c r="B59" s="2" t="s">
        <v>842</v>
      </c>
      <c r="C59" s="1" t="s">
        <v>198</v>
      </c>
      <c r="D59" s="2" t="s">
        <v>798</v>
      </c>
      <c r="E59" s="2" t="s">
        <v>199</v>
      </c>
      <c r="F59" s="2" t="s">
        <v>200</v>
      </c>
      <c r="G59" s="2" t="s">
        <v>799</v>
      </c>
    </row>
    <row r="60" spans="1:7" ht="210" x14ac:dyDescent="0.25">
      <c r="A60" s="2" t="s">
        <v>201</v>
      </c>
      <c r="B60" s="2" t="s">
        <v>842</v>
      </c>
      <c r="C60" s="1" t="s">
        <v>202</v>
      </c>
      <c r="D60" s="2" t="s">
        <v>203</v>
      </c>
      <c r="E60" s="2" t="s">
        <v>204</v>
      </c>
      <c r="F60" s="2" t="s">
        <v>205</v>
      </c>
      <c r="G60" s="2" t="s">
        <v>206</v>
      </c>
    </row>
    <row r="61" spans="1:7" ht="150" x14ac:dyDescent="0.25">
      <c r="A61" s="2" t="s">
        <v>207</v>
      </c>
      <c r="B61" s="2" t="s">
        <v>842</v>
      </c>
      <c r="C61" s="1" t="s">
        <v>208</v>
      </c>
      <c r="D61" s="2" t="s">
        <v>209</v>
      </c>
      <c r="E61" s="2" t="s">
        <v>210</v>
      </c>
      <c r="F61" s="2" t="s">
        <v>211</v>
      </c>
      <c r="G61" s="2" t="s">
        <v>212</v>
      </c>
    </row>
    <row r="62" spans="1:7" ht="315" x14ac:dyDescent="0.25">
      <c r="A62" s="2" t="s">
        <v>213</v>
      </c>
      <c r="B62" s="2" t="s">
        <v>842</v>
      </c>
      <c r="C62" s="1" t="s">
        <v>214</v>
      </c>
      <c r="D62" s="2" t="s">
        <v>215</v>
      </c>
      <c r="E62" s="2" t="s">
        <v>216</v>
      </c>
      <c r="F62" s="2" t="s">
        <v>217</v>
      </c>
      <c r="G62" s="2" t="s">
        <v>218</v>
      </c>
    </row>
    <row r="63" spans="1:7" ht="135" x14ac:dyDescent="0.25">
      <c r="A63" s="2" t="s">
        <v>219</v>
      </c>
      <c r="B63" s="2" t="s">
        <v>842</v>
      </c>
      <c r="C63" s="1" t="s">
        <v>220</v>
      </c>
      <c r="D63" s="2" t="s">
        <v>221</v>
      </c>
      <c r="E63" s="2" t="s">
        <v>222</v>
      </c>
      <c r="F63" s="2" t="s">
        <v>223</v>
      </c>
      <c r="G63" s="2" t="s">
        <v>224</v>
      </c>
    </row>
    <row r="64" spans="1:7" ht="150" x14ac:dyDescent="0.25">
      <c r="A64" s="2" t="s">
        <v>225</v>
      </c>
      <c r="B64" s="2" t="s">
        <v>842</v>
      </c>
      <c r="C64" s="1" t="s">
        <v>226</v>
      </c>
      <c r="D64" s="2" t="s">
        <v>221</v>
      </c>
      <c r="E64" s="2" t="s">
        <v>227</v>
      </c>
      <c r="F64" s="2" t="s">
        <v>228</v>
      </c>
      <c r="G64" s="2" t="s">
        <v>229</v>
      </c>
    </row>
    <row r="65" spans="1:7" ht="270" x14ac:dyDescent="0.25">
      <c r="A65" s="2" t="s">
        <v>800</v>
      </c>
      <c r="B65" s="2" t="s">
        <v>842</v>
      </c>
      <c r="C65" s="1" t="s">
        <v>1683</v>
      </c>
      <c r="D65" s="2" t="s">
        <v>1684</v>
      </c>
      <c r="E65" s="2" t="s">
        <v>230</v>
      </c>
      <c r="F65" s="2" t="s">
        <v>231</v>
      </c>
      <c r="G65" s="2" t="s">
        <v>1685</v>
      </c>
    </row>
    <row r="66" spans="1:7" ht="225" x14ac:dyDescent="0.25">
      <c r="A66" s="2" t="s">
        <v>801</v>
      </c>
      <c r="B66" s="2" t="s">
        <v>842</v>
      </c>
      <c r="C66" s="1" t="s">
        <v>1686</v>
      </c>
      <c r="D66" s="2" t="s">
        <v>1687</v>
      </c>
      <c r="E66" s="2" t="s">
        <v>232</v>
      </c>
      <c r="F66" s="2" t="s">
        <v>233</v>
      </c>
      <c r="G66" s="2" t="s">
        <v>1688</v>
      </c>
    </row>
    <row r="67" spans="1:7" ht="150" x14ac:dyDescent="0.25">
      <c r="A67" s="2" t="s">
        <v>234</v>
      </c>
      <c r="B67" s="2" t="s">
        <v>842</v>
      </c>
      <c r="C67" s="1" t="s">
        <v>235</v>
      </c>
      <c r="D67" s="2" t="s">
        <v>236</v>
      </c>
      <c r="E67" s="2" t="s">
        <v>237</v>
      </c>
      <c r="F67" s="2" t="s">
        <v>238</v>
      </c>
      <c r="G67" s="2" t="s">
        <v>239</v>
      </c>
    </row>
    <row r="68" spans="1:7" ht="120" x14ac:dyDescent="0.25">
      <c r="A68" s="2" t="s">
        <v>240</v>
      </c>
      <c r="B68" s="2" t="s">
        <v>842</v>
      </c>
      <c r="C68" s="1" t="s">
        <v>241</v>
      </c>
      <c r="D68" s="2" t="s">
        <v>242</v>
      </c>
      <c r="E68" s="2" t="s">
        <v>243</v>
      </c>
      <c r="F68" s="2" t="s">
        <v>244</v>
      </c>
      <c r="G68" s="2" t="s">
        <v>245</v>
      </c>
    </row>
    <row r="69" spans="1:7" ht="330" x14ac:dyDescent="0.25">
      <c r="A69" s="2" t="s">
        <v>802</v>
      </c>
      <c r="B69" s="2" t="s">
        <v>842</v>
      </c>
      <c r="C69" s="1" t="s">
        <v>246</v>
      </c>
      <c r="D69" s="2" t="s">
        <v>247</v>
      </c>
      <c r="E69" s="2" t="s">
        <v>248</v>
      </c>
      <c r="F69" s="2" t="s">
        <v>249</v>
      </c>
      <c r="G69" s="2" t="s">
        <v>803</v>
      </c>
    </row>
    <row r="70" spans="1:7" ht="120" x14ac:dyDescent="0.25">
      <c r="A70" s="2" t="s">
        <v>250</v>
      </c>
      <c r="B70" s="2" t="s">
        <v>842</v>
      </c>
      <c r="C70" s="1" t="s">
        <v>251</v>
      </c>
      <c r="D70" s="2" t="s">
        <v>252</v>
      </c>
      <c r="E70" s="2" t="s">
        <v>253</v>
      </c>
      <c r="F70" s="2" t="s">
        <v>254</v>
      </c>
      <c r="G70" s="2" t="s">
        <v>255</v>
      </c>
    </row>
    <row r="71" spans="1:7" ht="150" x14ac:dyDescent="0.25">
      <c r="A71" s="2" t="s">
        <v>256</v>
      </c>
      <c r="B71" s="2" t="s">
        <v>842</v>
      </c>
      <c r="C71" s="1" t="s">
        <v>257</v>
      </c>
      <c r="D71" s="2" t="s">
        <v>252</v>
      </c>
      <c r="E71" s="2" t="s">
        <v>258</v>
      </c>
      <c r="F71" s="2" t="s">
        <v>259</v>
      </c>
      <c r="G71" s="2" t="s">
        <v>260</v>
      </c>
    </row>
    <row r="72" spans="1:7" ht="150" x14ac:dyDescent="0.25">
      <c r="A72" s="2" t="s">
        <v>804</v>
      </c>
      <c r="B72" s="2" t="s">
        <v>842</v>
      </c>
      <c r="C72" s="1" t="s">
        <v>261</v>
      </c>
      <c r="D72" s="2" t="s">
        <v>252</v>
      </c>
      <c r="E72" s="2" t="s">
        <v>262</v>
      </c>
      <c r="F72" s="2" t="s">
        <v>263</v>
      </c>
      <c r="G72" s="2" t="s">
        <v>805</v>
      </c>
    </row>
    <row r="73" spans="1:7" ht="330" x14ac:dyDescent="0.25">
      <c r="A73" s="2" t="s">
        <v>806</v>
      </c>
      <c r="B73" s="2" t="s">
        <v>842</v>
      </c>
      <c r="C73" s="1" t="s">
        <v>264</v>
      </c>
      <c r="D73" s="2" t="s">
        <v>265</v>
      </c>
      <c r="E73" s="2" t="s">
        <v>266</v>
      </c>
      <c r="F73" s="2" t="s">
        <v>267</v>
      </c>
      <c r="G73" s="2" t="s">
        <v>807</v>
      </c>
    </row>
    <row r="74" spans="1:7" ht="165" x14ac:dyDescent="0.25">
      <c r="A74" s="2" t="s">
        <v>268</v>
      </c>
      <c r="B74" s="2" t="s">
        <v>842</v>
      </c>
      <c r="C74" s="1" t="s">
        <v>839</v>
      </c>
      <c r="D74" s="2" t="s">
        <v>265</v>
      </c>
      <c r="E74" s="2" t="s">
        <v>742</v>
      </c>
      <c r="F74" s="2" t="s">
        <v>743</v>
      </c>
      <c r="G74" s="2" t="s">
        <v>840</v>
      </c>
    </row>
    <row r="75" spans="1:7" ht="105" x14ac:dyDescent="0.25">
      <c r="A75" s="2" t="s">
        <v>744</v>
      </c>
      <c r="B75" s="2" t="s">
        <v>842</v>
      </c>
      <c r="C75" s="1" t="s">
        <v>745</v>
      </c>
      <c r="D75" s="2" t="s">
        <v>265</v>
      </c>
      <c r="E75" s="2" t="s">
        <v>746</v>
      </c>
      <c r="F75" s="2" t="s">
        <v>747</v>
      </c>
      <c r="G75" s="2" t="s">
        <v>748</v>
      </c>
    </row>
    <row r="76" spans="1:7" ht="105" x14ac:dyDescent="0.25">
      <c r="A76" s="2" t="s">
        <v>269</v>
      </c>
      <c r="B76" s="2" t="s">
        <v>842</v>
      </c>
      <c r="C76" s="1" t="s">
        <v>749</v>
      </c>
      <c r="D76" s="2" t="s">
        <v>265</v>
      </c>
      <c r="E76" s="2" t="s">
        <v>750</v>
      </c>
      <c r="F76" s="2" t="s">
        <v>270</v>
      </c>
      <c r="G76" s="2" t="s">
        <v>751</v>
      </c>
    </row>
    <row r="77" spans="1:7" ht="90" x14ac:dyDescent="0.25">
      <c r="A77" s="2" t="s">
        <v>687</v>
      </c>
      <c r="B77" s="2" t="s">
        <v>842</v>
      </c>
      <c r="C77" s="1" t="s">
        <v>752</v>
      </c>
      <c r="D77" s="2" t="s">
        <v>265</v>
      </c>
      <c r="E77" s="2" t="s">
        <v>753</v>
      </c>
      <c r="F77" s="2" t="s">
        <v>688</v>
      </c>
      <c r="G77" s="2" t="s">
        <v>754</v>
      </c>
    </row>
    <row r="78" spans="1:7" ht="105" x14ac:dyDescent="0.25">
      <c r="A78" s="2" t="s">
        <v>689</v>
      </c>
      <c r="B78" s="2" t="s">
        <v>842</v>
      </c>
      <c r="C78" s="1" t="s">
        <v>755</v>
      </c>
      <c r="D78" s="2" t="s">
        <v>265</v>
      </c>
      <c r="E78" s="2" t="s">
        <v>756</v>
      </c>
      <c r="F78" s="2" t="s">
        <v>690</v>
      </c>
      <c r="G78" s="2" t="s">
        <v>757</v>
      </c>
    </row>
    <row r="79" spans="1:7" ht="120" x14ac:dyDescent="0.25">
      <c r="A79" s="2" t="s">
        <v>691</v>
      </c>
      <c r="B79" s="2" t="s">
        <v>842</v>
      </c>
      <c r="C79" s="1" t="s">
        <v>692</v>
      </c>
      <c r="D79" s="2" t="s">
        <v>693</v>
      </c>
      <c r="E79" s="2" t="s">
        <v>694</v>
      </c>
      <c r="F79" s="2" t="s">
        <v>695</v>
      </c>
      <c r="G79" s="2" t="s">
        <v>696</v>
      </c>
    </row>
    <row r="80" spans="1:7" ht="120" x14ac:dyDescent="0.25">
      <c r="A80" s="2" t="s">
        <v>697</v>
      </c>
      <c r="B80" s="2" t="s">
        <v>842</v>
      </c>
      <c r="C80" s="1" t="s">
        <v>698</v>
      </c>
      <c r="D80" s="2" t="s">
        <v>699</v>
      </c>
      <c r="E80" s="2" t="s">
        <v>700</v>
      </c>
      <c r="F80" s="2" t="s">
        <v>701</v>
      </c>
      <c r="G80" s="2" t="s">
        <v>702</v>
      </c>
    </row>
    <row r="81" spans="1:7" ht="105" x14ac:dyDescent="0.25">
      <c r="A81" s="2" t="s">
        <v>703</v>
      </c>
      <c r="B81" s="2" t="s">
        <v>842</v>
      </c>
      <c r="C81" s="1" t="s">
        <v>704</v>
      </c>
      <c r="D81" s="2" t="s">
        <v>705</v>
      </c>
      <c r="E81" s="2" t="s">
        <v>706</v>
      </c>
      <c r="F81" s="2" t="s">
        <v>707</v>
      </c>
      <c r="G81" s="2" t="s">
        <v>708</v>
      </c>
    </row>
    <row r="82" spans="1:7" ht="135" x14ac:dyDescent="0.25">
      <c r="A82" s="2" t="s">
        <v>709</v>
      </c>
      <c r="B82" s="2" t="s">
        <v>842</v>
      </c>
      <c r="C82" s="1" t="s">
        <v>710</v>
      </c>
      <c r="D82" s="2" t="s">
        <v>711</v>
      </c>
      <c r="E82" s="2" t="s">
        <v>712</v>
      </c>
      <c r="F82" s="2" t="s">
        <v>713</v>
      </c>
      <c r="G82" s="2" t="s">
        <v>714</v>
      </c>
    </row>
    <row r="83" spans="1:7" ht="135" x14ac:dyDescent="0.25">
      <c r="A83" s="2" t="s">
        <v>715</v>
      </c>
      <c r="B83" s="2" t="s">
        <v>842</v>
      </c>
      <c r="C83" s="1" t="s">
        <v>716</v>
      </c>
      <c r="D83" s="2" t="s">
        <v>717</v>
      </c>
      <c r="E83" s="2" t="s">
        <v>718</v>
      </c>
      <c r="F83" s="2" t="s">
        <v>719</v>
      </c>
      <c r="G83" s="2" t="s">
        <v>720</v>
      </c>
    </row>
    <row r="84" spans="1:7" ht="195" x14ac:dyDescent="0.25">
      <c r="A84" s="2" t="s">
        <v>721</v>
      </c>
      <c r="B84" s="2" t="s">
        <v>842</v>
      </c>
      <c r="C84" s="1" t="s">
        <v>722</v>
      </c>
      <c r="D84" s="2" t="s">
        <v>723</v>
      </c>
      <c r="E84" s="2" t="s">
        <v>724</v>
      </c>
      <c r="F84" s="2" t="s">
        <v>725</v>
      </c>
      <c r="G84" s="2" t="s">
        <v>726</v>
      </c>
    </row>
    <row r="85" spans="1:7" ht="255" x14ac:dyDescent="0.25">
      <c r="A85" s="2" t="s">
        <v>727</v>
      </c>
      <c r="B85" s="2" t="s">
        <v>842</v>
      </c>
      <c r="C85" s="1" t="s">
        <v>728</v>
      </c>
      <c r="D85" s="2" t="s">
        <v>729</v>
      </c>
      <c r="E85" s="2" t="s">
        <v>730</v>
      </c>
      <c r="F85" s="2" t="s">
        <v>731</v>
      </c>
      <c r="G85" s="2" t="s">
        <v>732</v>
      </c>
    </row>
    <row r="86" spans="1:7" ht="180" x14ac:dyDescent="0.25">
      <c r="A86" s="2" t="s">
        <v>733</v>
      </c>
      <c r="B86" s="2" t="s">
        <v>842</v>
      </c>
      <c r="C86" s="1" t="s">
        <v>876</v>
      </c>
      <c r="D86" s="2" t="s">
        <v>734</v>
      </c>
      <c r="E86" s="2" t="s">
        <v>735</v>
      </c>
      <c r="F86" s="2" t="s">
        <v>736</v>
      </c>
      <c r="G86" s="2" t="s">
        <v>877</v>
      </c>
    </row>
    <row r="87" spans="1:7" ht="240" x14ac:dyDescent="0.25">
      <c r="A87" s="2" t="s">
        <v>808</v>
      </c>
      <c r="B87" s="2" t="s">
        <v>842</v>
      </c>
      <c r="C87" s="1" t="s">
        <v>271</v>
      </c>
      <c r="D87" s="2" t="s">
        <v>272</v>
      </c>
      <c r="E87" s="2" t="s">
        <v>273</v>
      </c>
      <c r="F87" s="2" t="s">
        <v>274</v>
      </c>
      <c r="G87" s="2" t="s">
        <v>809</v>
      </c>
    </row>
    <row r="88" spans="1:7" ht="180" x14ac:dyDescent="0.25">
      <c r="A88" s="2" t="s">
        <v>275</v>
      </c>
      <c r="B88" s="2" t="s">
        <v>842</v>
      </c>
      <c r="C88" s="1" t="s">
        <v>810</v>
      </c>
      <c r="D88" s="2" t="s">
        <v>276</v>
      </c>
      <c r="E88" s="2" t="s">
        <v>277</v>
      </c>
      <c r="F88" s="2" t="s">
        <v>278</v>
      </c>
      <c r="G88" s="2" t="s">
        <v>811</v>
      </c>
    </row>
    <row r="89" spans="1:7" ht="150" x14ac:dyDescent="0.25">
      <c r="A89" s="2" t="s">
        <v>279</v>
      </c>
      <c r="B89" s="2" t="s">
        <v>842</v>
      </c>
      <c r="C89" s="1" t="s">
        <v>280</v>
      </c>
      <c r="D89" s="2" t="s">
        <v>281</v>
      </c>
      <c r="E89" s="2" t="s">
        <v>282</v>
      </c>
      <c r="F89" s="2" t="s">
        <v>283</v>
      </c>
      <c r="G89" s="2" t="s">
        <v>284</v>
      </c>
    </row>
    <row r="90" spans="1:7" ht="135" x14ac:dyDescent="0.25">
      <c r="A90" s="2" t="s">
        <v>285</v>
      </c>
      <c r="B90" s="2" t="s">
        <v>842</v>
      </c>
      <c r="C90" s="1" t="s">
        <v>286</v>
      </c>
      <c r="D90" s="2" t="s">
        <v>287</v>
      </c>
      <c r="E90" s="2" t="s">
        <v>288</v>
      </c>
      <c r="F90" s="2" t="s">
        <v>289</v>
      </c>
      <c r="G90" s="2" t="s">
        <v>290</v>
      </c>
    </row>
    <row r="91" spans="1:7" ht="120" x14ac:dyDescent="0.25">
      <c r="A91" s="2" t="s">
        <v>291</v>
      </c>
      <c r="B91" s="2" t="s">
        <v>842</v>
      </c>
      <c r="C91" s="1" t="s">
        <v>292</v>
      </c>
      <c r="D91" s="2" t="s">
        <v>293</v>
      </c>
      <c r="E91" s="2" t="s">
        <v>294</v>
      </c>
      <c r="F91" s="2" t="s">
        <v>295</v>
      </c>
      <c r="G91" s="2" t="s">
        <v>296</v>
      </c>
    </row>
    <row r="92" spans="1:7" ht="135" x14ac:dyDescent="0.25">
      <c r="A92" s="2" t="s">
        <v>297</v>
      </c>
      <c r="B92" s="2" t="s">
        <v>842</v>
      </c>
      <c r="C92" s="1" t="s">
        <v>298</v>
      </c>
      <c r="D92" s="2" t="s">
        <v>299</v>
      </c>
      <c r="E92" s="2" t="s">
        <v>300</v>
      </c>
      <c r="F92" s="2" t="s">
        <v>301</v>
      </c>
      <c r="G92" s="2" t="s">
        <v>302</v>
      </c>
    </row>
    <row r="93" spans="1:7" ht="120" x14ac:dyDescent="0.25">
      <c r="A93" s="2" t="s">
        <v>303</v>
      </c>
      <c r="B93" s="2" t="s">
        <v>842</v>
      </c>
      <c r="C93" s="1" t="s">
        <v>304</v>
      </c>
      <c r="D93" s="2" t="s">
        <v>305</v>
      </c>
      <c r="E93" s="2" t="s">
        <v>306</v>
      </c>
      <c r="F93" s="2" t="s">
        <v>307</v>
      </c>
      <c r="G93" s="2" t="s">
        <v>308</v>
      </c>
    </row>
    <row r="94" spans="1:7" ht="180" x14ac:dyDescent="0.25">
      <c r="A94" s="2" t="s">
        <v>309</v>
      </c>
      <c r="B94" s="2" t="s">
        <v>842</v>
      </c>
      <c r="C94" s="1" t="s">
        <v>310</v>
      </c>
      <c r="D94" s="2" t="s">
        <v>311</v>
      </c>
      <c r="E94" s="2" t="s">
        <v>312</v>
      </c>
      <c r="F94" s="2" t="s">
        <v>313</v>
      </c>
      <c r="G94" s="2" t="s">
        <v>314</v>
      </c>
    </row>
    <row r="95" spans="1:7" ht="135" x14ac:dyDescent="0.25">
      <c r="A95" s="2" t="s">
        <v>315</v>
      </c>
      <c r="B95" s="2" t="s">
        <v>842</v>
      </c>
      <c r="C95" s="1" t="s">
        <v>316</v>
      </c>
      <c r="D95" s="2" t="s">
        <v>317</v>
      </c>
      <c r="E95" s="2" t="s">
        <v>318</v>
      </c>
      <c r="F95" s="2" t="s">
        <v>319</v>
      </c>
      <c r="G95" s="2" t="s">
        <v>320</v>
      </c>
    </row>
    <row r="96" spans="1:7" ht="180" x14ac:dyDescent="0.25">
      <c r="A96" s="2" t="s">
        <v>321</v>
      </c>
      <c r="B96" s="2" t="s">
        <v>842</v>
      </c>
      <c r="C96" s="1" t="s">
        <v>322</v>
      </c>
      <c r="D96" s="2" t="s">
        <v>323</v>
      </c>
      <c r="E96" s="2" t="s">
        <v>324</v>
      </c>
      <c r="F96" s="2" t="s">
        <v>325</v>
      </c>
      <c r="G96" s="2" t="s">
        <v>326</v>
      </c>
    </row>
    <row r="97" spans="1:7" ht="150" x14ac:dyDescent="0.25">
      <c r="A97" s="2" t="s">
        <v>327</v>
      </c>
      <c r="B97" s="2" t="s">
        <v>842</v>
      </c>
      <c r="C97" s="1" t="s">
        <v>328</v>
      </c>
      <c r="D97" s="2" t="s">
        <v>329</v>
      </c>
      <c r="E97" s="2" t="s">
        <v>330</v>
      </c>
      <c r="F97" s="2" t="s">
        <v>331</v>
      </c>
      <c r="G97" s="2" t="s">
        <v>332</v>
      </c>
    </row>
    <row r="98" spans="1:7" ht="135" x14ac:dyDescent="0.25">
      <c r="A98" s="2" t="s">
        <v>333</v>
      </c>
      <c r="B98" s="2" t="s">
        <v>842</v>
      </c>
      <c r="C98" s="1" t="s">
        <v>334</v>
      </c>
      <c r="D98" s="2" t="s">
        <v>335</v>
      </c>
      <c r="E98" s="2" t="s">
        <v>336</v>
      </c>
      <c r="F98" s="2" t="s">
        <v>337</v>
      </c>
      <c r="G98" s="2" t="s">
        <v>338</v>
      </c>
    </row>
    <row r="99" spans="1:7" ht="240" x14ac:dyDescent="0.25">
      <c r="A99" s="2" t="s">
        <v>758</v>
      </c>
      <c r="B99" s="2" t="s">
        <v>842</v>
      </c>
      <c r="C99" s="1" t="s">
        <v>737</v>
      </c>
      <c r="D99" s="2" t="s">
        <v>738</v>
      </c>
      <c r="E99" s="2" t="s">
        <v>739</v>
      </c>
      <c r="F99" s="2" t="s">
        <v>759</v>
      </c>
      <c r="G99" s="2" t="s">
        <v>760</v>
      </c>
    </row>
    <row r="100" spans="1:7" ht="225" x14ac:dyDescent="0.25">
      <c r="A100" s="2" t="s">
        <v>761</v>
      </c>
      <c r="B100" s="2" t="s">
        <v>842</v>
      </c>
      <c r="C100" s="1" t="s">
        <v>740</v>
      </c>
      <c r="D100" s="2" t="s">
        <v>738</v>
      </c>
      <c r="E100" s="2" t="s">
        <v>741</v>
      </c>
      <c r="F100" s="2" t="s">
        <v>762</v>
      </c>
      <c r="G100" s="2" t="s">
        <v>763</v>
      </c>
    </row>
    <row r="101" spans="1:7" ht="360" x14ac:dyDescent="0.25">
      <c r="A101" s="2" t="s">
        <v>1816</v>
      </c>
      <c r="B101" s="2" t="s">
        <v>842</v>
      </c>
      <c r="C101" s="1" t="s">
        <v>1817</v>
      </c>
      <c r="D101" s="2" t="s">
        <v>1818</v>
      </c>
      <c r="E101" s="2" t="s">
        <v>1819</v>
      </c>
      <c r="F101" s="2" t="s">
        <v>1820</v>
      </c>
      <c r="G101" s="2" t="s">
        <v>1821</v>
      </c>
    </row>
    <row r="102" spans="1:7" ht="409.5" x14ac:dyDescent="0.25">
      <c r="A102" s="2" t="s">
        <v>818</v>
      </c>
      <c r="B102" s="2" t="s">
        <v>842</v>
      </c>
      <c r="C102" s="1" t="s">
        <v>819</v>
      </c>
      <c r="D102" s="2" t="s">
        <v>820</v>
      </c>
      <c r="E102" s="2" t="s">
        <v>821</v>
      </c>
      <c r="F102" s="2" t="s">
        <v>822</v>
      </c>
      <c r="G102" s="2" t="s">
        <v>823</v>
      </c>
    </row>
    <row r="103" spans="1:7" ht="390" x14ac:dyDescent="0.25">
      <c r="A103" s="2" t="s">
        <v>824</v>
      </c>
      <c r="B103" s="2" t="s">
        <v>842</v>
      </c>
      <c r="C103" s="1" t="s">
        <v>825</v>
      </c>
      <c r="D103" s="2" t="s">
        <v>820</v>
      </c>
      <c r="E103" s="2" t="s">
        <v>826</v>
      </c>
      <c r="F103" s="2" t="s">
        <v>827</v>
      </c>
      <c r="G103" s="2" t="s">
        <v>828</v>
      </c>
    </row>
    <row r="104" spans="1:7" ht="375" x14ac:dyDescent="0.25">
      <c r="A104" s="2" t="s">
        <v>891</v>
      </c>
      <c r="B104" s="2" t="s">
        <v>842</v>
      </c>
      <c r="C104" s="1" t="s">
        <v>938</v>
      </c>
      <c r="D104" s="2"/>
      <c r="E104" s="2" t="s">
        <v>939</v>
      </c>
      <c r="F104" s="2" t="s">
        <v>892</v>
      </c>
      <c r="G104" s="2" t="s">
        <v>940</v>
      </c>
    </row>
    <row r="105" spans="1:7" ht="409.5" x14ac:dyDescent="0.25">
      <c r="A105" s="2" t="s">
        <v>893</v>
      </c>
      <c r="B105" s="2" t="s">
        <v>842</v>
      </c>
      <c r="C105" s="1" t="s">
        <v>894</v>
      </c>
      <c r="D105" s="2" t="s">
        <v>895</v>
      </c>
      <c r="E105" s="2" t="s">
        <v>896</v>
      </c>
      <c r="F105" s="2" t="s">
        <v>897</v>
      </c>
      <c r="G105" s="2" t="s">
        <v>898</v>
      </c>
    </row>
    <row r="106" spans="1:7" ht="409.5" x14ac:dyDescent="0.25">
      <c r="A106" s="2" t="s">
        <v>899</v>
      </c>
      <c r="B106" s="2" t="s">
        <v>842</v>
      </c>
      <c r="C106" s="1" t="s">
        <v>900</v>
      </c>
      <c r="D106" s="2" t="s">
        <v>901</v>
      </c>
      <c r="E106" s="2" t="s">
        <v>902</v>
      </c>
      <c r="F106" s="2" t="s">
        <v>903</v>
      </c>
      <c r="G106" s="2" t="s">
        <v>904</v>
      </c>
    </row>
    <row r="107" spans="1:7" ht="285" x14ac:dyDescent="0.25">
      <c r="A107" s="2" t="s">
        <v>1689</v>
      </c>
      <c r="B107" s="2" t="s">
        <v>842</v>
      </c>
      <c r="C107" s="1" t="s">
        <v>1749</v>
      </c>
      <c r="D107" s="2" t="s">
        <v>1690</v>
      </c>
      <c r="E107" s="2" t="s">
        <v>1691</v>
      </c>
      <c r="F107" s="2" t="s">
        <v>1692</v>
      </c>
      <c r="G107" s="2" t="s">
        <v>1693</v>
      </c>
    </row>
    <row r="108" spans="1:7" ht="330" x14ac:dyDescent="0.25">
      <c r="A108" s="2" t="s">
        <v>1694</v>
      </c>
      <c r="B108" s="2" t="s">
        <v>842</v>
      </c>
      <c r="C108" s="1" t="s">
        <v>1695</v>
      </c>
      <c r="D108" s="2" t="s">
        <v>1696</v>
      </c>
      <c r="E108" s="2" t="s">
        <v>1697</v>
      </c>
      <c r="F108" s="2" t="s">
        <v>1698</v>
      </c>
      <c r="G108" s="2" t="s">
        <v>1699</v>
      </c>
    </row>
    <row r="109" spans="1:7" ht="285" x14ac:dyDescent="0.25">
      <c r="A109" s="2" t="s">
        <v>1700</v>
      </c>
      <c r="B109" s="2" t="s">
        <v>842</v>
      </c>
      <c r="C109" s="1" t="s">
        <v>1701</v>
      </c>
      <c r="D109" s="2" t="s">
        <v>1702</v>
      </c>
      <c r="E109" s="2" t="s">
        <v>1703</v>
      </c>
      <c r="F109" s="2" t="s">
        <v>1704</v>
      </c>
      <c r="G109" s="2" t="s">
        <v>1705</v>
      </c>
    </row>
    <row r="110" spans="1:7" ht="180" x14ac:dyDescent="0.25">
      <c r="A110" s="2" t="s">
        <v>1706</v>
      </c>
      <c r="B110" s="2" t="s">
        <v>842</v>
      </c>
      <c r="C110" s="1" t="s">
        <v>1707</v>
      </c>
      <c r="D110" s="2" t="s">
        <v>1708</v>
      </c>
      <c r="E110" s="2" t="s">
        <v>1709</v>
      </c>
      <c r="F110" s="2" t="s">
        <v>1710</v>
      </c>
      <c r="G110" s="2" t="s">
        <v>1711</v>
      </c>
    </row>
    <row r="111" spans="1:7" ht="135" x14ac:dyDescent="0.25">
      <c r="A111" s="2" t="s">
        <v>1712</v>
      </c>
      <c r="B111" s="2" t="s">
        <v>842</v>
      </c>
      <c r="C111" s="1" t="s">
        <v>1713</v>
      </c>
      <c r="D111" s="2" t="s">
        <v>1714</v>
      </c>
      <c r="E111" s="2" t="s">
        <v>1715</v>
      </c>
      <c r="F111" s="2" t="s">
        <v>1716</v>
      </c>
      <c r="G111" s="2" t="s">
        <v>1717</v>
      </c>
    </row>
    <row r="112" spans="1:7" ht="165" x14ac:dyDescent="0.25">
      <c r="A112" s="2" t="s">
        <v>843</v>
      </c>
      <c r="B112" s="2" t="s">
        <v>667</v>
      </c>
      <c r="C112" s="1" t="s">
        <v>854</v>
      </c>
      <c r="D112" s="2"/>
      <c r="E112" s="2" t="s">
        <v>844</v>
      </c>
      <c r="F112" s="2" t="s">
        <v>845</v>
      </c>
      <c r="G112" s="2" t="s">
        <v>846</v>
      </c>
    </row>
    <row r="113" spans="1:7" ht="345" x14ac:dyDescent="0.25">
      <c r="A113" s="2" t="s">
        <v>847</v>
      </c>
      <c r="B113" s="2" t="s">
        <v>667</v>
      </c>
      <c r="C113" s="1" t="s">
        <v>1822</v>
      </c>
      <c r="D113" s="2"/>
      <c r="E113" s="2" t="s">
        <v>1823</v>
      </c>
      <c r="F113" s="2" t="s">
        <v>1824</v>
      </c>
      <c r="G113" s="2" t="s">
        <v>1825</v>
      </c>
    </row>
    <row r="114" spans="1:7" ht="135" x14ac:dyDescent="0.25">
      <c r="A114" s="2" t="s">
        <v>848</v>
      </c>
      <c r="B114" s="2" t="s">
        <v>667</v>
      </c>
      <c r="C114" s="1" t="s">
        <v>855</v>
      </c>
      <c r="D114" s="2"/>
      <c r="E114" s="2" t="s">
        <v>849</v>
      </c>
      <c r="F114" s="2" t="s">
        <v>850</v>
      </c>
      <c r="G114" s="2" t="s">
        <v>851</v>
      </c>
    </row>
    <row r="115" spans="1:7" ht="315" x14ac:dyDescent="0.25">
      <c r="A115" s="2" t="s">
        <v>852</v>
      </c>
      <c r="B115" s="2" t="s">
        <v>667</v>
      </c>
      <c r="C115" s="1" t="s">
        <v>1826</v>
      </c>
      <c r="D115" s="2"/>
      <c r="E115" s="2" t="s">
        <v>1827</v>
      </c>
      <c r="F115" s="2" t="s">
        <v>1828</v>
      </c>
      <c r="G115" s="2" t="s">
        <v>1829</v>
      </c>
    </row>
    <row r="116" spans="1:7" ht="240" x14ac:dyDescent="0.25">
      <c r="A116" s="2" t="s">
        <v>853</v>
      </c>
      <c r="B116" s="2" t="s">
        <v>667</v>
      </c>
      <c r="C116" s="1" t="s">
        <v>1830</v>
      </c>
      <c r="D116" s="2"/>
      <c r="E116" s="2" t="s">
        <v>1831</v>
      </c>
      <c r="F116" s="2" t="s">
        <v>1832</v>
      </c>
      <c r="G116" s="2" t="s">
        <v>1833</v>
      </c>
    </row>
    <row r="117" spans="1:7" ht="409.5" x14ac:dyDescent="0.25">
      <c r="A117" s="2" t="s">
        <v>1834</v>
      </c>
      <c r="B117" s="2" t="s">
        <v>667</v>
      </c>
      <c r="C117" s="1" t="s">
        <v>1835</v>
      </c>
      <c r="D117" s="2"/>
      <c r="E117" s="2" t="s">
        <v>1836</v>
      </c>
      <c r="F117" s="2" t="s">
        <v>1837</v>
      </c>
      <c r="G117" s="2" t="s">
        <v>1838</v>
      </c>
    </row>
    <row r="118" spans="1:7" ht="255" x14ac:dyDescent="0.25">
      <c r="A118" s="2" t="s">
        <v>905</v>
      </c>
      <c r="B118" s="2" t="s">
        <v>667</v>
      </c>
      <c r="C118" s="1" t="s">
        <v>906</v>
      </c>
      <c r="D118" s="2"/>
      <c r="E118" s="2" t="s">
        <v>907</v>
      </c>
      <c r="F118" s="2" t="s">
        <v>908</v>
      </c>
      <c r="G118" s="2" t="s">
        <v>909</v>
      </c>
    </row>
    <row r="119" spans="1:7" ht="360" x14ac:dyDescent="0.25">
      <c r="A119" s="2" t="s">
        <v>910</v>
      </c>
      <c r="B119" s="2" t="s">
        <v>667</v>
      </c>
      <c r="C119" s="1" t="s">
        <v>911</v>
      </c>
      <c r="D119" s="2"/>
      <c r="E119" s="2" t="s">
        <v>912</v>
      </c>
      <c r="F119" s="2" t="s">
        <v>913</v>
      </c>
      <c r="G119" s="2" t="s">
        <v>914</v>
      </c>
    </row>
    <row r="120" spans="1:7" ht="390" x14ac:dyDescent="0.25">
      <c r="A120" s="2" t="s">
        <v>1718</v>
      </c>
      <c r="B120" s="2" t="s">
        <v>667</v>
      </c>
      <c r="C120" s="1" t="s">
        <v>1719</v>
      </c>
      <c r="D120" s="2"/>
      <c r="E120" s="2" t="s">
        <v>1720</v>
      </c>
      <c r="F120" s="2" t="s">
        <v>1721</v>
      </c>
      <c r="G120" s="2" t="s">
        <v>1722</v>
      </c>
    </row>
    <row r="121" spans="1:7" ht="315" x14ac:dyDescent="0.25">
      <c r="A121" s="2" t="s">
        <v>1723</v>
      </c>
      <c r="B121" s="2" t="s">
        <v>667</v>
      </c>
      <c r="C121" s="1" t="s">
        <v>1724</v>
      </c>
      <c r="D121" s="2"/>
      <c r="E121" s="2" t="s">
        <v>1725</v>
      </c>
      <c r="F121" s="2" t="s">
        <v>1726</v>
      </c>
      <c r="G121" s="2" t="s">
        <v>1727</v>
      </c>
    </row>
    <row r="122" spans="1:7" ht="390" x14ac:dyDescent="0.25">
      <c r="A122" s="2" t="s">
        <v>1728</v>
      </c>
      <c r="B122" s="2" t="s">
        <v>667</v>
      </c>
      <c r="C122" s="1" t="s">
        <v>1729</v>
      </c>
      <c r="D122" s="2"/>
      <c r="E122" s="2" t="s">
        <v>1730</v>
      </c>
      <c r="F122" s="2" t="s">
        <v>1731</v>
      </c>
      <c r="G122" s="2" t="s">
        <v>1732</v>
      </c>
    </row>
    <row r="123" spans="1:7" ht="390" x14ac:dyDescent="0.25">
      <c r="A123" s="2" t="s">
        <v>1733</v>
      </c>
      <c r="B123" s="2" t="s">
        <v>667</v>
      </c>
      <c r="C123" s="1" t="s">
        <v>1750</v>
      </c>
      <c r="D123" s="2"/>
      <c r="E123" s="2" t="s">
        <v>1734</v>
      </c>
      <c r="F123" s="2" t="s">
        <v>1735</v>
      </c>
      <c r="G123" s="2" t="s">
        <v>1751</v>
      </c>
    </row>
    <row r="124" spans="1:7" ht="409.5" x14ac:dyDescent="0.25">
      <c r="A124" s="2" t="s">
        <v>915</v>
      </c>
      <c r="B124" s="2" t="s">
        <v>667</v>
      </c>
      <c r="C124" s="1" t="s">
        <v>916</v>
      </c>
      <c r="D124" s="2"/>
      <c r="E124" s="2" t="s">
        <v>917</v>
      </c>
      <c r="F124" s="2" t="s">
        <v>918</v>
      </c>
      <c r="G124" s="2" t="s">
        <v>919</v>
      </c>
    </row>
    <row r="125" spans="1:7" ht="409.5" x14ac:dyDescent="0.25">
      <c r="A125" s="2" t="s">
        <v>920</v>
      </c>
      <c r="B125" s="2" t="s">
        <v>667</v>
      </c>
      <c r="C125" s="1" t="s">
        <v>921</v>
      </c>
      <c r="D125" s="2"/>
      <c r="E125" s="2" t="s">
        <v>922</v>
      </c>
      <c r="F125" s="2" t="s">
        <v>923</v>
      </c>
      <c r="G125" s="2" t="s">
        <v>924</v>
      </c>
    </row>
    <row r="126" spans="1:7" ht="315" x14ac:dyDescent="0.25">
      <c r="A126" s="2" t="s">
        <v>925</v>
      </c>
      <c r="B126" s="2" t="s">
        <v>667</v>
      </c>
      <c r="C126" s="1" t="s">
        <v>926</v>
      </c>
      <c r="D126" s="2"/>
      <c r="E126" s="2" t="s">
        <v>927</v>
      </c>
      <c r="F126" s="2" t="s">
        <v>928</v>
      </c>
      <c r="G126" s="2" t="s">
        <v>941</v>
      </c>
    </row>
    <row r="127" spans="1:7" ht="255" x14ac:dyDescent="0.25">
      <c r="A127" s="2" t="s">
        <v>929</v>
      </c>
      <c r="B127" s="2" t="s">
        <v>667</v>
      </c>
      <c r="C127" s="1" t="s">
        <v>930</v>
      </c>
      <c r="D127" s="2"/>
      <c r="E127" s="2" t="s">
        <v>931</v>
      </c>
      <c r="F127" s="2" t="s">
        <v>932</v>
      </c>
      <c r="G127" s="2" t="s">
        <v>933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2026-07-27T20:53:30Z</dcterms:modified>
</cp:coreProperties>
</file>