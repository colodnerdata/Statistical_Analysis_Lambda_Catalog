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63C6A277-EF92-486F-B7D0-858F2B466CA3}" xr6:coauthVersionLast="47" xr6:coauthVersionMax="47" xr10:uidLastSave="{00000000-0000-0000-0000-000000000000}"/>
  <bookViews>
    <workbookView xWindow="-120" yWindow="-120" windowWidth="29040" windowHeight="15720" activeTab="2" xr2:uid="{8C6D7ED2-175B-44AB-8FA7-7C1A75FC23AF}"/>
  </bookViews>
  <sheets>
    <sheet name="LAMBDA_functions" sheetId="1" r:id="rId1"/>
    <sheet name="Life Expectancy Data" sheetId="2" r:id="rId2"/>
    <sheet name="MLR_Scalar_Test" sheetId="3" r:id="rId3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y" localSheetId="2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2" i="3" l="1"/>
  <c r="AK2" i="3" s="1"/>
  <c r="AJ3" i="3"/>
  <c r="AK3" i="3" s="1"/>
  <c r="AJ4" i="3"/>
  <c r="AK4" i="3" s="1"/>
  <c r="AJ5" i="3"/>
  <c r="AK5" i="3" s="1"/>
  <c r="AJ6" i="3"/>
  <c r="AK6" i="3" s="1"/>
  <c r="AJ7" i="3"/>
  <c r="AK7" i="3" s="1"/>
  <c r="AJ8" i="3"/>
  <c r="AK8" i="3" s="1"/>
  <c r="AJ9" i="3"/>
  <c r="AK9" i="3" s="1"/>
  <c r="AG2" i="3"/>
  <c r="AH2" i="3" s="1"/>
  <c r="AG3" i="3"/>
  <c r="AH3" i="3" s="1"/>
  <c r="AG4" i="3"/>
  <c r="AH4" i="3" s="1"/>
  <c r="AG5" i="3"/>
  <c r="AH5" i="3" s="1"/>
  <c r="AG6" i="3"/>
  <c r="AH6" i="3" s="1"/>
  <c r="AG7" i="3"/>
  <c r="AH7" i="3" s="1"/>
  <c r="AG8" i="3"/>
  <c r="AH8" i="3" s="1"/>
  <c r="AG9" i="3"/>
  <c r="AH9" i="3" s="1"/>
  <c r="AD2" i="3"/>
  <c r="AE2" i="3" s="1"/>
  <c r="AD3" i="3"/>
  <c r="AE3" i="3" s="1"/>
  <c r="AD4" i="3"/>
  <c r="AE4" i="3" s="1"/>
  <c r="AD5" i="3"/>
  <c r="AE5" i="3" s="1"/>
  <c r="AD6" i="3"/>
  <c r="AE6" i="3" s="1"/>
  <c r="AD7" i="3"/>
  <c r="AE7" i="3" s="1"/>
  <c r="AD8" i="3"/>
  <c r="AE8" i="3" s="1"/>
  <c r="AD9" i="3"/>
  <c r="AE9" i="3" s="1"/>
  <c r="AB4" i="3"/>
  <c r="AB7" i="3"/>
  <c r="AB9" i="3"/>
  <c r="AA2" i="3"/>
  <c r="AB2" i="3" s="1"/>
  <c r="AA3" i="3"/>
  <c r="AB3" i="3" s="1"/>
  <c r="AA4" i="3"/>
  <c r="AA5" i="3"/>
  <c r="AB5" i="3" s="1"/>
  <c r="AA6" i="3"/>
  <c r="AB6" i="3" s="1"/>
  <c r="AA7" i="3"/>
  <c r="AA8" i="3"/>
  <c r="AB8" i="3" s="1"/>
  <c r="AA9" i="3"/>
  <c r="X2" i="3"/>
  <c r="Y2" i="3" s="1"/>
  <c r="X3" i="3"/>
  <c r="Y3" i="3" s="1"/>
  <c r="X4" i="3"/>
  <c r="Y4" i="3" s="1"/>
  <c r="X5" i="3"/>
  <c r="Y5" i="3" s="1"/>
  <c r="X6" i="3"/>
  <c r="Y6" i="3" s="1"/>
  <c r="X7" i="3"/>
  <c r="Y7" i="3" s="1"/>
  <c r="X8" i="3"/>
  <c r="Y8" i="3" s="1"/>
  <c r="X9" i="3"/>
  <c r="Y9" i="3" s="1"/>
  <c r="U2" i="3"/>
  <c r="V2" i="3" s="1"/>
  <c r="U3" i="3"/>
  <c r="V3" i="3" s="1"/>
  <c r="U4" i="3"/>
  <c r="V4" i="3" s="1"/>
  <c r="U5" i="3"/>
  <c r="V5" i="3" s="1"/>
  <c r="U6" i="3"/>
  <c r="V6" i="3" s="1"/>
  <c r="U7" i="3"/>
  <c r="V7" i="3" s="1"/>
  <c r="U8" i="3"/>
  <c r="V8" i="3" s="1"/>
  <c r="U9" i="3"/>
  <c r="V9" i="3" s="1"/>
  <c r="R2" i="3"/>
  <c r="S2" i="3" s="1"/>
  <c r="R3" i="3"/>
  <c r="S3" i="3" s="1"/>
  <c r="R4" i="3"/>
  <c r="S4" i="3" s="1"/>
  <c r="R5" i="3"/>
  <c r="S5" i="3" s="1"/>
  <c r="R6" i="3"/>
  <c r="S6" i="3" s="1"/>
  <c r="R7" i="3"/>
  <c r="S7" i="3" s="1"/>
  <c r="R8" i="3"/>
  <c r="S8" i="3" s="1"/>
  <c r="R9" i="3"/>
  <c r="S9" i="3" s="1"/>
  <c r="O2" i="3"/>
  <c r="P2" i="3" s="1"/>
  <c r="O3" i="3"/>
  <c r="P3" i="3" s="1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M2" i="3"/>
  <c r="L2" i="3"/>
  <c r="L3" i="3"/>
  <c r="M3" i="3" s="1"/>
  <c r="L4" i="3"/>
  <c r="M4" i="3" s="1"/>
  <c r="L5" i="3"/>
  <c r="M5" i="3" s="1"/>
  <c r="L6" i="3"/>
  <c r="M6" i="3" s="1"/>
  <c r="L7" i="3"/>
  <c r="M7" i="3" s="1"/>
  <c r="L8" i="3"/>
  <c r="M8" i="3" s="1"/>
  <c r="L9" i="3"/>
  <c r="M9" i="3" s="1"/>
  <c r="I2" i="3"/>
  <c r="J2" i="3" s="1"/>
  <c r="I3" i="3"/>
  <c r="J3" i="3" s="1"/>
  <c r="I4" i="3"/>
  <c r="J4" i="3" s="1"/>
  <c r="I5" i="3"/>
  <c r="J5" i="3" s="1"/>
  <c r="I6" i="3"/>
  <c r="J6" i="3" s="1"/>
  <c r="I7" i="3"/>
  <c r="J7" i="3" s="1"/>
  <c r="I8" i="3"/>
  <c r="J8" i="3" s="1"/>
  <c r="I9" i="3"/>
  <c r="J9" i="3" s="1"/>
  <c r="G2" i="3"/>
  <c r="G3" i="3"/>
  <c r="G4" i="3"/>
  <c r="G5" i="3"/>
  <c r="G6" i="3"/>
  <c r="F2" i="3"/>
  <c r="F3" i="3"/>
  <c r="F4" i="3"/>
  <c r="F5" i="3"/>
  <c r="F6" i="3"/>
  <c r="F7" i="3"/>
  <c r="G7" i="3" s="1"/>
  <c r="F8" i="3"/>
  <c r="G8" i="3" s="1"/>
  <c r="F9" i="3"/>
  <c r="G9" i="3" s="1"/>
  <c r="A2" i="3"/>
  <c r="A3" i="3"/>
  <c r="A4" i="3"/>
  <c r="A5" i="3"/>
  <c r="A6" i="3"/>
  <c r="A7" i="3"/>
  <c r="A8" i="3"/>
  <c r="A9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D4" i="3" l="1"/>
  <c r="D2" i="3"/>
  <c r="D8" i="3"/>
  <c r="D7" i="3"/>
  <c r="D6" i="3"/>
  <c r="D5" i="3"/>
  <c r="D3" i="3"/>
  <c r="D9" i="3"/>
</calcChain>
</file>

<file path=xl/sharedStrings.xml><?xml version="1.0" encoding="utf-8"?>
<sst xmlns="http://schemas.openxmlformats.org/spreadsheetml/2006/main" count="5996" uniqueCount="308">
  <si>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</si>
  <si>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</si>
  <si>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</si>
  <si>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</si>
  <si>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</si>
  <si>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</si>
  <si>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</si>
  <si>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</si>
  <si>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</si>
  <si>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</si>
  <si>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</si>
  <si>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</si>
  <si>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</si>
  <si>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</si>
  <si>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</si>
  <si>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</si>
  <si>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</si>
  <si>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</si>
  <si>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</si>
  <si>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</si>
  <si>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</si>
  <si>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</si>
  <si>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</si>
  <si>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</si>
  <si>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</si>
  <si>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</si>
  <si>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</si>
  <si>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</si>
  <si>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</si>
  <si>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</si>
  <si>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</si>
  <si>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</si>
  <si>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</si>
  <si>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</si>
  <si>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</si>
  <si>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</si>
  <si>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</si>
  <si>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</si>
  <si>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</si>
  <si>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</si>
  <si>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</si>
  <si>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</si>
  <si>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</si>
  <si>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</si>
  <si>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</si>
  <si>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</si>
  <si>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</si>
  <si>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</si>
  <si>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</si>
  <si>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</si>
  <si>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</si>
  <si>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</si>
  <si>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</si>
  <si>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</si>
  <si>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</si>
  <si>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</si>
  <si>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</si>
  <si>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</si>
  <si>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</si>
  <si>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</si>
  <si>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</si>
  <si>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</si>
  <si>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</si>
  <si>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</si>
  <si>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</si>
  <si>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</si>
  <si>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</si>
  <si>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</si>
  <si>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</si>
  <si>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</si>
  <si>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</si>
  <si>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</si>
  <si>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</si>
  <si>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</si>
  <si>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</si>
  <si>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</si>
  <si>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</si>
  <si>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</si>
  <si>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</si>
  <si>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</si>
  <si>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</si>
  <si>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</si>
  <si>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</si>
  <si>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</si>
  <si>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</si>
  <si>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</si>
  <si>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</si>
  <si>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</si>
  <si>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</si>
  <si>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</si>
  <si>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</si>
  <si>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</si>
  <si>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</si>
  <si>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</si>
  <si>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</si>
  <si>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</si>
  <si>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</si>
  <si>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</si>
  <si>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</si>
  <si>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</si>
  <si>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</si>
  <si>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</si>
  <si>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</si>
  <si>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</si>
  <si>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</si>
  <si>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</si>
  <si>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</si>
  <si>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</si>
  <si>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</si>
  <si>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</si>
  <si>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</si>
  <si>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</si>
  <si>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</si>
  <si>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</si>
  <si>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</si>
  <si>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</si>
  <si>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</si>
  <si>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</si>
  <si>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</si>
  <si>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</si>
  <si>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</si>
  <si>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</si>
  <si>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</si>
  <si>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</si>
  <si>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</si>
  <si>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</si>
  <si>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</si>
  <si>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</si>
  <si>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</si>
  <si>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</si>
  <si>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</si>
  <si>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</si>
  <si>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</si>
  <si>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</si>
  <si>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</si>
  <si>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</si>
  <si>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</si>
  <si>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</si>
  <si>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</si>
  <si>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</si>
  <si>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</si>
  <si>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</si>
  <si>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</si>
  <si>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</si>
  <si>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</si>
  <si>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</si>
  <si>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</si>
  <si>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</si>
  <si>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</si>
  <si>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</si>
  <si>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</si>
  <si>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</si>
  <si>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</si>
  <si>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</si>
  <si>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</si>
  <si>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</si>
  <si>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</si>
  <si>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</si>
  <si>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</si>
  <si>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</si>
  <si>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</si>
  <si>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</si>
  <si>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</si>
  <si>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</si>
  <si>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</si>
  <si>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</si>
  <si>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</si>
  <si>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</si>
  <si>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</si>
  <si>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</si>
  <si>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</si>
  <si>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</si>
  <si>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</si>
  <si>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</si>
  <si>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</si>
  <si>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</si>
  <si>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</si>
  <si>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</si>
  <si>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</si>
  <si>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</si>
  <si>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</si>
  <si>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</si>
  <si>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</si>
  <si>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</si>
  <si>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</si>
  <si>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</si>
  <si>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</si>
  <si>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</si>
  <si>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</si>
  <si>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</si>
  <si>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</si>
  <si>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</si>
  <si>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</si>
  <si>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</si>
  <si>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</si>
  <si>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</si>
  <si>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</si>
  <si>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</si>
  <si>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</si>
  <si>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</si>
  <si>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</si>
  <si>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</si>
  <si>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</si>
  <si>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</si>
  <si>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</si>
  <si>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</si>
  <si>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</si>
  <si>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</si>
  <si>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</si>
  <si>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</si>
  <si>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</si>
  <si>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</si>
  <si>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</si>
  <si>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</si>
  <si>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</si>
  <si>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</si>
  <si>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</si>
  <si>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</si>
  <si>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</si>
  <si>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</si>
  <si>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</si>
  <si>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</si>
  <si>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</si>
  <si>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</si>
  <si>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</si>
  <si>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</si>
  <si>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</si>
  <si>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</si>
  <si>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</si>
  <si>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</si>
  <si>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</si>
  <si>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</si>
  <si>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</si>
  <si>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</si>
  <si>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</si>
  <si>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</si>
  <si>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</si>
  <si>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</si>
  <si>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</si>
  <si>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</si>
  <si>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</si>
  <si>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</si>
  <si>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</si>
  <si>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</si>
  <si>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</si>
  <si>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</si>
  <si>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</si>
  <si>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</si>
  <si>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</si>
  <si>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</si>
  <si>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</si>
  <si>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</si>
  <si>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</si>
  <si>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</si>
  <si>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</si>
  <si>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X_Variables</t>
  </si>
  <si>
    <t>Allow_Intercept</t>
  </si>
  <si>
    <t>Smoke Test</t>
  </si>
  <si>
    <t>Observations (Exp.)</t>
  </si>
  <si>
    <t>Observations (Calc.)</t>
  </si>
  <si>
    <t>DF_Regression (Exp.)</t>
  </si>
  <si>
    <t>DF_Regression (Calc.)</t>
  </si>
  <si>
    <t>DF_Total (Exp.)</t>
  </si>
  <si>
    <t>DF_Total (Calc.)</t>
  </si>
  <si>
    <t>R_squared (Exp.)</t>
  </si>
  <si>
    <t>R_squared (Calc.)</t>
  </si>
  <si>
    <t>DF_Residual (Exp.)</t>
  </si>
  <si>
    <t>DF_Residual (Calc.)</t>
  </si>
  <si>
    <t>Multiple_R (Exp.)</t>
  </si>
  <si>
    <t>Multiple_R (Calc.)</t>
  </si>
  <si>
    <t>Adjusted_R2 (Exp.)</t>
  </si>
  <si>
    <t>Adjusted_R2 (Calc.)</t>
  </si>
  <si>
    <t>ind_vars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</si>
  <si>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</si>
  <si>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</si>
  <si>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</si>
  <si>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</si>
  <si>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</si>
  <si>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</si>
  <si>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</si>
  <si>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</si>
  <si>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</si>
  <si>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</si>
  <si>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</si>
  <si>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</si>
  <si>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</si>
  <si>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</si>
  <si>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</si>
  <si>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</si>
  <si>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SS_Total (Exp.)</t>
  </si>
  <si>
    <t>SS_Total (Calc.)</t>
  </si>
  <si>
    <t>SS_Residual (Exp.)</t>
  </si>
  <si>
    <t>SS_Residual (Calc.)</t>
  </si>
  <si>
    <t>SS_Regression (Exp.)</t>
  </si>
  <si>
    <t>SS_Regression (Calc.)</t>
  </si>
  <si>
    <t>SE_Regression (Exp.)</t>
  </si>
  <si>
    <t>SE_Regression (Calc.)</t>
  </si>
  <si>
    <t>Observations (Match)</t>
  </si>
  <si>
    <t>DF_Regression (Match)</t>
  </si>
  <si>
    <t>DF_Total (Match)</t>
  </si>
  <si>
    <t>R_squared (Match)</t>
  </si>
  <si>
    <t>DF_Residual (Match)</t>
  </si>
  <si>
    <t>Multiple_R (Match)</t>
  </si>
  <si>
    <t>Adjusted_R2 (Match)</t>
  </si>
  <si>
    <t>SS_Total (Match)</t>
  </si>
  <si>
    <t>SS_Residual (Match)</t>
  </si>
  <si>
    <t>SS_Regression (Match)</t>
  </si>
  <si>
    <t>SE_Regression (Match)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</si>
</sst>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64" formatCode="0.0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164" formatCode="0.00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735FF9-311F-4FDB-ACB7-AAB7FC0C176E}" name="LAMBDAFunctionsCatalog" displayName="LAMBDAFunctionsCatalog" ref="A1:E12" totalsRowShown="0" headerRowDxfId="6" dataDxfId="5">
  <autoFilter ref="A1:E12" xr:uid="{4A735FF9-311F-4FDB-ACB7-AAB7FC0C176E}"/>
  <tableColumns count="5">
    <tableColumn id="1" xr3:uid="{89AF99FF-FF97-4BBE-AB91-C2695140FBB8}" name="Function Name" dataDxfId="4"/>
    <tableColumn id="2" xr3:uid="{F404EA3C-8BB9-4723-96FF-76E6694F43C4}" name="Definition" dataDxfId="3"/>
    <tableColumn id="3" xr3:uid="{3CC23AC7-F990-4150-8E41-7A32BF883F81}" name="Arguments" dataDxfId="2"/>
    <tableColumn id="4" xr3:uid="{6046D40C-B3FB-4F37-9A7A-446471143701}" name="Yields" dataDxfId="1"/>
    <tableColumn id="5" xr3:uid="{C1FF780F-5DCB-4A1A-84BF-BC859AF9652D}" name="Descript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DEE99A-AEB8-4942-B45C-0651C8E78526}" name="LifeExpectancyData" displayName="LifeExpectancyData" ref="A1:W2939" totalsRowShown="0">
  <autoFilter ref="A1:W2939" xr:uid="{7ADEE99A-AEB8-4942-B45C-0651C8E78526}"/>
  <tableColumns count="23">
    <tableColumn id="1" xr3:uid="{7B8963CF-B740-43FD-9B61-B4F71B893C68}" name="Country"/>
    <tableColumn id="2" xr3:uid="{A53537B7-27D9-4C69-8D57-7A70E949544F}" name="Year"/>
    <tableColumn id="3" xr3:uid="{144EA363-A319-4B00-99CB-16F78686B755}" name="Status"/>
    <tableColumn id="4" xr3:uid="{5014AF02-372D-42B5-BF6C-C72371FF237E}" name="Life expectancy"/>
    <tableColumn id="5" xr3:uid="{495C55E9-0418-4174-8E11-5F730EFE51B8}" name="Adult Mortality"/>
    <tableColumn id="6" xr3:uid="{7D0784BC-05A7-4996-B7E8-F54082B0B182}" name="infant deaths"/>
    <tableColumn id="7" xr3:uid="{5E3CEDFC-C57D-4337-9A82-72178933E06F}" name="Alcohol"/>
    <tableColumn id="8" xr3:uid="{1386D34A-0C65-496D-A66B-92F6D7A8B8C0}" name="percentage expenditure"/>
    <tableColumn id="9" xr3:uid="{E80EB58D-FE8A-4253-AAC6-9EA6AF3ED3FC}" name="Hepatitis B"/>
    <tableColumn id="10" xr3:uid="{294EF42A-61A2-451E-B007-3AC1F502720C}" name="Measles"/>
    <tableColumn id="11" xr3:uid="{4BD7F629-C775-413F-888C-5147FBF22A9A}" name="BMI"/>
    <tableColumn id="12" xr3:uid="{147B0A15-A627-4592-B17C-DE2321C6C332}" name="under-five deaths"/>
    <tableColumn id="13" xr3:uid="{9F28A5F1-CCCC-436C-8CAF-7D609E9B8A3C}" name="Polio"/>
    <tableColumn id="14" xr3:uid="{3501DCA2-6ADC-4B61-961A-E50CF53B55A5}" name="Total expenditure"/>
    <tableColumn id="15" xr3:uid="{77F0A435-2C32-4E44-8757-3B7B45C00EE1}" name="Diphtheria"/>
    <tableColumn id="16" xr3:uid="{AD0D0007-6B9B-438F-9AB9-F4C2EEAE3F17}" name="HIV/AIDS"/>
    <tableColumn id="17" xr3:uid="{77D65F90-F733-4B38-9514-26E0FD0A6EA8}" name="GDP"/>
    <tableColumn id="18" xr3:uid="{B06920BA-6FFD-4AE7-8C38-761CA02F184B}" name="Population"/>
    <tableColumn id="19" xr3:uid="{02DC68D7-E5F7-4469-BF80-BBBA1878BDC1}" name="thinness 1-19 years"/>
    <tableColumn id="20" xr3:uid="{C6EF420A-181E-452B-BCAD-721D87F47F45}" name="thinness 5-9 years"/>
    <tableColumn id="21" xr3:uid="{D82A6F28-C036-4A32-9721-0C800CF0367E}" name="Income composition of resources"/>
    <tableColumn id="22" xr3:uid="{961F3BC0-1576-482C-B157-7E0BFFA15056}" name="Schooling"/>
    <tableColumn id="23" xr3:uid="{1BF10527-61E5-418F-AB5A-6EFEDAF170EE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C735DE-B404-4DA9-9E71-152ED3EA7407}" name="MLR_Scalar_Test" displayName="MLR_Scalar_Test" ref="A1:AK9" totalsRowShown="0">
  <autoFilter ref="A1:AK9" xr:uid="{A7C735DE-B404-4DA9-9E71-152ED3EA7407}"/>
  <tableColumns count="37">
    <tableColumn id="1" xr3:uid="{04D8B7A4-86F0-4043-97FD-D6EC7168CB3A}" name="X_Variables" dataDxfId="30">
      <calculatedColumnFormula>_xlfn.TEXTJOIN(", ",TRUE,OFFSET(y,-1,1,1,MLR_Scalar_Test[[#This Row],[ind_vars]]))</calculatedColumnFormula>
    </tableColumn>
    <tableColumn id="2" xr3:uid="{3CC37959-EB22-4AF5-9113-E33C6A752B29}" name="ind_vars"/>
    <tableColumn id="3" xr3:uid="{9474C248-25CE-4F5F-ABD8-F843747C410F}" name="Allow_Intercept"/>
    <tableColumn id="4" xr3:uid="{4DE6872E-A9A3-4CE8-9622-3B1250C3D58A}" name="Smoke Test" dataDxfId="29">
      <calculatedColumnFormula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calculatedColumnFormula>
    </tableColumn>
    <tableColumn id="5" xr3:uid="{183D6676-BCD0-45E0-BEEB-4760EE33DA7C}" name="Observations (Exp.)"/>
    <tableColumn id="6" xr3:uid="{71FBE9E5-FB60-4A86-A859-70177B0D2AFB}" name="Observations (Calc.)" dataDxfId="28">
      <calculatedColumnFormula>Observations(y, fil)</calculatedColumnFormula>
    </tableColumn>
    <tableColumn id="7" xr3:uid="{5B32CA77-D1CE-459F-B80C-03D85CCEB161}" name="Observations (Match)" dataDxfId="27">
      <calculatedColumnFormula>MLR_Scalar_Test[[#This Row],[Observations (Exp.)]]=MLR_Scalar_Test[[#This Row],[Observations (Calc.)]]</calculatedColumnFormula>
    </tableColumn>
    <tableColumn id="8" xr3:uid="{7CF58634-5E18-4E1A-B4AF-C4EAC558D3E6}" name="DF_Regression (Exp.)"/>
    <tableColumn id="9" xr3:uid="{E009ECE7-C406-4D84-8E36-B7D37F4CFC67}" name="DF_Regression (Calc.)" dataDxfId="26">
      <calculatedColumnFormula>_xlfn.LET(_xlpm.x_s, OFFSET(y,0,1,ROWS(y),MLR_Scalar_Test[[#This Row],[ind_vars]]), DF_Regression(_xlpm.x_s))</calculatedColumnFormula>
    </tableColumn>
    <tableColumn id="10" xr3:uid="{5A14A6AD-C909-44F1-9EA9-2261CF76A857}" name="DF_Regression (Match)" dataDxfId="25">
      <calculatedColumnFormula>MLR_Scalar_Test[[#This Row],[DF_Regression (Exp.)]]=MLR_Scalar_Test[[#This Row],[DF_Regression (Calc.)]]</calculatedColumnFormula>
    </tableColumn>
    <tableColumn id="11" xr3:uid="{FBCEC25F-5CC3-4815-87F1-9A6FD01498CE}" name="DF_Total (Exp.)"/>
    <tableColumn id="12" xr3:uid="{F9B73220-D581-4D3A-94FF-DCC5510388D3}" name="DF_Total (Calc.)" dataDxfId="24">
      <calculatedColumnFormula>DF_Total(y, MLR_Scalar_Test[[#This Row],[Allow_Intercept]], fil)</calculatedColumnFormula>
    </tableColumn>
    <tableColumn id="13" xr3:uid="{5B7AF217-2848-40BF-96D9-FAAD70EFFFA0}" name="DF_Total (Match)" dataDxfId="23">
      <calculatedColumnFormula>MLR_Scalar_Test[[#This Row],[DF_Total (Exp.)]]=MLR_Scalar_Test[[#This Row],[DF_Total (Calc.)]]</calculatedColumnFormula>
    </tableColumn>
    <tableColumn id="14" xr3:uid="{DE6B0467-3B25-46DD-A2F2-2DC4D227E9D7}" name="R_squared (Exp.)"/>
    <tableColumn id="15" xr3:uid="{C3EF0B4D-12CF-486C-A9E0-523956D75F19}" name="R_squared (Calc.)" dataDxfId="22">
      <calculatedColumnFormula>_xlfn.LET(_xlpm.x_s, OFFSET(y,0,1,ROWS(y),MLR_Scalar_Test[[#This Row],[ind_vars]]), R_squared(_xlpm.x_s, y, MLR_Scalar_Test[[#This Row],[Allow_Intercept]], fil))</calculatedColumnFormula>
    </tableColumn>
    <tableColumn id="16" xr3:uid="{16ED7EEC-4284-479D-9269-0A342C09B1B7}" name="R_squared (Match)" dataDxfId="21">
      <calculatedColumnFormula>ROUND(MLR_Scalar_Test[[#This Row],[R_squared (Exp.)]],6)=ROUND(MLR_Scalar_Test[[#This Row],[R_squared (Calc.)]],6)</calculatedColumnFormula>
    </tableColumn>
    <tableColumn id="17" xr3:uid="{B418DF29-ADD2-4C8F-AF63-53DCB8916751}" name="DF_Residual (Exp.)"/>
    <tableColumn id="18" xr3:uid="{EECBFC8D-D19D-44AD-9F92-5481865735C6}" name="DF_Residual (Calc.)" dataDxfId="20">
      <calculatedColumnFormula>_xlfn.LET(_xlpm.x_s, OFFSET(y,0,1,ROWS(y),MLR_Scalar_Test[[#This Row],[ind_vars]]), DF_Residual(_xlpm.x_s, y, MLR_Scalar_Test[[#This Row],[Allow_Intercept]], fil))</calculatedColumnFormula>
    </tableColumn>
    <tableColumn id="19" xr3:uid="{8283E430-FCB7-46AD-8423-C1A6D4DBA528}" name="DF_Residual (Match)" dataDxfId="19">
      <calculatedColumnFormula>MLR_Scalar_Test[[#This Row],[DF_Residual (Exp.)]]=MLR_Scalar_Test[[#This Row],[DF_Residual (Calc.)]]</calculatedColumnFormula>
    </tableColumn>
    <tableColumn id="20" xr3:uid="{3AC8807B-F8E1-4606-9183-85F9F95F80DA}" name="Multiple_R (Exp.)"/>
    <tableColumn id="21" xr3:uid="{6822D782-0874-421A-9689-51C9D68E09D7}" name="Multiple_R (Calc.)" dataDxfId="18">
      <calculatedColumnFormula>_xlfn.LET(_xlpm.x_s, OFFSET(y,0,1,ROWS(y),MLR_Scalar_Test[[#This Row],[ind_vars]]), Multiple_R(_xlpm.x_s, y, MLR_Scalar_Test[[#This Row],[Allow_Intercept]], fil))</calculatedColumnFormula>
    </tableColumn>
    <tableColumn id="22" xr3:uid="{47C96683-EDB4-4779-B9DC-375D3122B0D2}" name="Multiple_R (Match)" dataDxfId="17">
      <calculatedColumnFormula>ROUND(MLR_Scalar_Test[[#This Row],[Multiple_R (Exp.)]],6)=ROUND(MLR_Scalar_Test[[#This Row],[Multiple_R (Calc.)]],6)</calculatedColumnFormula>
    </tableColumn>
    <tableColumn id="23" xr3:uid="{C8CDF154-BACC-44F3-8DED-6BF04E088F2D}" name="Adjusted_R2 (Exp.)"/>
    <tableColumn id="24" xr3:uid="{F51F2C84-71CF-4D40-9875-5489918FFFFD}" name="Adjusted_R2 (Calc.)" dataDxfId="16">
      <calculatedColumnFormula>_xlfn.LET(_xlpm.x_s, OFFSET(y,0,1,ROWS(y),MLR_Scalar_Test[[#This Row],[ind_vars]]), Adjusted_R2(_xlpm.x_s, y, MLR_Scalar_Test[[#This Row],[Allow_Intercept]], fil))</calculatedColumnFormula>
    </tableColumn>
    <tableColumn id="25" xr3:uid="{7F1B6DCF-92B2-4808-9CF2-67B49C08EC05}" name="Adjusted_R2 (Match)" dataDxfId="15">
      <calculatedColumnFormula>ROUND(MLR_Scalar_Test[[#This Row],[Adjusted_R2 (Exp.)]],6)=ROUND(MLR_Scalar_Test[[#This Row],[Adjusted_R2 (Calc.)]],6)</calculatedColumnFormula>
    </tableColumn>
    <tableColumn id="26" xr3:uid="{295E657E-571E-499F-96D3-F9D9F54ABBF6}" name="SS_Total (Exp.)"/>
    <tableColumn id="27" xr3:uid="{3551EC88-2B21-444D-851B-F09D079016D7}" name="SS_Total (Calc.)" dataDxfId="14">
      <calculatedColumnFormula>SS_Total(y, MLR_Scalar_Test[[#This Row],[Allow_Intercept]], fil)</calculatedColumnFormula>
    </tableColumn>
    <tableColumn id="28" xr3:uid="{D7B782DD-D0AE-4A9A-8800-C6AA46715FCA}" name="SS_Total (Match)" dataDxfId="13">
      <calculatedColumnFormula>ROUND(MLR_Scalar_Test[[#This Row],[SS_Total (Exp.)]],4)=ROUND(MLR_Scalar_Test[[#This Row],[SS_Total (Calc.)]],4)</calculatedColumnFormula>
    </tableColumn>
    <tableColumn id="29" xr3:uid="{C2D74135-9CE0-42F4-A353-AFAABFA9F421}" name="SS_Residual (Exp.)"/>
    <tableColumn id="30" xr3:uid="{3C216947-B370-4273-9467-5F566043A9A0}" name="SS_Residual (Calc.)" dataDxfId="12">
      <calculatedColumnFormula>_xlfn.LET(_xlpm.x_s, OFFSET(y,0,1,ROWS(y),MLR_Scalar_Test[[#This Row],[ind_vars]]), SS_Residual(_xlpm.x_s, y, MLR_Scalar_Test[[#This Row],[Allow_Intercept]], fil))</calculatedColumnFormula>
    </tableColumn>
    <tableColumn id="31" xr3:uid="{502D9982-B61B-46BC-AE5C-06A3279175A9}" name="SS_Residual (Match)" dataDxfId="11">
      <calculatedColumnFormula>ROUND(MLR_Scalar_Test[[#This Row],[SS_Residual (Exp.)]],4)=ROUND(MLR_Scalar_Test[[#This Row],[SS_Residual (Calc.)]],4)</calculatedColumnFormula>
    </tableColumn>
    <tableColumn id="32" xr3:uid="{BB11BBFC-EB7C-42EB-BF76-0E23AAD27D53}" name="SS_Regression (Exp.)"/>
    <tableColumn id="33" xr3:uid="{6A02095E-2AFC-462A-83E1-FC4D76D01A0C}" name="SS_Regression (Calc.)" dataDxfId="10">
      <calculatedColumnFormula>_xlfn.LET(_xlpm.x_s, OFFSET(y,0,1,ROWS(y),MLR_Scalar_Test[[#This Row],[ind_vars]]), SS_Regression(_xlpm.x_s, y, MLR_Scalar_Test[[#This Row],[Allow_Intercept]], fil))</calculatedColumnFormula>
    </tableColumn>
    <tableColumn id="34" xr3:uid="{260C264A-5CDF-4113-B021-7528DBB191F9}" name="SS_Regression (Match)" dataDxfId="9">
      <calculatedColumnFormula>ROUND(MLR_Scalar_Test[[#This Row],[SS_Regression (Exp.)]],4)=ROUND(MLR_Scalar_Test[[#This Row],[SS_Regression (Calc.)]],4)</calculatedColumnFormula>
    </tableColumn>
    <tableColumn id="35" xr3:uid="{C7F29BED-9CA0-4158-94F5-607207676DC8}" name="SE_Regression (Exp.)"/>
    <tableColumn id="36" xr3:uid="{3A67FE75-8BD9-4A5D-9389-3EAB6038BC68}" name="SE_Regression (Calc.)" dataDxfId="8">
      <calculatedColumnFormula>_xlfn.LET(_xlpm.x_s, OFFSET(y,0,1,ROWS(y),MLR_Scalar_Test[[#This Row],[ind_vars]]), SE_Regression(_xlpm.x_s, y, MLR_Scalar_Test[[#This Row],[Allow_Intercept]], fil))</calculatedColumnFormula>
    </tableColumn>
    <tableColumn id="37" xr3:uid="{3FF09C89-21B9-472C-AE5B-3AC3D2024C85}" name="SE_Regression (Match)" dataDxfId="7">
      <calculatedColumnFormula>ROUND(MLR_Scalar_Test[[#This Row],[SE_Regression (Exp.)]],6)=ROUND(MLR_Scalar_Test[[#This Row],[SE_Regression (Calc.)]],6)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E4C5-98B0-4E59-9890-2FC7FB6E5FE6}">
  <dimension ref="A1:E12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273</v>
      </c>
      <c r="B9" s="1" t="s">
        <v>274</v>
      </c>
      <c r="C9" s="2" t="s">
        <v>17</v>
      </c>
      <c r="D9" s="2" t="s">
        <v>275</v>
      </c>
      <c r="E9" s="2" t="s">
        <v>276</v>
      </c>
    </row>
    <row r="10" spans="1:5" ht="120" x14ac:dyDescent="0.25">
      <c r="A10" s="2" t="s">
        <v>277</v>
      </c>
      <c r="B10" s="1" t="s">
        <v>278</v>
      </c>
      <c r="C10" s="2" t="s">
        <v>22</v>
      </c>
      <c r="D10" s="2" t="s">
        <v>279</v>
      </c>
      <c r="E10" s="2" t="s">
        <v>280</v>
      </c>
    </row>
    <row r="11" spans="1:5" ht="120" x14ac:dyDescent="0.25">
      <c r="A11" s="2" t="s">
        <v>281</v>
      </c>
      <c r="B11" s="1" t="s">
        <v>282</v>
      </c>
      <c r="C11" s="2" t="s">
        <v>22</v>
      </c>
      <c r="D11" s="2" t="s">
        <v>283</v>
      </c>
      <c r="E11" s="2" t="s">
        <v>284</v>
      </c>
    </row>
    <row r="12" spans="1:5" ht="120" x14ac:dyDescent="0.25">
      <c r="A12" s="2" t="s">
        <v>285</v>
      </c>
      <c r="B12" s="1" t="s">
        <v>286</v>
      </c>
      <c r="C12" s="2" t="s">
        <v>22</v>
      </c>
      <c r="D12" s="2" t="s">
        <v>287</v>
      </c>
      <c r="E12" s="2" t="s">
        <v>288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7AE4-1DB6-4D17-B3A6-C71E773D83B4}">
  <dimension ref="A1:W2939"/>
  <sheetViews>
    <sheetView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F9EE-1336-40B2-AA21-00C926BBD41E}">
  <dimension ref="A1:AK9"/>
  <sheetViews>
    <sheetView tabSelected="1"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233.42578125" bestFit="1" customWidth="1"/>
    <col min="2" max="2" width="10.7109375" bestFit="1" customWidth="1"/>
    <col min="3" max="3" width="17.42578125" bestFit="1" customWidth="1"/>
    <col min="4" max="4" width="13.7109375" bestFit="1" customWidth="1"/>
    <col min="5" max="5" width="21.28515625" bestFit="1" customWidth="1"/>
    <col min="6" max="6" width="22" bestFit="1" customWidth="1"/>
    <col min="7" max="7" width="22.85546875" bestFit="1" customWidth="1"/>
    <col min="8" max="8" width="22.7109375" bestFit="1" customWidth="1"/>
    <col min="9" max="9" width="23.42578125" bestFit="1" customWidth="1"/>
    <col min="10" max="10" width="24.42578125" bestFit="1" customWidth="1"/>
    <col min="11" max="11" width="16.85546875" bestFit="1" customWidth="1"/>
    <col min="12" max="12" width="17.5703125" bestFit="1" customWidth="1"/>
    <col min="13" max="13" width="18.42578125" bestFit="1" customWidth="1"/>
    <col min="14" max="14" width="18.5703125" bestFit="1" customWidth="1"/>
    <col min="15" max="15" width="19.28515625" bestFit="1" customWidth="1"/>
    <col min="16" max="16" width="20.28515625" bestFit="1" customWidth="1"/>
    <col min="17" max="17" width="20.42578125" bestFit="1" customWidth="1"/>
    <col min="18" max="18" width="21.140625" bestFit="1" customWidth="1"/>
    <col min="19" max="19" width="22" bestFit="1" customWidth="1"/>
    <col min="20" max="20" width="18.7109375" bestFit="1" customWidth="1"/>
    <col min="21" max="21" width="19.5703125" bestFit="1" customWidth="1"/>
    <col min="22" max="23" width="20.42578125" bestFit="1" customWidth="1"/>
    <col min="24" max="24" width="21.140625" bestFit="1" customWidth="1"/>
    <col min="25" max="25" width="22" bestFit="1" customWidth="1"/>
    <col min="26" max="26" width="16.7109375" bestFit="1" customWidth="1"/>
    <col min="27" max="27" width="17.42578125" bestFit="1" customWidth="1"/>
    <col min="28" max="28" width="18.28515625" bestFit="1" customWidth="1"/>
    <col min="29" max="29" width="20.28515625" bestFit="1" customWidth="1"/>
    <col min="30" max="30" width="21" bestFit="1" customWidth="1"/>
    <col min="31" max="31" width="21.85546875" bestFit="1" customWidth="1"/>
    <col min="32" max="32" width="22.5703125" bestFit="1" customWidth="1"/>
    <col min="33" max="33" width="23.28515625" bestFit="1" customWidth="1"/>
    <col min="34" max="34" width="24.28515625" bestFit="1" customWidth="1"/>
    <col min="35" max="35" width="22.5703125" bestFit="1" customWidth="1"/>
    <col min="36" max="36" width="23.28515625" bestFit="1" customWidth="1"/>
    <col min="37" max="37" width="24.28515625" bestFit="1" customWidth="1"/>
  </cols>
  <sheetData>
    <row r="1" spans="1:37" x14ac:dyDescent="0.25">
      <c r="A1" t="s">
        <v>255</v>
      </c>
      <c r="B1" t="s">
        <v>272</v>
      </c>
      <c r="C1" t="s">
        <v>256</v>
      </c>
      <c r="D1" t="s">
        <v>257</v>
      </c>
      <c r="E1" t="s">
        <v>258</v>
      </c>
      <c r="F1" t="s">
        <v>259</v>
      </c>
      <c r="G1" t="s">
        <v>297</v>
      </c>
      <c r="H1" t="s">
        <v>260</v>
      </c>
      <c r="I1" t="s">
        <v>261</v>
      </c>
      <c r="J1" t="s">
        <v>298</v>
      </c>
      <c r="K1" t="s">
        <v>262</v>
      </c>
      <c r="L1" t="s">
        <v>263</v>
      </c>
      <c r="M1" t="s">
        <v>299</v>
      </c>
      <c r="N1" t="s">
        <v>264</v>
      </c>
      <c r="O1" t="s">
        <v>265</v>
      </c>
      <c r="P1" t="s">
        <v>300</v>
      </c>
      <c r="Q1" t="s">
        <v>266</v>
      </c>
      <c r="R1" t="s">
        <v>267</v>
      </c>
      <c r="S1" t="s">
        <v>301</v>
      </c>
      <c r="T1" t="s">
        <v>268</v>
      </c>
      <c r="U1" t="s">
        <v>269</v>
      </c>
      <c r="V1" t="s">
        <v>302</v>
      </c>
      <c r="W1" t="s">
        <v>270</v>
      </c>
      <c r="X1" t="s">
        <v>271</v>
      </c>
      <c r="Y1" t="s">
        <v>303</v>
      </c>
      <c r="Z1" t="s">
        <v>289</v>
      </c>
      <c r="AA1" t="s">
        <v>290</v>
      </c>
      <c r="AB1" t="s">
        <v>304</v>
      </c>
      <c r="AC1" t="s">
        <v>291</v>
      </c>
      <c r="AD1" t="s">
        <v>292</v>
      </c>
      <c r="AE1" t="s">
        <v>305</v>
      </c>
      <c r="AF1" t="s">
        <v>293</v>
      </c>
      <c r="AG1" t="s">
        <v>294</v>
      </c>
      <c r="AH1" t="s">
        <v>306</v>
      </c>
      <c r="AI1" t="s">
        <v>295</v>
      </c>
      <c r="AJ1" t="s">
        <v>296</v>
      </c>
      <c r="AK1" t="s">
        <v>307</v>
      </c>
    </row>
    <row r="2" spans="1:37" x14ac:dyDescent="0.25">
      <c r="A2" t="str">
        <f ca="1">_xlfn.TEXTJOIN(", ",TRUE,OFFSET(y,-1,1,1,MLR_Scalar_Test[[#This Row],[ind_vars]]))</f>
        <v>Adult Mortality</v>
      </c>
      <c r="B2" s="3">
        <v>1</v>
      </c>
      <c r="C2" t="b">
        <v>1</v>
      </c>
      <c r="D2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2" s="3">
        <v>1649</v>
      </c>
      <c r="F2" s="3">
        <f>Observations(y, fil)</f>
        <v>1649</v>
      </c>
      <c r="G2" t="b">
        <f>MLR_Scalar_Test[[#This Row],[Observations (Exp.)]]=MLR_Scalar_Test[[#This Row],[Observations (Calc.)]]</f>
        <v>1</v>
      </c>
      <c r="H2" s="3">
        <v>1</v>
      </c>
      <c r="I2" s="3">
        <f ca="1">_xlfn.LET(_xlpm.x_s, OFFSET(y,0,1,ROWS(y),MLR_Scalar_Test[[#This Row],[ind_vars]]), DF_Regression(_xlpm.x_s))</f>
        <v>1</v>
      </c>
      <c r="J2" t="b">
        <f ca="1">MLR_Scalar_Test[[#This Row],[DF_Regression (Exp.)]]=MLR_Scalar_Test[[#This Row],[DF_Regression (Calc.)]]</f>
        <v>1</v>
      </c>
      <c r="K2" s="3">
        <v>1648</v>
      </c>
      <c r="L2" s="3">
        <f>DF_Total(y, MLR_Scalar_Test[[#This Row],[Allow_Intercept]], fil)</f>
        <v>1648</v>
      </c>
      <c r="M2" t="b">
        <f>MLR_Scalar_Test[[#This Row],[DF_Total (Exp.)]]=MLR_Scalar_Test[[#This Row],[DF_Total (Calc.)]]</f>
        <v>1</v>
      </c>
      <c r="N2" s="4">
        <v>0.49353865307316791</v>
      </c>
      <c r="O2" s="4">
        <f ca="1">_xlfn.LET(_xlpm.x_s, OFFSET(y,0,1,ROWS(y),MLR_Scalar_Test[[#This Row],[ind_vars]]), R_squared(_xlpm.x_s, y, MLR_Scalar_Test[[#This Row],[Allow_Intercept]], fil))</f>
        <v>0.49353865307316708</v>
      </c>
      <c r="P2" t="b">
        <f ca="1">ROUND(MLR_Scalar_Test[[#This Row],[R_squared (Exp.)]],6)=ROUND(MLR_Scalar_Test[[#This Row],[R_squared (Calc.)]],6)</f>
        <v>1</v>
      </c>
      <c r="Q2" s="3">
        <v>1647</v>
      </c>
      <c r="R2" s="3">
        <f ca="1">_xlfn.LET(_xlpm.x_s, OFFSET(y,0,1,ROWS(y),MLR_Scalar_Test[[#This Row],[ind_vars]]), DF_Residual(_xlpm.x_s, y, MLR_Scalar_Test[[#This Row],[Allow_Intercept]], fil))</f>
        <v>1647</v>
      </c>
      <c r="S2" t="b">
        <f ca="1">MLR_Scalar_Test[[#This Row],[DF_Residual (Exp.)]]=MLR_Scalar_Test[[#This Row],[DF_Residual (Calc.)]]</f>
        <v>1</v>
      </c>
      <c r="T2" s="4">
        <v>0.70252306230697359</v>
      </c>
      <c r="U2" s="4">
        <f ca="1">_xlfn.LET(_xlpm.x_s, OFFSET(y,0,1,ROWS(y),MLR_Scalar_Test[[#This Row],[ind_vars]]), Multiple_R(_xlpm.x_s, y, MLR_Scalar_Test[[#This Row],[Allow_Intercept]], fil))</f>
        <v>0.70252306230697303</v>
      </c>
      <c r="V2" t="b">
        <f ca="1">ROUND(MLR_Scalar_Test[[#This Row],[Multiple_R (Exp.)]],6)=ROUND(MLR_Scalar_Test[[#This Row],[Multiple_R (Calc.)]],6)</f>
        <v>1</v>
      </c>
      <c r="W2" s="4">
        <v>0.49323114770162757</v>
      </c>
      <c r="X2" s="4">
        <f ca="1">_xlfn.LET(_xlpm.x_s, OFFSET(y,0,1,ROWS(y),MLR_Scalar_Test[[#This Row],[ind_vars]]), Adjusted_R2(_xlpm.x_s, y, MLR_Scalar_Test[[#This Row],[Allow_Intercept]], fil))</f>
        <v>0.4932311477016269</v>
      </c>
      <c r="Y2" t="b">
        <f ca="1">ROUND(MLR_Scalar_Test[[#This Row],[Adjusted_R2 (Exp.)]],6)=ROUND(MLR_Scalar_Test[[#This Row],[Adjusted_R2 (Calc.)]],6)</f>
        <v>1</v>
      </c>
      <c r="Z2" s="5">
        <v>127529.31124317768</v>
      </c>
      <c r="AA2" s="5">
        <f>SS_Total(y, MLR_Scalar_Test[[#This Row],[Allow_Intercept]], fil)</f>
        <v>127529.31124317752</v>
      </c>
      <c r="AB2" t="b">
        <f>ROUND(MLR_Scalar_Test[[#This Row],[SS_Total (Exp.)]],4)=ROUND(MLR_Scalar_Test[[#This Row],[SS_Total (Calc.)]],4)</f>
        <v>1</v>
      </c>
      <c r="AC2" s="5">
        <v>64588.666744870963</v>
      </c>
      <c r="AD2" s="5">
        <f ca="1">_xlfn.LET(_xlpm.x_s, OFFSET(y,0,1,ROWS(y),MLR_Scalar_Test[[#This Row],[ind_vars]]), SS_Residual(_xlpm.x_s, y, MLR_Scalar_Test[[#This Row],[Allow_Intercept]], fil))</f>
        <v>64588.666744870978</v>
      </c>
      <c r="AE2" t="b">
        <f ca="1">ROUND(MLR_Scalar_Test[[#This Row],[SS_Residual (Exp.)]],4)=ROUND(MLR_Scalar_Test[[#This Row],[SS_Residual (Calc.)]],4)</f>
        <v>1</v>
      </c>
      <c r="AF2" s="5">
        <v>62940.644498306719</v>
      </c>
      <c r="AG2" s="5">
        <f ca="1">_xlfn.LET(_xlpm.x_s, OFFSET(y,0,1,ROWS(y),MLR_Scalar_Test[[#This Row],[ind_vars]]), SS_Regression(_xlpm.x_s, y, MLR_Scalar_Test[[#This Row],[Allow_Intercept]], fil))</f>
        <v>62940.644498306538</v>
      </c>
      <c r="AH2" t="b">
        <f ca="1">ROUND(MLR_Scalar_Test[[#This Row],[SS_Regression (Exp.)]],4)=ROUND(MLR_Scalar_Test[[#This Row],[SS_Regression (Calc.)]],4)</f>
        <v>1</v>
      </c>
      <c r="AI2" s="4">
        <v>6.2622638267729238</v>
      </c>
      <c r="AJ2" s="4">
        <f ca="1">_xlfn.LET(_xlpm.x_s, OFFSET(y,0,1,ROWS(y),MLR_Scalar_Test[[#This Row],[ind_vars]]), SE_Regression(_xlpm.x_s, y, MLR_Scalar_Test[[#This Row],[Allow_Intercept]], fil))</f>
        <v>6.2622638267729238</v>
      </c>
      <c r="AK2" t="b">
        <f ca="1">ROUND(MLR_Scalar_Test[[#This Row],[SE_Regression (Exp.)]],6)=ROUND(MLR_Scalar_Test[[#This Row],[SE_Regression (Calc.)]],6)</f>
        <v>1</v>
      </c>
    </row>
    <row r="3" spans="1:37" x14ac:dyDescent="0.25">
      <c r="A3" t="str">
        <f ca="1">_xlfn.TEXTJOIN(", ",TRUE,OFFSET(y,-1,1,1,MLR_Scalar_Test[[#This Row],[ind_vars]]))</f>
        <v>Adult Mortality</v>
      </c>
      <c r="B3" s="3">
        <v>1</v>
      </c>
      <c r="C3" t="b">
        <v>0</v>
      </c>
      <c r="D3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3" s="3">
        <v>1649</v>
      </c>
      <c r="F3" s="3">
        <f>Observations(y, fil)</f>
        <v>1649</v>
      </c>
      <c r="G3" t="b">
        <f>MLR_Scalar_Test[[#This Row],[Observations (Exp.)]]=MLR_Scalar_Test[[#This Row],[Observations (Calc.)]]</f>
        <v>1</v>
      </c>
      <c r="H3" s="3">
        <v>1</v>
      </c>
      <c r="I3" s="3">
        <f ca="1">_xlfn.LET(_xlpm.x_s, OFFSET(y,0,1,ROWS(y),MLR_Scalar_Test[[#This Row],[ind_vars]]), DF_Regression(_xlpm.x_s))</f>
        <v>1</v>
      </c>
      <c r="J3" t="b">
        <f ca="1">MLR_Scalar_Test[[#This Row],[DF_Regression (Exp.)]]=MLR_Scalar_Test[[#This Row],[DF_Regression (Calc.)]]</f>
        <v>1</v>
      </c>
      <c r="K3" s="3">
        <v>1649</v>
      </c>
      <c r="L3" s="3">
        <f>DF_Total(y, MLR_Scalar_Test[[#This Row],[Allow_Intercept]], fil)</f>
        <v>1649</v>
      </c>
      <c r="M3" t="b">
        <f>MLR_Scalar_Test[[#This Row],[DF_Total (Exp.)]]=MLR_Scalar_Test[[#This Row],[DF_Total (Calc.)]]</f>
        <v>1</v>
      </c>
      <c r="N3" s="4">
        <v>0.55179208580397665</v>
      </c>
      <c r="O3" s="4">
        <f ca="1">_xlfn.LET(_xlpm.x_s, OFFSET(y,0,1,ROWS(y),MLR_Scalar_Test[[#This Row],[ind_vars]]), R_squared(_xlpm.x_s, y, MLR_Scalar_Test[[#This Row],[Allow_Intercept]], fil))</f>
        <v>0.55179208580397665</v>
      </c>
      <c r="P3" t="b">
        <f ca="1">ROUND(MLR_Scalar_Test[[#This Row],[R_squared (Exp.)]],6)=ROUND(MLR_Scalar_Test[[#This Row],[R_squared (Calc.)]],6)</f>
        <v>1</v>
      </c>
      <c r="Q3" s="3">
        <v>1648</v>
      </c>
      <c r="R3" s="3">
        <f ca="1">_xlfn.LET(_xlpm.x_s, OFFSET(y,0,1,ROWS(y),MLR_Scalar_Test[[#This Row],[ind_vars]]), DF_Residual(_xlpm.x_s, y, MLR_Scalar_Test[[#This Row],[Allow_Intercept]], fil))</f>
        <v>1648</v>
      </c>
      <c r="S3" t="b">
        <f ca="1">MLR_Scalar_Test[[#This Row],[DF_Residual (Exp.)]]=MLR_Scalar_Test[[#This Row],[DF_Residual (Calc.)]]</f>
        <v>1</v>
      </c>
      <c r="T3" s="4">
        <v>0.74282709011180836</v>
      </c>
      <c r="U3" s="4">
        <f ca="1">_xlfn.LET(_xlpm.x_s, OFFSET(y,0,1,ROWS(y),MLR_Scalar_Test[[#This Row],[ind_vars]]), Multiple_R(_xlpm.x_s, y, MLR_Scalar_Test[[#This Row],[Allow_Intercept]], fil))</f>
        <v>0.74282709011180836</v>
      </c>
      <c r="V3" t="b">
        <f ca="1">ROUND(MLR_Scalar_Test[[#This Row],[Multiple_R (Exp.)]],6)=ROUND(MLR_Scalar_Test[[#This Row],[Multiple_R (Calc.)]],6)</f>
        <v>1</v>
      </c>
      <c r="W3" s="4">
        <v>0.55152011498225573</v>
      </c>
      <c r="X3" s="4">
        <f ca="1">_xlfn.LET(_xlpm.x_s, OFFSET(y,0,1,ROWS(y),MLR_Scalar_Test[[#This Row],[ind_vars]]), Adjusted_R2(_xlpm.x_s, y, MLR_Scalar_Test[[#This Row],[Allow_Intercept]], fil))</f>
        <v>0.55152011498225573</v>
      </c>
      <c r="Y3" t="b">
        <f ca="1">ROUND(MLR_Scalar_Test[[#This Row],[Adjusted_R2 (Exp.)]],6)=ROUND(MLR_Scalar_Test[[#This Row],[Adjusted_R2 (Calc.)]],6)</f>
        <v>1</v>
      </c>
      <c r="Z3" s="5">
        <v>8047362.0100000016</v>
      </c>
      <c r="AA3" s="5">
        <f>SS_Total(y, MLR_Scalar_Test[[#This Row],[Allow_Intercept]], fil)</f>
        <v>8047362.0100000026</v>
      </c>
      <c r="AB3" t="b">
        <f>ROUND(MLR_Scalar_Test[[#This Row],[SS_Total (Exp.)]],4)=ROUND(MLR_Scalar_Test[[#This Row],[SS_Total (Calc.)]],4)</f>
        <v>1</v>
      </c>
      <c r="AC3" s="5">
        <v>3606891.3412824194</v>
      </c>
      <c r="AD3" s="5">
        <f ca="1">_xlfn.LET(_xlpm.x_s, OFFSET(y,0,1,ROWS(y),MLR_Scalar_Test[[#This Row],[ind_vars]]), SS_Residual(_xlpm.x_s, y, MLR_Scalar_Test[[#This Row],[Allow_Intercept]], fil))</f>
        <v>3606891.3412824189</v>
      </c>
      <c r="AE3" t="b">
        <f ca="1">ROUND(MLR_Scalar_Test[[#This Row],[SS_Residual (Exp.)]],4)=ROUND(MLR_Scalar_Test[[#This Row],[SS_Residual (Calc.)]],4)</f>
        <v>1</v>
      </c>
      <c r="AF3" s="5">
        <v>4440470.6687175818</v>
      </c>
      <c r="AG3" s="5">
        <f ca="1">_xlfn.LET(_xlpm.x_s, OFFSET(y,0,1,ROWS(y),MLR_Scalar_Test[[#This Row],[ind_vars]]), SS_Regression(_xlpm.x_s, y, MLR_Scalar_Test[[#This Row],[Allow_Intercept]], fil))</f>
        <v>4440470.6687175836</v>
      </c>
      <c r="AH3" t="b">
        <f ca="1">ROUND(MLR_Scalar_Test[[#This Row],[SS_Regression (Exp.)]],4)=ROUND(MLR_Scalar_Test[[#This Row],[SS_Regression (Calc.)]],4)</f>
        <v>1</v>
      </c>
      <c r="AI3" s="4">
        <v>46.78298471180689</v>
      </c>
      <c r="AJ3" s="4">
        <f ca="1">_xlfn.LET(_xlpm.x_s, OFFSET(y,0,1,ROWS(y),MLR_Scalar_Test[[#This Row],[ind_vars]]), SE_Regression(_xlpm.x_s, y, MLR_Scalar_Test[[#This Row],[Allow_Intercept]], fil))</f>
        <v>46.78298471180689</v>
      </c>
      <c r="AK3" t="b">
        <f ca="1">ROUND(MLR_Scalar_Test[[#This Row],[SE_Regression (Exp.)]],6)=ROUND(MLR_Scalar_Test[[#This Row],[SE_Regression (Calc.)]],6)</f>
        <v>1</v>
      </c>
    </row>
    <row r="4" spans="1:37" x14ac:dyDescent="0.25">
      <c r="A4" t="str">
        <f ca="1">_xlfn.TEXTJOIN(", ",TRUE,OFFSET(y,-1,1,1,MLR_Scalar_Test[[#This Row],[ind_vars]]))</f>
        <v>Adult Mortality, infant deaths, Alcohol, percentage expenditure, Hepatitis B</v>
      </c>
      <c r="B4" s="3">
        <v>5</v>
      </c>
      <c r="C4" t="b">
        <v>1</v>
      </c>
      <c r="D4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4" s="3">
        <v>1649</v>
      </c>
      <c r="F4" s="3">
        <f>Observations(y, fil)</f>
        <v>1649</v>
      </c>
      <c r="G4" t="b">
        <f>MLR_Scalar_Test[[#This Row],[Observations (Exp.)]]=MLR_Scalar_Test[[#This Row],[Observations (Calc.)]]</f>
        <v>1</v>
      </c>
      <c r="H4" s="3">
        <v>5</v>
      </c>
      <c r="I4" s="3">
        <f ca="1">_xlfn.LET(_xlpm.x_s, OFFSET(y,0,1,ROWS(y),MLR_Scalar_Test[[#This Row],[ind_vars]]), DF_Regression(_xlpm.x_s))</f>
        <v>5</v>
      </c>
      <c r="J4" t="b">
        <f ca="1">MLR_Scalar_Test[[#This Row],[DF_Regression (Exp.)]]=MLR_Scalar_Test[[#This Row],[DF_Regression (Calc.)]]</f>
        <v>1</v>
      </c>
      <c r="K4" s="3">
        <v>1648</v>
      </c>
      <c r="L4" s="3">
        <f>DF_Total(y, MLR_Scalar_Test[[#This Row],[Allow_Intercept]], fil)</f>
        <v>1648</v>
      </c>
      <c r="M4" t="b">
        <f>MLR_Scalar_Test[[#This Row],[DF_Total (Exp.)]]=MLR_Scalar_Test[[#This Row],[DF_Total (Calc.)]]</f>
        <v>1</v>
      </c>
      <c r="N4" s="4">
        <v>0.61521427511204863</v>
      </c>
      <c r="O4" s="4">
        <f ca="1">_xlfn.LET(_xlpm.x_s, OFFSET(y,0,1,ROWS(y),MLR_Scalar_Test[[#This Row],[ind_vars]]), R_squared(_xlpm.x_s, y, MLR_Scalar_Test[[#This Row],[Allow_Intercept]], fil))</f>
        <v>0.61521427511204763</v>
      </c>
      <c r="P4" t="b">
        <f ca="1">ROUND(MLR_Scalar_Test[[#This Row],[R_squared (Exp.)]],6)=ROUND(MLR_Scalar_Test[[#This Row],[R_squared (Calc.)]],6)</f>
        <v>1</v>
      </c>
      <c r="Q4" s="3">
        <v>1643</v>
      </c>
      <c r="R4" s="3">
        <f ca="1">_xlfn.LET(_xlpm.x_s, OFFSET(y,0,1,ROWS(y),MLR_Scalar_Test[[#This Row],[ind_vars]]), DF_Residual(_xlpm.x_s, y, MLR_Scalar_Test[[#This Row],[Allow_Intercept]], fil))</f>
        <v>1643</v>
      </c>
      <c r="S4" t="b">
        <f ca="1">MLR_Scalar_Test[[#This Row],[DF_Residual (Exp.)]]=MLR_Scalar_Test[[#This Row],[DF_Residual (Calc.)]]</f>
        <v>1</v>
      </c>
      <c r="T4" s="4">
        <v>0.78435596199177871</v>
      </c>
      <c r="U4" s="4">
        <f ca="1">_xlfn.LET(_xlpm.x_s, OFFSET(y,0,1,ROWS(y),MLR_Scalar_Test[[#This Row],[ind_vars]]), Multiple_R(_xlpm.x_s, y, MLR_Scalar_Test[[#This Row],[Allow_Intercept]], fil))</f>
        <v>0.78435596199177804</v>
      </c>
      <c r="V4" t="b">
        <f ca="1">ROUND(MLR_Scalar_Test[[#This Row],[Multiple_R (Exp.)]],6)=ROUND(MLR_Scalar_Test[[#This Row],[Multiple_R (Calc.)]],6)</f>
        <v>1</v>
      </c>
      <c r="W4" s="4">
        <v>0.61404328994805613</v>
      </c>
      <c r="X4" s="4">
        <f ca="1">_xlfn.LET(_xlpm.x_s, OFFSET(y,0,1,ROWS(y),MLR_Scalar_Test[[#This Row],[ind_vars]]), Adjusted_R2(_xlpm.x_s, y, MLR_Scalar_Test[[#This Row],[Allow_Intercept]], fil))</f>
        <v>0.61404328994805502</v>
      </c>
      <c r="Y4" t="b">
        <f ca="1">ROUND(MLR_Scalar_Test[[#This Row],[Adjusted_R2 (Exp.)]],6)=ROUND(MLR_Scalar_Test[[#This Row],[Adjusted_R2 (Calc.)]],6)</f>
        <v>1</v>
      </c>
      <c r="Z4" s="5">
        <v>127529.31124317768</v>
      </c>
      <c r="AA4" s="5">
        <f>SS_Total(y, MLR_Scalar_Test[[#This Row],[Allow_Intercept]], fil)</f>
        <v>127529.31124317752</v>
      </c>
      <c r="AB4" t="b">
        <f>ROUND(MLR_Scalar_Test[[#This Row],[SS_Total (Exp.)]],4)=ROUND(MLR_Scalar_Test[[#This Row],[SS_Total (Calc.)]],4)</f>
        <v>1</v>
      </c>
      <c r="AC4" s="5">
        <v>49071.458471167287</v>
      </c>
      <c r="AD4" s="5">
        <f ca="1">_xlfn.LET(_xlpm.x_s, OFFSET(y,0,1,ROWS(y),MLR_Scalar_Test[[#This Row],[ind_vars]]), SS_Residual(_xlpm.x_s, y, MLR_Scalar_Test[[#This Row],[Allow_Intercept]], fil))</f>
        <v>49071.45847116736</v>
      </c>
      <c r="AE4" t="b">
        <f ca="1">ROUND(MLR_Scalar_Test[[#This Row],[SS_Residual (Exp.)]],4)=ROUND(MLR_Scalar_Test[[#This Row],[SS_Residual (Calc.)]],4)</f>
        <v>1</v>
      </c>
      <c r="AF4" s="5">
        <v>78457.852772010403</v>
      </c>
      <c r="AG4" s="5">
        <f ca="1">_xlfn.LET(_xlpm.x_s, OFFSET(y,0,1,ROWS(y),MLR_Scalar_Test[[#This Row],[ind_vars]]), SS_Regression(_xlpm.x_s, y, MLR_Scalar_Test[[#This Row],[Allow_Intercept]], fil))</f>
        <v>78457.85277201017</v>
      </c>
      <c r="AH4" t="b">
        <f ca="1">ROUND(MLR_Scalar_Test[[#This Row],[SS_Regression (Exp.)]],4)=ROUND(MLR_Scalar_Test[[#This Row],[SS_Regression (Calc.)]],4)</f>
        <v>1</v>
      </c>
      <c r="AI4" s="4">
        <v>5.4650696507903564</v>
      </c>
      <c r="AJ4" s="4">
        <f ca="1">_xlfn.LET(_xlpm.x_s, OFFSET(y,0,1,ROWS(y),MLR_Scalar_Test[[#This Row],[ind_vars]]), SE_Regression(_xlpm.x_s, y, MLR_Scalar_Test[[#This Row],[Allow_Intercept]], fil))</f>
        <v>5.46506965079036</v>
      </c>
      <c r="AK4" t="b">
        <f ca="1">ROUND(MLR_Scalar_Test[[#This Row],[SE_Regression (Exp.)]],6)=ROUND(MLR_Scalar_Test[[#This Row],[SE_Regression (Calc.)]],6)</f>
        <v>1</v>
      </c>
    </row>
    <row r="5" spans="1:37" x14ac:dyDescent="0.25">
      <c r="A5" t="str">
        <f ca="1">_xlfn.TEXTJOIN(", ",TRUE,OFFSET(y,-1,1,1,MLR_Scalar_Test[[#This Row],[ind_vars]]))</f>
        <v>Adult Mortality, infant deaths, Alcohol, percentage expenditure, Hepatitis B</v>
      </c>
      <c r="B5" s="3">
        <v>5</v>
      </c>
      <c r="C5" t="b">
        <v>0</v>
      </c>
      <c r="D5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5" s="3">
        <v>1649</v>
      </c>
      <c r="F5" s="3">
        <f>Observations(y, fil)</f>
        <v>1649</v>
      </c>
      <c r="G5" t="b">
        <f>MLR_Scalar_Test[[#This Row],[Observations (Exp.)]]=MLR_Scalar_Test[[#This Row],[Observations (Calc.)]]</f>
        <v>1</v>
      </c>
      <c r="H5" s="3">
        <v>5</v>
      </c>
      <c r="I5" s="3">
        <f ca="1">_xlfn.LET(_xlpm.x_s, OFFSET(y,0,1,ROWS(y),MLR_Scalar_Test[[#This Row],[ind_vars]]), DF_Regression(_xlpm.x_s))</f>
        <v>5</v>
      </c>
      <c r="J5" t="b">
        <f ca="1">MLR_Scalar_Test[[#This Row],[DF_Regression (Exp.)]]=MLR_Scalar_Test[[#This Row],[DF_Regression (Calc.)]]</f>
        <v>1</v>
      </c>
      <c r="K5" s="3">
        <v>1649</v>
      </c>
      <c r="L5" s="3">
        <f>DF_Total(y, MLR_Scalar_Test[[#This Row],[Allow_Intercept]], fil)</f>
        <v>1649</v>
      </c>
      <c r="M5" t="b">
        <f>MLR_Scalar_Test[[#This Row],[DF_Total (Exp.)]]=MLR_Scalar_Test[[#This Row],[DF_Total (Calc.)]]</f>
        <v>1</v>
      </c>
      <c r="N5" s="4">
        <v>0.92776300985660654</v>
      </c>
      <c r="O5" s="4">
        <f ca="1">_xlfn.LET(_xlpm.x_s, OFFSET(y,0,1,ROWS(y),MLR_Scalar_Test[[#This Row],[ind_vars]]), R_squared(_xlpm.x_s, y, MLR_Scalar_Test[[#This Row],[Allow_Intercept]], fil))</f>
        <v>0.92776300985660642</v>
      </c>
      <c r="P5" t="b">
        <f ca="1">ROUND(MLR_Scalar_Test[[#This Row],[R_squared (Exp.)]],6)=ROUND(MLR_Scalar_Test[[#This Row],[R_squared (Calc.)]],6)</f>
        <v>1</v>
      </c>
      <c r="Q5" s="3">
        <v>1644</v>
      </c>
      <c r="R5" s="3">
        <f ca="1">_xlfn.LET(_xlpm.x_s, OFFSET(y,0,1,ROWS(y),MLR_Scalar_Test[[#This Row],[ind_vars]]), DF_Residual(_xlpm.x_s, y, MLR_Scalar_Test[[#This Row],[Allow_Intercept]], fil))</f>
        <v>1644</v>
      </c>
      <c r="S5" t="b">
        <f ca="1">MLR_Scalar_Test[[#This Row],[DF_Residual (Exp.)]]=MLR_Scalar_Test[[#This Row],[DF_Residual (Calc.)]]</f>
        <v>1</v>
      </c>
      <c r="T5" s="4">
        <v>0.96320455244802827</v>
      </c>
      <c r="U5" s="4">
        <f ca="1">_xlfn.LET(_xlpm.x_s, OFFSET(y,0,1,ROWS(y),MLR_Scalar_Test[[#This Row],[ind_vars]]), Multiple_R(_xlpm.x_s, y, MLR_Scalar_Test[[#This Row],[Allow_Intercept]], fil))</f>
        <v>0.96320455244802827</v>
      </c>
      <c r="V5" t="b">
        <f ca="1">ROUND(MLR_Scalar_Test[[#This Row],[Multiple_R (Exp.)]],6)=ROUND(MLR_Scalar_Test[[#This Row],[Multiple_R (Calc.)]],6)</f>
        <v>1</v>
      </c>
      <c r="W5" s="4">
        <v>0.92754331098147458</v>
      </c>
      <c r="X5" s="4">
        <f ca="1">_xlfn.LET(_xlpm.x_s, OFFSET(y,0,1,ROWS(y),MLR_Scalar_Test[[#This Row],[ind_vars]]), Adjusted_R2(_xlpm.x_s, y, MLR_Scalar_Test[[#This Row],[Allow_Intercept]], fil))</f>
        <v>0.92754331098147447</v>
      </c>
      <c r="Y5" t="b">
        <f ca="1">ROUND(MLR_Scalar_Test[[#This Row],[Adjusted_R2 (Exp.)]],6)=ROUND(MLR_Scalar_Test[[#This Row],[Adjusted_R2 (Calc.)]],6)</f>
        <v>1</v>
      </c>
      <c r="Z5" s="5">
        <v>8047362.0100000016</v>
      </c>
      <c r="AA5" s="5">
        <f>SS_Total(y, MLR_Scalar_Test[[#This Row],[Allow_Intercept]], fil)</f>
        <v>8047362.0100000026</v>
      </c>
      <c r="AB5" t="b">
        <f>ROUND(MLR_Scalar_Test[[#This Row],[SS_Total (Exp.)]],4)=ROUND(MLR_Scalar_Test[[#This Row],[SS_Total (Calc.)]],4)</f>
        <v>1</v>
      </c>
      <c r="AC5" s="5">
        <v>581317.21019668935</v>
      </c>
      <c r="AD5" s="5">
        <f ca="1">_xlfn.LET(_xlpm.x_s, OFFSET(y,0,1,ROWS(y),MLR_Scalar_Test[[#This Row],[ind_vars]]), SS_Residual(_xlpm.x_s, y, MLR_Scalar_Test[[#This Row],[Allow_Intercept]], fil))</f>
        <v>581317.21019669005</v>
      </c>
      <c r="AE5" t="b">
        <f ca="1">ROUND(MLR_Scalar_Test[[#This Row],[SS_Residual (Exp.)]],4)=ROUND(MLR_Scalar_Test[[#This Row],[SS_Residual (Calc.)]],4)</f>
        <v>1</v>
      </c>
      <c r="AF5" s="5">
        <v>7466044.7998033119</v>
      </c>
      <c r="AG5" s="5">
        <f ca="1">_xlfn.LET(_xlpm.x_s, OFFSET(y,0,1,ROWS(y),MLR_Scalar_Test[[#This Row],[ind_vars]]), SS_Regression(_xlpm.x_s, y, MLR_Scalar_Test[[#This Row],[Allow_Intercept]], fil))</f>
        <v>7466044.7998033129</v>
      </c>
      <c r="AH5" t="b">
        <f ca="1">ROUND(MLR_Scalar_Test[[#This Row],[SS_Regression (Exp.)]],4)=ROUND(MLR_Scalar_Test[[#This Row],[SS_Regression (Calc.)]],4)</f>
        <v>1</v>
      </c>
      <c r="AI5" s="4">
        <v>18.804235594018664</v>
      </c>
      <c r="AJ5" s="4">
        <f ca="1">_xlfn.LET(_xlpm.x_s, OFFSET(y,0,1,ROWS(y),MLR_Scalar_Test[[#This Row],[ind_vars]]), SE_Regression(_xlpm.x_s, y, MLR_Scalar_Test[[#This Row],[Allow_Intercept]], fil))</f>
        <v>18.804235594018678</v>
      </c>
      <c r="AK5" t="b">
        <f ca="1">ROUND(MLR_Scalar_Test[[#This Row],[SE_Regression (Exp.)]],6)=ROUND(MLR_Scalar_Test[[#This Row],[SE_Regression (Calc.)]],6)</f>
        <v>1</v>
      </c>
    </row>
    <row r="6" spans="1:37" x14ac:dyDescent="0.25">
      <c r="A6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3">
        <v>10</v>
      </c>
      <c r="C6" t="b">
        <v>1</v>
      </c>
      <c r="D6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6" s="3">
        <v>1649</v>
      </c>
      <c r="F6" s="3">
        <f>Observations(y, fil)</f>
        <v>1649</v>
      </c>
      <c r="G6" t="b">
        <f>MLR_Scalar_Test[[#This Row],[Observations (Exp.)]]=MLR_Scalar_Test[[#This Row],[Observations (Calc.)]]</f>
        <v>1</v>
      </c>
      <c r="H6" s="3">
        <v>10</v>
      </c>
      <c r="I6" s="3">
        <f ca="1">_xlfn.LET(_xlpm.x_s, OFFSET(y,0,1,ROWS(y),MLR_Scalar_Test[[#This Row],[ind_vars]]), DF_Regression(_xlpm.x_s))</f>
        <v>10</v>
      </c>
      <c r="J6" t="b">
        <f ca="1">MLR_Scalar_Test[[#This Row],[DF_Regression (Exp.)]]=MLR_Scalar_Test[[#This Row],[DF_Regression (Calc.)]]</f>
        <v>1</v>
      </c>
      <c r="K6" s="3">
        <v>1648</v>
      </c>
      <c r="L6" s="3">
        <f>DF_Total(y, MLR_Scalar_Test[[#This Row],[Allow_Intercept]], fil)</f>
        <v>1648</v>
      </c>
      <c r="M6" t="b">
        <f>MLR_Scalar_Test[[#This Row],[DF_Total (Exp.)]]=MLR_Scalar_Test[[#This Row],[DF_Total (Calc.)]]</f>
        <v>1</v>
      </c>
      <c r="N6" s="4">
        <v>0.68651084263037387</v>
      </c>
      <c r="O6" s="4">
        <f ca="1">_xlfn.LET(_xlpm.x_s, OFFSET(y,0,1,ROWS(y),MLR_Scalar_Test[[#This Row],[ind_vars]]), R_squared(_xlpm.x_s, y, MLR_Scalar_Test[[#This Row],[Allow_Intercept]], fil))</f>
        <v>0.68651084263037343</v>
      </c>
      <c r="P6" t="b">
        <f ca="1">ROUND(MLR_Scalar_Test[[#This Row],[R_squared (Exp.)]],6)=ROUND(MLR_Scalar_Test[[#This Row],[R_squared (Calc.)]],6)</f>
        <v>1</v>
      </c>
      <c r="Q6" s="3">
        <v>1638</v>
      </c>
      <c r="R6" s="3">
        <f ca="1">_xlfn.LET(_xlpm.x_s, OFFSET(y,0,1,ROWS(y),MLR_Scalar_Test[[#This Row],[ind_vars]]), DF_Residual(_xlpm.x_s, y, MLR_Scalar_Test[[#This Row],[Allow_Intercept]], fil))</f>
        <v>1638</v>
      </c>
      <c r="S6" t="b">
        <f ca="1">MLR_Scalar_Test[[#This Row],[DF_Residual (Exp.)]]=MLR_Scalar_Test[[#This Row],[DF_Residual (Calc.)]]</f>
        <v>1</v>
      </c>
      <c r="T6" s="4">
        <v>0.82855949854574351</v>
      </c>
      <c r="U6" s="4">
        <f ca="1">_xlfn.LET(_xlpm.x_s, OFFSET(y,0,1,ROWS(y),MLR_Scalar_Test[[#This Row],[ind_vars]]), Multiple_R(_xlpm.x_s, y, MLR_Scalar_Test[[#This Row],[Allow_Intercept]], fil))</f>
        <v>0.82855949854574318</v>
      </c>
      <c r="V6" t="b">
        <f ca="1">ROUND(MLR_Scalar_Test[[#This Row],[Multiple_R (Exp.)]],6)=ROUND(MLR_Scalar_Test[[#This Row],[Multiple_R (Calc.)]],6)</f>
        <v>1</v>
      </c>
      <c r="W6" s="4">
        <v>0.68459698941077907</v>
      </c>
      <c r="X6" s="4">
        <f ca="1">_xlfn.LET(_xlpm.x_s, OFFSET(y,0,1,ROWS(y),MLR_Scalar_Test[[#This Row],[ind_vars]]), Adjusted_R2(_xlpm.x_s, y, MLR_Scalar_Test[[#This Row],[Allow_Intercept]], fil))</f>
        <v>0.68459698941077862</v>
      </c>
      <c r="Y6" t="b">
        <f ca="1">ROUND(MLR_Scalar_Test[[#This Row],[Adjusted_R2 (Exp.)]],6)=ROUND(MLR_Scalar_Test[[#This Row],[Adjusted_R2 (Calc.)]],6)</f>
        <v>1</v>
      </c>
      <c r="Z6" s="5">
        <v>127529.31124317768</v>
      </c>
      <c r="AA6" s="5">
        <f>SS_Total(y, MLR_Scalar_Test[[#This Row],[Allow_Intercept]], fil)</f>
        <v>127529.31124317752</v>
      </c>
      <c r="AB6" t="b">
        <f>ROUND(MLR_Scalar_Test[[#This Row],[SS_Total (Exp.)]],4)=ROUND(MLR_Scalar_Test[[#This Row],[SS_Total (Calc.)]],4)</f>
        <v>1</v>
      </c>
      <c r="AC6" s="5">
        <v>39979.056321552554</v>
      </c>
      <c r="AD6" s="5">
        <f ca="1">_xlfn.LET(_xlpm.x_s, OFFSET(y,0,1,ROWS(y),MLR_Scalar_Test[[#This Row],[ind_vars]]), SS_Residual(_xlpm.x_s, y, MLR_Scalar_Test[[#This Row],[Allow_Intercept]], fil))</f>
        <v>39979.056321552569</v>
      </c>
      <c r="AE6" t="b">
        <f ca="1">ROUND(MLR_Scalar_Test[[#This Row],[SS_Residual (Exp.)]],4)=ROUND(MLR_Scalar_Test[[#This Row],[SS_Residual (Calc.)]],4)</f>
        <v>1</v>
      </c>
      <c r="AF6" s="5">
        <v>87550.254921625135</v>
      </c>
      <c r="AG6" s="5">
        <f ca="1">_xlfn.LET(_xlpm.x_s, OFFSET(y,0,1,ROWS(y),MLR_Scalar_Test[[#This Row],[ind_vars]]), SS_Regression(_xlpm.x_s, y, MLR_Scalar_Test[[#This Row],[Allow_Intercept]], fil))</f>
        <v>87550.254921624961</v>
      </c>
      <c r="AH6" t="b">
        <f ca="1">ROUND(MLR_Scalar_Test[[#This Row],[SS_Regression (Exp.)]],4)=ROUND(MLR_Scalar_Test[[#This Row],[SS_Regression (Calc.)]],4)</f>
        <v>1</v>
      </c>
      <c r="AI6" s="4">
        <v>4.940368234407849</v>
      </c>
      <c r="AJ6" s="4">
        <f ca="1">_xlfn.LET(_xlpm.x_s, OFFSET(y,0,1,ROWS(y),MLR_Scalar_Test[[#This Row],[ind_vars]]), SE_Regression(_xlpm.x_s, y, MLR_Scalar_Test[[#This Row],[Allow_Intercept]], fil))</f>
        <v>4.9403682344078499</v>
      </c>
      <c r="AK6" t="b">
        <f ca="1">ROUND(MLR_Scalar_Test[[#This Row],[SE_Regression (Exp.)]],6)=ROUND(MLR_Scalar_Test[[#This Row],[SE_Regression (Calc.)]],6)</f>
        <v>1</v>
      </c>
    </row>
    <row r="7" spans="1:37" x14ac:dyDescent="0.25">
      <c r="A7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3">
        <v>10</v>
      </c>
      <c r="C7" t="b">
        <v>0</v>
      </c>
      <c r="D7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7" s="3">
        <v>1649</v>
      </c>
      <c r="F7" s="3">
        <f>Observations(y, fil)</f>
        <v>1649</v>
      </c>
      <c r="G7" t="b">
        <f>MLR_Scalar_Test[[#This Row],[Observations (Exp.)]]=MLR_Scalar_Test[[#This Row],[Observations (Calc.)]]</f>
        <v>1</v>
      </c>
      <c r="H7" s="3">
        <v>10</v>
      </c>
      <c r="I7" s="3">
        <f ca="1">_xlfn.LET(_xlpm.x_s, OFFSET(y,0,1,ROWS(y),MLR_Scalar_Test[[#This Row],[ind_vars]]), DF_Regression(_xlpm.x_s))</f>
        <v>10</v>
      </c>
      <c r="J7" t="b">
        <f ca="1">MLR_Scalar_Test[[#This Row],[DF_Regression (Exp.)]]=MLR_Scalar_Test[[#This Row],[DF_Regression (Calc.)]]</f>
        <v>1</v>
      </c>
      <c r="K7" s="3">
        <v>1649</v>
      </c>
      <c r="L7" s="3">
        <f>DF_Total(y, MLR_Scalar_Test[[#This Row],[Allow_Intercept]], fil)</f>
        <v>1649</v>
      </c>
      <c r="M7" t="b">
        <f>MLR_Scalar_Test[[#This Row],[DF_Total (Exp.)]]=MLR_Scalar_Test[[#This Row],[DF_Total (Calc.)]]</f>
        <v>1</v>
      </c>
      <c r="N7" s="4">
        <v>0.96807706925095049</v>
      </c>
      <c r="O7" s="4">
        <f ca="1">_xlfn.LET(_xlpm.x_s, OFFSET(y,0,1,ROWS(y),MLR_Scalar_Test[[#This Row],[ind_vars]]), R_squared(_xlpm.x_s, y, MLR_Scalar_Test[[#This Row],[Allow_Intercept]], fil))</f>
        <v>0.96807706925095049</v>
      </c>
      <c r="P7" t="b">
        <f ca="1">ROUND(MLR_Scalar_Test[[#This Row],[R_squared (Exp.)]],6)=ROUND(MLR_Scalar_Test[[#This Row],[R_squared (Calc.)]],6)</f>
        <v>1</v>
      </c>
      <c r="Q7" s="3">
        <v>1639</v>
      </c>
      <c r="R7" s="3">
        <f ca="1">_xlfn.LET(_xlpm.x_s, OFFSET(y,0,1,ROWS(y),MLR_Scalar_Test[[#This Row],[ind_vars]]), DF_Residual(_xlpm.x_s, y, MLR_Scalar_Test[[#This Row],[Allow_Intercept]], fil))</f>
        <v>1639</v>
      </c>
      <c r="S7" t="b">
        <f ca="1">MLR_Scalar_Test[[#This Row],[DF_Residual (Exp.)]]=MLR_Scalar_Test[[#This Row],[DF_Residual (Calc.)]]</f>
        <v>1</v>
      </c>
      <c r="T7" s="4">
        <v>0.98390907570311115</v>
      </c>
      <c r="U7" s="4">
        <f ca="1">_xlfn.LET(_xlpm.x_s, OFFSET(y,0,1,ROWS(y),MLR_Scalar_Test[[#This Row],[ind_vars]]), Multiple_R(_xlpm.x_s, y, MLR_Scalar_Test[[#This Row],[Allow_Intercept]], fil))</f>
        <v>0.98390907570311115</v>
      </c>
      <c r="V7" t="b">
        <f ca="1">ROUND(MLR_Scalar_Test[[#This Row],[Multiple_R (Exp.)]],6)=ROUND(MLR_Scalar_Test[[#This Row],[Multiple_R (Calc.)]],6)</f>
        <v>1</v>
      </c>
      <c r="W7" s="4">
        <v>0.96788229847151763</v>
      </c>
      <c r="X7" s="4">
        <f ca="1">_xlfn.LET(_xlpm.x_s, OFFSET(y,0,1,ROWS(y),MLR_Scalar_Test[[#This Row],[ind_vars]]), Adjusted_R2(_xlpm.x_s, y, MLR_Scalar_Test[[#This Row],[Allow_Intercept]], fil))</f>
        <v>0.96788229847151763</v>
      </c>
      <c r="Y7" t="b">
        <f ca="1">ROUND(MLR_Scalar_Test[[#This Row],[Adjusted_R2 (Exp.)]],6)=ROUND(MLR_Scalar_Test[[#This Row],[Adjusted_R2 (Calc.)]],6)</f>
        <v>1</v>
      </c>
      <c r="Z7" s="5">
        <v>8047362.0100000016</v>
      </c>
      <c r="AA7" s="5">
        <f>SS_Total(y, MLR_Scalar_Test[[#This Row],[Allow_Intercept]], fil)</f>
        <v>8047362.0100000026</v>
      </c>
      <c r="AB7" t="b">
        <f>ROUND(MLR_Scalar_Test[[#This Row],[SS_Total (Exp.)]],4)=ROUND(MLR_Scalar_Test[[#This Row],[SS_Total (Calc.)]],4)</f>
        <v>1</v>
      </c>
      <c r="AC7" s="5">
        <v>256895.38015776157</v>
      </c>
      <c r="AD7" s="5">
        <f ca="1">_xlfn.LET(_xlpm.x_s, OFFSET(y,0,1,ROWS(y),MLR_Scalar_Test[[#This Row],[ind_vars]]), SS_Residual(_xlpm.x_s, y, MLR_Scalar_Test[[#This Row],[Allow_Intercept]], fil))</f>
        <v>256895.38015776192</v>
      </c>
      <c r="AE7" t="b">
        <f ca="1">ROUND(MLR_Scalar_Test[[#This Row],[SS_Residual (Exp.)]],4)=ROUND(MLR_Scalar_Test[[#This Row],[SS_Residual (Calc.)]],4)</f>
        <v>1</v>
      </c>
      <c r="AF7" s="5">
        <v>7790466.6298422404</v>
      </c>
      <c r="AG7" s="5">
        <f ca="1">_xlfn.LET(_xlpm.x_s, OFFSET(y,0,1,ROWS(y),MLR_Scalar_Test[[#This Row],[ind_vars]]), SS_Regression(_xlpm.x_s, y, MLR_Scalar_Test[[#This Row],[Allow_Intercept]], fil))</f>
        <v>7790466.6298422404</v>
      </c>
      <c r="AH7" t="b">
        <f ca="1">ROUND(MLR_Scalar_Test[[#This Row],[SS_Regression (Exp.)]],4)=ROUND(MLR_Scalar_Test[[#This Row],[SS_Regression (Calc.)]],4)</f>
        <v>1</v>
      </c>
      <c r="AI7" s="4">
        <v>12.519548598357169</v>
      </c>
      <c r="AJ7" s="4">
        <f ca="1">_xlfn.LET(_xlpm.x_s, OFFSET(y,0,1,ROWS(y),MLR_Scalar_Test[[#This Row],[ind_vars]]), SE_Regression(_xlpm.x_s, y, MLR_Scalar_Test[[#This Row],[Allow_Intercept]], fil))</f>
        <v>12.519548598357177</v>
      </c>
      <c r="AK7" t="b">
        <f ca="1">ROUND(MLR_Scalar_Test[[#This Row],[SE_Regression (Exp.)]],6)=ROUND(MLR_Scalar_Test[[#This Row],[SE_Regression (Calc.)]],6)</f>
        <v>1</v>
      </c>
    </row>
    <row r="8" spans="1:37" x14ac:dyDescent="0.25">
      <c r="A8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3">
        <v>18</v>
      </c>
      <c r="C8" t="b">
        <v>1</v>
      </c>
      <c r="D8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8" s="3">
        <v>1649</v>
      </c>
      <c r="F8" s="3">
        <f>Observations(y, fil)</f>
        <v>1649</v>
      </c>
      <c r="G8" t="b">
        <f>MLR_Scalar_Test[[#This Row],[Observations (Exp.)]]=MLR_Scalar_Test[[#This Row],[Observations (Calc.)]]</f>
        <v>1</v>
      </c>
      <c r="H8" s="3">
        <v>18</v>
      </c>
      <c r="I8" s="3">
        <f ca="1">_xlfn.LET(_xlpm.x_s, OFFSET(y,0,1,ROWS(y),MLR_Scalar_Test[[#This Row],[ind_vars]]), DF_Regression(_xlpm.x_s))</f>
        <v>18</v>
      </c>
      <c r="J8" t="b">
        <f ca="1">MLR_Scalar_Test[[#This Row],[DF_Regression (Exp.)]]=MLR_Scalar_Test[[#This Row],[DF_Regression (Calc.)]]</f>
        <v>1</v>
      </c>
      <c r="K8" s="3">
        <v>1648</v>
      </c>
      <c r="L8" s="3">
        <f>DF_Total(y, MLR_Scalar_Test[[#This Row],[Allow_Intercept]], fil)</f>
        <v>1648</v>
      </c>
      <c r="M8" t="b">
        <f>MLR_Scalar_Test[[#This Row],[DF_Total (Exp.)]]=MLR_Scalar_Test[[#This Row],[DF_Total (Calc.)]]</f>
        <v>1</v>
      </c>
      <c r="N8" s="4">
        <v>0.83473769465896497</v>
      </c>
      <c r="O8" s="4">
        <f ca="1">_xlfn.LET(_xlpm.x_s, OFFSET(y,0,1,ROWS(y),MLR_Scalar_Test[[#This Row],[ind_vars]]), R_squared(_xlpm.x_s, y, MLR_Scalar_Test[[#This Row],[Allow_Intercept]], fil))</f>
        <v>0.83473769465896452</v>
      </c>
      <c r="P8" t="b">
        <f ca="1">ROUND(MLR_Scalar_Test[[#This Row],[R_squared (Exp.)]],6)=ROUND(MLR_Scalar_Test[[#This Row],[R_squared (Calc.)]],6)</f>
        <v>1</v>
      </c>
      <c r="Q8" s="3">
        <v>1630</v>
      </c>
      <c r="R8" s="3">
        <f ca="1">_xlfn.LET(_xlpm.x_s, OFFSET(y,0,1,ROWS(y),MLR_Scalar_Test[[#This Row],[ind_vars]]), DF_Residual(_xlpm.x_s, y, MLR_Scalar_Test[[#This Row],[Allow_Intercept]], fil))</f>
        <v>1630</v>
      </c>
      <c r="S8" t="b">
        <f ca="1">MLR_Scalar_Test[[#This Row],[DF_Residual (Exp.)]]=MLR_Scalar_Test[[#This Row],[DF_Residual (Calc.)]]</f>
        <v>1</v>
      </c>
      <c r="T8" s="4">
        <v>0.91363980575441484</v>
      </c>
      <c r="U8" s="4">
        <f ca="1">_xlfn.LET(_xlpm.x_s, OFFSET(y,0,1,ROWS(y),MLR_Scalar_Test[[#This Row],[ind_vars]]), Multiple_R(_xlpm.x_s, y, MLR_Scalar_Test[[#This Row],[Allow_Intercept]], fil))</f>
        <v>0.91363980575441461</v>
      </c>
      <c r="V8" t="b">
        <f ca="1">ROUND(MLR_Scalar_Test[[#This Row],[Multiple_R (Exp.)]],6)=ROUND(MLR_Scalar_Test[[#This Row],[Multiple_R (Calc.)]],6)</f>
        <v>1</v>
      </c>
      <c r="W8" s="4">
        <v>0.83291271214599649</v>
      </c>
      <c r="X8" s="4">
        <f ca="1">_xlfn.LET(_xlpm.x_s, OFFSET(y,0,1,ROWS(y),MLR_Scalar_Test[[#This Row],[ind_vars]]), Adjusted_R2(_xlpm.x_s, y, MLR_Scalar_Test[[#This Row],[Allow_Intercept]], fil))</f>
        <v>0.83291271214599605</v>
      </c>
      <c r="Y8" t="b">
        <f ca="1">ROUND(MLR_Scalar_Test[[#This Row],[Adjusted_R2 (Exp.)]],6)=ROUND(MLR_Scalar_Test[[#This Row],[Adjusted_R2 (Calc.)]],6)</f>
        <v>1</v>
      </c>
      <c r="Z8" s="5">
        <v>127529.31124317768</v>
      </c>
      <c r="AA8" s="5">
        <f>SS_Total(y, MLR_Scalar_Test[[#This Row],[Allow_Intercept]], fil)</f>
        <v>127529.31124317752</v>
      </c>
      <c r="AB8" t="b">
        <f>ROUND(MLR_Scalar_Test[[#This Row],[SS_Total (Exp.)]],4)=ROUND(MLR_Scalar_Test[[#This Row],[SS_Total (Calc.)]],4)</f>
        <v>1</v>
      </c>
      <c r="AC8" s="5">
        <v>21075.787974601921</v>
      </c>
      <c r="AD8" s="5">
        <f ca="1">_xlfn.LET(_xlpm.x_s, OFFSET(y,0,1,ROWS(y),MLR_Scalar_Test[[#This Row],[ind_vars]]), SS_Residual(_xlpm.x_s, y, MLR_Scalar_Test[[#This Row],[Allow_Intercept]], fil))</f>
        <v>21075.787974601953</v>
      </c>
      <c r="AE8" t="b">
        <f ca="1">ROUND(MLR_Scalar_Test[[#This Row],[SS_Residual (Exp.)]],4)=ROUND(MLR_Scalar_Test[[#This Row],[SS_Residual (Calc.)]],4)</f>
        <v>1</v>
      </c>
      <c r="AF8" s="5">
        <v>106453.52326857577</v>
      </c>
      <c r="AG8" s="5">
        <f ca="1">_xlfn.LET(_xlpm.x_s, OFFSET(y,0,1,ROWS(y),MLR_Scalar_Test[[#This Row],[ind_vars]]), SS_Regression(_xlpm.x_s, y, MLR_Scalar_Test[[#This Row],[Allow_Intercept]], fil))</f>
        <v>106453.52326857558</v>
      </c>
      <c r="AH8" t="b">
        <f ca="1">ROUND(MLR_Scalar_Test[[#This Row],[SS_Regression (Exp.)]],4)=ROUND(MLR_Scalar_Test[[#This Row],[SS_Regression (Calc.)]],4)</f>
        <v>1</v>
      </c>
      <c r="AI8" s="4">
        <v>3.5958213627434157</v>
      </c>
      <c r="AJ8" s="4">
        <f ca="1">_xlfn.LET(_xlpm.x_s, OFFSET(y,0,1,ROWS(y),MLR_Scalar_Test[[#This Row],[ind_vars]]), SE_Regression(_xlpm.x_s, y, MLR_Scalar_Test[[#This Row],[Allow_Intercept]], fil))</f>
        <v>3.5958213627434183</v>
      </c>
      <c r="AK8" t="b">
        <f ca="1">ROUND(MLR_Scalar_Test[[#This Row],[SE_Regression (Exp.)]],6)=ROUND(MLR_Scalar_Test[[#This Row],[SE_Regression (Calc.)]],6)</f>
        <v>1</v>
      </c>
    </row>
    <row r="9" spans="1:37" x14ac:dyDescent="0.25">
      <c r="A9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3">
        <v>18</v>
      </c>
      <c r="C9" t="b">
        <v>0</v>
      </c>
      <c r="D9" t="b">
        <f ca="1">AND(TRUE,MLR_Scalar_Test[[#This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9" s="3">
        <v>1649</v>
      </c>
      <c r="F9" s="3">
        <f>Observations(y, fil)</f>
        <v>1649</v>
      </c>
      <c r="G9" t="b">
        <f>MLR_Scalar_Test[[#This Row],[Observations (Exp.)]]=MLR_Scalar_Test[[#This Row],[Observations (Calc.)]]</f>
        <v>1</v>
      </c>
      <c r="H9" s="3">
        <v>18</v>
      </c>
      <c r="I9" s="3">
        <f ca="1">_xlfn.LET(_xlpm.x_s, OFFSET(y,0,1,ROWS(y),MLR_Scalar_Test[[#This Row],[ind_vars]]), DF_Regression(_xlpm.x_s))</f>
        <v>18</v>
      </c>
      <c r="J9" t="b">
        <f ca="1">MLR_Scalar_Test[[#This Row],[DF_Regression (Exp.)]]=MLR_Scalar_Test[[#This Row],[DF_Regression (Calc.)]]</f>
        <v>1</v>
      </c>
      <c r="K9" s="3">
        <v>1649</v>
      </c>
      <c r="L9" s="3">
        <f>DF_Total(y, MLR_Scalar_Test[[#This Row],[Allow_Intercept]], fil)</f>
        <v>1649</v>
      </c>
      <c r="M9" t="b">
        <f>MLR_Scalar_Test[[#This Row],[DF_Total (Exp.)]]=MLR_Scalar_Test[[#This Row],[DF_Total (Calc.)]]</f>
        <v>1</v>
      </c>
      <c r="N9" s="4">
        <v>0.98895618417793629</v>
      </c>
      <c r="O9" s="4">
        <f ca="1">_xlfn.LET(_xlpm.x_s, OFFSET(y,0,1,ROWS(y),MLR_Scalar_Test[[#This Row],[ind_vars]]), R_squared(_xlpm.x_s, y, MLR_Scalar_Test[[#This Row],[Allow_Intercept]], fil))</f>
        <v>0.9889561841779364</v>
      </c>
      <c r="P9" t="b">
        <f ca="1">ROUND(MLR_Scalar_Test[[#This Row],[R_squared (Exp.)]],6)=ROUND(MLR_Scalar_Test[[#This Row],[R_squared (Calc.)]],6)</f>
        <v>1</v>
      </c>
      <c r="Q9" s="3">
        <v>1631</v>
      </c>
      <c r="R9" s="3">
        <f ca="1">_xlfn.LET(_xlpm.x_s, OFFSET(y,0,1,ROWS(y),MLR_Scalar_Test[[#This Row],[ind_vars]]), DF_Residual(_xlpm.x_s, y, MLR_Scalar_Test[[#This Row],[Allow_Intercept]], fil))</f>
        <v>1631</v>
      </c>
      <c r="S9" t="b">
        <f ca="1">MLR_Scalar_Test[[#This Row],[DF_Residual (Exp.)]]=MLR_Scalar_Test[[#This Row],[DF_Residual (Calc.)]]</f>
        <v>1</v>
      </c>
      <c r="T9" s="4">
        <v>0.99446276158433222</v>
      </c>
      <c r="U9" s="4">
        <f ca="1">_xlfn.LET(_xlpm.x_s, OFFSET(y,0,1,ROWS(y),MLR_Scalar_Test[[#This Row],[ind_vars]]), Multiple_R(_xlpm.x_s, y, MLR_Scalar_Test[[#This Row],[Allow_Intercept]], fil))</f>
        <v>0.99446276158433222</v>
      </c>
      <c r="V9" t="b">
        <f ca="1">ROUND(MLR_Scalar_Test[[#This Row],[Multiple_R (Exp.)]],6)=ROUND(MLR_Scalar_Test[[#This Row],[Multiple_R (Calc.)]],6)</f>
        <v>1</v>
      </c>
      <c r="W9" s="4">
        <v>0.98883430270350514</v>
      </c>
      <c r="X9" s="4">
        <f ca="1">_xlfn.LET(_xlpm.x_s, OFFSET(y,0,1,ROWS(y),MLR_Scalar_Test[[#This Row],[ind_vars]]), Adjusted_R2(_xlpm.x_s, y, MLR_Scalar_Test[[#This Row],[Allow_Intercept]], fil))</f>
        <v>0.98883430270350525</v>
      </c>
      <c r="Y9" t="b">
        <f ca="1">ROUND(MLR_Scalar_Test[[#This Row],[Adjusted_R2 (Exp.)]],6)=ROUND(MLR_Scalar_Test[[#This Row],[Adjusted_R2 (Calc.)]],6)</f>
        <v>1</v>
      </c>
      <c r="Z9" s="5">
        <v>8047362.0100000016</v>
      </c>
      <c r="AA9" s="5">
        <f>SS_Total(y, MLR_Scalar_Test[[#This Row],[Allow_Intercept]], fil)</f>
        <v>8047362.0100000026</v>
      </c>
      <c r="AB9" t="b">
        <f>ROUND(MLR_Scalar_Test[[#This Row],[SS_Total (Exp.)]],4)=ROUND(MLR_Scalar_Test[[#This Row],[SS_Total (Calc.)]],4)</f>
        <v>1</v>
      </c>
      <c r="AC9" s="5">
        <v>88873.583891912</v>
      </c>
      <c r="AD9" s="5">
        <f ca="1">_xlfn.LET(_xlpm.x_s, OFFSET(y,0,1,ROWS(y),MLR_Scalar_Test[[#This Row],[ind_vars]]), SS_Residual(_xlpm.x_s, y, MLR_Scalar_Test[[#This Row],[Allow_Intercept]], fil))</f>
        <v>88873.583891911534</v>
      </c>
      <c r="AE9" t="b">
        <f ca="1">ROUND(MLR_Scalar_Test[[#This Row],[SS_Residual (Exp.)]],4)=ROUND(MLR_Scalar_Test[[#This Row],[SS_Residual (Calc.)]],4)</f>
        <v>1</v>
      </c>
      <c r="AF9" s="5">
        <v>7958488.4261080893</v>
      </c>
      <c r="AG9" s="5">
        <f ca="1">_xlfn.LET(_xlpm.x_s, OFFSET(y,0,1,ROWS(y),MLR_Scalar_Test[[#This Row],[ind_vars]]), SS_Regression(_xlpm.x_s, y, MLR_Scalar_Test[[#This Row],[Allow_Intercept]], fil))</f>
        <v>7958488.4261080911</v>
      </c>
      <c r="AH9" t="b">
        <f ca="1">ROUND(MLR_Scalar_Test[[#This Row],[SS_Regression (Exp.)]],4)=ROUND(MLR_Scalar_Test[[#This Row],[SS_Regression (Calc.)]],4)</f>
        <v>1</v>
      </c>
      <c r="AI9" s="4">
        <v>7.381750571735556</v>
      </c>
      <c r="AJ9" s="4">
        <f ca="1">_xlfn.LET(_xlpm.x_s, OFFSET(y,0,1,ROWS(y),MLR_Scalar_Test[[#This Row],[ind_vars]]), SE_Regression(_xlpm.x_s, y, MLR_Scalar_Test[[#This Row],[Allow_Intercept]], fil))</f>
        <v>7.3817505717355365</v>
      </c>
      <c r="AK9" t="b">
        <f ca="1">ROUND(MLR_Scalar_Test[[#This Row],[SE_Regression (Exp.)]],6)=ROUND(MLR_Scalar_Test[[#This Row],[SE_Regression (Calc.)]],6)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LAMBDA_functions</vt:lpstr>
      <vt:lpstr>Life Expectancy Data</vt:lpstr>
      <vt:lpstr>MLR_Scalar_Test</vt:lpstr>
      <vt:lpstr>MLR_Scalar_Test!fil</vt:lpstr>
      <vt:lpstr>MLR_Scalar_Test!y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2026-05-09T22:38:38Z</dcterms:created>
  <dcterms:modified xsi:type="dcterms:W3CDTF">2026-05-10T20:54:13Z</dcterms:modified>
</cp:coreProperties>
</file>